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5a16f4014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ybrid Calculator" sheetId="1" r:id="R1a153e6d185e4d9b"/>
    <x:sheet xmlns:r="http://schemas.openxmlformats.org/officeDocument/2006/relationships" name="Resistor Inventory" sheetId="2" r:id="Rb11adb839a504fa4"/>
    <x:sheet xmlns:r="http://schemas.openxmlformats.org/officeDocument/2006/relationships" name="Synthetic Dataset" sheetId="3" r:id="R0e355f40505e43a3"/>
    <x:sheet xmlns:r="http://schemas.openxmlformats.org/officeDocument/2006/relationships" name="ML Helper" sheetId="4" r:id="R3decc021216647c4"/>
    <x:sheet xmlns:r="http://schemas.openxmlformats.org/officeDocument/2006/relationships" name="Model Validation" sheetId="5" r:id="R4079e9b264b340b7"/>
    <x:sheet xmlns:r="http://schemas.openxmlformats.org/officeDocument/2006/relationships" name="Model Card" sheetId="6" r:id="R4184e1451d16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11">
    <x:font>
      <x:sz val="11"/>
      <x:name val="Carlito"/>
    </x:font>
    <x:font>
      <x:b/>
      <x:sz val="17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1B5E20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i/>
      <x:sz val="10"/>
      <x:color rgb="FFFFFFFF"/>
      <x:name val="Aptos"/>
    </x:font>
    <x:font>
      <x:sz val="10"/>
      <x:name val="Aptos"/>
    </x:font>
    <x:font>
      <x:b/>
      <x:sz val="10"/>
      <x:color rgb="FF1B5E20"/>
      <x:name val="Aptos"/>
    </x:font>
    <x:font>
      <x:b/>
      <x:sz val="17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6D8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5" borderId="1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6" fillId="3" borderId="1" xfId="0" applyNumberFormat="1" applyFont="1" applyFill="1" applyBorder="1"/>
    <x:xf numFmtId="0" fontId="8" fillId="0" borderId="1" xfId="0" applyNumberFormat="1" applyFont="1" applyFill="1" applyBorder="1"/>
    <x:xf numFmtId="0" fontId="8" fillId="4" borderId="1" xfId="0" applyNumberFormat="1" applyFont="1" applyFill="1" applyBorder="1"/>
    <x:xf numFmtId="200" fontId="8" fillId="0" borderId="1" xfId="0" applyNumberFormat="1" applyFont="1" applyFill="1" applyBorder="1"/>
    <x:xf numFmtId="200" fontId="8" fillId="4" borderId="1" xfId="0" applyNumberFormat="1" applyFont="1" applyFill="1" applyBorder="1"/>
    <x:xf numFmtId="0" fontId="9" fillId="5" borderId="1" xfId="0" applyNumberFormat="1" applyFont="1" applyFill="1" applyBorder="1"/>
    <x:xf numFmtId="0" fontId="6" fillId="3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20cb76d9f4d6e" /><Relationship Type="http://schemas.openxmlformats.org/officeDocument/2006/relationships/theme" Target="/xl/theme/theme1.xml" Id="R242929854bd94c91" /><Relationship Type="http://schemas.openxmlformats.org/officeDocument/2006/relationships/sharedStrings" Target="/xl/sharedStrings.xml" Id="Rcbd87463dbcb4130" /><Relationship Type="http://schemas.openxmlformats.org/officeDocument/2006/relationships/worksheet" Target="/xl/worksheets/sheet1.xml" Id="R1a153e6d185e4d9b" /><Relationship Type="http://schemas.openxmlformats.org/officeDocument/2006/relationships/worksheet" Target="/xl/worksheets/sheet2.xml" Id="Rb11adb839a504fa4" /><Relationship Type="http://schemas.openxmlformats.org/officeDocument/2006/relationships/worksheet" Target="/xl/worksheets/sheet3.xml" Id="R0e355f40505e43a3" /><Relationship Type="http://schemas.openxmlformats.org/officeDocument/2006/relationships/worksheet" Target="/xl/worksheets/sheet4.xml" Id="R3decc021216647c4" /><Relationship Type="http://schemas.openxmlformats.org/officeDocument/2006/relationships/worksheet" Target="/xl/worksheets/sheet5.xml" Id="R4079e9b264b340b7" /><Relationship Type="http://schemas.openxmlformats.org/officeDocument/2006/relationships/worksheet" Target="/xl/worksheets/sheet6.xml" Id="R4184e1451d164b82" /></Relationships>
</file>

<file path=xl/tables/table1.xml><?xml version="1.0" encoding="utf-8"?>
<x:table xmlns:x="http://schemas.openxmlformats.org/spreadsheetml/2006/main" id="1" name="HybridSyntheticData" displayName="HybridSyntheticData" ref="A1:V2001" headerRowCount="1" totalsRowCount="0" totalsRowShown="0">
  <x:tableColumns count="22">
    <x:tableColumn id="1" name="ID"/>
    <x:tableColumn id="2" name="Split"/>
    <x:tableColumn id="3" name="Impulse_Type"/>
    <x:tableColumn id="4" name="Test_kV"/>
    <x:tableColumn id="5" name="Load_C_pF"/>
    <x:tableColumn id="6" name="Divider_C_pF"/>
    <x:tableColumn id="7" name="Stray_C_pF"/>
    <x:tableColumn id="8" name="L_uH"/>
    <x:tableColumn id="9" name="Efficiency"/>
    <x:tableColumn id="10" name="Stages"/>
    <x:tableColumn id="11" name="Charge_kV_Stage"/>
    <x:tableColumn id="12" name="Front_R_Stage"/>
    <x:tableColumn id="13" name="Tail_R_Stage"/>
    <x:tableColumn id="14" name="Physics_FrontPeak_us"/>
    <x:tableColumn id="15" name="Physics_Tail_us"/>
    <x:tableColumn id="16" name="Physics_Crest_kV"/>
    <x:tableColumn id="17" name="Observed_FrontPeak_us"/>
    <x:tableColumn id="18" name="Observed_Tail_us"/>
    <x:tableColumn id="19" name="Observed_Crest_kV"/>
    <x:tableColumn id="20" name="Residual_FrontPeak"/>
    <x:tableColumn id="21" name="Residual_Tail"/>
    <x:tableColumn id="22" name="Residual_Cr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b7d32b5c434e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38" hidden="0" customWidth="1"/>
    <x:col min="5" max="5" width="26" hidden="0" customWidth="1"/>
    <x:col min="6" max="6" width="26" hidden="0" customWidth="1"/>
    <x:col min="7" max="7" width="34" hidden="0" customWidth="1"/>
    <x:col min="8" max="8" width="26" hidden="0" customWidth="1"/>
  </x:cols>
  <x:sheetData>
    <x:row r="1">
      <x:c r="A1" s="35" t="str">
        <x:v>HYBRID PHYSICS–MACHINE LEARNING IMPULSE GENERATOR OPTIMISER</x:v>
      </x:c>
      <x:c r="B1" s="35"/>
      <x:c r="C1" s="35"/>
      <x:c r="D1" s="35"/>
      <x:c r="E1" s="35"/>
      <x:c r="F1" s="35"/>
      <x:c r="G1" s="35"/>
      <x:c r="H1" s="35"/>
    </x:row>
    <x:row r="2">
      <x:c r="A2" s="22" t="str">
        <x:v>400 kV Insulators · Lightning 1.2/50 µs and Switching 250/2500 µs · Original generator constraints + synthetic ML residual correction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USER INPUT</x:v>
      </x:c>
      <x:c r="B4" s="24" t="str">
        <x:v>VALUE</x:v>
      </x:c>
      <x:c r="C4" s="25"/>
      <x:c r="D4" s="24" t="str">
        <x:v>PHYSICS LAYER</x:v>
      </x:c>
      <x:c r="E4" s="24" t="str">
        <x:v>RESULT</x:v>
      </x:c>
      <x:c r="F4" s="25"/>
      <x:c r="G4" s="24" t="str">
        <x:v>ML RESIDUAL CORRECTION</x:v>
      </x:c>
      <x:c r="H4" s="24" t="str">
        <x:v>PREDICTION</x:v>
      </x:c>
    </x:row>
    <x:row r="5">
      <x:c r="A5" s="25" t="str">
        <x:v>Maximum system voltage (kV)</x:v>
      </x:c>
      <x:c r="B5" s="26" t="n">
        <x:v>400</x:v>
      </x:c>
      <x:c r="C5" s="25"/>
      <x:c r="D5" s="25" t="str">
        <x:v>Target front/peak time (µs)</x:v>
      </x:c>
      <x:c r="E5" s="25" t="n">
        <x:f>IF(B6="Lightning",1.2,250)</x:f>
        <x:v>1.2</x:v>
      </x:c>
      <x:c r="F5" s="25"/>
      <x:c r="G5" s="25" t="str">
        <x:v>Algorithm</x:v>
      </x:c>
      <x:c r="H5" s="25" t="str">
        <x:v>kNN residual regression (k=7)</x:v>
      </x:c>
    </x:row>
    <x:row r="6">
      <x:c r="A6" s="25" t="str">
        <x:v>Impulse type</x:v>
      </x:c>
      <x:c r="B6" s="26" t="str">
        <x:v>Lightning</x:v>
      </x:c>
      <x:c r="C6" s="25"/>
      <x:c r="D6" s="25" t="str">
        <x:v>Target tail time (µs)</x:v>
      </x:c>
      <x:c r="E6" s="25" t="n">
        <x:f>IF(B6="Lightning",50,2500)</x:f>
        <x:v>50</x:v>
      </x:c>
      <x:c r="F6" s="25"/>
      <x:c r="G6" s="25" t="str">
        <x:v>ML front/peak time (µs)</x:v>
      </x:c>
      <x:c r="H6" s="25" t="n">
        <x:f>E18+SUMPRODUCT('ML Helper'!$N$2:$N$1401,'ML Helper'!$O$2:$O$1401)/SUM('ML Helper'!$O$2:$O$1401)</x:f>
        <x:v>1.204896648838928</x:v>
      </x:c>
    </x:row>
    <x:row r="7">
      <x:c r="A7" s="25" t="str">
        <x:v>Required test voltage (kV)</x:v>
      </x:c>
      <x:c r="B7" s="26" t="n">
        <x:v>1425</x:v>
      </x:c>
      <x:c r="C7" s="25"/>
      <x:c r="D7" s="25" t="str">
        <x:v>Total load capacitance (pF)</x:v>
      </x:c>
      <x:c r="E7" s="25" t="n">
        <x:f>SUM(B8:B10)</x:f>
        <x:v>1500</x:v>
      </x:c>
      <x:c r="F7" s="25"/>
      <x:c r="G7" s="25" t="str">
        <x:v>ML tail time (µs)</x:v>
      </x:c>
      <x:c r="H7" s="25" t="n">
        <x:f>E19+SUMPRODUCT('ML Helper'!$P$2:$P$1401,'ML Helper'!$O$2:$O$1401)/SUM('ML Helper'!$O$2:$O$1401)</x:f>
        <x:v>51.963708586038585</x:v>
      </x:c>
    </x:row>
    <x:row r="8">
      <x:c r="A8" s="25" t="str">
        <x:v>Insulator/load capacitance (pF)</x:v>
      </x:c>
      <x:c r="B8" s="26" t="n">
        <x:v>850</x:v>
      </x:c>
      <x:c r="C8" s="25"/>
      <x:c r="D8" s="25" t="str">
        <x:v>Required stages</x:v>
      </x:c>
      <x:c r="E8" s="25" t="n">
        <x:f>CEILING(B7/(B14*B12),1)</x:f>
        <x:v>9</x:v>
      </x:c>
      <x:c r="F8" s="25"/>
      <x:c r="G8" s="25" t="str">
        <x:v>ML crest voltage (kV)</x:v>
      </x:c>
      <x:c r="H8" s="25" t="n">
        <x:f>E20+SUMPRODUCT('ML Helper'!$Q$2:$Q$1401,'ML Helper'!$O$2:$O$1401)/SUM('ML Helper'!$O$2:$O$1401)</x:f>
        <x:v>1432.94658495185</x:v>
      </x:c>
    </x:row>
    <x:row r="9">
      <x:c r="A9" s="25" t="str">
        <x:v>Divider capacitance (pF)</x:v>
      </x:c>
      <x:c r="B9" s="26" t="n">
        <x:v>500</x:v>
      </x:c>
      <x:c r="C9" s="25"/>
      <x:c r="D9" s="25" t="str">
        <x:v>Charging voltage/stage (kV)</x:v>
      </x:c>
      <x:c r="E9" s="25" t="n">
        <x:f>B7/(B12*E8)</x:f>
        <x:v>193.08943089430895</x:v>
      </x:c>
      <x:c r="F9" s="25"/>
      <x:c r="G9" s="25" t="str">
        <x:v>Front/peak correction</x:v>
      </x:c>
      <x:c r="H9" s="25" t="n">
        <x:f>H6-E18</x:f>
        <x:v>-0.005133309467890035</x:v>
      </x:c>
    </x:row>
    <x:row r="10">
      <x:c r="A10" s="25" t="str">
        <x:v>Stray capacitance (pF)</x:v>
      </x:c>
      <x:c r="B10" s="26" t="n">
        <x:v>150</x:v>
      </x:c>
      <x:c r="C10" s="25"/>
      <x:c r="D10" s="25" t="str">
        <x:v>Stage utilization</x:v>
      </x:c>
      <x:c r="E10" s="27" t="n">
        <x:f>E9/B14</x:f>
        <x:v>0.9654471544715447</x:v>
      </x:c>
      <x:c r="F10" s="25"/>
      <x:c r="G10" s="25" t="str">
        <x:v>Tail correction</x:v>
      </x:c>
      <x:c r="H10" s="25" t="n">
        <x:f>H7-E19</x:f>
        <x:v>-0.24517891396140357</x:v>
      </x:c>
    </x:row>
    <x:row r="11">
      <x:c r="A11" s="25" t="str">
        <x:v>Stray inductance (µH)</x:v>
      </x:c>
      <x:c r="B11" s="26" t="n">
        <x:v>18.5</x:v>
      </x:c>
      <x:c r="C11" s="25"/>
      <x:c r="D11" s="25" t="str">
        <x:v>Generator capacitance C1 (µF)</x:v>
      </x:c>
      <x:c r="E11" s="25" t="n">
        <x:f>B15/E8</x:f>
        <x:v>0.3333333333333333</x:v>
      </x:c>
      <x:c r="F11" s="25"/>
      <x:c r="G11" s="25" t="str">
        <x:v>Crest correction</x:v>
      </x:c>
      <x:c r="H11" s="25" t="n">
        <x:f>H8-E20</x:f>
        <x:v>7.9465849518499</x:v>
      </x:c>
    </x:row>
    <x:row r="12">
      <x:c r="A12" s="25" t="str">
        <x:v>Expected efficiency</x:v>
      </x:c>
      <x:c r="B12" s="28" t="n">
        <x:v>0.82</x:v>
      </x:c>
      <x:c r="C12" s="25"/>
      <x:c r="D12" s="25" t="str">
        <x:v>Theoretical total front R (Ω)</x:v>
      </x:c>
      <x:c r="E12" s="25" t="n">
        <x:f>SQRT(MAX(1E-18,((E5/1000000)/1.67)^2-2.5*(B11/1000000)*(E7/1000000000000)))/(E7/1000000000000)</x:f>
        <x:v>445.69925298597315</x:v>
      </x:c>
      <x:c r="F12" s="25"/>
      <x:c r="G12" s="25" t="str">
        <x:v>Physics-feasible?</x:v>
      </x:c>
      <x:c r="H12" s="25" t="str">
        <x:f>IF(AND(E8&lt;=B13,E9&lt;=B14),"YES","NO")</x:f>
        <x:v>YES</x:v>
      </x:c>
    </x:row>
    <x:row r="13">
      <x:c r="A13" s="25" t="str">
        <x:v>Maximum stages</x:v>
      </x:c>
      <x:c r="B13" s="26" t="n">
        <x:v>15</x:v>
      </x:c>
      <x:c r="C13" s="25"/>
      <x:c r="D13" s="25" t="str">
        <x:v>Theoretical front R/stage (Ω)</x:v>
      </x:c>
      <x:c r="E13" s="25" t="n">
        <x:f>E12/E8</x:f>
        <x:v>49.52213922066368</x:v>
      </x:c>
      <x:c r="F13" s="25"/>
      <x:c r="G13" s="25" t="str">
        <x:v>Waveform-compliant?</x:v>
      </x:c>
      <x:c r="H13" s="25" t="str">
        <x:f>IF(AND(H6&gt;=IF(B6="Lightning",0.84,200),H6&lt;=IF(B6="Lightning",1.56,300),H7&gt;=E6*0.8,H7&lt;=E6*1.2,ABS(H8/B7-1)&lt;=0.03),"YES","NO")</x:f>
        <x:v>YES</x:v>
      </x:c>
    </x:row>
    <x:row r="14">
      <x:c r="A14" s="25" t="str">
        <x:v>Maximum stage voltage (kV)</x:v>
      </x:c>
      <x:c r="B14" s="26" t="n">
        <x:v>200</x:v>
      </x:c>
      <x:c r="C14" s="25"/>
      <x:c r="D14" s="25" t="str">
        <x:v>Selected front R/stage (Ω)</x:v>
      </x:c>
      <x:c r="E14" s="25" t="n">
        <x:f>ROUND(E13/5,0)*5</x:f>
        <x:v>50</x:v>
      </x:c>
      <x:c r="F14" s="25"/>
      <x:c r="G14" s="25" t="str">
        <x:v>Hybrid recommendation</x:v>
      </x:c>
      <x:c r="H14" s="29" t="str">
        <x:f>IF(AND(H12="YES",H13="YES"),"PASS — RECOMMENDED","REVIEW — NOT RECOMMENDED")</x:f>
        <x:v>PASS — RECOMMENDED</x:v>
      </x:c>
    </x:row>
    <x:row r="15">
      <x:c r="A15" s="25" t="str">
        <x:v>Stage capacitance (µF)</x:v>
      </x:c>
      <x:c r="B15" s="26" t="n">
        <x:v>3</x:v>
      </x:c>
      <x:c r="C15" s="25"/>
      <x:c r="D15" s="25" t="str">
        <x:v>Theoretical total tail R (Ω)</x:v>
      </x:c>
      <x:c r="E15" s="25" t="n">
        <x:f>(E6/1000000)/(0.693*((E11/1000000)+(E7/1000000000000)))</x:f>
        <x:v>215.48055395740815</x:v>
      </x:c>
      <x:c r="F15" s="25"/>
      <x:c r="G15" s="25"/>
      <x:c r="H15" s="25"/>
    </x:row>
    <x:row r="16">
      <x:c r="A16" s="25"/>
      <x:c r="B16" s="25"/>
      <x:c r="C16" s="25"/>
      <x:c r="D16" s="25" t="str">
        <x:v>Theoretical tail R/stage (Ω)</x:v>
      </x:c>
      <x:c r="E16" s="25" t="n">
        <x:f>E15/E8</x:f>
        <x:v>23.94228377304535</x:v>
      </x:c>
      <x:c r="F16" s="25"/>
      <x:c r="G16" s="25"/>
      <x:c r="H16" s="25"/>
    </x:row>
    <x:row r="17">
      <x:c r="A17" s="24" t="str">
        <x:v>SELECTED PRACTICAL RESISTORS</x:v>
      </x:c>
      <x:c r="B17" s="24" t="str">
        <x:v>VALUE</x:v>
      </x:c>
      <x:c r="C17" s="25"/>
      <x:c r="D17" s="25" t="str">
        <x:v>Selected tail R/stage (Ω)</x:v>
      </x:c>
      <x:c r="E17" s="25" t="n">
        <x:f>ROUND(E16/5,0)*5</x:f>
        <x:v>25</x:v>
      </x:c>
      <x:c r="F17" s="25"/>
      <x:c r="G17" s="25"/>
      <x:c r="H17" s="25"/>
    </x:row>
    <x:row r="18">
      <x:c r="A18" s="25" t="str">
        <x:v>Front resistance per stage (Ω)</x:v>
      </x:c>
      <x:c r="B18" s="25" t="n">
        <x:f>ROUND(E14/5,0)*5</x:f>
        <x:v>50</x:v>
      </x:c>
      <x:c r="C18" s="25"/>
      <x:c r="D18" s="25" t="str">
        <x:v>Physics front/peak time (µs)</x:v>
      </x:c>
      <x:c r="E18" s="25" t="n">
        <x:f>1.67*SQRT(((E14*E8)*(E7/1000000000000))^2+2.5*(B11/1000000)*(E7/1000000000000))*1000000</x:f>
        <x:v>1.2100299583068181</x:v>
      </x:c>
      <x:c r="F18" s="25"/>
      <x:c r="G18" s="25"/>
      <x:c r="H18" s="25"/>
    </x:row>
    <x:row r="19">
      <x:c r="A19" s="25" t="str">
        <x:v>Front units per stage</x:v>
      </x:c>
      <x:c r="B19" s="25" t="n">
        <x:f>1</x:f>
        <x:v>1</x:v>
      </x:c>
      <x:c r="C19" s="25"/>
      <x:c r="D19" s="25" t="str">
        <x:v>Physics tail time (µs)</x:v>
      </x:c>
      <x:c r="E19" s="25" t="n">
        <x:f>0.693*(E17*E8)*((E11/1000000)+(E7/1000000000000))*1000000</x:f>
        <x:v>52.20888749999999</x:v>
      </x:c>
      <x:c r="F19" s="25"/>
      <x:c r="G19" s="25"/>
      <x:c r="H19" s="25"/>
    </x:row>
    <x:row r="20">
      <x:c r="A20" s="25" t="str">
        <x:v>Tail resistance per stage (Ω)</x:v>
      </x:c>
      <x:c r="B20" s="25" t="n">
        <x:f>ROUND(E17/5,0)*5</x:f>
        <x:v>25</x:v>
      </x:c>
      <x:c r="C20" s="25"/>
      <x:c r="D20" s="25" t="str">
        <x:v>Physics crest voltage (kV)</x:v>
      </x:c>
      <x:c r="E20" s="25" t="n">
        <x:f>B7</x:f>
        <x:v>1425</x:v>
      </x:c>
      <x:c r="F20" s="25"/>
      <x:c r="G20" s="25"/>
      <x:c r="H20" s="25"/>
    </x:row>
    <x:row r="21">
      <x:c r="A21" s="25" t="str">
        <x:v>Tail units per stage</x:v>
      </x:c>
      <x:c r="B21" s="25" t="n">
        <x:f>1</x:f>
        <x:v>1</x:v>
      </x:c>
      <x:c r="C21" s="25"/>
      <x:c r="D21" s="25"/>
      <x:c r="E21" s="25"/>
      <x:c r="F21" s="25"/>
      <x:c r="G21" s="25"/>
      <x:c r="H21" s="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1" t="str">
        <x:v>EDITABLE PRACTICAL RESISTOR INVENTORY</x:v>
      </x:c>
      <x:c r="B1" s="21"/>
      <x:c r="C1" s="21"/>
      <x:c r="D1" s="21"/>
      <x:c r="E1" s="21"/>
      <x:c r="F1" s="21"/>
      <x:c r="G1" s="21"/>
    </x:row>
    <x:row r="2">
      <x:c r="A2" s="23"/>
      <x:c r="B2" s="23"/>
      <x:c r="C2" s="23"/>
      <x:c r="D2" s="23"/>
      <x:c r="E2" s="23"/>
      <x:c r="F2" s="23"/>
      <x:c r="G2" s="23"/>
    </x:row>
    <x:row r="3">
      <x:c r="A3" s="30" t="str">
        <x:v>Front value (Ω)</x:v>
      </x:c>
      <x:c r="B3" s="30" t="str">
        <x:v>Units available/stage</x:v>
      </x:c>
      <x:c r="C3" s="23"/>
      <x:c r="D3" s="23"/>
      <x:c r="E3" s="30" t="str">
        <x:v>Tail value (Ω)</x:v>
      </x:c>
      <x:c r="F3" s="30" t="str">
        <x:v>Units available/stage</x:v>
      </x:c>
      <x:c r="G3" s="23"/>
    </x:row>
    <x:row r="4">
      <x:c r="A4" s="23" t="n">
        <x:v>10</x:v>
      </x:c>
      <x:c r="B4" s="23" t="n">
        <x:v>4</x:v>
      </x:c>
      <x:c r="C4" s="23"/>
      <x:c r="D4" s="23"/>
      <x:c r="E4" s="23" t="n">
        <x:v>5</x:v>
      </x:c>
      <x:c r="F4" s="23" t="n">
        <x:v>4</x:v>
      </x:c>
      <x:c r="G4" s="23"/>
    </x:row>
    <x:row r="5">
      <x:c r="A5" s="23" t="n">
        <x:v>20</x:v>
      </x:c>
      <x:c r="B5" s="23" t="n">
        <x:v>4</x:v>
      </x:c>
      <x:c r="C5" s="23"/>
      <x:c r="D5" s="23"/>
      <x:c r="E5" s="23" t="n">
        <x:v>10</x:v>
      </x:c>
      <x:c r="F5" s="23" t="n">
        <x:v>4</x:v>
      </x:c>
      <x:c r="G5" s="23"/>
    </x:row>
    <x:row r="6">
      <x:c r="A6" s="23" t="n">
        <x:v>30</x:v>
      </x:c>
      <x:c r="B6" s="23" t="n">
        <x:v>4</x:v>
      </x:c>
      <x:c r="C6" s="23"/>
      <x:c r="D6" s="23"/>
      <x:c r="E6" s="23" t="n">
        <x:v>15</x:v>
      </x:c>
      <x:c r="F6" s="23" t="n">
        <x:v>4</x:v>
      </x:c>
      <x:c r="G6" s="23"/>
    </x:row>
    <x:row r="7">
      <x:c r="A7" s="23" t="n">
        <x:v>50</x:v>
      </x:c>
      <x:c r="B7" s="23" t="n">
        <x:v>4</x:v>
      </x:c>
      <x:c r="C7" s="23"/>
      <x:c r="D7" s="23"/>
      <x:c r="E7" s="23" t="n">
        <x:v>20</x:v>
      </x:c>
      <x:c r="F7" s="23" t="n">
        <x:v>4</x:v>
      </x:c>
      <x:c r="G7" s="23"/>
    </x:row>
    <x:row r="8">
      <x:c r="A8" s="23" t="n">
        <x:v>75</x:v>
      </x:c>
      <x:c r="B8" s="23" t="n">
        <x:v>4</x:v>
      </x:c>
      <x:c r="C8" s="23"/>
      <x:c r="D8" s="23"/>
      <x:c r="E8" s="23" t="n">
        <x:v>25</x:v>
      </x:c>
      <x:c r="F8" s="23" t="n">
        <x:v>4</x:v>
      </x:c>
      <x:c r="G8" s="23"/>
    </x:row>
    <x:row r="9">
      <x:c r="A9" s="23" t="n">
        <x:v>100</x:v>
      </x:c>
      <x:c r="B9" s="23" t="n">
        <x:v>4</x:v>
      </x:c>
      <x:c r="C9" s="23"/>
      <x:c r="D9" s="23"/>
      <x:c r="E9" s="23" t="n">
        <x:v>30</x:v>
      </x:c>
      <x:c r="F9" s="23" t="n">
        <x:v>4</x:v>
      </x:c>
      <x:c r="G9" s="23"/>
    </x:row>
    <x:row r="10">
      <x:c r="A10" s="23" t="n">
        <x:v>150</x:v>
      </x:c>
      <x:c r="B10" s="23" t="n">
        <x:v>4</x:v>
      </x:c>
      <x:c r="C10" s="23"/>
      <x:c r="D10" s="23"/>
      <x:c r="E10" s="23" t="n">
        <x:v>40</x:v>
      </x:c>
      <x:c r="F10" s="23" t="n">
        <x:v>4</x:v>
      </x:c>
      <x:c r="G10" s="23"/>
    </x:row>
    <x:row r="11">
      <x:c r="A11" s="23" t="n">
        <x:v>200</x:v>
      </x:c>
      <x:c r="B11" s="23" t="n">
        <x:v>4</x:v>
      </x:c>
      <x:c r="C11" s="23"/>
      <x:c r="D11" s="23"/>
      <x:c r="E11" s="23" t="n">
        <x:v>50</x:v>
      </x:c>
      <x:c r="F11" s="23" t="n">
        <x:v>4</x:v>
      </x:c>
      <x:c r="G11" s="23"/>
    </x:row>
    <x:row r="12">
      <x:c r="A12" s="23" t="n">
        <x:v>300</x:v>
      </x:c>
      <x:c r="B12" s="23" t="n">
        <x:v>4</x:v>
      </x:c>
      <x:c r="C12" s="23"/>
      <x:c r="D12" s="23"/>
      <x:c r="E12" s="23" t="n">
        <x:v>75</x:v>
      </x:c>
      <x:c r="F12" s="23" t="n">
        <x:v>4</x:v>
      </x:c>
      <x:c r="G12" s="23"/>
    </x:row>
    <x:row r="13">
      <x:c r="A13" s="23" t="n">
        <x:v>500</x:v>
      </x:c>
      <x:c r="B13" s="23" t="n">
        <x:v>4</x:v>
      </x:c>
      <x:c r="C13" s="23"/>
      <x:c r="D13" s="23"/>
      <x:c r="E13" s="23" t="n">
        <x:v>100</x:v>
      </x:c>
      <x:c r="F13" s="23" t="n">
        <x:v>4</x:v>
      </x:c>
      <x:c r="G13" s="23"/>
    </x:row>
    <x:row r="14">
      <x:c r="A14" s="23"/>
      <x:c r="B14" s="23"/>
      <x:c r="C14" s="23"/>
      <x:c r="D14" s="23"/>
      <x:c r="E14" s="23" t="n">
        <x:v>150</x:v>
      </x:c>
      <x:c r="F14" s="23" t="n">
        <x:v>4</x:v>
      </x:c>
      <x:c r="G14" s="23"/>
    </x:row>
    <x:row r="15">
      <x:c r="A15" s="23"/>
      <x:c r="B15" s="23"/>
      <x:c r="C15" s="23"/>
      <x:c r="D15" s="23"/>
      <x:c r="E15" s="23" t="n">
        <x:v>200</x:v>
      </x:c>
      <x:c r="F15" s="23" t="n">
        <x:v>4</x:v>
      </x:c>
      <x:c r="G15" s="23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31" t="str">
        <x:v>ID</x:v>
      </x:c>
      <x:c r="B1" s="31" t="str">
        <x:v>Split</x:v>
      </x:c>
      <x:c r="C1" s="31" t="str">
        <x:v>Impulse_Type</x:v>
      </x:c>
      <x:c r="D1" s="31" t="str">
        <x:v>Test_kV</x:v>
      </x:c>
      <x:c r="E1" s="31" t="str">
        <x:v>Load_C_pF</x:v>
      </x:c>
      <x:c r="F1" s="31" t="str">
        <x:v>Divider_C_pF</x:v>
      </x:c>
      <x:c r="G1" s="31" t="str">
        <x:v>Stray_C_pF</x:v>
      </x:c>
      <x:c r="H1" s="31" t="str">
        <x:v>L_uH</x:v>
      </x:c>
      <x:c r="I1" s="31" t="str">
        <x:v>Efficiency</x:v>
      </x:c>
      <x:c r="J1" s="31" t="str">
        <x:v>Stages</x:v>
      </x:c>
      <x:c r="K1" s="31" t="str">
        <x:v>Charge_kV_Stage</x:v>
      </x:c>
      <x:c r="L1" s="31" t="str">
        <x:v>Front_R_Stage</x:v>
      </x:c>
      <x:c r="M1" s="31" t="str">
        <x:v>Tail_R_Stage</x:v>
      </x:c>
      <x:c r="N1" s="31" t="str">
        <x:v>Physics_FrontPeak_us</x:v>
      </x:c>
      <x:c r="O1" s="31" t="str">
        <x:v>Physics_Tail_us</x:v>
      </x:c>
      <x:c r="P1" s="31" t="str">
        <x:v>Physics_Crest_kV</x:v>
      </x:c>
      <x:c r="Q1" s="31" t="str">
        <x:v>Observed_FrontPeak_us</x:v>
      </x:c>
      <x:c r="R1" s="31" t="str">
        <x:v>Observed_Tail_us</x:v>
      </x:c>
      <x:c r="S1" s="31" t="str">
        <x:v>Observed_Crest_kV</x:v>
      </x:c>
      <x:c r="T1" s="31" t="str">
        <x:v>Residual_FrontPeak</x:v>
      </x:c>
      <x:c r="U1" s="31" t="str">
        <x:v>Residual_Tail</x:v>
      </x:c>
      <x:c r="V1" s="31" t="str">
        <x:v>Residual_Crest</x:v>
      </x:c>
    </x:row>
    <x:row r="2">
      <x:c r="A2" s="23" t="n">
        <x:v>1</x:v>
      </x:c>
      <x:c r="B2" s="23" t="str">
        <x:v>Train</x:v>
      </x:c>
      <x:c r="C2" s="23" t="str">
        <x:v>Lightning</x:v>
      </x:c>
      <x:c r="D2" s="23" t="n">
        <x:v>1404.498256277293</x:v>
      </x:c>
      <x:c r="E2" s="23" t="n">
        <x:v>796.9073470099829</x:v>
      </x:c>
      <x:c r="F2" s="23" t="n">
        <x:v>383.9852148666978</x:v>
      </x:c>
      <x:c r="G2" s="23" t="n">
        <x:v>163.87698704609647</x:v>
      </x:c>
      <x:c r="H2" s="23" t="n">
        <x:v>21.27743093110621</x:v>
      </x:c>
      <x:c r="I2" s="23" t="n">
        <x:v>0.8374539385293611</x:v>
      </x:c>
      <x:c r="J2" s="23" t="n">
        <x:v>9</x:v>
      </x:c>
      <x:c r="K2" s="23" t="n">
        <x:v>186.34500911493035</x:v>
      </x:c>
      <x:c r="L2" s="23" t="n">
        <x:v>55</x:v>
      </x:c>
      <x:c r="M2" s="23" t="n">
        <x:v>25</x:v>
      </x:c>
      <x:c r="N2" s="23" t="n">
        <x:v>1.19802868309402</x:v>
      </x:c>
      <x:c r="O2" s="23" t="n">
        <x:v>52.18468319191579</x:v>
      </x:c>
      <x:c r="P2" s="23" t="n">
        <x:v>1404.498256277293</x:v>
      </x:c>
      <x:c r="Q2" s="23" t="n">
        <x:v>1.1781493841169006</x:v>
      </x:c>
      <x:c r="R2" s="23" t="n">
        <x:v>51.85199155152155</x:v>
      </x:c>
      <x:c r="S2" s="23" t="n">
        <x:v>1413.793127136828</x:v>
      </x:c>
      <x:c r="T2" s="23" t="n">
        <x:v>-0.019879298977119486</x:v>
      </x:c>
      <x:c r="U2" s="23" t="n">
        <x:v>-0.3326916403942377</x:v>
      </x:c>
      <x:c r="V2" s="23" t="n">
        <x:v>9.294870859534967</x:v>
      </x:c>
    </x:row>
    <x:row r="3">
      <x:c r="A3" s="23" t="n">
        <x:v>2</x:v>
      </x:c>
      <x:c r="B3" s="23" t="str">
        <x:v>Train</x:v>
      </x:c>
      <x:c r="C3" s="23" t="str">
        <x:v>Lightning</x:v>
      </x:c>
      <x:c r="D3" s="23" t="n">
        <x:v>1465.010655450169</x:v>
      </x:c>
      <x:c r="E3" s="23" t="n">
        <x:v>802.2513500647619</x:v>
      </x:c>
      <x:c r="F3" s="23" t="n">
        <x:v>369.63737243786454</x:v>
      </x:c>
      <x:c r="G3" s="23" t="n">
        <x:v>199.86520350910723</x:v>
      </x:c>
      <x:c r="H3" s="23" t="n">
        <x:v>24.446143113542348</x:v>
      </x:c>
      <x:c r="I3" s="23" t="n">
        <x:v>0.8013258869806305</x:v>
      </x:c>
      <x:c r="J3" s="23" t="n">
        <x:v>10</x:v>
      </x:c>
      <x:c r="K3" s="23" t="n">
        <x:v>182.8233280931783</x:v>
      </x:c>
      <x:c r="L3" s="23" t="n">
        <x:v>50</x:v>
      </x:c>
      <x:c r="M3" s="23" t="n">
        <x:v>25</x:v>
      </x:c>
      <x:c r="N3" s="23" t="n">
        <x:v>1.2432950252956587</x:v>
      </x:c>
      <x:c r="O3" s="23" t="n">
        <x:v>52.21265636768153</x:v>
      </x:c>
      <x:c r="P3" s="23" t="n">
        <x:v>1465.010655450169</x:v>
      </x:c>
      <x:c r="Q3" s="23" t="n">
        <x:v>1.2376454552571015</x:v>
      </x:c>
      <x:c r="R3" s="23" t="n">
        <x:v>52.08090746414039</x:v>
      </x:c>
      <x:c r="S3" s="23" t="n">
        <x:v>1473.641202891381</x:v>
      </x:c>
      <x:c r="T3" s="23" t="n">
        <x:v>-0.005649570038557261</x:v>
      </x:c>
      <x:c r="U3" s="23" t="n">
        <x:v>-0.1317489035411441</x:v>
      </x:c>
      <x:c r="V3" s="23" t="n">
        <x:v>8.630547441212002</x:v>
      </x:c>
    </x:row>
    <x:row r="4">
      <x:c r="A4" s="23" t="n">
        <x:v>3</x:v>
      </x:c>
      <x:c r="B4" s="23" t="str">
        <x:v>Train</x:v>
      </x:c>
      <x:c r="C4" s="23" t="str">
        <x:v>Lightning</x:v>
      </x:c>
      <x:c r="D4" s="23" t="n">
        <x:v>1392.5916019594297</x:v>
      </x:c>
      <x:c r="E4" s="23" t="n">
        <x:v>693.8674343400635</x:v>
      </x:c>
      <x:c r="F4" s="23" t="n">
        <x:v>623.5932778567076</x:v>
      </x:c>
      <x:c r="G4" s="23" t="n">
        <x:v>170.7822658191435</x:v>
      </x:c>
      <x:c r="H4" s="23" t="n">
        <x:v>22.082605068571866</x:v>
      </x:c>
      <x:c r="I4" s="23" t="n">
        <x:v>0.8135303726862185</x:v>
      </x:c>
      <x:c r="J4" s="23" t="n">
        <x:v>9</x:v>
      </x:c>
      <x:c r="K4" s="23" t="n">
        <x:v>190.19867654946822</x:v>
      </x:c>
      <x:c r="L4" s="23" t="n">
        <x:v>50</x:v>
      </x:c>
      <x:c r="M4" s="23" t="n">
        <x:v>25</x:v>
      </x:c>
      <x:c r="N4" s="23" t="n">
        <x:v>1.216548068370542</x:v>
      </x:c>
      <x:c r="O4" s="23" t="n">
        <x:v>52.20705428634713</x:v>
      </x:c>
      <x:c r="P4" s="23" t="n">
        <x:v>1392.5916019594297</x:v>
      </x:c>
      <x:c r="Q4" s="23" t="n">
        <x:v>1.2053054506942493</x:v>
      </x:c>
      <x:c r="R4" s="23" t="n">
        <x:v>50.73052679489176</x:v>
      </x:c>
      <x:c r="S4" s="23" t="n">
        <x:v>1387.1978944149498</x:v>
      </x:c>
      <x:c r="T4" s="23" t="n">
        <x:v>-0.011242617676292754</x:v>
      </x:c>
      <x:c r="U4" s="23" t="n">
        <x:v>-1.4765274914553714</x:v>
      </x:c>
      <x:c r="V4" s="23" t="n">
        <x:v>-5.3937075444798666</x:v>
      </x:c>
    </x:row>
    <x:row r="5">
      <x:c r="A5" s="23" t="n">
        <x:v>4</x:v>
      </x:c>
      <x:c r="B5" s="23" t="str">
        <x:v>Train</x:v>
      </x:c>
      <x:c r="C5" s="23" t="str">
        <x:v>Lightning</x:v>
      </x:c>
      <x:c r="D5" s="23" t="n">
        <x:v>1401.121345104184</x:v>
      </x:c>
      <x:c r="E5" s="23" t="n">
        <x:v>783.6021971423179</x:v>
      </x:c>
      <x:c r="F5" s="23" t="n">
        <x:v>411.9338455609977</x:v>
      </x:c>
      <x:c r="G5" s="23" t="n">
        <x:v>160.4435055470094</x:v>
      </x:c>
      <x:c r="H5" s="23" t="n">
        <x:v>11.087711356114596</x:v>
      </x:c>
      <x:c r="I5" s="23" t="n">
        <x:v>0.8025316928885877</x:v>
      </x:c>
      <x:c r="J5" s="23" t="n">
        <x:v>9</x:v>
      </x:c>
      <x:c r="K5" s="23" t="n">
        <x:v>193.98629466666173</x:v>
      </x:c>
      <x:c r="L5" s="23" t="n">
        <x:v>55</x:v>
      </x:c>
      <x:c r="M5" s="23" t="n">
        <x:v>25</x:v>
      </x:c>
      <x:c r="N5" s="23" t="n">
        <x:v>1.1667426916582535</x:v>
      </x:c>
      <x:c r="O5" s="23" t="n">
        <x:v>52.18643111106093</x:v>
      </x:c>
      <x:c r="P5" s="23" t="n">
        <x:v>1401.121345104184</x:v>
      </x:c>
      <x:c r="Q5" s="23" t="n">
        <x:v>1.1656349259565895</x:v>
      </x:c>
      <x:c r="R5" s="23" t="n">
        <x:v>52.691512353081876</x:v>
      </x:c>
      <x:c r="S5" s="23" t="n">
        <x:v>1416.8504068896923</x:v>
      </x:c>
      <x:c r="T5" s="23" t="n">
        <x:v>-0.001107765701664043</x:v>
      </x:c>
      <x:c r="U5" s="23" t="n">
        <x:v>0.5050812420209496</x:v>
      </x:c>
      <x:c r="V5" s="23" t="n">
        <x:v>15.729061785508293</x:v>
      </x:c>
    </x:row>
    <x:row r="6">
      <x:c r="A6" s="23" t="n">
        <x:v>5</x:v>
      </x:c>
      <x:c r="B6" s="23" t="str">
        <x:v>Train</x:v>
      </x:c>
      <x:c r="C6" s="23" t="str">
        <x:v>Lightning</x:v>
      </x:c>
      <x:c r="D6" s="23" t="n">
        <x:v>1358.607933903113</x:v>
      </x:c>
      <x:c r="E6" s="23" t="n">
        <x:v>628.5578587907366</x:v>
      </x:c>
      <x:c r="F6" s="23" t="n">
        <x:v>518.2140512391925</x:v>
      </x:c>
      <x:c r="G6" s="23" t="n">
        <x:v>197.54131625639275</x:v>
      </x:c>
      <x:c r="H6" s="23" t="n">
        <x:v>9.624362550675869</x:v>
      </x:c>
      <x:c r="I6" s="23" t="n">
        <x:v>0.8513077791244723</x:v>
      </x:c>
      <x:c r="J6" s="23" t="n">
        <x:v>8</x:v>
      </x:c>
      <x:c r="K6" s="23" t="n">
        <x:v>199.4883588548277</x:v>
      </x:c>
      <x:c r="L6" s="23" t="n">
        <x:v>65</x:v>
      </x:c>
      <x:c r="M6" s="23" t="n">
        <x:v>25</x:v>
      </x:c>
      <x:c r="N6" s="23" t="n">
        <x:v>1.205418840165768</x:v>
      </x:c>
      <x:c r="O6" s="23" t="n">
        <x:v>52.16132181316328</x:v>
      </x:c>
      <x:c r="P6" s="23" t="n">
        <x:v>1358.607933903113</x:v>
      </x:c>
      <x:c r="Q6" s="23" t="n">
        <x:v>1.2060368588053454</x:v>
      </x:c>
      <x:c r="R6" s="23" t="n">
        <x:v>50.90945963017336</x:v>
      </x:c>
      <x:c r="S6" s="23" t="n">
        <x:v>1373.2449419753225</x:v>
      </x:c>
      <x:c r="T6" s="23" t="n">
        <x:v>0.0006180186395774445</x:v>
      </x:c>
      <x:c r="U6" s="23" t="n">
        <x:v>-1.2518621829899246</x:v>
      </x:c>
      <x:c r="V6" s="23" t="n">
        <x:v>14.637008072209483</x:v>
      </x:c>
    </x:row>
    <x:row r="7">
      <x:c r="A7" s="23" t="n">
        <x:v>6</x:v>
      </x:c>
      <x:c r="B7" s="23" t="str">
        <x:v>Train</x:v>
      </x:c>
      <x:c r="C7" s="23" t="str">
        <x:v>Lightning</x:v>
      </x:c>
      <x:c r="D7" s="23" t="n">
        <x:v>1433.584059693385</x:v>
      </x:c>
      <x:c r="E7" s="23" t="n">
        <x:v>1000.2757522976026</x:v>
      </x:c>
      <x:c r="F7" s="23" t="n">
        <x:v>534.6383688040078</x:v>
      </x:c>
      <x:c r="G7" s="23" t="n">
        <x:v>127.03792510554194</x:v>
      </x:c>
      <x:c r="H7" s="23" t="n">
        <x:v>17.79468999663368</x:v>
      </x:c>
      <x:c r="I7" s="23" t="n">
        <x:v>0.8395095429709182</x:v>
      </x:c>
      <x:c r="J7" s="23" t="n">
        <x:v>9</x:v>
      </x:c>
      <x:c r="K7" s="23" t="n">
        <x:v>189.73830503464254</x:v>
      </x:c>
      <x:c r="L7" s="23" t="n">
        <x:v>45</x:v>
      </x:c>
      <x:c r="M7" s="23" t="n">
        <x:v>25</x:v>
      </x:c>
      <x:c r="N7" s="23" t="n">
        <x:v>1.2123161735201553</x:v>
      </x:c>
      <x:c r="O7" s="23" t="n">
        <x:v>52.234139872804846</x:v>
      </x:c>
      <x:c r="P7" s="23" t="n">
        <x:v>1433.584059693385</x:v>
      </x:c>
      <x:c r="Q7" s="23" t="n">
        <x:v>1.2055039575849182</x:v>
      </x:c>
      <x:c r="R7" s="23" t="n">
        <x:v>53.2769668865175</x:v>
      </x:c>
      <x:c r="S7" s="23" t="n">
        <x:v>1429.8090430855057</x:v>
      </x:c>
      <x:c r="T7" s="23" t="n">
        <x:v>-0.006812215935237065</x:v>
      </x:c>
      <x:c r="U7" s="23" t="n">
        <x:v>1.0428270137126532</x:v>
      </x:c>
      <x:c r="V7" s="23" t="n">
        <x:v>-3.7750166078792518</x:v>
      </x:c>
    </x:row>
    <x:row r="8">
      <x:c r="A8" s="23" t="n">
        <x:v>7</x:v>
      </x:c>
      <x:c r="B8" s="23" t="str">
        <x:v>Train</x:v>
      </x:c>
      <x:c r="C8" s="23" t="str">
        <x:v>Lightning</x:v>
      </x:c>
      <x:c r="D8" s="23" t="n">
        <x:v>1492.9545208113268</x:v>
      </x:c>
      <x:c r="E8" s="23" t="n">
        <x:v>1073.0425685760565</x:v>
      </x:c>
      <x:c r="F8" s="23" t="n">
        <x:v>463.7866109609604</x:v>
      </x:c>
      <x:c r="G8" s="23" t="n">
        <x:v>300.64811357995495</x:v>
      </x:c>
      <x:c r="H8" s="23" t="n">
        <x:v>17.70408276002854</x:v>
      </x:c>
      <x:c r="I8" s="23" t="n">
        <x:v>0.8140215560770594</x:v>
      </x:c>
      <x:c r="J8" s="23" t="n">
        <x:v>10</x:v>
      </x:c>
      <x:c r="K8" s="23" t="n">
        <x:v>183.40478942673064</x:v>
      </x:c>
      <x:c r="L8" s="23" t="n">
        <x:v>35</x:v>
      </x:c>
      <x:c r="M8" s="23" t="n">
        <x:v>25</x:v>
      </x:c>
      <x:c r="N8" s="23" t="n">
        <x:v>1.1748621135188062</x:v>
      </x:c>
      <x:c r="O8" s="23" t="n">
        <x:v>52.29334294103251</x:v>
      </x:c>
      <x:c r="P8" s="23" t="n">
        <x:v>1492.9545208113268</x:v>
      </x:c>
      <x:c r="Q8" s="23" t="n">
        <x:v>1.171938204991057</x:v>
      </x:c>
      <x:c r="R8" s="23" t="n">
        <x:v>53.673365102048535</x:v>
      </x:c>
      <x:c r="S8" s="23" t="n">
        <x:v>1490.1250909470496</x:v>
      </x:c>
      <x:c r="T8" s="23" t="n">
        <x:v>-0.002923908527749264</x:v>
      </x:c>
      <x:c r="U8" s="23" t="n">
        <x:v>1.3800221610160222</x:v>
      </x:c>
      <x:c r="V8" s="23" t="n">
        <x:v>-2.8294298642772446</x:v>
      </x:c>
    </x:row>
    <x:row r="9">
      <x:c r="A9" s="23" t="n">
        <x:v>8</x:v>
      </x:c>
      <x:c r="B9" s="23" t="str">
        <x:v>Train</x:v>
      </x:c>
      <x:c r="C9" s="23" t="str">
        <x:v>Lightning</x:v>
      </x:c>
      <x:c r="D9" s="23" t="n">
        <x:v>1443.9684216747992</x:v>
      </x:c>
      <x:c r="E9" s="23" t="n">
        <x:v>697.4932444281876</x:v>
      </x:c>
      <x:c r="F9" s="23" t="n">
        <x:v>624.5390838943422</x:v>
      </x:c>
      <x:c r="G9" s="23" t="n">
        <x:v>119.40401191357523</x:v>
      </x:c>
      <x:c r="H9" s="23" t="n">
        <x:v>9.931374458130449</x:v>
      </x:c>
      <x:c r="I9" s="23" t="n">
        <x:v>0.8226563204172999</x:v>
      </x:c>
      <x:c r="J9" s="23" t="n">
        <x:v>9</x:v>
      </x:c>
      <x:c r="K9" s="23" t="n">
        <x:v>195.02790139661144</x:v>
      </x:c>
      <x:c r="L9" s="23" t="n">
        <x:v>55</x:v>
      </x:c>
      <x:c r="M9" s="23" t="n">
        <x:v>25</x:v>
      </x:c>
      <x:c r="N9" s="23" t="n">
        <x:v>1.2327343888371132</x:v>
      </x:c>
      <x:c r="O9" s="23" t="n">
        <x:v>52.19975596135131</x:v>
      </x:c>
      <x:c r="P9" s="23" t="n">
        <x:v>1443.9684216747992</x:v>
      </x:c>
      <x:c r="Q9" s="23" t="n">
        <x:v>1.23587091496412</x:v>
      </x:c>
      <x:c r="R9" s="23" t="n">
        <x:v>50.90291712654136</x:v>
      </x:c>
      <x:c r="S9" s="23" t="n">
        <x:v>1450.186484955361</x:v>
      </x:c>
      <x:c r="T9" s="23" t="n">
        <x:v>0.003136526127006878</x:v>
      </x:c>
      <x:c r="U9" s="23" t="n">
        <x:v>-1.2968388348099467</x:v>
      </x:c>
      <x:c r="V9" s="23" t="n">
        <x:v>6.218063280561864</x:v>
      </x:c>
    </x:row>
    <x:row r="10">
      <x:c r="A10" s="23" t="n">
        <x:v>9</x:v>
      </x:c>
      <x:c r="B10" s="23" t="str">
        <x:v>Train</x:v>
      </x:c>
      <x:c r="C10" s="23" t="str">
        <x:v>Lightning</x:v>
      </x:c>
      <x:c r="D10" s="23" t="n">
        <x:v>1408.1499399617314</x:v>
      </x:c>
      <x:c r="E10" s="23" t="n">
        <x:v>878.3083200803958</x:v>
      </x:c>
      <x:c r="F10" s="23" t="n">
        <x:v>479.18523270636797</x:v>
      </x:c>
      <x:c r="G10" s="23" t="n">
        <x:v>169.9360976764001</x:v>
      </x:c>
      <x:c r="H10" s="23" t="n">
        <x:v>24.89615867100656</x:v>
      </x:c>
      <x:c r="I10" s="23" t="n">
        <x:v>0.8208806673553772</x:v>
      </x:c>
      <x:c r="J10" s="23" t="n">
        <x:v>9</x:v>
      </x:c>
      <x:c r="K10" s="23" t="n">
        <x:v>190.60152183174384</x:v>
      </x:c>
      <x:c r="L10" s="23" t="n">
        <x:v>45</x:v>
      </x:c>
      <x:c r="M10" s="23" t="n">
        <x:v>25</x:v>
      </x:c>
      <x:c r="N10" s="23" t="n">
        <x:v>1.1542888904866608</x:v>
      </x:c>
      <x:c r="O10" s="23" t="n">
        <x:v>52.213164468248465</x:v>
      </x:c>
      <x:c r="P10" s="23" t="n">
        <x:v>1408.1499399617314</x:v>
      </x:c>
      <x:c r="Q10" s="23" t="n">
        <x:v>1.145339338093557</x:v>
      </x:c>
      <x:c r="R10" s="23" t="n">
        <x:v>51.094489615249024</x:v>
      </x:c>
      <x:c r="S10" s="23" t="n">
        <x:v>1403.071943525043</x:v>
      </x:c>
      <x:c r="T10" s="23" t="n">
        <x:v>-0.008949552393103799</x:v>
      </x:c>
      <x:c r="U10" s="23" t="n">
        <x:v>-1.1186748529994404</x:v>
      </x:c>
      <x:c r="V10" s="23" t="n">
        <x:v>-5.077996436688409</x:v>
      </x:c>
    </x:row>
    <x:row r="11">
      <x:c r="A11" s="23" t="n">
        <x:v>10</x:v>
      </x:c>
      <x:c r="B11" s="23" t="str">
        <x:v>Train</x:v>
      </x:c>
      <x:c r="C11" s="23" t="str">
        <x:v>Lightning</x:v>
      </x:c>
      <x:c r="D11" s="23" t="n">
        <x:v>1364.8114964948036</x:v>
      </x:c>
      <x:c r="E11" s="23" t="n">
        <x:v>1213.6572383577004</x:v>
      </x:c>
      <x:c r="F11" s="23" t="n">
        <x:v>514.9978668428957</x:v>
      </x:c>
      <x:c r="G11" s="23" t="n">
        <x:v>310.4586626123637</x:v>
      </x:c>
      <x:c r="H11" s="23" t="n">
        <x:v>9.267361734528095</x:v>
      </x:c>
      <x:c r="I11" s="23" t="n">
        <x:v>0.7979057388426737</x:v>
      </x:c>
      <x:c r="J11" s="23" t="n">
        <x:v>9</x:v>
      </x:c>
      <x:c r="K11" s="23" t="n">
        <x:v>190.05468246501303</x:v>
      </x:c>
      <x:c r="L11" s="23" t="n">
        <x:v>35</x:v>
      </x:c>
      <x:c r="M11" s="23" t="n">
        <x:v>25</x:v>
      </x:c>
      <x:c r="N11" s="23" t="n">
        <x:v>1.1324263347166874</x:v>
      </x:c>
      <x:c r="O11" s="23" t="n">
        <x:v>52.29294881424623</x:v>
      </x:c>
      <x:c r="P11" s="23" t="n">
        <x:v>1364.8114964948036</x:v>
      </x:c>
      <x:c r="Q11" s="23" t="n">
        <x:v>1.141818568264929</x:v>
      </x:c>
      <x:c r="R11" s="23" t="n">
        <x:v>52.859394516449385</x:v>
      </x:c>
      <x:c r="S11" s="23" t="n">
        <x:v>1361.226926385091</x:v>
      </x:c>
      <x:c r="T11" s="23" t="n">
        <x:v>0.00939223354824148</x:v>
      </x:c>
      <x:c r="U11" s="23" t="n">
        <x:v>0.5664457022031542</x:v>
      </x:c>
      <x:c r="V11" s="23" t="n">
        <x:v>-3.5845701097125584</x:v>
      </x:c>
    </x:row>
    <x:row r="12">
      <x:c r="A12" s="23" t="n">
        <x:v>11</x:v>
      </x:c>
      <x:c r="B12" s="23" t="str">
        <x:v>Train</x:v>
      </x:c>
      <x:c r="C12" s="23" t="str">
        <x:v>Lightning</x:v>
      </x:c>
      <x:c r="D12" s="23" t="n">
        <x:v>1481.31246145349</x:v>
      </x:c>
      <x:c r="E12" s="23" t="n">
        <x:v>1078.0146206379868</x:v>
      </x:c>
      <x:c r="F12" s="23" t="n">
        <x:v>651.4533091336489</x:v>
      </x:c>
      <x:c r="G12" s="23" t="n">
        <x:v>244.8830475169234</x:v>
      </x:c>
      <x:c r="H12" s="23" t="n">
        <x:v>9.204288811422884</x:v>
      </x:c>
      <x:c r="I12" s="23" t="n">
        <x:v>0.79008695616154</x:v>
      </x:c>
      <x:c r="J12" s="23" t="n">
        <x:v>10</x:v>
      </x:c>
      <x:c r="K12" s="23" t="n">
        <x:v>187.48726958487126</x:v>
      </x:c>
      <x:c r="L12" s="23" t="n">
        <x:v>35</x:v>
      </x:c>
      <x:c r="M12" s="23" t="n">
        <x:v>25</x:v>
      </x:c>
      <x:c r="N12" s="23" t="n">
        <x:v>1.2076580604805562</x:v>
      </x:c>
      <x:c r="O12" s="23" t="n">
        <x:v>52.317056306815246</x:v>
      </x:c>
      <x:c r="P12" s="23" t="n">
        <x:v>1481.31246145349</x:v>
      </x:c>
      <x:c r="Q12" s="23" t="n">
        <x:v>1.2339671352962833</x:v>
      </x:c>
      <x:c r="R12" s="23" t="n">
        <x:v>53.445984966078754</x:v>
      </x:c>
      <x:c r="S12" s="23" t="n">
        <x:v>1486.377414668386</x:v>
      </x:c>
      <x:c r="T12" s="23" t="n">
        <x:v>0.026309074815727085</x:v>
      </x:c>
      <x:c r="U12" s="23" t="n">
        <x:v>1.128928659263508</x:v>
      </x:c>
      <x:c r="V12" s="23" t="n">
        <x:v>5.06495321489615</x:v>
      </x:c>
    </x:row>
    <x:row r="13">
      <x:c r="A13" s="23" t="n">
        <x:v>12</x:v>
      </x:c>
      <x:c r="B13" s="23" t="str">
        <x:v>Train</x:v>
      </x:c>
      <x:c r="C13" s="23" t="str">
        <x:v>Lightning</x:v>
      </x:c>
      <x:c r="D13" s="23" t="n">
        <x:v>1440.386587602552</x:v>
      </x:c>
      <x:c r="E13" s="23" t="n">
        <x:v>687.2704466339201</x:v>
      </x:c>
      <x:c r="F13" s="23" t="n">
        <x:v>376.8476973287761</x:v>
      </x:c>
      <x:c r="G13" s="23" t="n">
        <x:v>303.6396063817665</x:v>
      </x:c>
      <x:c r="H13" s="23" t="n">
        <x:v>10.18500507203862</x:v>
      </x:c>
      <x:c r="I13" s="23" t="n">
        <x:v>0.8051487333700061</x:v>
      </x:c>
      <x:c r="J13" s="23" t="n">
        <x:v>9</x:v>
      </x:c>
      <x:c r="K13" s="23" t="n">
        <x:v>198.7743972572501</x:v>
      </x:c>
      <x:c r="L13" s="23" t="n">
        <x:v>55</x:v>
      </x:c>
      <x:c r="M13" s="23" t="n">
        <x:v>25</x:v>
      </x:c>
      <x:c r="N13" s="23" t="n">
        <x:v>1.1728226159234802</x:v>
      </x:c>
      <x:c r="O13" s="23" t="n">
        <x:v>52.188267627222466</x:v>
      </x:c>
      <x:c r="P13" s="23" t="n">
        <x:v>1440.386587602552</x:v>
      </x:c>
      <x:c r="Q13" s="23" t="n">
        <x:v>1.182632981864088</x:v>
      </x:c>
      <x:c r="R13" s="23" t="n">
        <x:v>52.39854813761624</x:v>
      </x:c>
      <x:c r="S13" s="23" t="n">
        <x:v>1450.6204776794243</x:v>
      </x:c>
      <x:c r="T13" s="23" t="n">
        <x:v>0.00981036594060769</x:v>
      </x:c>
      <x:c r="U13" s="23" t="n">
        <x:v>0.2102805103937726</x:v>
      </x:c>
      <x:c r="V13" s="23" t="n">
        <x:v>10.233890076872285</x:v>
      </x:c>
    </x:row>
    <x:row r="14">
      <x:c r="A14" s="23" t="n">
        <x:v>13</x:v>
      </x:c>
      <x:c r="B14" s="23" t="str">
        <x:v>Train</x:v>
      </x:c>
      <x:c r="C14" s="23" t="str">
        <x:v>Lightning</x:v>
      </x:c>
      <x:c r="D14" s="23" t="n">
        <x:v>1414.0609995927662</x:v>
      </x:c>
      <x:c r="E14" s="23" t="n">
        <x:v>906.6151617909782</x:v>
      </x:c>
      <x:c r="F14" s="23" t="n">
        <x:v>630.3841909393668</x:v>
      </x:c>
      <x:c r="G14" s="23" t="n">
        <x:v>198.65658668102697</x:v>
      </x:c>
      <x:c r="H14" s="23" t="n">
        <x:v>22.428676206618547</x:v>
      </x:c>
      <x:c r="I14" s="23" t="n">
        <x:v>0.8009973727189936</x:v>
      </x:c>
      <x:c r="J14" s="23" t="n">
        <x:v>9</x:v>
      </x:c>
      <x:c r="K14" s="23" t="n">
        <x:v>196.15281422247668</x:v>
      </x:c>
      <x:c r="L14" s="23" t="n">
        <x:v>40</x:v>
      </x:c>
      <x:c r="M14" s="23" t="n">
        <x:v>25</x:v>
      </x:c>
      <x:c r="N14" s="23" t="n">
        <x:v>1.1663026559247849</x:v>
      </x:c>
      <x:c r="O14" s="23" t="n">
        <x:v>52.24563215235272</x:v>
      </x:c>
      <x:c r="P14" s="23" t="n">
        <x:v>1414.0609995927662</x:v>
      </x:c>
      <x:c r="Q14" s="23" t="n">
        <x:v>1.1782879845387288</x:v>
      </x:c>
      <x:c r="R14" s="23" t="n">
        <x:v>51.648563927401696</x:v>
      </x:c>
      <x:c r="S14" s="23" t="n">
        <x:v>1401.7846522825434</x:v>
      </x:c>
      <x:c r="T14" s="23" t="n">
        <x:v>0.011985328613943969</x:v>
      </x:c>
      <x:c r="U14" s="23" t="n">
        <x:v>-0.5970682249510233</x:v>
      </x:c>
      <x:c r="V14" s="23" t="n">
        <x:v>-12.276347310222718</x:v>
      </x:c>
    </x:row>
    <x:row r="15">
      <x:c r="A15" s="23" t="n">
        <x:v>14</x:v>
      </x:c>
      <x:c r="B15" s="23" t="str">
        <x:v>Train</x:v>
      </x:c>
      <x:c r="C15" s="23" t="str">
        <x:v>Lightning</x:v>
      </x:c>
      <x:c r="D15" s="23" t="n">
        <x:v>1396.9164589536376</x:v>
      </x:c>
      <x:c r="E15" s="23" t="n">
        <x:v>835.0833316100761</x:v>
      </x:c>
      <x:c r="F15" s="23" t="n">
        <x:v>525.9953503496945</x:v>
      </x:c>
      <x:c r="G15" s="23" t="n">
        <x:v>301.85500897467136</x:v>
      </x:c>
      <x:c r="H15" s="23" t="n">
        <x:v>9.569089109543711</x:v>
      </x:c>
      <x:c r="I15" s="23" t="n">
        <x:v>0.8512295047892258</x:v>
      </x:c>
      <x:c r="J15" s="23" t="n">
        <x:v>9</x:v>
      </x:c>
      <x:c r="K15" s="23" t="n">
        <x:v>182.3397086337721</x:v>
      </x:c>
      <x:c r="L15" s="23" t="n">
        <x:v>45</x:v>
      </x:c>
      <x:c r="M15" s="23" t="n">
        <x:v>25</x:v>
      </x:c>
      <x:c r="N15" s="23" t="n">
        <x:v>1.1730108802994834</x:v>
      </x:c>
      <x:c r="O15" s="23" t="n">
        <x:v>52.23429293575895</x:v>
      </x:c>
      <x:c r="P15" s="23" t="n">
        <x:v>1396.9164589536376</x:v>
      </x:c>
      <x:c r="Q15" s="23" t="n">
        <x:v>1.174545966559059</x:v>
      </x:c>
      <x:c r="R15" s="23" t="n">
        <x:v>52.13319486369533</x:v>
      </x:c>
      <x:c r="S15" s="23" t="n">
        <x:v>1398.0704906748388</x:v>
      </x:c>
      <x:c r="T15" s="23" t="n">
        <x:v>0.0015350862595755466</x:v>
      </x:c>
      <x:c r="U15" s="23" t="n">
        <x:v>-0.1010980720636212</x:v>
      </x:c>
      <x:c r="V15" s="23" t="n">
        <x:v>1.154031721201136</x:v>
      </x:c>
    </x:row>
    <x:row r="16">
      <x:c r="A16" s="23" t="n">
        <x:v>15</x:v>
      </x:c>
      <x:c r="B16" s="23" t="str">
        <x:v>Validation</x:v>
      </x:c>
      <x:c r="C16" s="23" t="str">
        <x:v>Lightning</x:v>
      </x:c>
      <x:c r="D16" s="23" t="n">
        <x:v>1469.4660825887695</x:v>
      </x:c>
      <x:c r="E16" s="23" t="n">
        <x:v>888.302159041632</x:v>
      </x:c>
      <x:c r="F16" s="23" t="n">
        <x:v>599.0602798759937</x:v>
      </x:c>
      <x:c r="G16" s="23" t="n">
        <x:v>302.99236099934205</x:v>
      </x:c>
      <x:c r="H16" s="23" t="n">
        <x:v>22.84642922785133</x:v>
      </x:c>
      <x:c r="I16" s="23" t="n">
        <x:v>0.8211944965808653</x:v>
      </x:c>
      <x:c r="J16" s="23" t="n">
        <x:v>9</x:v>
      </x:c>
      <x:c r="K16" s="23" t="n">
        <x:v>198.8250163101914</x:v>
      </x:c>
      <x:c r="L16" s="23" t="n">
        <x:v>40</x:v>
      </x:c>
      <x:c r="M16" s="23" t="n">
        <x:v>25</x:v>
      </x:c>
      <x:c r="N16" s="23" t="n">
        <x:v>1.2015577788181402</x:v>
      </x:c>
      <x:c r="O16" s="23" t="n">
        <x:v>52.25416107217705</x:v>
      </x:c>
      <x:c r="P16" s="23" t="n">
        <x:v>1469.4660825887695</x:v>
      </x:c>
      <x:c r="Q16" s="23" t="n">
        <x:v>1.2136798157588329</x:v>
      </x:c>
      <x:c r="R16" s="23" t="n">
        <x:v>51.125525882430125</x:v>
      </x:c>
      <x:c r="S16" s="23" t="n">
        <x:v>1467.3416020816699</x:v>
      </x:c>
      <x:c r="T16" s="23" t="n">
        <x:v>0.012122036940692693</x:v>
      </x:c>
      <x:c r="U16" s="23" t="n">
        <x:v>-1.1286351897469231</x:v>
      </x:c>
      <x:c r="V16" s="23" t="n">
        <x:v>-2.1244805070996335</x:v>
      </x:c>
    </x:row>
    <x:row r="17">
      <x:c r="A17" s="23" t="n">
        <x:v>16</x:v>
      </x:c>
      <x:c r="B17" s="23" t="str">
        <x:v>Validation</x:v>
      </x:c>
      <x:c r="C17" s="23" t="str">
        <x:v>Lightning</x:v>
      </x:c>
      <x:c r="D17" s="23" t="n">
        <x:v>1409.8225377383642</x:v>
      </x:c>
      <x:c r="E17" s="23" t="n">
        <x:v>1228.5029685124755</x:v>
      </x:c>
      <x:c r="F17" s="23" t="n">
        <x:v>538.9891757629812</x:v>
      </x:c>
      <x:c r="G17" s="23" t="n">
        <x:v>143.88379086274654</x:v>
      </x:c>
      <x:c r="H17" s="23" t="n">
        <x:v>27.88824696233496</x:v>
      </x:c>
      <x:c r="I17" s="23" t="n">
        <x:v>0.8264906054642052</x:v>
      </x:c>
      <x:c r="J17" s="23" t="n">
        <x:v>9</x:v>
      </x:c>
      <x:c r="K17" s="23" t="n">
        <x:v>189.5326427208619</x:v>
      </x:c>
      <x:c r="L17" s="23" t="n">
        <x:v>35</x:v>
      </x:c>
      <x:c r="M17" s="23" t="n">
        <x:v>25</x:v>
      </x:c>
      <x:c r="N17" s="23" t="n">
        <x:v>1.1758587931291602</x:v>
      </x:c>
      <x:c r="O17" s="23" t="n">
        <x:v>52.27303129268642</x:v>
      </x:c>
      <x:c r="P17" s="23" t="n">
        <x:v>1409.8225377383642</x:v>
      </x:c>
      <x:c r="Q17" s="23" t="n">
        <x:v>1.1833118605765203</x:v>
      </x:c>
      <x:c r="R17" s="23" t="n">
        <x:v>53.72302047121969</x:v>
      </x:c>
      <x:c r="S17" s="23" t="n">
        <x:v>1390.704687834165</x:v>
      </x:c>
      <x:c r="T17" s="23" t="n">
        <x:v>0.007453067447360073</x:v>
      </x:c>
      <x:c r="U17" s="23" t="n">
        <x:v>1.4499891785332721</x:v>
      </x:c>
      <x:c r="V17" s="23" t="n">
        <x:v>-19.117849904199147</x:v>
      </x:c>
    </x:row>
    <x:row r="18">
      <x:c r="A18" s="23" t="n">
        <x:v>17</x:v>
      </x:c>
      <x:c r="B18" s="23" t="str">
        <x:v>Validation</x:v>
      </x:c>
      <x:c r="C18" s="23" t="str">
        <x:v>Lightning</x:v>
      </x:c>
      <x:c r="D18" s="23" t="n">
        <x:v>1353.4519636072218</x:v>
      </x:c>
      <x:c r="E18" s="23" t="n">
        <x:v>665.5785297392868</x:v>
      </x:c>
      <x:c r="F18" s="23" t="n">
        <x:v>445.78982684761286</x:v>
      </x:c>
      <x:c r="G18" s="23" t="n">
        <x:v>239.97544495621696</x:v>
      </x:c>
      <x:c r="H18" s="23" t="n">
        <x:v>24.414881141856313</x:v>
      </x:c>
      <x:c r="I18" s="23" t="n">
        <x:v>0.8511740938504226</x:v>
      </x:c>
      <x:c r="J18" s="23" t="n">
        <x:v>8</x:v>
      </x:c>
      <x:c r="K18" s="23" t="n">
        <x:v>198.76250543009724</x:v>
      </x:c>
      <x:c r="L18" s="23" t="n">
        <x:v>60</x:v>
      </x:c>
      <x:c r="M18" s="23" t="n">
        <x:v>25</x:v>
      </x:c>
      <x:c r="N18" s="23" t="n">
        <x:v>1.1846676950941772</x:v>
      </x:c>
      <x:c r="O18" s="23" t="n">
        <x:v>52.162296250893874</x:v>
      </x:c>
      <x:c r="P18" s="23" t="n">
        <x:v>1353.4519636072218</x:v>
      </x:c>
      <x:c r="Q18" s="23" t="n">
        <x:v>1.177332747419889</x:v>
      </x:c>
      <x:c r="R18" s="23" t="n">
        <x:v>50.590019985547904</x:v>
      </x:c>
      <x:c r="S18" s="23" t="n">
        <x:v>1359.240072304739</x:v>
      </x:c>
      <x:c r="T18" s="23" t="n">
        <x:v>-0.007334947674288328</x:v>
      </x:c>
      <x:c r="U18" s="23" t="n">
        <x:v>-1.5722762653459696</x:v>
      </x:c>
      <x:c r="V18" s="23" t="n">
        <x:v>5.788108697517146</x:v>
      </x:c>
    </x:row>
    <x:row r="19">
      <x:c r="A19" s="23" t="n">
        <x:v>18</x:v>
      </x:c>
      <x:c r="B19" s="23" t="str">
        <x:v>Hidden Test</x:v>
      </x:c>
      <x:c r="C19" s="23" t="str">
        <x:v>Lightning</x:v>
      </x:c>
      <x:c r="D19" s="23" t="n">
        <x:v>1411.216884444002</x:v>
      </x:c>
      <x:c r="E19" s="23" t="n">
        <x:v>1119.9538433225825</x:v>
      </x:c>
      <x:c r="F19" s="23" t="n">
        <x:v>365.07735634222627</x:v>
      </x:c>
      <x:c r="G19" s="23" t="n">
        <x:v>286.87045832164586</x:v>
      </x:c>
      <x:c r="H19" s="23" t="n">
        <x:v>17.561625108588487</x:v>
      </x:c>
      <x:c r="I19" s="23" t="n">
        <x:v>0.8575416275346652</x:v>
      </x:c>
      <x:c r="J19" s="23" t="n">
        <x:v>9</x:v>
      </x:c>
      <x:c r="K19" s="23" t="n">
        <x:v>182.85045415243707</x:v>
      </x:c>
      <x:c r="L19" s="23" t="n">
        <x:v>40</x:v>
      </x:c>
      <x:c r="M19" s="23" t="n">
        <x:v>25</x:v>
      </x:c>
      <x:c r="N19" s="23" t="n">
        <x:v>1.1626492031749478</x:v>
      </x:c>
      <x:c r="O19" s="23" t="n">
        <x:v>52.25128376602154</x:v>
      </x:c>
      <x:c r="P19" s="23" t="n">
        <x:v>1411.216884444002</x:v>
      </x:c>
      <x:c r="Q19" s="23" t="n">
        <x:v>1.1750811489508037</x:v>
      </x:c>
      <x:c r="R19" s="23" t="n">
        <x:v>52.77996391586562</x:v>
      </x:c>
      <x:c r="S19" s="23" t="n">
        <x:v>1406.8440735358743</x:v>
      </x:c>
      <x:c r="T19" s="23" t="n">
        <x:v>0.012431945775855935</x:v>
      </x:c>
      <x:c r="U19" s="23" t="n">
        <x:v>0.5286801498440852</x:v>
      </x:c>
      <x:c r="V19" s="23" t="n">
        <x:v>-4.3728109081278035</x:v>
      </x:c>
    </x:row>
    <x:row r="20">
      <x:c r="A20" s="23" t="n">
        <x:v>19</x:v>
      </x:c>
      <x:c r="B20" s="23" t="str">
        <x:v>Hidden Test</x:v>
      </x:c>
      <x:c r="C20" s="23" t="str">
        <x:v>Lightning</x:v>
      </x:c>
      <x:c r="D20" s="23" t="n">
        <x:v>1391.9865431031212</x:v>
      </x:c>
      <x:c r="E20" s="23" t="n">
        <x:v>1189.631981367711</x:v>
      </x:c>
      <x:c r="F20" s="23" t="n">
        <x:v>489.8340132087469</x:v>
      </x:c>
      <x:c r="G20" s="23" t="n">
        <x:v>145.78967411769554</x:v>
      </x:c>
      <x:c r="H20" s="23" t="n">
        <x:v>18.236842033453286</x:v>
      </x:c>
      <x:c r="I20" s="23" t="n">
        <x:v>0.7921611839230173</x:v>
      </x:c>
      <x:c r="J20" s="23" t="n">
        <x:v>9</x:v>
      </x:c>
      <x:c r="K20" s="23" t="n">
        <x:v>195.2445721841034</x:v>
      </x:c>
      <x:c r="L20" s="23" t="n">
        <x:v>40</x:v>
      </x:c>
      <x:c r="M20" s="23" t="n">
        <x:v>25</x:v>
      </x:c>
      <x:c r="N20" s="23" t="n">
        <x:v>1.198435562380228</x:v>
      </x:c>
      <x:c r="O20" s="23" t="n">
        <x:v>52.25960299014113</x:v>
      </x:c>
      <x:c r="P20" s="23" t="n">
        <x:v>1391.9865431031212</x:v>
      </x:c>
      <x:c r="Q20" s="23" t="n">
        <x:v>1.2140025937832948</x:v>
      </x:c>
      <x:c r="R20" s="23" t="n">
        <x:v>52.29413606396844</x:v>
      </x:c>
      <x:c r="S20" s="23" t="n">
        <x:v>1390.0845071999793</x:v>
      </x:c>
      <x:c r="T20" s="23" t="n">
        <x:v>0.0155670314030667</x:v>
      </x:c>
      <x:c r="U20" s="23" t="n">
        <x:v>0.03453307382730486</x:v>
      </x:c>
      <x:c r="V20" s="23" t="n">
        <x:v>-1.9020359031419503</x:v>
      </x:c>
    </x:row>
    <x:row r="21">
      <x:c r="A21" s="23" t="n">
        <x:v>20</x:v>
      </x:c>
      <x:c r="B21" s="23" t="str">
        <x:v>Hidden Test</x:v>
      </x:c>
      <x:c r="C21" s="23" t="str">
        <x:v>Lightning</x:v>
      </x:c>
      <x:c r="D21" s="23" t="n">
        <x:v>1364.1933267354034</x:v>
      </x:c>
      <x:c r="E21" s="23" t="n">
        <x:v>741.2425874266773</x:v>
      </x:c>
      <x:c r="F21" s="23" t="n">
        <x:v>486.17265997454524</x:v>
      </x:c>
      <x:c r="G21" s="23" t="n">
        <x:v>137.04457440879196</x:v>
      </x:c>
      <x:c r="H21" s="23" t="n">
        <x:v>23.772661312948912</x:v>
      </x:c>
      <x:c r="I21" s="23" t="n">
        <x:v>0.8162991008348763</x:v>
      </x:c>
      <x:c r="J21" s="23" t="n">
        <x:v>9</x:v>
      </x:c>
      <x:c r="K21" s="23" t="n">
        <x:v>185.6881088670894</x:v>
      </x:c>
      <x:c r="L21" s="23" t="n">
        <x:v>55</x:v>
      </x:c>
      <x:c r="M21" s="23" t="n">
        <x:v>25</x:v>
      </x:c>
      <x:c r="N21" s="23" t="n">
        <x:v>1.224085559339566</x:v>
      </x:c>
      <x:c r="O21" s="23" t="n">
        <x:v>52.18775339771573</x:v>
      </x:c>
      <x:c r="P21" s="23" t="n">
        <x:v>1364.1933267354034</x:v>
      </x:c>
      <x:c r="Q21" s="23" t="n">
        <x:v>1.2182663397147089</x:v>
      </x:c>
      <x:c r="R21" s="23" t="n">
        <x:v>52.024976840557954</x:v>
      </x:c>
      <x:c r="S21" s="23" t="n">
        <x:v>1368.1386648748553</x:v>
      </x:c>
      <x:c r="T21" s="23" t="n">
        <x:v>-0.005819219624857208</x:v>
      </x:c>
      <x:c r="U21" s="23" t="n">
        <x:v>-0.16277655715777684</x:v>
      </x:c>
      <x:c r="V21" s="23" t="n">
        <x:v>3.9453381394519056</x:v>
      </x:c>
    </x:row>
    <x:row r="22">
      <x:c r="A22" s="23" t="n">
        <x:v>21</x:v>
      </x:c>
      <x:c r="B22" s="23" t="str">
        <x:v>Train</x:v>
      </x:c>
      <x:c r="C22" s="23" t="str">
        <x:v>Lightning</x:v>
      </x:c>
      <x:c r="D22" s="23" t="n">
        <x:v>1487.3781942296773</x:v>
      </x:c>
      <x:c r="E22" s="23" t="n">
        <x:v>704.6948481234722</x:v>
      </x:c>
      <x:c r="F22" s="23" t="n">
        <x:v>593.3950183913112</x:v>
      </x:c>
      <x:c r="G22" s="23" t="n">
        <x:v>322.13436647551134</x:v>
      </x:c>
      <x:c r="H22" s="23" t="n">
        <x:v>9.352968648076057</x:v>
      </x:c>
      <x:c r="I22" s="23" t="n">
        <x:v>0.8006031997338869</x:v>
      </x:c>
      <x:c r="J22" s="23" t="n">
        <x:v>10</x:v>
      </x:c>
      <x:c r="K22" s="23" t="n">
        <x:v>185.7821945658059</x:v>
      </x:c>
      <x:c r="L22" s="23" t="n">
        <x:v>45</x:v>
      </x:c>
      <x:c r="M22" s="23" t="n">
        <x:v>25</x:v>
      </x:c>
      <x:c r="N22" s="23" t="n">
        <x:v>1.2602392465273957</x:v>
      </x:c>
      <x:c r="O22" s="23" t="n">
        <x:v>52.25570384836556</x:v>
      </x:c>
      <x:c r="P22" s="23" t="n">
        <x:v>1487.3781942296773</x:v>
      </x:c>
      <x:c r="Q22" s="23" t="n">
        <x:v>1.2783879403476541</x:v>
      </x:c>
      <x:c r="R22" s="23" t="n">
        <x:v>51.951482420484815</x:v>
      </x:c>
      <x:c r="S22" s="23" t="n">
        <x:v>1487.517507593044</x:v>
      </x:c>
      <x:c r="T22" s="23" t="n">
        <x:v>0.01814869382025841</x:v>
      </x:c>
      <x:c r="U22" s="23" t="n">
        <x:v>-0.3042214278807478</x:v>
      </x:c>
      <x:c r="V22" s="23" t="n">
        <x:v>0.1393133633666821</x:v>
      </x:c>
    </x:row>
    <x:row r="23">
      <x:c r="A23" s="23" t="n">
        <x:v>22</x:v>
      </x:c>
      <x:c r="B23" s="23" t="str">
        <x:v>Train</x:v>
      </x:c>
      <x:c r="C23" s="23" t="str">
        <x:v>Lightning</x:v>
      </x:c>
      <x:c r="D23" s="23" t="n">
        <x:v>1375.9331380133517</x:v>
      </x:c>
      <x:c r="E23" s="23" t="n">
        <x:v>1215.168104111217</x:v>
      </x:c>
      <x:c r="F23" s="23" t="n">
        <x:v>529.6553266234696</x:v>
      </x:c>
      <x:c r="G23" s="23" t="n">
        <x:v>128.1094499118626</x:v>
      </x:c>
      <x:c r="H23" s="23" t="n">
        <x:v>24.819575196597725</x:v>
      </x:c>
      <x:c r="I23" s="23" t="n">
        <x:v>0.7982651298260317</x:v>
      </x:c>
      <x:c r="J23" s="23" t="n">
        <x:v>9</x:v>
      </x:c>
      <x:c r="K23" s="23" t="n">
        <x:v>191.51714645556322</x:v>
      </x:c>
      <x:c r="L23" s="23" t="n">
        <x:v>40</x:v>
      </x:c>
      <x:c r="M23" s="23" t="n">
        <x:v>25</x:v>
      </x:c>
      <x:c r="N23" s="23" t="n">
        <x:v>1.2617448797902824</x:v>
      </x:c>
      <x:c r="O23" s="23" t="n">
        <x:v>52.26703705941481</x:v>
      </x:c>
      <x:c r="P23" s="23" t="n">
        <x:v>1375.9331380133517</x:v>
      </x:c>
      <x:c r="Q23" s="23" t="n">
        <x:v>1.255091180708208</x:v>
      </x:c>
      <x:c r="R23" s="23" t="n">
        <x:v>52.8164878564796</x:v>
      </x:c>
      <x:c r="S23" s="23" t="n">
        <x:v>1357.1779887499333</x:v>
      </x:c>
      <x:c r="T23" s="23" t="n">
        <x:v>-0.006653699082074471</x:v>
      </x:c>
      <x:c r="U23" s="23" t="n">
        <x:v>0.549450797064786</x:v>
      </x:c>
      <x:c r="V23" s="23" t="n">
        <x:v>-18.75514926341839</x:v>
      </x:c>
    </x:row>
    <x:row r="24">
      <x:c r="A24" s="23" t="n">
        <x:v>23</x:v>
      </x:c>
      <x:c r="B24" s="23" t="str">
        <x:v>Train</x:v>
      </x:c>
      <x:c r="C24" s="23" t="str">
        <x:v>Lightning</x:v>
      </x:c>
      <x:c r="D24" s="23" t="n">
        <x:v>1363.902879995294</x:v>
      </x:c>
      <x:c r="E24" s="23" t="n">
        <x:v>715.8489043009467</x:v>
      </x:c>
      <x:c r="F24" s="23" t="n">
        <x:v>350.5389019846916</x:v>
      </x:c>
      <x:c r="G24" s="23" t="n">
        <x:v>273.9082862227224</x:v>
      </x:c>
      <x:c r="H24" s="23" t="n">
        <x:v>29.92448457609862</x:v>
      </x:c>
      <x:c r="I24" s="23" t="n">
        <x:v>0.8405353098711931</x:v>
      </x:c>
      <x:c r="J24" s="23" t="n">
        <x:v>9</x:v>
      </x:c>
      <x:c r="K24" s="23" t="n">
        <x:v>180.29553626622166</x:v>
      </x:c>
      <x:c r="L24" s="23" t="n">
        <x:v>55</x:v>
      </x:c>
      <x:c r="M24" s="23" t="n">
        <x:v>25</x:v>
      </x:c>
      <x:c r="N24" s="23" t="n">
        <x:v>1.2276834597368258</x:v>
      </x:c>
      <x:c r="O24" s="23" t="n">
        <x:v>52.183985668224366</x:v>
      </x:c>
      <x:c r="P24" s="23" t="n">
        <x:v>1363.902879995294</x:v>
      </x:c>
      <x:c r="Q24" s="23" t="n">
        <x:v>1.2220170240054316</x:v>
      </x:c>
      <x:c r="R24" s="23" t="n">
        <x:v>51.473744188755816</x:v>
      </x:c>
      <x:c r="S24" s="23" t="n">
        <x:v>1362.8903179484334</x:v>
      </x:c>
      <x:c r="T24" s="23" t="n">
        <x:v>-0.005666435731394248</x:v>
      </x:c>
      <x:c r="U24" s="23" t="n">
        <x:v>-0.7102414794685501</x:v>
      </x:c>
      <x:c r="V24" s="23" t="n">
        <x:v>-1.0125620468604666</x:v>
      </x:c>
    </x:row>
    <x:row r="25">
      <x:c r="A25" s="23" t="n">
        <x:v>24</x:v>
      </x:c>
      <x:c r="B25" s="23" t="str">
        <x:v>Train</x:v>
      </x:c>
      <x:c r="C25" s="23" t="str">
        <x:v>Lightning</x:v>
      </x:c>
      <x:c r="D25" s="23" t="n">
        <x:v>1488.584000885021</x:v>
      </x:c>
      <x:c r="E25" s="23" t="n">
        <x:v>1117.761120107025</x:v>
      </x:c>
      <x:c r="F25" s="23" t="n">
        <x:v>708.0863556824625</x:v>
      </x:c>
      <x:c r="G25" s="23" t="n">
        <x:v>196.01221247110516</x:v>
      </x:c>
      <x:c r="H25" s="23" t="n">
        <x:v>11.254280438181013</x:v>
      </x:c>
      <x:c r="I25" s="23" t="n">
        <x:v>0.8483540957141668</x:v>
      </x:c>
      <x:c r="J25" s="23" t="n">
        <x:v>9</x:v>
      </x:c>
      <x:c r="K25" s="23" t="n">
        <x:v>194.96366335253126</x:v>
      </x:c>
      <x:c r="L25" s="23" t="n">
        <x:v>35</x:v>
      </x:c>
      <x:c r="M25" s="23" t="n">
        <x:v>25</x:v>
      </x:c>
      <x:c r="N25" s="23" t="n">
        <x:v>1.1357350217667668</x:v>
      </x:c>
      <x:c r="O25" s="23" t="n">
        <x:v>52.290258471892024</x:v>
      </x:c>
      <x:c r="P25" s="23" t="n">
        <x:v>1488.584000885021</x:v>
      </x:c>
      <x:c r="Q25" s="23" t="n">
        <x:v>1.1414067608129974</x:v>
      </x:c>
      <x:c r="R25" s="23" t="n">
        <x:v>53.097021463568446</x:v>
      </x:c>
      <x:c r="S25" s="23" t="n">
        <x:v>1479.0139156752273</x:v>
      </x:c>
      <x:c r="T25" s="23" t="n">
        <x:v>0.005671739046230639</x:v>
      </x:c>
      <x:c r="U25" s="23" t="n">
        <x:v>0.8067629916764218</x:v>
      </x:c>
      <x:c r="V25" s="23" t="n">
        <x:v>-9.57008520979366</x:v>
      </x:c>
    </x:row>
    <x:row r="26">
      <x:c r="A26" s="23" t="n">
        <x:v>25</x:v>
      </x:c>
      <x:c r="B26" s="23" t="str">
        <x:v>Train</x:v>
      </x:c>
      <x:c r="C26" s="23" t="str">
        <x:v>Lightning</x:v>
      </x:c>
      <x:c r="D26" s="23" t="n">
        <x:v>1406.6861227154732</x:v>
      </x:c>
      <x:c r="E26" s="23" t="n">
        <x:v>1049.9003986245953</x:v>
      </x:c>
      <x:c r="F26" s="23" t="n">
        <x:v>605.0552533939481</x:v>
      </x:c>
      <x:c r="G26" s="23" t="n">
        <x:v>292.5517191016115</x:v>
      </x:c>
      <x:c r="H26" s="23" t="n">
        <x:v>26.4144050758332</x:v>
      </x:c>
      <x:c r="I26" s="23" t="n">
        <x:v>0.8116438302886673</x:v>
      </x:c>
      <x:c r="J26" s="23" t="n">
        <x:v>9</x:v>
      </x:c>
      <x:c r="K26" s="23" t="n">
        <x:v>192.57025341264318</x:v>
      </x:c>
      <x:c r="L26" s="23" t="n">
        <x:v>35</x:v>
      </x:c>
      <x:c r="M26" s="23" t="n">
        <x:v>25</x:v>
      </x:c>
      <x:c r="N26" s="23" t="n">
        <x:v>1.1866930097733976</x:v>
      </x:c>
      <x:c r="O26" s="23" t="n">
        <x:v>52.27866508684191</x:v>
      </x:c>
      <x:c r="P26" s="23" t="n">
        <x:v>1406.6861227154732</x:v>
      </x:c>
      <x:c r="Q26" s="23" t="n">
        <x:v>1.1850094621356893</x:v>
      </x:c>
      <x:c r="R26" s="23" t="n">
        <x:v>52.84734540189312</x:v>
      </x:c>
      <x:c r="S26" s="23" t="n">
        <x:v>1391.6663653955752</x:v>
      </x:c>
      <x:c r="T26" s="23" t="n">
        <x:v>-0.0016835476377083936</x:v>
      </x:c>
      <x:c r="U26" s="23" t="n">
        <x:v>0.5686803150512105</x:v>
      </x:c>
      <x:c r="V26" s="23" t="n">
        <x:v>-15.019757319897963</x:v>
      </x:c>
    </x:row>
    <x:row r="27">
      <x:c r="A27" s="23" t="n">
        <x:v>26</x:v>
      </x:c>
      <x:c r="B27" s="23" t="str">
        <x:v>Train</x:v>
      </x:c>
      <x:c r="C27" s="23" t="str">
        <x:v>Lightning</x:v>
      </x:c>
      <x:c r="D27" s="23" t="n">
        <x:v>1359.6737301559187</x:v>
      </x:c>
      <x:c r="E27" s="23" t="n">
        <x:v>604.7578985104337</x:v>
      </x:c>
      <x:c r="F27" s="23" t="n">
        <x:v>469.66908434405923</x:v>
      </x:c>
      <x:c r="G27" s="23" t="n">
        <x:v>253.1531152036041</x:v>
      </x:c>
      <x:c r="H27" s="23" t="n">
        <x:v>29.832911964971572</x:v>
      </x:c>
      <x:c r="I27" s="23" t="n">
        <x:v>0.8122154218005017</x:v>
      </x:c>
      <x:c r="J27" s="23" t="n">
        <x:v>9</x:v>
      </x:c>
      <x:c r="K27" s="23" t="n">
        <x:v>186.00343560494542</x:v>
      </x:c>
      <x:c r="L27" s="23" t="n">
        <x:v>55</x:v>
      </x:c>
      <x:c r="M27" s="23" t="n">
        <x:v>25</x:v>
      </x:c>
      <x:c r="N27" s="23" t="n">
        <x:v>1.2167676577348814</x:v>
      </x:c>
      <x:c r="O27" s="23" t="n">
        <x:v>52.1820029267897</x:v>
      </x:c>
      <x:c r="P27" s="23" t="n">
        <x:v>1359.6737301559187</x:v>
      </x:c>
      <x:c r="Q27" s="23" t="n">
        <x:v>1.1959034884535484</x:v>
      </x:c>
      <x:c r="R27" s="23" t="n">
        <x:v>50.86677154430802</x:v>
      </x:c>
      <x:c r="S27" s="23" t="n">
        <x:v>1359.5247372296958</x:v>
      </x:c>
      <x:c r="T27" s="23" t="n">
        <x:v>-0.020864169281332945</x:v>
      </x:c>
      <x:c r="U27" s="23" t="n">
        <x:v>-1.3152313824816773</x:v>
      </x:c>
      <x:c r="V27" s="23" t="n">
        <x:v>-0.14899292622294524</x:v>
      </x:c>
    </x:row>
    <x:row r="28">
      <x:c r="A28" s="23" t="n">
        <x:v>27</x:v>
      </x:c>
      <x:c r="B28" s="23" t="str">
        <x:v>Train</x:v>
      </x:c>
      <x:c r="C28" s="23" t="str">
        <x:v>Lightning</x:v>
      </x:c>
      <x:c r="D28" s="23" t="n">
        <x:v>1405.1374331815168</x:v>
      </x:c>
      <x:c r="E28" s="23" t="n">
        <x:v>692.6321942941286</x:v>
      </x:c>
      <x:c r="F28" s="23" t="n">
        <x:v>538.7086872011423</x:v>
      </x:c>
      <x:c r="G28" s="23" t="n">
        <x:v>93.74416908947751</x:v>
      </x:c>
      <x:c r="H28" s="23" t="n">
        <x:v>14.342217707075179</x:v>
      </x:c>
      <x:c r="I28" s="23" t="n">
        <x:v>0.850843887727242</x:v>
      </x:c>
      <x:c r="J28" s="23" t="n">
        <x:v>9</x:v>
      </x:c>
      <x:c r="K28" s="23" t="n">
        <x:v>183.49591942377913</x:v>
      </x:c>
      <x:c r="L28" s="23" t="n">
        <x:v>55</x:v>
      </x:c>
      <x:c r="M28" s="23" t="n">
        <x:v>25</x:v>
      </x:c>
      <x:c r="N28" s="23" t="n">
        <x:v>1.1542815879256072</x:v>
      </x:c>
      <x:c r="O28" s="23" t="n">
        <x:v>52.18161388651242</x:v>
      </x:c>
      <x:c r="P28" s="23" t="n">
        <x:v>1405.1374331815168</x:v>
      </x:c>
      <x:c r="Q28" s="23" t="n">
        <x:v>1.156558447044645</x:v>
      </x:c>
      <x:c r="R28" s="23" t="n">
        <x:v>50.609273210131235</x:v>
      </x:c>
      <x:c r="S28" s="23" t="n">
        <x:v>1421.599712571606</x:v>
      </x:c>
      <x:c r="T28" s="23" t="n">
        <x:v>0.002276859119037855</x:v>
      </x:c>
      <x:c r="U28" s="23" t="n">
        <x:v>-1.572340676381188</x:v>
      </x:c>
      <x:c r="V28" s="23" t="n">
        <x:v>16.46227939008918</x:v>
      </x:c>
    </x:row>
    <x:row r="29">
      <x:c r="A29" s="23" t="n">
        <x:v>28</x:v>
      </x:c>
      <x:c r="B29" s="23" t="str">
        <x:v>Train</x:v>
      </x:c>
      <x:c r="C29" s="23" t="str">
        <x:v>Lightning</x:v>
      </x:c>
      <x:c r="D29" s="23" t="n">
        <x:v>1481.8573393276893</x:v>
      </x:c>
      <x:c r="E29" s="23" t="n">
        <x:v>700.3366775345057</x:v>
      </x:c>
      <x:c r="F29" s="23" t="n">
        <x:v>418.6875726096332</x:v>
      </x:c>
      <x:c r="G29" s="23" t="n">
        <x:v>252.6407742826268</x:v>
      </x:c>
      <x:c r="H29" s="23" t="n">
        <x:v>25.057020868640393</x:v>
      </x:c>
      <x:c r="I29" s="23" t="n">
        <x:v>0.8118109469860793</x:v>
      </x:c>
      <x:c r="J29" s="23" t="n">
        <x:v>10</x:v>
      </x:c>
      <x:c r="K29" s="23" t="n">
        <x:v>182.53724525755868</x:v>
      </x:c>
      <x:c r="L29" s="23" t="n">
        <x:v>50</x:v>
      </x:c>
      <x:c r="M29" s="23" t="n">
        <x:v>25</x:v>
      </x:c>
      <x:c r="N29" s="23" t="n">
        <x:v>1.245567944038112</x:v>
      </x:c>
      <x:c r="O29" s="23" t="n">
        <x:v>52.21264096548193</x:v>
      </x:c>
      <x:c r="P29" s="23" t="n">
        <x:v>1481.8573393276893</x:v>
      </x:c>
      <x:c r="Q29" s="23" t="n">
        <x:v>1.2269014707312713</x:v>
      </x:c>
      <x:c r="R29" s="23" t="n">
        <x:v>50.664402752031584</x:v>
      </x:c>
      <x:c r="S29" s="23" t="n">
        <x:v>1473.8716678499106</x:v>
      </x:c>
      <x:c r="T29" s="23" t="n">
        <x:v>-0.01866647330684068</x:v>
      </x:c>
      <x:c r="U29" s="23" t="n">
        <x:v>-1.5482382134503467</x:v>
      </x:c>
      <x:c r="V29" s="23" t="n">
        <x:v>-7.985671477778624</x:v>
      </x:c>
    </x:row>
    <x:row r="30">
      <x:c r="A30" s="23" t="n">
        <x:v>29</x:v>
      </x:c>
      <x:c r="B30" s="23" t="str">
        <x:v>Train</x:v>
      </x:c>
      <x:c r="C30" s="23" t="str">
        <x:v>Lightning</x:v>
      </x:c>
      <x:c r="D30" s="23" t="n">
        <x:v>1455.1547288428992</x:v>
      </x:c>
      <x:c r="E30" s="23" t="n">
        <x:v>1078.5621651331894</x:v>
      </x:c>
      <x:c r="F30" s="23" t="n">
        <x:v>713.9153873547912</x:v>
      </x:c>
      <x:c r="G30" s="23" t="n">
        <x:v>301.6024518129416</x:v>
      </x:c>
      <x:c r="H30" s="23" t="n">
        <x:v>19.450641822069883</x:v>
      </x:c>
      <x:c r="I30" s="23" t="n">
        <x:v>0.8179121063300409</x:v>
      </x:c>
      <x:c r="J30" s="23" t="n">
        <x:v>9</x:v>
      </x:c>
      <x:c r="K30" s="23" t="n">
        <x:v>197.67876952671008</x:v>
      </x:c>
      <x:c r="L30" s="23" t="n">
        <x:v>35</x:v>
      </x:c>
      <x:c r="M30" s="23" t="n">
        <x:v>25</x:v>
      </x:c>
      <x:c r="N30" s="23" t="n">
        <x:v>1.2237198904766888</x:v>
      </x:c>
      <x:c r="O30" s="23" t="n">
        <x:v>52.30151942467062</x:v>
      </x:c>
      <x:c r="P30" s="23" t="n">
        <x:v>1455.1547288428992</x:v>
      </x:c>
      <x:c r="Q30" s="23" t="n">
        <x:v>1.2270339916456767</x:v>
      </x:c>
      <x:c r="R30" s="23" t="n">
        <x:v>52.260256828092466</x:v>
      </x:c>
      <x:c r="S30" s="23" t="n">
        <x:v>1441.6839798280605</x:v>
      </x:c>
      <x:c r="T30" s="23" t="n">
        <x:v>0.003314101168987893</x:v>
      </x:c>
      <x:c r="U30" s="23" t="n">
        <x:v>-0.04126259657815723</x:v>
      </x:c>
      <x:c r="V30" s="23" t="n">
        <x:v>-13.470749014838702</x:v>
      </x:c>
    </x:row>
    <x:row r="31">
      <x:c r="A31" s="23" t="n">
        <x:v>30</x:v>
      </x:c>
      <x:c r="B31" s="23" t="str">
        <x:v>Train</x:v>
      </x:c>
      <x:c r="C31" s="23" t="str">
        <x:v>Lightning</x:v>
      </x:c>
      <x:c r="D31" s="23" t="n">
        <x:v>1479.4425189611502</x:v>
      </x:c>
      <x:c r="E31" s="23" t="n">
        <x:v>791.8973526684567</x:v>
      </x:c>
      <x:c r="F31" s="23" t="n">
        <x:v>531.1659355647862</x:v>
      </x:c>
      <x:c r="G31" s="23" t="n">
        <x:v>157.07697805017233</x:v>
      </x:c>
      <x:c r="H31" s="23" t="n">
        <x:v>18.199724155012518</x:v>
      </x:c>
      <x:c r="I31" s="23" t="n">
        <x:v>0.837862874227576</x:v>
      </x:c>
      <x:c r="J31" s="23" t="n">
        <x:v>9</x:v>
      </x:c>
      <x:c r="K31" s="23" t="n">
        <x:v>196.19260760102105</x:v>
      </x:c>
      <x:c r="L31" s="23" t="n">
        <x:v>50</x:v>
      </x:c>
      <x:c r="M31" s="23" t="n">
        <x:v>25</x:v>
      </x:c>
      <x:c r="N31" s="23" t="n">
        <x:v>1.1937702024966674</x:v>
      </x:c>
      <x:c r="O31" s="23" t="n">
        <x:v>52.205790871020234</x:v>
      </x:c>
      <x:c r="P31" s="23" t="n">
        <x:v>1479.4425189611502</x:v>
      </x:c>
      <x:c r="Q31" s="23" t="n">
        <x:v>1.181455148840145</x:v>
      </x:c>
      <x:c r="R31" s="23" t="n">
        <x:v>52.46680204496869</x:v>
      </x:c>
      <x:c r="S31" s="23" t="n">
        <x:v>1485.3426430247296</x:v>
      </x:c>
      <x:c r="T31" s="23" t="n">
        <x:v>-0.012315053656522412</x:v>
      </x:c>
      <x:c r="U31" s="23" t="n">
        <x:v>0.26101117394845375</x:v>
      </x:c>
      <x:c r="V31" s="23" t="n">
        <x:v>5.900124063579369</x:v>
      </x:c>
    </x:row>
    <x:row r="32">
      <x:c r="A32" s="23" t="n">
        <x:v>31</x:v>
      </x:c>
      <x:c r="B32" s="23" t="str">
        <x:v>Train</x:v>
      </x:c>
      <x:c r="C32" s="23" t="str">
        <x:v>Lightning</x:v>
      </x:c>
      <x:c r="D32" s="23" t="n">
        <x:v>1499.6580671751872</x:v>
      </x:c>
      <x:c r="E32" s="23" t="n">
        <x:v>1161.9248888571747</x:v>
      </x:c>
      <x:c r="F32" s="23" t="n">
        <x:v>675.5810283124447</x:v>
      </x:c>
      <x:c r="G32" s="23" t="n">
        <x:v>239.73685070639476</x:v>
      </x:c>
      <x:c r="H32" s="23" t="n">
        <x:v>11.55863683577627</x:v>
      </x:c>
      <x:c r="I32" s="23" t="n">
        <x:v>0.8255490733101033</x:v>
      </x:c>
      <x:c r="J32" s="23" t="n">
        <x:v>10</x:v>
      </x:c>
      <x:c r="K32" s="23" t="n">
        <x:v>181.65583557161435</x:v>
      </x:c>
      <x:c r="L32" s="23" t="n">
        <x:v>35</x:v>
      </x:c>
      <x:c r="M32" s="23" t="n">
        <x:v>25</x:v>
      </x:c>
      <x:c r="N32" s="23" t="n">
        <x:v>1.2812340594999916</x:v>
      </x:c>
      <x:c r="O32" s="23" t="n">
        <x:v>52.334882309534514</x:v>
      </x:c>
      <x:c r="P32" s="23" t="n">
        <x:v>1499.6580671751872</x:v>
      </x:c>
      <x:c r="Q32" s="23" t="n">
        <x:v>1.2878039334967328</x:v>
      </x:c>
      <x:c r="R32" s="23" t="n">
        <x:v>52.59735689544701</x:v>
      </x:c>
      <x:c r="S32" s="23" t="n">
        <x:v>1497.098742480312</x:v>
      </x:c>
      <x:c r="T32" s="23" t="n">
        <x:v>0.006569873996741249</x:v>
      </x:c>
      <x:c r="U32" s="23" t="n">
        <x:v>0.26247458591249284</x:v>
      </x:c>
      <x:c r="V32" s="23" t="n">
        <x:v>-2.5593246948751585</x:v>
      </x:c>
    </x:row>
    <x:row r="33">
      <x:c r="A33" s="23" t="n">
        <x:v>32</x:v>
      </x:c>
      <x:c r="B33" s="23" t="str">
        <x:v>Train</x:v>
      </x:c>
      <x:c r="C33" s="23" t="str">
        <x:v>Lightning</x:v>
      </x:c>
      <x:c r="D33" s="23" t="n">
        <x:v>1365.7694546389394</x:v>
      </x:c>
      <x:c r="E33" s="23" t="n">
        <x:v>759.8699979484081</x:v>
      </x:c>
      <x:c r="F33" s="23" t="n">
        <x:v>572.6333885453641</x:v>
      </x:c>
      <x:c r="G33" s="23" t="n">
        <x:v>164.68478836584836</x:v>
      </x:c>
      <x:c r="H33" s="23" t="n">
        <x:v>8.560705812182277</x:v>
      </x:c>
      <x:c r="I33" s="23" t="n">
        <x:v>0.8155675576161594</x:v>
      </x:c>
      <x:c r="J33" s="23" t="n">
        <x:v>9</x:v>
      </x:c>
      <x:c r="K33" s="23" t="n">
        <x:v>186.06939450866412</x:v>
      </x:c>
      <x:c r="L33" s="23" t="n">
        <x:v>50</x:v>
      </x:c>
      <x:c r="M33" s="23" t="n">
        <x:v>25</x:v>
      </x:c>
      <x:c r="N33" s="23" t="n">
        <x:v>1.1641719439501992</x:v>
      </x:c>
      <x:c r="O33" s="23" t="n">
        <x:v>52.20844906616498</x:v>
      </x:c>
      <x:c r="P33" s="23" t="n">
        <x:v>1365.7694546389394</x:v>
      </x:c>
      <x:c r="Q33" s="23" t="n">
        <x:v>1.164044160687366</x:v>
      </x:c>
      <x:c r="R33" s="23" t="n">
        <x:v>52.221962521219275</x:v>
      </x:c>
      <x:c r="S33" s="23" t="n">
        <x:v>1380.563362034854</x:v>
      </x:c>
      <x:c r="T33" s="23" t="n">
        <x:v>-0.0001277832628332476</x:v>
      </x:c>
      <x:c r="U33" s="23" t="n">
        <x:v>0.013513455054294354</x:v>
      </x:c>
      <x:c r="V33" s="23" t="n">
        <x:v>14.79390739591463</x:v>
      </x:c>
    </x:row>
    <x:row r="34">
      <x:c r="A34" s="23" t="n">
        <x:v>33</x:v>
      </x:c>
      <x:c r="B34" s="23" t="str">
        <x:v>Train</x:v>
      </x:c>
      <x:c r="C34" s="23" t="str">
        <x:v>Lightning</x:v>
      </x:c>
      <x:c r="D34" s="23" t="n">
        <x:v>1366.650692280382</x:v>
      </x:c>
      <x:c r="E34" s="23" t="n">
        <x:v>725.5721941008233</x:v>
      </x:c>
      <x:c r="F34" s="23" t="n">
        <x:v>540.6645262613893</x:v>
      </x:c>
      <x:c r="G34" s="23" t="n">
        <x:v>308.12651755521074</x:v>
      </x:c>
      <x:c r="H34" s="23" t="n">
        <x:v>16.85725107230246</x:v>
      </x:c>
      <x:c r="I34" s="23" t="n">
        <x:v>0.8505646989052185</x:v>
      </x:c>
      <x:c r="J34" s="23" t="n">
        <x:v>9</x:v>
      </x:c>
      <x:c r="K34" s="23" t="n">
        <x:v>178.52854358462346</x:v>
      </x:c>
      <x:c r="L34" s="23" t="n">
        <x:v>45</x:v>
      </x:c>
      <x:c r="M34" s="23" t="n">
        <x:v>25</x:v>
      </x:c>
      <x:c r="N34" s="23" t="n">
        <x:v>1.1484260726332667</x:v>
      </x:c>
      <x:c r="O34" s="23" t="n">
        <x:v>52.22048258787227</x:v>
      </x:c>
      <x:c r="P34" s="23" t="n">
        <x:v>1366.650692280382</x:v>
      </x:c>
      <x:c r="Q34" s="23" t="n">
        <x:v>1.1593551621574218</x:v>
      </x:c>
      <x:c r="R34" s="23" t="n">
        <x:v>52.07844621699079</x:v>
      </x:c>
      <x:c r="S34" s="23" t="n">
        <x:v>1375.8708680278432</x:v>
      </x:c>
      <x:c r="T34" s="23" t="n">
        <x:v>0.010929089524155167</x:v>
      </x:c>
      <x:c r="U34" s="23" t="n">
        <x:v>-0.14203637088147758</x:v>
      </x:c>
      <x:c r="V34" s="23" t="n">
        <x:v>9.220175747461326</x:v>
      </x:c>
    </x:row>
    <x:row r="35">
      <x:c r="A35" s="23" t="n">
        <x:v>34</x:v>
      </x:c>
      <x:c r="B35" s="23" t="str">
        <x:v>Train</x:v>
      </x:c>
      <x:c r="C35" s="23" t="str">
        <x:v>Lightning</x:v>
      </x:c>
      <x:c r="D35" s="23" t="n">
        <x:v>1485.5111466371454</x:v>
      </x:c>
      <x:c r="E35" s="23" t="n">
        <x:v>1149.3210251675919</x:v>
      </x:c>
      <x:c r="F35" s="23" t="n">
        <x:v>647.1453958190978</x:v>
      </x:c>
      <x:c r="G35" s="23" t="n">
        <x:v>101.50185802020133</x:v>
      </x:c>
      <x:c r="H35" s="23" t="n">
        <x:v>24.652950056362897</x:v>
      </x:c>
      <x:c r="I35" s="23" t="n">
        <x:v>0.8055465636262671</x:v>
      </x:c>
      <x:c r="J35" s="23" t="n">
        <x:v>10</x:v>
      </x:c>
      <x:c r="K35" s="23" t="n">
        <x:v>184.41033873323647</x:v>
      </x:c>
      <x:c r="L35" s="23" t="n">
        <x:v>35</x:v>
      </x:c>
      <x:c r="M35" s="23" t="n">
        <x:v>25</x:v>
      </x:c>
      <x:c r="N35" s="23" t="n">
        <x:v>1.2477661035223526</x:v>
      </x:c>
      <x:c r="O35" s="23" t="n">
        <x:v>52.30382300433794</x:v>
      </x:c>
      <x:c r="P35" s="23" t="n">
        <x:v>1485.5111466371454</x:v>
      </x:c>
      <x:c r="Q35" s="23" t="n">
        <x:v>1.259108417419093</x:v>
      </x:c>
      <x:c r="R35" s="23" t="n">
        <x:v>52.32537896964427</x:v>
      </x:c>
      <x:c r="S35" s="23" t="n">
        <x:v>1469.0748640937934</x:v>
      </x:c>
      <x:c r="T35" s="23" t="n">
        <x:v>0.011342313896740341</x:v>
      </x:c>
      <x:c r="U35" s="23" t="n">
        <x:v>0.02155596530632664</x:v>
      </x:c>
      <x:c r="V35" s="23" t="n">
        <x:v>-16.436282543352036</x:v>
      </x:c>
    </x:row>
    <x:row r="36">
      <x:c r="A36" s="23" t="n">
        <x:v>35</x:v>
      </x:c>
      <x:c r="B36" s="23" t="str">
        <x:v>Validation</x:v>
      </x:c>
      <x:c r="C36" s="23" t="str">
        <x:v>Lightning</x:v>
      </x:c>
      <x:c r="D36" s="23" t="n">
        <x:v>1494.8159396415576</x:v>
      </x:c>
      <x:c r="E36" s="23" t="n">
        <x:v>978.4822584711947</x:v>
      </x:c>
      <x:c r="F36" s="23" t="n">
        <x:v>555.9851985424757</x:v>
      </x:c>
      <x:c r="G36" s="23" t="n">
        <x:v>84.39443968934938</x:v>
      </x:c>
      <x:c r="H36" s="23" t="n">
        <x:v>26.809199859388173</x:v>
      </x:c>
      <x:c r="I36" s="23" t="n">
        <x:v>0.8300573202292435</x:v>
      </x:c>
      <x:c r="J36" s="23" t="n">
        <x:v>10</x:v>
      </x:c>
      <x:c r="K36" s="23" t="n">
        <x:v>180.08586915765318</x:v>
      </x:c>
      <x:c r="L36" s="23" t="n">
        <x:v>40</x:v>
      </x:c>
      <x:c r="M36" s="23" t="n">
        <x:v>25</x:v>
      </x:c>
      <x:c r="N36" s="23" t="n">
        <x:v>1.2132698779987177</x:v>
      </x:c>
      <x:c r="O36" s="23" t="n">
        <x:v>52.25546782360379</x:v>
      </x:c>
      <x:c r="P36" s="23" t="n">
        <x:v>1494.8159396415576</x:v>
      </x:c>
      <x:c r="Q36" s="23" t="n">
        <x:v>1.2052468284018911</x:v>
      </x:c>
      <x:c r="R36" s="23" t="n">
        <x:v>52.451324213791224</x:v>
      </x:c>
      <x:c r="S36" s="23" t="n">
        <x:v>1486.2542177288</x:v>
      </x:c>
      <x:c r="T36" s="23" t="n">
        <x:v>-0.008023049596826537</x:v>
      </x:c>
      <x:c r="U36" s="23" t="n">
        <x:v>0.19585639018743706</x:v>
      </x:c>
      <x:c r="V36" s="23" t="n">
        <x:v>-8.561721912757548</x:v>
      </x:c>
    </x:row>
    <x:row r="37">
      <x:c r="A37" s="23" t="n">
        <x:v>36</x:v>
      </x:c>
      <x:c r="B37" s="23" t="str">
        <x:v>Validation</x:v>
      </x:c>
      <x:c r="C37" s="23" t="str">
        <x:v>Lightning</x:v>
      </x:c>
      <x:c r="D37" s="23" t="n">
        <x:v>1458.6850027902983</x:v>
      </x:c>
      <x:c r="E37" s="23" t="n">
        <x:v>988.6121079791337</x:v>
      </x:c>
      <x:c r="F37" s="23" t="n">
        <x:v>394.60193840786815</x:v>
      </x:c>
      <x:c r="G37" s="23" t="n">
        <x:v>289.97221616562456</x:v>
      </x:c>
      <x:c r="H37" s="23" t="n">
        <x:v>13.467446989845484</x:v>
      </x:c>
      <x:c r="I37" s="23" t="n">
        <x:v>0.8262544889561833</x:v>
      </x:c>
      <x:c r="J37" s="23" t="n">
        <x:v>9</x:v>
      </x:c>
      <x:c r="K37" s="23" t="n">
        <x:v>196.1576167966081</x:v>
      </x:c>
      <x:c r="L37" s="23" t="n">
        <x:v>45</x:v>
      </x:c>
      <x:c r="M37" s="23" t="n">
        <x:v>25</x:v>
      </x:c>
      <x:c r="N37" s="23" t="n">
        <x:v>1.199067476822939</x:v>
      </x:c>
      <x:c r="O37" s="23" t="n">
        <x:v>52.23589156798852</x:v>
      </x:c>
      <x:c r="P37" s="23" t="n">
        <x:v>1458.6850027902983</x:v>
      </x:c>
      <x:c r="Q37" s="23" t="n">
        <x:v>1.1966151687434659</x:v>
      </x:c>
      <x:c r="R37" s="23" t="n">
        <x:v>53.489848694295524</x:v>
      </x:c>
      <x:c r="S37" s="23" t="n">
        <x:v>1472.6224757767995</x:v>
      </x:c>
      <x:c r="T37" s="23" t="n">
        <x:v>-0.0024523080794731644</x:v>
      </x:c>
      <x:c r="U37" s="23" t="n">
        <x:v>1.2539571263070073</x:v>
      </x:c>
      <x:c r="V37" s="23" t="n">
        <x:v>13.937472986501234</x:v>
      </x:c>
    </x:row>
    <x:row r="38">
      <x:c r="A38" s="23" t="n">
        <x:v>37</x:v>
      </x:c>
      <x:c r="B38" s="23" t="str">
        <x:v>Validation</x:v>
      </x:c>
      <x:c r="C38" s="23" t="str">
        <x:v>Lightning</x:v>
      </x:c>
      <x:c r="D38" s="23" t="n">
        <x:v>1490.515965828672</x:v>
      </x:c>
      <x:c r="E38" s="23" t="n">
        <x:v>918.201720516663</x:v>
      </x:c>
      <x:c r="F38" s="23" t="n">
        <x:v>609.8690344020724</x:v>
      </x:c>
      <x:c r="G38" s="23" t="n">
        <x:v>204.32206171797588</x:v>
      </x:c>
      <x:c r="H38" s="23" t="n">
        <x:v>29.01423341780901</x:v>
      </x:c>
      <x:c r="I38" s="23" t="n">
        <x:v>0.8538695080042817</x:v>
      </x:c>
      <x:c r="J38" s="23" t="n">
        <x:v>9</x:v>
      </x:c>
      <x:c r="K38" s="23" t="n">
        <x:v>193.95573157209427</x:v>
      </x:c>
      <x:c r="L38" s="23" t="n">
        <x:v>40</x:v>
      </x:c>
      <x:c r="M38" s="23" t="n">
        <x:v>25</x:v>
      </x:c>
      <x:c r="N38" s="23" t="n">
        <x:v>1.1980008768889068</x:v>
      </x:c>
      <x:c r="O38" s="23" t="n">
        <x:v>52.245123349934076</x:v>
      </x:c>
      <x:c r="P38" s="23" t="n">
        <x:v>1490.515965828672</x:v>
      </x:c>
      <x:c r="Q38" s="23" t="n">
        <x:v>1.2005306581672732</x:v>
      </x:c>
      <x:c r="R38" s="23" t="n">
        <x:v>52.49164040077042</x:v>
      </x:c>
      <x:c r="S38" s="23" t="n">
        <x:v>1464.3776746977348</x:v>
      </x:c>
      <x:c r="T38" s="23" t="n">
        <x:v>0.0025297812783664497</x:v>
      </x:c>
      <x:c r="U38" s="23" t="n">
        <x:v>0.24651705083634567</x:v>
      </x:c>
      <x:c r="V38" s="23" t="n">
        <x:v>-26.138291130937205</x:v>
      </x:c>
    </x:row>
    <x:row r="39">
      <x:c r="A39" s="23" t="n">
        <x:v>38</x:v>
      </x:c>
      <x:c r="B39" s="23" t="str">
        <x:v>Hidden Test</x:v>
      </x:c>
      <x:c r="C39" s="23" t="str">
        <x:v>Lightning</x:v>
      </x:c>
      <x:c r="D39" s="23" t="n">
        <x:v>1373.0004604090936</x:v>
      </x:c>
      <x:c r="E39" s="23" t="n">
        <x:v>932.6814509695396</x:v>
      </x:c>
      <x:c r="F39" s="23" t="n">
        <x:v>531.9195416755974</x:v>
      </x:c>
      <x:c r="G39" s="23" t="n">
        <x:v>154.70922684296966</x:v>
      </x:c>
      <x:c r="H39" s="23" t="n">
        <x:v>24.264845280442387</x:v>
      </x:c>
      <x:c r="I39" s="23" t="n">
        <x:v>0.7988579392572865</x:v>
      </x:c>
      <x:c r="J39" s="23" t="n">
        <x:v>9</x:v>
      </x:c>
      <x:c r="K39" s="23" t="n">
        <x:v>190.96712846586385</x:v>
      </x:c>
      <x:c r="L39" s="23" t="n">
        <x:v>45</x:v>
      </x:c>
      <x:c r="M39" s="23" t="n">
        <x:v>25</x:v>
      </x:c>
      <x:c r="N39" s="23" t="n">
        <x:v>1.2138631278402288</x:v>
      </x:c>
      <x:c r="O39" s="23" t="n">
        <x:v>52.22749094597368</x:v>
      </x:c>
      <x:c r="P39" s="23" t="n">
        <x:v>1373.0004604090936</x:v>
      </x:c>
      <x:c r="Q39" s="23" t="n">
        <x:v>1.21067402625076</x:v>
      </x:c>
      <x:c r="R39" s="23" t="n">
        <x:v>52.88045663539612</x:v>
      </x:c>
      <x:c r="S39" s="23" t="n">
        <x:v>1362.250169661955</x:v>
      </x:c>
      <x:c r="T39" s="23" t="n">
        <x:v>-0.0031891015894687236</x:v>
      </x:c>
      <x:c r="U39" s="23" t="n">
        <x:v>0.6529656894224445</x:v>
      </x:c>
      <x:c r="V39" s="23" t="n">
        <x:v>-10.750290747138706</x:v>
      </x:c>
    </x:row>
    <x:row r="40">
      <x:c r="A40" s="23" t="n">
        <x:v>39</x:v>
      </x:c>
      <x:c r="B40" s="23" t="str">
        <x:v>Hidden Test</x:v>
      </x:c>
      <x:c r="C40" s="23" t="str">
        <x:v>Lightning</x:v>
      </x:c>
      <x:c r="D40" s="23" t="n">
        <x:v>1433.8375668274239</x:v>
      </x:c>
      <x:c r="E40" s="23" t="n">
        <x:v>1082.445659127552</x:v>
      </x:c>
      <x:c r="F40" s="23" t="n">
        <x:v>666.4329051971436</x:v>
      </x:c>
      <x:c r="G40" s="23" t="n">
        <x:v>189.96904032072052</x:v>
      </x:c>
      <x:c r="H40" s="23" t="n">
        <x:v>10.275401967577636</x:v>
      </x:c>
      <x:c r="I40" s="23" t="n">
        <x:v>0.8366250195330941</x:v>
      </x:c>
      <x:c r="J40" s="23" t="n">
        <x:v>9</x:v>
      </x:c>
      <x:c r="K40" s="23" t="n">
        <x:v>190.42615446996575</x:v>
      </x:c>
      <x:c r="L40" s="23" t="n">
        <x:v>40</x:v>
      </x:c>
      <x:c r="M40" s="23" t="n">
        <x:v>25</x:v>
      </x:c>
      <x:c r="N40" s="23" t="n">
        <x:v>1.2237686033002753</x:v>
      </x:c>
      <x:c r="O40" s="23" t="n">
        <x:v>52.277314812754334</x:v>
      </x:c>
      <x:c r="P40" s="23" t="n">
        <x:v>1433.8375668274239</x:v>
      </x:c>
      <x:c r="Q40" s="23" t="n">
        <x:v>1.231429000547606</x:v>
      </x:c>
      <x:c r="R40" s="23" t="n">
        <x:v>53.697750128797374</x:v>
      </x:c>
      <x:c r="S40" s="23" t="n">
        <x:v>1437.373875252968</x:v>
      </x:c>
      <x:c r="T40" s="23" t="n">
        <x:v>0.007660397247330808</x:v>
      </x:c>
      <x:c r="U40" s="23" t="n">
        <x:v>1.42043531604304</x:v>
      </x:c>
      <x:c r="V40" s="23" t="n">
        <x:v>3.536308425544121</x:v>
      </x:c>
    </x:row>
    <x:row r="41">
      <x:c r="A41" s="23" t="n">
        <x:v>40</x:v>
      </x:c>
      <x:c r="B41" s="23" t="str">
        <x:v>Hidden Test</x:v>
      </x:c>
      <x:c r="C41" s="23" t="str">
        <x:v>Lightning</x:v>
      </x:c>
      <x:c r="D41" s="23" t="n">
        <x:v>1497.4857524852268</x:v>
      </x:c>
      <x:c r="E41" s="23" t="n">
        <x:v>632.7845619060099</x:v>
      </x:c>
      <x:c r="F41" s="23" t="n">
        <x:v>427.75432830676436</x:v>
      </x:c>
      <x:c r="G41" s="23" t="n">
        <x:v>153.59500380698591</x:v>
      </x:c>
      <x:c r="H41" s="23" t="n">
        <x:v>10.880135846789926</x:v>
      </x:c>
      <x:c r="I41" s="23" t="n">
        <x:v>0.857816869923845</x:v>
      </x:c>
      <x:c r="J41" s="23" t="n">
        <x:v>9</x:v>
      </x:c>
      <x:c r="K41" s="23" t="n">
        <x:v>193.96599864778057</x:v>
      </x:c>
      <x:c r="L41" s="23" t="n">
        <x:v>65</x:v>
      </x:c>
      <x:c r="M41" s="23" t="n">
        <x:v>25</x:v>
      </x:c>
      <x:c r="N41" s="23" t="n">
        <x:v>1.2243571168529366</x:v>
      </x:c>
      <x:c r="O41" s="23" t="n">
        <x:v>52.164313827425026</x:v>
      </x:c>
      <x:c r="P41" s="23" t="n">
        <x:v>1497.4857524852268</x:v>
      </x:c>
      <x:c r="Q41" s="23" t="n">
        <x:v>1.2272035532638412</x:v>
      </x:c>
      <x:c r="R41" s="23" t="n">
        <x:v>52.25807328581527</x:v>
      </x:c>
      <x:c r="S41" s="23" t="n">
        <x:v>1525.6079272109835</x:v>
      </x:c>
      <x:c r="T41" s="23" t="n">
        <x:v>0.0028464364109046514</x:v>
      </x:c>
      <x:c r="U41" s="23" t="n">
        <x:v>0.09375945839024524</x:v>
      </x:c>
      <x:c r="V41" s="23" t="n">
        <x:v>28.122174725756622</x:v>
      </x:c>
    </x:row>
    <x:row r="42">
      <x:c r="A42" s="23" t="n">
        <x:v>41</x:v>
      </x:c>
      <x:c r="B42" s="23" t="str">
        <x:v>Train</x:v>
      </x:c>
      <x:c r="C42" s="23" t="str">
        <x:v>Lightning</x:v>
      </x:c>
      <x:c r="D42" s="23" t="n">
        <x:v>1366.906520538032</x:v>
      </x:c>
      <x:c r="E42" s="23" t="n">
        <x:v>649.8713095090352</x:v>
      </x:c>
      <x:c r="F42" s="23" t="n">
        <x:v>377.633667178452</x:v>
      </x:c>
      <x:c r="G42" s="23" t="n">
        <x:v>220.17962623620406</x:v>
      </x:c>
      <x:c r="H42" s="23" t="n">
        <x:v>12.521247347816825</x:v>
      </x:c>
      <x:c r="I42" s="23" t="n">
        <x:v>0.848657200646121</x:v>
      </x:c>
      <x:c r="J42" s="23" t="n">
        <x:v>9</x:v>
      </x:c>
      <x:c r="K42" s="23" t="n">
        <x:v>178.96331070586757</x:v>
      </x:c>
      <x:c r="L42" s="23" t="n">
        <x:v>60</x:v>
      </x:c>
      <x:c r="M42" s="23" t="n">
        <x:v>25</x:v>
      </x:c>
      <x:c r="N42" s="23" t="n">
        <x:v>1.1725672331368695</x:v>
      </x:c>
      <x:c r="O42" s="23" t="n">
        <x:v>52.16954522171087</x:v>
      </x:c>
      <x:c r="P42" s="23" t="n">
        <x:v>1366.906520538032</x:v>
      </x:c>
      <x:c r="Q42" s="23" t="n">
        <x:v>1.1724317396820216</x:v>
      </x:c>
      <x:c r="R42" s="23" t="n">
        <x:v>52.34996526847473</x:v>
      </x:c>
      <x:c r="S42" s="23" t="n">
        <x:v>1389.762592027844</x:v>
      </x:c>
      <x:c r="T42" s="23" t="n">
        <x:v>-0.00013549345484786812</x:v>
      </x:c>
      <x:c r="U42" s="23" t="n">
        <x:v>0.1804200467638637</x:v>
      </x:c>
      <x:c r="V42" s="23" t="n">
        <x:v>22.85607148981194</x:v>
      </x:c>
    </x:row>
    <x:row r="43">
      <x:c r="A43" s="23" t="n">
        <x:v>42</x:v>
      </x:c>
      <x:c r="B43" s="23" t="str">
        <x:v>Train</x:v>
      </x:c>
      <x:c r="C43" s="23" t="str">
        <x:v>Lightning</x:v>
      </x:c>
      <x:c r="D43" s="23" t="n">
        <x:v>1447.5146677927114</x:v>
      </x:c>
      <x:c r="E43" s="23" t="n">
        <x:v>763.8773884857073</x:v>
      </x:c>
      <x:c r="F43" s="23" t="n">
        <x:v>635.238987300545</x:v>
      </x:c>
      <x:c r="G43" s="23" t="n">
        <x:v>279.8522679787129</x:v>
      </x:c>
      <x:c r="H43" s="23" t="n">
        <x:v>21.67293490888551</x:v>
      </x:c>
      <x:c r="I43" s="23" t="n">
        <x:v>0.8319131619902328</x:v>
      </x:c>
      <x:c r="J43" s="23" t="n">
        <x:v>9</x:v>
      </x:c>
      <x:c r="K43" s="23" t="n">
        <x:v>193.33143221740173</x:v>
      </x:c>
      <x:c r="L43" s="23" t="n">
        <x:v>45</x:v>
      </x:c>
      <x:c r="M43" s="23" t="n">
        <x:v>25</x:v>
      </x:c>
      <x:c r="N43" s="23" t="n">
        <x:v>1.2422671629691933</x:v>
      </x:c>
      <x:c r="O43" s="23" t="n">
        <x:v>52.23679318577905</x:v>
      </x:c>
      <x:c r="P43" s="23" t="n">
        <x:v>1447.5146677927114</x:v>
      </x:c>
      <x:c r="Q43" s="23" t="n">
        <x:v>1.237099795481775</x:v>
      </x:c>
      <x:c r="R43" s="23" t="n">
        <x:v>51.44528279319079</x:v>
      </x:c>
      <x:c r="S43" s="23" t="n">
        <x:v>1444.4826556461774</x:v>
      </x:c>
      <x:c r="T43" s="23" t="n">
        <x:v>-0.005167367487418195</x:v>
      </x:c>
      <x:c r="U43" s="23" t="n">
        <x:v>-0.7915103925882576</x:v>
      </x:c>
      <x:c r="V43" s="23" t="n">
        <x:v>-3.0320121465340435</x:v>
      </x:c>
    </x:row>
    <x:row r="44">
      <x:c r="A44" s="23" t="n">
        <x:v>43</x:v>
      </x:c>
      <x:c r="B44" s="23" t="str">
        <x:v>Train</x:v>
      </x:c>
      <x:c r="C44" s="23" t="str">
        <x:v>Lightning</x:v>
      </x:c>
      <x:c r="D44" s="23" t="n">
        <x:v>1451.939935865812</x:v>
      </x:c>
      <x:c r="E44" s="23" t="n">
        <x:v>1064.3480254919268</x:v>
      </x:c>
      <x:c r="F44" s="23" t="n">
        <x:v>442.6622349768877</x:v>
      </x:c>
      <x:c r="G44" s="23" t="n">
        <x:v>268.18880821345374</x:v>
      </x:c>
      <x:c r="H44" s="23" t="n">
        <x:v>11.080747322179377</x:v>
      </x:c>
      <x:c r="I44" s="23" t="n">
        <x:v>0.8095043737324886</x:v>
      </x:c>
      <x:c r="J44" s="23" t="n">
        <x:v>9</x:v>
      </x:c>
      <x:c r="K44" s="23" t="n">
        <x:v>199.29065830342046</x:v>
      </x:c>
      <x:c r="L44" s="23" t="n">
        <x:v>45</x:v>
      </x:c>
      <x:c r="M44" s="23" t="n">
        <x:v>25</x:v>
      </x:c>
      <x:c r="N44" s="23" t="n">
        <x:v>1.2564722183375256</x:v>
      </x:c>
      <x:c r="O44" s="23" t="n">
        <x:v>52.25179791478428</x:v>
      </x:c>
      <x:c r="P44" s="23" t="n">
        <x:v>1451.939935865812</x:v>
      </x:c>
      <x:c r="Q44" s="23" t="n">
        <x:v>1.2628055748173552</x:v>
      </x:c>
      <x:c r="R44" s="23" t="n">
        <x:v>52.87444369128161</x:v>
      </x:c>
      <x:c r="S44" s="23" t="n">
        <x:v>1456.093125115803</x:v>
      </x:c>
      <x:c r="T44" s="23" t="n">
        <x:v>0.006333356479829577</x:v>
      </x:c>
      <x:c r="U44" s="23" t="n">
        <x:v>0.6226457764973361</x:v>
      </x:c>
      <x:c r="V44" s="23" t="n">
        <x:v>4.153189249991101</x:v>
      </x:c>
    </x:row>
    <x:row r="45">
      <x:c r="A45" s="23" t="n">
        <x:v>44</x:v>
      </x:c>
      <x:c r="B45" s="23" t="str">
        <x:v>Train</x:v>
      </x:c>
      <x:c r="C45" s="23" t="str">
        <x:v>Lightning</x:v>
      </x:c>
      <x:c r="D45" s="23" t="n">
        <x:v>1478.7662638700567</x:v>
      </x:c>
      <x:c r="E45" s="23" t="n">
        <x:v>603.3735090401024</x:v>
      </x:c>
      <x:c r="F45" s="23" t="n">
        <x:v>407.5871746055782</x:v>
      </x:c>
      <x:c r="G45" s="23" t="n">
        <x:v>196.39846197795123</x:v>
      </x:c>
      <x:c r="H45" s="23" t="n">
        <x:v>26.38679413823411</x:v>
      </x:c>
      <x:c r="I45" s="23" t="n">
        <x:v>0.8081568530574441</x:v>
      </x:c>
      <x:c r="J45" s="23" t="n">
        <x:v>10</x:v>
      </x:c>
      <x:c r="K45" s="23" t="n">
        <x:v>182.98010569056518</x:v>
      </x:c>
      <x:c r="L45" s="23" t="n">
        <x:v>55</x:v>
      </x:c>
      <x:c r="M45" s="23" t="n">
        <x:v>25</x:v>
      </x:c>
      <x:c r="N45" s="23" t="n">
        <x:v>1.204954433866276</x:v>
      </x:c>
      <x:c r="O45" s="23" t="n">
        <x:v>52.184174971979296</x:v>
      </x:c>
      <x:c r="P45" s="23" t="n">
        <x:v>1478.7662638700567</x:v>
      </x:c>
      <x:c r="Q45" s="23" t="n">
        <x:v>1.196293150426254</x:v>
      </x:c>
      <x:c r="R45" s="23" t="n">
        <x:v>51.8732850948095</x:v>
      </x:c>
      <x:c r="S45" s="23" t="n">
        <x:v>1489.4458745786558</x:v>
      </x:c>
      <x:c r="T45" s="23" t="n">
        <x:v>-0.00866128344002215</x:v>
      </x:c>
      <x:c r="U45" s="23" t="n">
        <x:v>-0.31088987716979233</x:v>
      </x:c>
      <x:c r="V45" s="23" t="n">
        <x:v>10.679610708599057</x:v>
      </x:c>
    </x:row>
    <x:row r="46">
      <x:c r="A46" s="23" t="n">
        <x:v>45</x:v>
      </x:c>
      <x:c r="B46" s="23" t="str">
        <x:v>Train</x:v>
      </x:c>
      <x:c r="C46" s="23" t="str">
        <x:v>Lightning</x:v>
      </x:c>
      <x:c r="D46" s="23" t="n">
        <x:v>1401.3010127004236</x:v>
      </x:c>
      <x:c r="E46" s="23" t="n">
        <x:v>615.4932635719888</x:v>
      </x:c>
      <x:c r="F46" s="23" t="n">
        <x:v>551.8408289179206</x:v>
      </x:c>
      <x:c r="G46" s="23" t="n">
        <x:v>80.11361931683496</x:v>
      </x:c>
      <x:c r="H46" s="23" t="n">
        <x:v>23.94651061668992</x:v>
      </x:c>
      <x:c r="I46" s="23" t="n">
        <x:v>0.8497473583393731</x:v>
      </x:c>
      <x:c r="J46" s="23" t="n">
        <x:v>9</x:v>
      </x:c>
      <x:c r="K46" s="23" t="n">
        <x:v>183.23106390886312</x:v>
      </x:c>
      <x:c r="L46" s="23" t="n">
        <x:v>60</x:v>
      </x:c>
      <x:c r="M46" s="23" t="n">
        <x:v>25</x:v>
      </x:c>
      <x:c r="N46" s="23" t="n">
        <x:v>1.213995046480775</x:v>
      </x:c>
      <x:c r="O46" s="23" t="n">
        <x:v>52.16950828446346</x:v>
      </x:c>
      <x:c r="P46" s="23" t="n">
        <x:v>1401.3010127004236</x:v>
      </x:c>
      <x:c r="Q46" s="23" t="n">
        <x:v>1.198678524701879</x:v>
      </x:c>
      <x:c r="R46" s="23" t="n">
        <x:v>51.04983081005348</x:v>
      </x:c>
      <x:c r="S46" s="23" t="n">
        <x:v>1400.7547720223563</x:v>
      </x:c>
      <x:c r="T46" s="23" t="n">
        <x:v>-0.015316521778895975</x:v>
      </x:c>
      <x:c r="U46" s="23" t="n">
        <x:v>-1.1196774744099827</x:v>
      </x:c>
      <x:c r="V46" s="23" t="n">
        <x:v>-0.5462406780673064</x:v>
      </x:c>
    </x:row>
    <x:row r="47">
      <x:c r="A47" s="23" t="n">
        <x:v>46</x:v>
      </x:c>
      <x:c r="B47" s="23" t="str">
        <x:v>Train</x:v>
      </x:c>
      <x:c r="C47" s="23" t="str">
        <x:v>Lightning</x:v>
      </x:c>
      <x:c r="D47" s="23" t="n">
        <x:v>1359.67197624268</x:v>
      </x:c>
      <x:c r="E47" s="23" t="n">
        <x:v>953.8840197725222</x:v>
      </x:c>
      <x:c r="F47" s="23" t="n">
        <x:v>412.4344860203564</x:v>
      </x:c>
      <x:c r="G47" s="23" t="n">
        <x:v>240.79388931393623</x:v>
      </x:c>
      <x:c r="H47" s="23" t="n">
        <x:v>8.671200016979128</x:v>
      </x:c>
      <x:c r="I47" s="23" t="n">
        <x:v>0.8167328650457785</x:v>
      </x:c>
      <x:c r="J47" s="23" t="n">
        <x:v>9</x:v>
      </x:c>
      <x:c r="K47" s="23" t="n">
        <x:v>184.9743906393391</x:v>
      </x:c>
      <x:c r="L47" s="23" t="n">
        <x:v>50</x:v>
      </x:c>
      <x:c r="M47" s="23" t="n">
        <x:v>25</x:v>
      </x:c>
      <x:c r="N47" s="23" t="n">
        <x:v>1.2473212652656689</x:v>
      </x:c>
      <x:c r="O47" s="23" t="n">
        <x:v>52.22558900020703</x:v>
      </x:c>
      <x:c r="P47" s="23" t="n">
        <x:v>1359.67197624268</x:v>
      </x:c>
      <x:c r="Q47" s="23" t="n">
        <x:v>1.2440694174547162</x:v>
      </x:c>
      <x:c r="R47" s="23" t="n">
        <x:v>52.507518524170486</x:v>
      </x:c>
      <x:c r="S47" s="23" t="n">
        <x:v>1367.8544895899804</x:v>
      </x:c>
      <x:c r="T47" s="23" t="n">
        <x:v>-0.0032518478109526683</x:v>
      </x:c>
      <x:c r="U47" s="23" t="n">
        <x:v>0.2819295239634556</x:v>
      </x:c>
      <x:c r="V47" s="23" t="n">
        <x:v>8.1825133473003</x:v>
      </x:c>
    </x:row>
    <x:row r="48">
      <x:c r="A48" s="23" t="n">
        <x:v>47</x:v>
      </x:c>
      <x:c r="B48" s="23" t="str">
        <x:v>Train</x:v>
      </x:c>
      <x:c r="C48" s="23" t="str">
        <x:v>Lightning</x:v>
      </x:c>
      <x:c r="D48" s="23" t="n">
        <x:v>1454.0374139556661</x:v>
      </x:c>
      <x:c r="E48" s="23" t="n">
        <x:v>651.4572546933778</x:v>
      </x:c>
      <x:c r="F48" s="23" t="n">
        <x:v>497.88472428917885</x:v>
      </x:c>
      <x:c r="G48" s="23" t="n">
        <x:v>276.9528966001235</x:v>
      </x:c>
      <x:c r="H48" s="23" t="n">
        <x:v>14.97226761188358</x:v>
      </x:c>
      <x:c r="I48" s="23" t="n">
        <x:v>0.8311732551991009</x:v>
      </x:c>
      <x:c r="J48" s="23" t="n">
        <x:v>9</x:v>
      </x:c>
      <x:c r="K48" s="23" t="n">
        <x:v>194.37549470121047</x:v>
      </x:c>
      <x:c r="L48" s="23" t="n">
        <x:v>55</x:v>
      </x:c>
      <x:c r="M48" s="23" t="n">
        <x:v>25</x:v>
      </x:c>
      <x:c r="N48" s="23" t="n">
        <x:v>1.2405815193916871</x:v>
      </x:c>
      <x:c r="O48" s="23" t="n">
        <x:v>52.19739502847523</x:v>
      </x:c>
      <x:c r="P48" s="23" t="n">
        <x:v>1454.0374139556661</x:v>
      </x:c>
      <x:c r="Q48" s="23" t="n">
        <x:v>1.2305798239455306</x:v>
      </x:c>
      <x:c r="R48" s="23" t="n">
        <x:v>52.066027648296505</x:v>
      </x:c>
      <x:c r="S48" s="23" t="n">
        <x:v>1460.2626355829157</x:v>
      </x:c>
      <x:c r="T48" s="23" t="n">
        <x:v>-0.010001695446156589</x:v>
      </x:c>
      <x:c r="U48" s="23" t="n">
        <x:v>-0.13136738017872318</x:v>
      </x:c>
      <x:c r="V48" s="23" t="n">
        <x:v>6.225221627249539</x:v>
      </x:c>
    </x:row>
    <x:row r="49">
      <x:c r="A49" s="23" t="n">
        <x:v>48</x:v>
      </x:c>
      <x:c r="B49" s="23" t="str">
        <x:v>Train</x:v>
      </x:c>
      <x:c r="C49" s="23" t="str">
        <x:v>Lightning</x:v>
      </x:c>
      <x:c r="D49" s="23" t="n">
        <x:v>1427.9104266199283</x:v>
      </x:c>
      <x:c r="E49" s="23" t="n">
        <x:v>765.8788392320275</x:v>
      </x:c>
      <x:c r="F49" s="23" t="n">
        <x:v>367.42576798424125</x:v>
      </x:c>
      <x:c r="G49" s="23" t="n">
        <x:v>155.55072393734008</x:v>
      </x:c>
      <x:c r="H49" s="23" t="n">
        <x:v>19.24453389039263</x:v>
      </x:c>
      <x:c r="I49" s="23" t="n">
        <x:v>0.8058053674455733</x:v>
      </x:c>
      <x:c r="J49" s="23" t="n">
        <x:v>9</x:v>
      </x:c>
      <x:c r="K49" s="23" t="n">
        <x:v>196.89210382381467</x:v>
      </x:c>
      <x:c r="L49" s="23" t="n">
        <x:v>60</x:v>
      </x:c>
      <x:c r="M49" s="23" t="n">
        <x:v>25</x:v>
      </x:c>
      <x:c r="N49" s="23" t="n">
        <x:v>1.2344444418456741</x:v>
      </x:c>
      <x:c r="O49" s="23" t="n">
        <x:v>52.17596476751012</x:v>
      </x:c>
      <x:c r="P49" s="23" t="n">
        <x:v>1427.9104266199283</x:v>
      </x:c>
      <x:c r="Q49" s="23" t="n">
        <x:v>1.2375272827904866</x:v>
      </x:c>
      <x:c r="R49" s="23" t="n">
        <x:v>51.422239850606594</x:v>
      </x:c>
      <x:c r="S49" s="23" t="n">
        <x:v>1436.2066415219917</x:v>
      </x:c>
      <x:c r="T49" s="23" t="n">
        <x:v>0.0030828409448124816</x:v>
      </x:c>
      <x:c r="U49" s="23" t="n">
        <x:v>-0.7537249169035292</x:v>
      </x:c>
      <x:c r="V49" s="23" t="n">
        <x:v>8.296214902063412</x:v>
      </x:c>
    </x:row>
    <x:row r="50">
      <x:c r="A50" s="23" t="n">
        <x:v>49</x:v>
      </x:c>
      <x:c r="B50" s="23" t="str">
        <x:v>Train</x:v>
      </x:c>
      <x:c r="C50" s="23" t="str">
        <x:v>Lightning</x:v>
      </x:c>
      <x:c r="D50" s="23" t="n">
        <x:v>1424.898122716695</x:v>
      </x:c>
      <x:c r="E50" s="23" t="n">
        <x:v>743.542545416858</x:v>
      </x:c>
      <x:c r="F50" s="23" t="n">
        <x:v>386.217955686152</x:v>
      </x:c>
      <x:c r="G50" s="23" t="n">
        <x:v>196.94730079034343</x:v>
      </x:c>
      <x:c r="H50" s="23" t="n">
        <x:v>9.308123486116529</x:v>
      </x:c>
      <x:c r="I50" s="23" t="n">
        <x:v>0.8009429839183577</x:v>
      </x:c>
      <x:c r="J50" s="23" t="n">
        <x:v>9</x:v>
      </x:c>
      <x:c r="K50" s="23" t="n">
        <x:v>197.66951807311983</x:v>
      </x:c>
      <x:c r="L50" s="23" t="n">
        <x:v>60</x:v>
      </x:c>
      <x:c r="M50" s="23" t="n">
        <x:v>25</x:v>
      </x:c>
      <x:c r="N50" s="23" t="n">
        <x:v>1.231882478523407</x:v>
      </x:c>
      <x:c r="O50" s="23" t="n">
        <x:v>52.181866914010214</x:v>
      </x:c>
      <x:c r="P50" s="23" t="n">
        <x:v>1424.898122716695</x:v>
      </x:c>
      <x:c r="Q50" s="23" t="n">
        <x:v>1.2354159062397156</x:v>
      </x:c>
      <x:c r="R50" s="23" t="n">
        <x:v>51.17278614404293</x:v>
      </x:c>
      <x:c r="S50" s="23" t="n">
        <x:v>1438.3043053980566</x:v>
      </x:c>
      <x:c r="T50" s="23" t="n">
        <x:v>0.0035334277163086014</x:v>
      </x:c>
      <x:c r="U50" s="23" t="n">
        <x:v>-1.0090807699672837</x:v>
      </x:c>
      <x:c r="V50" s="23" t="n">
        <x:v>13.406182681361543</x:v>
      </x:c>
    </x:row>
    <x:row r="51">
      <x:c r="A51" s="23" t="n">
        <x:v>50</x:v>
      </x:c>
      <x:c r="B51" s="23" t="str">
        <x:v>Train</x:v>
      </x:c>
      <x:c r="C51" s="23" t="str">
        <x:v>Lightning</x:v>
      </x:c>
      <x:c r="D51" s="23" t="n">
        <x:v>1410.8754671760835</x:v>
      </x:c>
      <x:c r="E51" s="23" t="n">
        <x:v>697.116353851743</x:v>
      </x:c>
      <x:c r="F51" s="23" t="n">
        <x:v>566.824156884104</x:v>
      </x:c>
      <x:c r="G51" s="23" t="n">
        <x:v>157.60293898172677</x:v>
      </x:c>
      <x:c r="H51" s="23" t="n">
        <x:v>16.010248572099954</x:v>
      </x:c>
      <x:c r="I51" s="23" t="n">
        <x:v>0.822448086612858</x:v>
      </x:c>
      <x:c r="J51" s="23" t="n">
        <x:v>9</x:v>
      </x:c>
      <x:c r="K51" s="23" t="n">
        <x:v>190.60648732609235</x:v>
      </x:c>
      <x:c r="L51" s="23" t="n">
        <x:v>55</x:v>
      </x:c>
      <x:c r="M51" s="23" t="n">
        <x:v>25</x:v>
      </x:c>
      <x:c r="N51" s="23" t="n">
        <x:v>1.2408012291774302</x:v>
      </x:c>
      <x:c r="O51" s="23" t="n">
        <x:v>52.19665416239721</x:v>
      </x:c>
      <x:c r="P51" s="23" t="n">
        <x:v>1410.8754671760835</x:v>
      </x:c>
      <x:c r="Q51" s="23" t="n">
        <x:v>1.250791627411377</x:v>
      </x:c>
      <x:c r="R51" s="23" t="n">
        <x:v>51.471937735110245</x:v>
      </x:c>
      <x:c r="S51" s="23" t="n">
        <x:v>1423.032603785044</x:v>
      </x:c>
      <x:c r="T51" s="23" t="n">
        <x:v>0.009990398233946873</x:v>
      </x:c>
      <x:c r="U51" s="23" t="n">
        <x:v>-0.724716427286964</x:v>
      </x:c>
      <x:c r="V51" s="23" t="n">
        <x:v>12.157136608960627</x:v>
      </x:c>
    </x:row>
    <x:row r="52">
      <x:c r="A52" s="23" t="n">
        <x:v>51</x:v>
      </x:c>
      <x:c r="B52" s="23" t="str">
        <x:v>Train</x:v>
      </x:c>
      <x:c r="C52" s="23" t="str">
        <x:v>Lightning</x:v>
      </x:c>
      <x:c r="D52" s="23" t="n">
        <x:v>1429.5092044165358</x:v>
      </x:c>
      <x:c r="E52" s="23" t="n">
        <x:v>1006.8637307384051</x:v>
      </x:c>
      <x:c r="F52" s="23" t="n">
        <x:v>352.98555456101894</x:v>
      </x:c>
      <x:c r="G52" s="23" t="n">
        <x:v>95.39554324699566</x:v>
      </x:c>
      <x:c r="H52" s="23" t="n">
        <x:v>14.656337481923401</x:v>
      </x:c>
      <x:c r="I52" s="23" t="n">
        <x:v>0.8069927989388817</x:v>
      </x:c>
      <x:c r="J52" s="23" t="n">
        <x:v>9</x:v>
      </x:c>
      <x:c r="K52" s="23" t="n">
        <x:v>196.82251967444287</x:v>
      </x:c>
      <x:c r="L52" s="23" t="n">
        <x:v>50</x:v>
      </x:c>
      <x:c r="M52" s="23" t="n">
        <x:v>25</x:v>
      </x:c>
      <x:c r="N52" s="23" t="n">
        <x:v>1.1596141910194189</x:v>
      </x:c>
      <x:c r="O52" s="23" t="n">
        <x:v>52.2019090498911</x:v>
      </x:c>
      <x:c r="P52" s="23" t="n">
        <x:v>1429.5092044165358</x:v>
      </x:c>
      <x:c r="Q52" s="23" t="n">
        <x:v>1.1670108060474988</x:v>
      </x:c>
      <x:c r="R52" s="23" t="n">
        <x:v>53.258610738044325</x:v>
      </x:c>
      <x:c r="S52" s="23" t="n">
        <x:v>1441.6988276306245</x:v>
      </x:c>
      <x:c r="T52" s="23" t="n">
        <x:v>0.007396615028079978</x:v>
      </x:c>
      <x:c r="U52" s="23" t="n">
        <x:v>1.0567016881532254</x:v>
      </x:c>
      <x:c r="V52" s="23" t="n">
        <x:v>12.18962321408867</x:v>
      </x:c>
    </x:row>
    <x:row r="53">
      <x:c r="A53" s="23" t="n">
        <x:v>52</x:v>
      </x:c>
      <x:c r="B53" s="23" t="str">
        <x:v>Train</x:v>
      </x:c>
      <x:c r="C53" s="23" t="str">
        <x:v>Lightning</x:v>
      </x:c>
      <x:c r="D53" s="23" t="n">
        <x:v>1392.1426073997281</x:v>
      </x:c>
      <x:c r="E53" s="23" t="n">
        <x:v>1072.2996565047652</x:v>
      </x:c>
      <x:c r="F53" s="23" t="n">
        <x:v>681.8078625015914</x:v>
      </x:c>
      <x:c r="G53" s="23" t="n">
        <x:v>190.47353164758533</x:v>
      </x:c>
      <x:c r="H53" s="23" t="n">
        <x:v>9.256876736413687</x:v>
      </x:c>
      <x:c r="I53" s="23" t="n">
        <x:v>0.8470919185318053</x:v>
      </x:c>
      <x:c r="J53" s="23" t="n">
        <x:v>9</x:v>
      </x:c>
      <x:c r="K53" s="23" t="n">
        <x:v>182.60416437616544</x:v>
      </x:c>
      <x:c r="L53" s="23" t="n">
        <x:v>40</x:v>
      </x:c>
      <x:c r="M53" s="23" t="n">
        <x:v>25</x:v>
      </x:c>
      <x:c r="N53" s="23" t="n">
        <x:v>1.2215804230976188</x:v>
      </x:c>
      <x:c r="O53" s="23" t="n">
        <x:v>52.27820880032321</x:v>
      </x:c>
      <x:c r="P53" s="23" t="n">
        <x:v>1392.1426073997281</x:v>
      </x:c>
      <x:c r="Q53" s="23" t="n">
        <x:v>1.245507244250722</x:v>
      </x:c>
      <x:c r="R53" s="23" t="n">
        <x:v>52.265302924449024</x:v>
      </x:c>
      <x:c r="S53" s="23" t="n">
        <x:v>1384.64041292828</x:v>
      </x:c>
      <x:c r="T53" s="23" t="n">
        <x:v>0.023926821153103184</x:v>
      </x:c>
      <x:c r="U53" s="23" t="n">
        <x:v>-0.012905875874189121</x:v>
      </x:c>
      <x:c r="V53" s="23" t="n">
        <x:v>-7.502194471448092</x:v>
      </x:c>
    </x:row>
    <x:row r="54">
      <x:c r="A54" s="23" t="n">
        <x:v>53</x:v>
      </x:c>
      <x:c r="B54" s="23" t="str">
        <x:v>Train</x:v>
      </x:c>
      <x:c r="C54" s="23" t="str">
        <x:v>Lightning</x:v>
      </x:c>
      <x:c r="D54" s="23" t="n">
        <x:v>1365.121315838769</x:v>
      </x:c>
      <x:c r="E54" s="23" t="n">
        <x:v>1222.5124664488249</x:v>
      </x:c>
      <x:c r="F54" s="23" t="n">
        <x:v>729.4830230996013</x:v>
      </x:c>
      <x:c r="G54" s="23" t="n">
        <x:v>250.907533087302</x:v>
      </x:c>
      <x:c r="H54" s="23" t="n">
        <x:v>23.0065638422966</x:v>
      </x:c>
      <x:c r="I54" s="23" t="n">
        <x:v>0.8086871177540161</x:v>
      </x:c>
      <x:c r="J54" s="23" t="n">
        <x:v>9</x:v>
      </x:c>
      <x:c r="K54" s="23" t="n">
        <x:v>187.56345052901565</x:v>
      </x:c>
      <x:c r="L54" s="23" t="n">
        <x:v>30</x:v>
      </x:c>
      <x:c r="M54" s="23" t="n">
        <x:v>25</x:v>
      </x:c>
      <x:c r="N54" s="23" t="n">
        <x:v>1.1575772902025177</x:v>
      </x:c>
      <x:c r="O54" s="23" t="n">
        <x:v>52.318487653804475</x:v>
      </x:c>
      <x:c r="P54" s="23" t="n">
        <x:v>1365.121315838769</x:v>
      </x:c>
      <x:c r="Q54" s="23" t="n">
        <x:v>1.1756482212687398</x:v>
      </x:c>
      <x:c r="R54" s="23" t="n">
        <x:v>52.021414441078576</x:v>
      </x:c>
      <x:c r="S54" s="23" t="n">
        <x:v>1348.5307700931053</x:v>
      </x:c>
      <x:c r="T54" s="23" t="n">
        <x:v>0.01807093106622215</x:v>
      </x:c>
      <x:c r="U54" s="23" t="n">
        <x:v>-0.2970732127258984</x:v>
      </x:c>
      <x:c r="V54" s="23" t="n">
        <x:v>-16.590545745663803</x:v>
      </x:c>
    </x:row>
    <x:row r="55">
      <x:c r="A55" s="23" t="n">
        <x:v>54</x:v>
      </x:c>
      <x:c r="B55" s="23" t="str">
        <x:v>Train</x:v>
      </x:c>
      <x:c r="C55" s="23" t="str">
        <x:v>Lightning</x:v>
      </x:c>
      <x:c r="D55" s="23" t="n">
        <x:v>1370.167954370845</x:v>
      </x:c>
      <x:c r="E55" s="23" t="n">
        <x:v>1031.8570831557736</x:v>
      </x:c>
      <x:c r="F55" s="23" t="n">
        <x:v>420.6363362260163</x:v>
      </x:c>
      <x:c r="G55" s="23" t="n">
        <x:v>106.2398743070662</x:v>
      </x:c>
      <x:c r="H55" s="23" t="n">
        <x:v>28.75022070715204</x:v>
      </x:c>
      <x:c r="I55" s="23" t="n">
        <x:v>0.8355511243408547</x:v>
      </x:c>
      <x:c r="J55" s="23" t="n">
        <x:v>9</x:v>
      </x:c>
      <x:c r="K55" s="23" t="n">
        <x:v>182.20415170775075</x:v>
      </x:c>
      <x:c r="L55" s="23" t="n">
        <x:v>45</x:v>
      </x:c>
      <x:c r="M55" s="23" t="n">
        <x:v>25</x:v>
      </x:c>
      <x:c r="N55" s="23" t="n">
        <x:v>1.1932708854223535</x:v>
      </x:c>
      <x:c r="O55" s="23" t="n">
        <x:v>52.21804548881843</x:v>
      </x:c>
      <x:c r="P55" s="23" t="n">
        <x:v>1370.167954370845</x:v>
      </x:c>
      <x:c r="Q55" s="23" t="n">
        <x:v>1.1779327669847415</x:v>
      </x:c>
      <x:c r="R55" s="23" t="n">
        <x:v>53.40815237850536</x:v>
      </x:c>
      <x:c r="S55" s="23" t="n">
        <x:v>1354.3887241818566</x:v>
      </x:c>
      <x:c r="T55" s="23" t="n">
        <x:v>-0.015338118437612014</x:v>
      </x:c>
      <x:c r="U55" s="23" t="n">
        <x:v>1.1901068896869305</x:v>
      </x:c>
      <x:c r="V55" s="23" t="n">
        <x:v>-15.77923018898855</x:v>
      </x:c>
    </x:row>
    <x:row r="56">
      <x:c r="A56" s="23" t="n">
        <x:v>55</x:v>
      </x:c>
      <x:c r="B56" s="23" t="str">
        <x:v>Validation</x:v>
      </x:c>
      <x:c r="C56" s="23" t="str">
        <x:v>Lightning</x:v>
      </x:c>
      <x:c r="D56" s="23" t="n">
        <x:v>1496.9960996182635</x:v>
      </x:c>
      <x:c r="E56" s="23" t="n">
        <x:v>895.2182395500131</x:v>
      </x:c>
      <x:c r="F56" s="23" t="n">
        <x:v>499.9268725514412</x:v>
      </x:c>
      <x:c r="G56" s="23" t="n">
        <x:v>281.22554799309</x:v>
      </x:c>
      <x:c r="H56" s="23" t="n">
        <x:v>9.257536838762462</x:v>
      </x:c>
      <x:c r="I56" s="23" t="n">
        <x:v>0.8431364797404968</x:v>
      </x:c>
      <x:c r="J56" s="23" t="n">
        <x:v>9</x:v>
      </x:c>
      <x:c r="K56" s="23" t="n">
        <x:v>197.27873713728923</x:v>
      </x:c>
      <x:c r="L56" s="23" t="n">
        <x:v>45</x:v>
      </x:c>
      <x:c r="M56" s="23" t="n">
        <x:v>25</x:v>
      </x:c>
      <x:c r="N56" s="23" t="n">
        <x:v>1.180565702564142</x:v>
      </x:c>
      <x:c r="O56" s="23" t="n">
        <x:v>52.236388095175236</x:v>
      </x:c>
      <x:c r="P56" s="23" t="n">
        <x:v>1496.9960996182635</x:v>
      </x:c>
      <x:c r="Q56" s="23" t="n">
        <x:v>1.1958282941748746</x:v>
      </x:c>
      <x:c r="R56" s="23" t="n">
        <x:v>53.220651464800184</x:v>
      </x:c>
      <x:c r="S56" s="23" t="n">
        <x:v>1501.3928549420152</x:v>
      </x:c>
      <x:c r="T56" s="23" t="n">
        <x:v>0.015262591610732512</x:v>
      </x:c>
      <x:c r="U56" s="23" t="n">
        <x:v>0.9842633696249479</x:v>
      </x:c>
      <x:c r="V56" s="23" t="n">
        <x:v>4.396755323751677</x:v>
      </x:c>
    </x:row>
    <x:row r="57">
      <x:c r="A57" s="23" t="n">
        <x:v>56</x:v>
      </x:c>
      <x:c r="B57" s="23" t="str">
        <x:v>Validation</x:v>
      </x:c>
      <x:c r="C57" s="23" t="str">
        <x:v>Lightning</x:v>
      </x:c>
      <x:c r="D57" s="23" t="n">
        <x:v>1491.1471567000262</x:v>
      </x:c>
      <x:c r="E57" s="23" t="n">
        <x:v>1061.1373308114707</x:v>
      </x:c>
      <x:c r="F57" s="23" t="n">
        <x:v>454.0080896578729</x:v>
      </x:c>
      <x:c r="G57" s="23" t="n">
        <x:v>179.91560003254563</x:v>
      </x:c>
      <x:c r="H57" s="23" t="n">
        <x:v>14.438182627316564</x:v>
      </x:c>
      <x:c r="I57" s="23" t="n">
        <x:v>0.8317811847943813</x:v>
      </x:c>
      <x:c r="J57" s="23" t="n">
        <x:v>9</x:v>
      </x:c>
      <x:c r="K57" s="23" t="n">
        <x:v>199.19062902591546</x:v>
      </x:c>
      <x:c r="L57" s="23" t="n">
        <x:v>45</x:v>
      </x:c>
      <x:c r="M57" s="23" t="n">
        <x:v>25</x:v>
      </x:c>
      <x:c r="N57" s="23" t="n">
        <x:v>1.2186033115213322</x:v>
      </x:c>
      <x:c r="O57" s="23" t="n">
        <x:v>52.239302389621756</x:v>
      </x:c>
      <x:c r="P57" s="23" t="n">
        <x:v>1491.1471567000262</x:v>
      </x:c>
      <x:c r="Q57" s="23" t="n">
        <x:v>1.213680443198787</x:v>
      </x:c>
      <x:c r="R57" s="23" t="n">
        <x:v>51.71368965063031</x:v>
      </x:c>
      <x:c r="S57" s="23" t="n">
        <x:v>1500.130699973921</x:v>
      </x:c>
      <x:c r="T57" s="23" t="n">
        <x:v>-0.004922868322545071</x:v>
      </x:c>
      <x:c r="U57" s="23" t="n">
        <x:v>-0.5256127389914482</x:v>
      </x:c>
      <x:c r="V57" s="23" t="n">
        <x:v>8.983543273894838</x:v>
      </x:c>
    </x:row>
    <x:row r="58">
      <x:c r="A58" s="23" t="n">
        <x:v>57</x:v>
      </x:c>
      <x:c r="B58" s="23" t="str">
        <x:v>Validation</x:v>
      </x:c>
      <x:c r="C58" s="23" t="str">
        <x:v>Lightning</x:v>
      </x:c>
      <x:c r="D58" s="23" t="n">
        <x:v>1487.94977478683</x:v>
      </x:c>
      <x:c r="E58" s="23" t="n">
        <x:v>1181.9113908684812</x:v>
      </x:c>
      <x:c r="F58" s="23" t="n">
        <x:v>510.8181791380048</x:v>
      </x:c>
      <x:c r="G58" s="23" t="n">
        <x:v>313.7855478399433</x:v>
      </x:c>
      <x:c r="H58" s="23" t="n">
        <x:v>25.427104188129306</x:v>
      </x:c>
      <x:c r="I58" s="23" t="n">
        <x:v>0.8529753133398481</x:v>
      </x:c>
      <x:c r="J58" s="23" t="n">
        <x:v>9</x:v>
      </x:c>
      <x:c r="K58" s="23" t="n">
        <x:v>193.82478035237256</x:v>
      </x:c>
      <x:c r="L58" s="23" t="n">
        <x:v>35</x:v>
      </x:c>
      <x:c r="M58" s="23" t="n">
        <x:v>25</x:v>
      </x:c>
      <x:c r="N58" s="23" t="n">
        <x:v>1.2123782888983161</x:v>
      </x:c>
      <x:c r="O58" s="23" t="n">
        <x:v>52.287865869750206</x:v>
      </x:c>
      <x:c r="P58" s="23" t="n">
        <x:v>1487.94977478683</x:v>
      </x:c>
      <x:c r="Q58" s="23" t="n">
        <x:v>1.2218023564133467</x:v>
      </x:c>
      <x:c r="R58" s="23" t="n">
        <x:v>53.14715595043833</x:v>
      </x:c>
      <x:c r="S58" s="23" t="n">
        <x:v>1465.3330760359145</x:v>
      </x:c>
      <x:c r="T58" s="23" t="n">
        <x:v>0.009424067515030554</x:v>
      </x:c>
      <x:c r="U58" s="23" t="n">
        <x:v>0.8592900806881261</x:v>
      </x:c>
      <x:c r="V58" s="23" t="n">
        <x:v>-22.616698750915475</x:v>
      </x:c>
    </x:row>
    <x:row r="59">
      <x:c r="A59" s="23" t="n">
        <x:v>58</x:v>
      </x:c>
      <x:c r="B59" s="23" t="str">
        <x:v>Hidden Test</x:v>
      </x:c>
      <x:c r="C59" s="23" t="str">
        <x:v>Lightning</x:v>
      </x:c>
      <x:c r="D59" s="23" t="n">
        <x:v>1379.514576739166</x:v>
      </x:c>
      <x:c r="E59" s="23" t="n">
        <x:v>973.7801430979744</x:v>
      </x:c>
      <x:c r="F59" s="23" t="n">
        <x:v>470.698054227978</x:v>
      </x:c>
      <x:c r="G59" s="23" t="n">
        <x:v>219.46313387714326</x:v>
      </x:c>
      <x:c r="H59" s="23" t="n">
        <x:v>24.01017836900428</x:v>
      </x:c>
      <x:c r="I59" s="23" t="n">
        <x:v>0.8579100617067889</x:v>
      </x:c>
      <x:c r="J59" s="23" t="n">
        <x:v>9</x:v>
      </x:c>
      <x:c r="K59" s="23" t="n">
        <x:v>178.66604467899313</x:v>
      </x:c>
      <x:c r="L59" s="23" t="n">
        <x:v>45</x:v>
      </x:c>
      <x:c r="M59" s="23" t="n">
        <x:v>25</x:v>
      </x:c>
      <x:c r="N59" s="23" t="n">
        <x:v>1.2430174279456838</x:v>
      </x:c>
      <x:c r="O59" s="23" t="n">
        <x:v>52.23445005206784</x:v>
      </x:c>
      <x:c r="P59" s="23" t="n">
        <x:v>1379.514576739166</x:v>
      </x:c>
      <x:c r="Q59" s="23" t="n">
        <x:v>1.2461764896274734</x:v>
      </x:c>
      <x:c r="R59" s="23" t="n">
        <x:v>52.12982596126389</x:v>
      </x:c>
      <x:c r="S59" s="23" t="n">
        <x:v>1368.5992668130461</x:v>
      </x:c>
      <x:c r="T59" s="23" t="n">
        <x:v>0.003159061681789588</x:v>
      </x:c>
      <x:c r="U59" s="23" t="n">
        <x:v>-0.10462409080395219</x:v>
      </x:c>
      <x:c r="V59" s="23" t="n">
        <x:v>-10.91530992611979</x:v>
      </x:c>
    </x:row>
    <x:row r="60">
      <x:c r="A60" s="23" t="n">
        <x:v>59</x:v>
      </x:c>
      <x:c r="B60" s="23" t="str">
        <x:v>Hidden Test</x:v>
      </x:c>
      <x:c r="C60" s="23" t="str">
        <x:v>Lightning</x:v>
      </x:c>
      <x:c r="D60" s="23" t="n">
        <x:v>1409.6952807856724</x:v>
      </x:c>
      <x:c r="E60" s="23" t="n">
        <x:v>1131.5265246317722</x:v>
      </x:c>
      <x:c r="F60" s="23" t="n">
        <x:v>529.60423566401</x:v>
      </x:c>
      <x:c r="G60" s="23" t="n">
        <x:v>226.74739091424271</x:v>
      </x:c>
      <x:c r="H60" s="23" t="n">
        <x:v>8.869310029782355</x:v>
      </x:c>
      <x:c r="I60" s="23" t="n">
        <x:v>0.8201344236987643</x:v>
      </x:c>
      <x:c r="J60" s="23" t="n">
        <x:v>9</x:v>
      </x:c>
      <x:c r="K60" s="23" t="n">
        <x:v>190.98431238842514</x:v>
      </x:c>
      <x:c r="L60" s="23" t="n">
        <x:v>40</x:v>
      </x:c>
      <x:c r="M60" s="23" t="n">
        <x:v>25</x:v>
      </x:c>
      <x:c r="N60" s="23" t="n">
        <x:v>1.1853067989090618</x:v>
      </x:c>
      <x:c r="O60" s="23" t="n">
        <x:v>52.269367400727425</x:v>
      </x:c>
      <x:c r="P60" s="23" t="n">
        <x:v>1409.6952807856724</x:v>
      </x:c>
      <x:c r="Q60" s="23" t="n">
        <x:v>1.1994113287495587</x:v>
      </x:c>
      <x:c r="R60" s="23" t="n">
        <x:v>51.78037946440232</x:v>
      </x:c>
      <x:c r="S60" s="23" t="n">
        <x:v>1405.868699080779</x:v>
      </x:c>
      <x:c r="T60" s="23" t="n">
        <x:v>0.014104529840496927</x:v>
      </x:c>
      <x:c r="U60" s="23" t="n">
        <x:v>-0.4889879363251026</x:v>
      </x:c>
      <x:c r="V60" s="23" t="n">
        <x:v>-3.8265817048934423</x:v>
      </x:c>
    </x:row>
    <x:row r="61">
      <x:c r="A61" s="23" t="n">
        <x:v>60</x:v>
      </x:c>
      <x:c r="B61" s="23" t="str">
        <x:v>Hidden Test</x:v>
      </x:c>
      <x:c r="C61" s="23" t="str">
        <x:v>Lightning</x:v>
      </x:c>
      <x:c r="D61" s="23" t="n">
        <x:v>1446.3500250480138</x:v>
      </x:c>
      <x:c r="E61" s="23" t="n">
        <x:v>863.6973779182881</x:v>
      </x:c>
      <x:c r="F61" s="23" t="n">
        <x:v>553.952997457236</x:v>
      </x:c>
      <x:c r="G61" s="23" t="n">
        <x:v>178.4498093603179</x:v>
      </x:c>
      <x:c r="H61" s="23" t="n">
        <x:v>28.058937917929143</x:v>
      </x:c>
      <x:c r="I61" s="23" t="n">
        <x:v>0.7926451613008977</x:v>
      </x:c>
      <x:c r="J61" s="23" t="n">
        <x:v>10</x:v>
      </x:c>
      <x:c r="K61" s="23" t="n">
        <x:v>182.4713119643913</x:v>
      </x:c>
      <x:c r="L61" s="23" t="n">
        <x:v>40</x:v>
      </x:c>
      <x:c r="M61" s="23" t="n">
        <x:v>25</x:v>
      </x:c>
      <x:c r="N61" s="23" t="n">
        <x:v>1.203753698371362</x:v>
      </x:c>
      <x:c r="O61" s="23" t="n">
        <x:v>52.25152435700548</x:v>
      </x:c>
      <x:c r="P61" s="23" t="n">
        <x:v>1446.3500250480138</x:v>
      </x:c>
      <x:c r="Q61" s="23" t="n">
        <x:v>1.1935998324126398</x:v>
      </x:c>
      <x:c r="R61" s="23" t="n">
        <x:v>52.21818539169023</x:v>
      </x:c>
      <x:c r="S61" s="23" t="n">
        <x:v>1428.4303968401045</x:v>
      </x:c>
      <x:c r="T61" s="23" t="n">
        <x:v>-0.010153865958722141</x:v>
      </x:c>
      <x:c r="U61" s="23" t="n">
        <x:v>-0.03333896531525227</x:v>
      </x:c>
      <x:c r="V61" s="23" t="n">
        <x:v>-17.919628207909227</x:v>
      </x:c>
    </x:row>
    <x:row r="62">
      <x:c r="A62" s="23" t="n">
        <x:v>61</x:v>
      </x:c>
      <x:c r="B62" s="23" t="str">
        <x:v>Train</x:v>
      </x:c>
      <x:c r="C62" s="23" t="str">
        <x:v>Lightning</x:v>
      </x:c>
      <x:c r="D62" s="23" t="n">
        <x:v>1361.2942542415112</x:v>
      </x:c>
      <x:c r="E62" s="23" t="n">
        <x:v>1050.456705398392</x:v>
      </x:c>
      <x:c r="F62" s="23" t="n">
        <x:v>442.9215019568801</x:v>
      </x:c>
      <x:c r="G62" s="23" t="n">
        <x:v>240.91997810872272</x:v>
      </x:c>
      <x:c r="H62" s="23" t="n">
        <x:v>19.930900510400534</x:v>
      </x:c>
      <x:c r="I62" s="23" t="n">
        <x:v>0.8516177222528495</x:v>
      </x:c>
      <x:c r="J62" s="23" t="n">
        <x:v>8</x:v>
      </x:c>
      <x:c r="K62" s="23" t="n">
        <x:v>199.81005248463703</x:v>
      </x:c>
      <x:c r="L62" s="23" t="n">
        <x:v>45</x:v>
      </x:c>
      <x:c r="M62" s="23" t="n">
        <x:v>25</x:v>
      </x:c>
      <x:c r="N62" s="23" t="n">
        <x:v>1.1524511624659826</x:v>
      </x:c>
      <x:c r="O62" s="23" t="n">
        <x:v>52.215373728505305</x:v>
      </x:c>
      <x:c r="P62" s="23" t="n">
        <x:v>1361.2942542415112</x:v>
      </x:c>
      <x:c r="Q62" s="23" t="n">
        <x:v>1.1585936030326702</x:v>
      </x:c>
      <x:c r="R62" s="23" t="n">
        <x:v>51.53425601653446</x:v>
      </x:c>
      <x:c r="S62" s="23" t="n">
        <x:v>1356.6152804953238</x:v>
      </x:c>
      <x:c r="T62" s="23" t="n">
        <x:v>0.006142440566687668</x:v>
      </x:c>
      <x:c r="U62" s="23" t="n">
        <x:v>-0.6811177119708489</x:v>
      </x:c>
      <x:c r="V62" s="23" t="n">
        <x:v>-4.6789737461874665</x:v>
      </x:c>
    </x:row>
    <x:row r="63">
      <x:c r="A63" s="23" t="n">
        <x:v>62</x:v>
      </x:c>
      <x:c r="B63" s="23" t="str">
        <x:v>Train</x:v>
      </x:c>
      <x:c r="C63" s="23" t="str">
        <x:v>Lightning</x:v>
      </x:c>
      <x:c r="D63" s="23" t="n">
        <x:v>1462.3568754759617</x:v>
      </x:c>
      <x:c r="E63" s="23" t="n">
        <x:v>1092.1012247679755</x:v>
      </x:c>
      <x:c r="F63" s="23" t="n">
        <x:v>685.1391364820302</x:v>
      </x:c>
      <x:c r="G63" s="23" t="n">
        <x:v>308.4874627366662</x:v>
      </x:c>
      <x:c r="H63" s="23" t="n">
        <x:v>21.457729341927916</x:v>
      </x:c>
      <x:c r="I63" s="23" t="n">
        <x:v>0.7967657162575051</x:v>
      </x:c>
      <x:c r="J63" s="23" t="n">
        <x:v>10</x:v>
      </x:c>
      <x:c r="K63" s="23" t="n">
        <x:v>183.53662132261545</x:v>
      </x:c>
      <x:c r="L63" s="23" t="n">
        <x:v>30</x:v>
      </x:c>
      <x:c r="M63" s="23" t="n">
        <x:v>25</x:v>
      </x:c>
      <x:c r="N63" s="23" t="n">
        <x:v>1.1848893116526913</x:v>
      </x:c>
      <x:c r="O63" s="23" t="n">
        <x:v>52.33635234550569</x:v>
      </x:c>
      <x:c r="P63" s="23" t="n">
        <x:v>1462.3568754759617</x:v>
      </x:c>
      <x:c r="Q63" s="23" t="n">
        <x:v>1.1986633821185972</x:v>
      </x:c>
      <x:c r="R63" s="23" t="n">
        <x:v>53.51080506043715</x:v>
      </x:c>
      <x:c r="S63" s="23" t="n">
        <x:v>1438.4099095765982</x:v>
      </x:c>
      <x:c r="T63" s="23" t="n">
        <x:v>0.013774070465905952</x:v>
      </x:c>
      <x:c r="U63" s="23" t="n">
        <x:v>1.174452714931462</x:v>
      </x:c>
      <x:c r="V63" s="23" t="n">
        <x:v>-23.946965899363477</x:v>
      </x:c>
    </x:row>
    <x:row r="64">
      <x:c r="A64" s="23" t="n">
        <x:v>63</x:v>
      </x:c>
      <x:c r="B64" s="23" t="str">
        <x:v>Train</x:v>
      </x:c>
      <x:c r="C64" s="23" t="str">
        <x:v>Lightning</x:v>
      </x:c>
      <x:c r="D64" s="23" t="n">
        <x:v>1389.1219146782532</x:v>
      </x:c>
      <x:c r="E64" s="23" t="n">
        <x:v>991.9067333568819</x:v>
      </x:c>
      <x:c r="F64" s="23" t="n">
        <x:v>355.4061822593212</x:v>
      </x:c>
      <x:c r="G64" s="23" t="n">
        <x:v>92.47024111216888</x:v>
      </x:c>
      <x:c r="H64" s="23" t="n">
        <x:v>15.66517189797014</x:v>
      </x:c>
      <x:c r="I64" s="23" t="n">
        <x:v>0.8518767041130924</x:v>
      </x:c>
      <x:c r="J64" s="23" t="n">
        <x:v>9</x:v>
      </x:c>
      <x:c r="K64" s="23" t="n">
        <x:v>181.18452900926403</x:v>
      </x:c>
      <x:c r="L64" s="23" t="n">
        <x:v>50</x:v>
      </x:c>
      <x:c r="M64" s="23" t="n">
        <x:v>25</x:v>
      </x:c>
      <x:c r="N64" s="23" t="n">
        <x:v>1.152377051152042</x:v>
      </x:c>
      <x:c r="O64" s="23" t="n">
        <x:v>52.199498188712866</x:v>
      </x:c>
      <x:c r="P64" s="23" t="n">
        <x:v>1389.1219146782532</x:v>
      </x:c>
      <x:c r="Q64" s="23" t="n">
        <x:v>1.1629498522762853</x:v>
      </x:c>
      <x:c r="R64" s="23" t="n">
        <x:v>53.466270555211196</x:v>
      </x:c>
      <x:c r="S64" s="23" t="n">
        <x:v>1391.8501697294025</x:v>
      </x:c>
      <x:c r="T64" s="23" t="n">
        <x:v>0.010572801124243414</x:v>
      </x:c>
      <x:c r="U64" s="23" t="n">
        <x:v>1.26677236649833</x:v>
      </x:c>
      <x:c r="V64" s="23" t="n">
        <x:v>2.72825505114929</x:v>
      </x:c>
    </x:row>
    <x:row r="65">
      <x:c r="A65" s="23" t="n">
        <x:v>64</x:v>
      </x:c>
      <x:c r="B65" s="23" t="str">
        <x:v>Train</x:v>
      </x:c>
      <x:c r="C65" s="23" t="str">
        <x:v>Lightning</x:v>
      </x:c>
      <x:c r="D65" s="23" t="n">
        <x:v>1447.4562385934405</x:v>
      </x:c>
      <x:c r="E65" s="23" t="n">
        <x:v>1167.4714174121618</x:v>
      </x:c>
      <x:c r="F65" s="23" t="n">
        <x:v>512.7767144702375</x:v>
      </x:c>
      <x:c r="G65" s="23" t="n">
        <x:v>83.17547575104982</x:v>
      </x:c>
      <x:c r="H65" s="23" t="n">
        <x:v>27.165652827825397</x:v>
      </x:c>
      <x:c r="I65" s="23" t="n">
        <x:v>0.8519396001379937</x:v>
      </x:c>
      <x:c r="J65" s="23" t="n">
        <x:v>9</x:v>
      </x:c>
      <x:c r="K65" s="23" t="n">
        <x:v>188.77919388742626</x:v>
      </x:c>
      <x:c r="L65" s="23" t="n">
        <x:v>40</x:v>
      </x:c>
      <x:c r="M65" s="23" t="n">
        <x:v>25</x:v>
      </x:c>
      <x:c r="N65" s="23" t="n">
        <x:v>1.2074616063436412</x:v>
      </x:c>
      <x:c r="O65" s="23" t="n">
        <x:v>52.24996182602025</x:v>
      </x:c>
      <x:c r="P65" s="23" t="n">
        <x:v>1447.4562385934405</x:v>
      </x:c>
      <x:c r="Q65" s="23" t="n">
        <x:v>1.207278651948416</x:v>
      </x:c>
      <x:c r="R65" s="23" t="n">
        <x:v>51.931441755739705</x:v>
      </x:c>
      <x:c r="S65" s="23" t="n">
        <x:v>1432.3914383336569</x:v>
      </x:c>
      <x:c r="T65" s="23" t="n">
        <x:v>-0.00018295439522519885</x:v>
      </x:c>
      <x:c r="U65" s="23" t="n">
        <x:v>-0.31852007028054174</x:v>
      </x:c>
      <x:c r="V65" s="23" t="n">
        <x:v>-15.064800259783624</x:v>
      </x:c>
    </x:row>
    <x:row r="66">
      <x:c r="A66" s="23" t="n">
        <x:v>65</x:v>
      </x:c>
      <x:c r="B66" s="23" t="str">
        <x:v>Train</x:v>
      </x:c>
      <x:c r="C66" s="23" t="str">
        <x:v>Lightning</x:v>
      </x:c>
      <x:c r="D66" s="23" t="n">
        <x:v>1376.1366072110832</x:v>
      </x:c>
      <x:c r="E66" s="23" t="n">
        <x:v>1126.6223046346568</x:v>
      </x:c>
      <x:c r="F66" s="23" t="n">
        <x:v>623.886882700026</x:v>
      </x:c>
      <x:c r="G66" s="23" t="n">
        <x:v>116.15840623388067</x:v>
      </x:c>
      <x:c r="H66" s="23" t="n">
        <x:v>19.45350302197039</x:v>
      </x:c>
      <x:c r="I66" s="23" t="n">
        <x:v>0.8514445384894498</x:v>
      </x:c>
      <x:c r="J66" s="23" t="n">
        <x:v>9</x:v>
      </x:c>
      <x:c r="K66" s="23" t="n">
        <x:v>179.5819463933208</x:v>
      </x:c>
      <x:c r="L66" s="23" t="n">
        <x:v>40</x:v>
      </x:c>
      <x:c r="M66" s="23" t="n">
        <x:v>25</x:v>
      </x:c>
      <x:c r="N66" s="23" t="n">
        <x:v>1.2298815967787537</x:v>
      </x:c>
      <x:c r="O66" s="23" t="n">
        <x:v>52.266060144527174</x:v>
      </x:c>
      <x:c r="P66" s="23" t="n">
        <x:v>1376.1366072110832</x:v>
      </x:c>
      <x:c r="Q66" s="23" t="n">
        <x:v>1.2365201313953365</x:v>
      </x:c>
      <x:c r="R66" s="23" t="n">
        <x:v>53.10231477649947</x:v>
      </x:c>
      <x:c r="S66" s="23" t="n">
        <x:v>1361.8185910803822</x:v>
      </x:c>
      <x:c r="T66" s="23" t="n">
        <x:v>0.006638534616582703</x:v>
      </x:c>
      <x:c r="U66" s="23" t="n">
        <x:v>0.8362546319722952</x:v>
      </x:c>
      <x:c r="V66" s="23" t="n">
        <x:v>-14.318016130700926</x:v>
      </x:c>
    </x:row>
    <x:row r="67">
      <x:c r="A67" s="23" t="n">
        <x:v>66</x:v>
      </x:c>
      <x:c r="B67" s="23" t="str">
        <x:v>Train</x:v>
      </x:c>
      <x:c r="C67" s="23" t="str">
        <x:v>Lightning</x:v>
      </x:c>
      <x:c r="D67" s="23" t="n">
        <x:v>1437.7821055823006</x:v>
      </x:c>
      <x:c r="E67" s="23" t="n">
        <x:v>1010.3864907519892</x:v>
      </x:c>
      <x:c r="F67" s="23" t="n">
        <x:v>397.36193055287004</x:v>
      </x:c>
      <x:c r="G67" s="23" t="n">
        <x:v>87.4254407081753</x:v>
      </x:c>
      <x:c r="H67" s="23" t="n">
        <x:v>20.382635646034032</x:v>
      </x:c>
      <x:c r="I67" s="23" t="n">
        <x:v>0.8084297597268597</x:v>
      </x:c>
      <x:c r="J67" s="23" t="n">
        <x:v>9</x:v>
      </x:c>
      <x:c r="K67" s="23" t="n">
        <x:v>197.60970618016023</x:v>
      </x:c>
      <x:c r="L67" s="23" t="n">
        <x:v>50</x:v>
      </x:c>
      <x:c r="M67" s="23" t="n">
        <x:v>25</x:v>
      </x:c>
      <x:c r="N67" s="23" t="n">
        <x:v>1.2145008812544025</x:v>
      </x:c>
      <x:c r="O67" s="23" t="n">
        <x:v>52.20813498443437</x:v>
      </x:c>
      <x:c r="P67" s="23" t="n">
        <x:v>1437.7821055823006</x:v>
      </x:c>
      <x:c r="Q67" s="23" t="n">
        <x:v>1.2022139090304624</x:v>
      </x:c>
      <x:c r="R67" s="23" t="n">
        <x:v>51.71128002215678</x:v>
      </x:c>
      <x:c r="S67" s="23" t="n">
        <x:v>1442.3113905389494</x:v>
      </x:c>
      <x:c r="T67" s="23" t="n">
        <x:v>-0.01228697222394004</x:v>
      </x:c>
      <x:c r="U67" s="23" t="n">
        <x:v>-0.4968549622775953</x:v>
      </x:c>
      <x:c r="V67" s="23" t="n">
        <x:v>4.52928495664878</x:v>
      </x:c>
    </x:row>
    <x:row r="68">
      <x:c r="A68" s="23" t="n">
        <x:v>67</x:v>
      </x:c>
      <x:c r="B68" s="23" t="str">
        <x:v>Train</x:v>
      </x:c>
      <x:c r="C68" s="23" t="str">
        <x:v>Lightning</x:v>
      </x:c>
      <x:c r="D68" s="23" t="n">
        <x:v>1392.8062971448526</x:v>
      </x:c>
      <x:c r="E68" s="23" t="n">
        <x:v>977.716003882233</x:v>
      </x:c>
      <x:c r="F68" s="23" t="n">
        <x:v>463.72692696750164</x:v>
      </x:c>
      <x:c r="G68" s="23" t="n">
        <x:v>209.711106128525</x:v>
      </x:c>
      <x:c r="H68" s="23" t="n">
        <x:v>24.539210711605847</x:v>
      </x:c>
      <x:c r="I68" s="23" t="n">
        <x:v>0.837419371760916</x:v>
      </x:c>
      <x:c r="J68" s="23" t="n">
        <x:v>9</x:v>
      </x:c>
      <x:c r="K68" s="23" t="n">
        <x:v>184.80137963956727</x:v>
      </x:c>
      <x:c r="L68" s="23" t="n">
        <x:v>45</x:v>
      </x:c>
      <x:c r="M68" s="23" t="n">
        <x:v>25</x:v>
      </x:c>
      <x:c r="N68" s="23" t="n">
        <x:v>1.2367903003005827</x:v>
      </x:c>
      <x:c r="O68" s="23" t="n">
        <x:v>52.23245619321583</x:v>
      </x:c>
      <x:c r="P68" s="23" t="n">
        <x:v>1392.8062971448526</x:v>
      </x:c>
      <x:c r="Q68" s="23" t="n">
        <x:v>1.2229807054219703</x:v>
      </x:c>
      <x:c r="R68" s="23" t="n">
        <x:v>52.84699828665618</x:v>
      </x:c>
      <x:c r="S68" s="23" t="n">
        <x:v>1385.0264278162492</x:v>
      </x:c>
      <x:c r="T68" s="23" t="n">
        <x:v>-0.01380959487861233</x:v>
      </x:c>
      <x:c r="U68" s="23" t="n">
        <x:v>0.6145420934403489</x:v>
      </x:c>
      <x:c r="V68" s="23" t="n">
        <x:v>-7.779869328603354</x:v>
      </x:c>
    </x:row>
    <x:row r="69">
      <x:c r="A69" s="23" t="n">
        <x:v>68</x:v>
      </x:c>
      <x:c r="B69" s="23" t="str">
        <x:v>Train</x:v>
      </x:c>
      <x:c r="C69" s="23" t="str">
        <x:v>Lightning</x:v>
      </x:c>
      <x:c r="D69" s="23" t="n">
        <x:v>1452.3369840695523</x:v>
      </x:c>
      <x:c r="E69" s="23" t="n">
        <x:v>1049.8804588336498</x:v>
      </x:c>
      <x:c r="F69" s="23" t="n">
        <x:v>580.2672388963401</x:v>
      </x:c>
      <x:c r="G69" s="23" t="n">
        <x:v>123.9069498097524</x:v>
      </x:c>
      <x:c r="H69" s="23" t="n">
        <x:v>10.169118277262896</x:v>
      </x:c>
      <x:c r="I69" s="23" t="n">
        <x:v>0.8052534977160395</x:v>
      </x:c>
      <x:c r="J69" s="23" t="n">
        <x:v>10</x:v>
      </x:c>
      <x:c r="K69" s="23" t="n">
        <x:v>180.35773681068778</x:v>
      </x:c>
      <x:c r="L69" s="23" t="n">
        <x:v>40</x:v>
      </x:c>
      <x:c r="M69" s="23" t="n">
        <x:v>25</x:v>
      </x:c>
      <x:c r="N69" s="23" t="n">
        <x:v>1.2236282776561755</x:v>
      </x:c>
      <x:c r="O69" s="23" t="n">
        <x:v>52.27888996768626</x:v>
      </x:c>
      <x:c r="P69" s="23" t="n">
        <x:v>1452.3369840695523</x:v>
      </x:c>
      <x:c r="Q69" s="23" t="n">
        <x:v>1.2226988841364104</x:v>
      </x:c>
      <x:c r="R69" s="23" t="n">
        <x:v>53.62787464446491</x:v>
      </x:c>
      <x:c r="S69" s="23" t="n">
        <x:v>1455.5116326027787</x:v>
      </x:c>
      <x:c r="T69" s="23" t="n">
        <x:v>-0.0009293935197651759</x:v>
      </x:c>
      <x:c r="U69" s="23" t="n">
        <x:v>1.3489846767786489</x:v>
      </x:c>
      <x:c r="V69" s="23" t="n">
        <x:v>3.1746485332264456</x:v>
      </x:c>
    </x:row>
    <x:row r="70">
      <x:c r="A70" s="23" t="n">
        <x:v>69</x:v>
      </x:c>
      <x:c r="B70" s="23" t="str">
        <x:v>Train</x:v>
      </x:c>
      <x:c r="C70" s="23" t="str">
        <x:v>Lightning</x:v>
      </x:c>
      <x:c r="D70" s="23" t="n">
        <x:v>1399.6517332736403</x:v>
      </x:c>
      <x:c r="E70" s="23" t="n">
        <x:v>759.1958420234732</x:v>
      </x:c>
      <x:c r="F70" s="23" t="n">
        <x:v>419.1620333120227</x:v>
      </x:c>
      <x:c r="G70" s="23" t="n">
        <x:v>97.45367731200531</x:v>
      </x:c>
      <x:c r="H70" s="23" t="n">
        <x:v>20.429538778960705</x:v>
      </x:c>
      <x:c r="I70" s="23" t="n">
        <x:v>0.8575485521764494</x:v>
      </x:c>
      <x:c r="J70" s="23" t="n">
        <x:v>9</x:v>
      </x:c>
      <x:c r="K70" s="23" t="n">
        <x:v>181.35050063104472</x:v>
      </x:c>
      <x:c r="L70" s="23" t="n">
        <x:v>60</x:v>
      </x:c>
      <x:c r="M70" s="23" t="n">
        <x:v>25</x:v>
      </x:c>
      <x:c r="N70" s="23" t="n">
        <x:v>1.226963104502302</x:v>
      </x:c>
      <x:c r="O70" s="23" t="n">
        <x:v>52.17393091634656</x:v>
      </x:c>
      <x:c r="P70" s="23" t="n">
        <x:v>1399.6517332736403</x:v>
      </x:c>
      <x:c r="Q70" s="23" t="n">
        <x:v>1.2159483788296976</x:v>
      </x:c>
      <x:c r="R70" s="23" t="n">
        <x:v>50.817261437520685</x:v>
      </x:c>
      <x:c r="S70" s="23" t="n">
        <x:v>1407.2693521499284</x:v>
      </x:c>
      <x:c r="T70" s="23" t="n">
        <x:v>-0.011014725672604309</x:v>
      </x:c>
      <x:c r="U70" s="23" t="n">
        <x:v>-1.3566694788258786</x:v>
      </x:c>
      <x:c r="V70" s="23" t="n">
        <x:v>7.617618876288134</x:v>
      </x:c>
    </x:row>
    <x:row r="71">
      <x:c r="A71" s="23" t="n">
        <x:v>70</x:v>
      </x:c>
      <x:c r="B71" s="23" t="str">
        <x:v>Train</x:v>
      </x:c>
      <x:c r="C71" s="23" t="str">
        <x:v>Lightning</x:v>
      </x:c>
      <x:c r="D71" s="23" t="n">
        <x:v>1430.1515317638405</x:v>
      </x:c>
      <x:c r="E71" s="23" t="n">
        <x:v>876.5507440781221</x:v>
      </x:c>
      <x:c r="F71" s="23" t="n">
        <x:v>553.5266575403512</x:v>
      </x:c>
      <x:c r="G71" s="23" t="n">
        <x:v>145.04346383735538</x:v>
      </x:c>
      <x:c r="H71" s="23" t="n">
        <x:v>10.698156310711056</x:v>
      </x:c>
      <x:c r="I71" s="23" t="n">
        <x:v>0.8149027600279078</x:v>
      </x:c>
      <x:c r="J71" s="23" t="n">
        <x:v>9</x:v>
      </x:c>
      <x:c r="K71" s="23" t="n">
        <x:v>194.99961657522894</x:v>
      </x:c>
      <x:c r="L71" s="23" t="n">
        <x:v>50</x:v>
      </x:c>
      <x:c r="M71" s="23" t="n">
        <x:v>25</x:v>
      </x:c>
      <x:c r="N71" s="23" t="n">
        <x:v>1.2323320115897436</x:v>
      </x:c>
      <x:c r="O71" s="23" t="n">
        <x:v>52.220600720946194</x:v>
      </x:c>
      <x:c r="P71" s="23" t="n">
        <x:v>1430.1515317638405</x:v>
      </x:c>
      <x:c r="Q71" s="23" t="n">
        <x:v>1.2297579891803148</x:v>
      </x:c>
      <x:c r="R71" s="23" t="n">
        <x:v>53.16879843942819</x:v>
      </x:c>
      <x:c r="S71" s="23" t="n">
        <x:v>1444.7465579712218</x:v>
      </x:c>
      <x:c r="T71" s="23" t="n">
        <x:v>-0.0025740224094288333</x:v>
      </x:c>
      <x:c r="U71" s="23" t="n">
        <x:v>0.9481977184819925</x:v>
      </x:c>
      <x:c r="V71" s="23" t="n">
        <x:v>14.595026207381352</x:v>
      </x:c>
    </x:row>
    <x:row r="72">
      <x:c r="A72" s="23" t="n">
        <x:v>71</x:v>
      </x:c>
      <x:c r="B72" s="23" t="str">
        <x:v>Train</x:v>
      </x:c>
      <x:c r="C72" s="23" t="str">
        <x:v>Lightning</x:v>
      </x:c>
      <x:c r="D72" s="23" t="n">
        <x:v>1358.8952935533598</x:v>
      </x:c>
      <x:c r="E72" s="23" t="n">
        <x:v>1136.9524426874705</x:v>
      </x:c>
      <x:c r="F72" s="23" t="n">
        <x:v>422.68218100070953</x:v>
      </x:c>
      <x:c r="G72" s="23" t="n">
        <x:v>206.09837198397145</x:v>
      </x:c>
      <x:c r="H72" s="23" t="n">
        <x:v>25.744637968949974</x:v>
      </x:c>
      <x:c r="I72" s="23" t="n">
        <x:v>0.8304369695461356</x:v>
      </x:c>
      <x:c r="J72" s="23" t="n">
        <x:v>9</x:v>
      </x:c>
      <x:c r="K72" s="23" t="n">
        <x:v>181.8179723295484</x:v>
      </x:c>
      <x:c r="L72" s="23" t="n">
        <x:v>40</x:v>
      </x:c>
      <x:c r="M72" s="23" t="n">
        <x:v>25</x:v>
      </x:c>
      <x:c r="N72" s="23" t="n">
        <x:v>1.2016041186367243</x:v>
      </x:c>
      <x:c r="O72" s="23" t="n">
        <x:v>52.25032191735018</x:v>
      </x:c>
      <x:c r="P72" s="23" t="n">
        <x:v>1358.8952935533598</x:v>
      </x:c>
      <x:c r="Q72" s="23" t="n">
        <x:v>1.188977129965093</x:v>
      </x:c>
      <x:c r="R72" s="23" t="n">
        <x:v>53.54963472528607</x:v>
      </x:c>
      <x:c r="S72" s="23" t="n">
        <x:v>1351.331892537328</x:v>
      </x:c>
      <x:c r="T72" s="23" t="n">
        <x:v>-0.012626988671631256</x:v>
      </x:c>
      <x:c r="U72" s="23" t="n">
        <x:v>1.299312807935891</x:v>
      </x:c>
      <x:c r="V72" s="23" t="n">
        <x:v>-7.563401016031776</x:v>
      </x:c>
    </x:row>
    <x:row r="73">
      <x:c r="A73" s="23" t="n">
        <x:v>72</x:v>
      </x:c>
      <x:c r="B73" s="23" t="str">
        <x:v>Train</x:v>
      </x:c>
      <x:c r="C73" s="23" t="str">
        <x:v>Lightning</x:v>
      </x:c>
      <x:c r="D73" s="23" t="n">
        <x:v>1453.8600531290285</x:v>
      </x:c>
      <x:c r="E73" s="23" t="n">
        <x:v>1208.1607659347355</x:v>
      </x:c>
      <x:c r="F73" s="23" t="n">
        <x:v>351.4533526264131</x:v>
      </x:c>
      <x:c r="G73" s="23" t="n">
        <x:v>102.62979338411242</x:v>
      </x:c>
      <x:c r="H73" s="23" t="n">
        <x:v>22.594772098120302</x:v>
      </x:c>
      <x:c r="I73" s="23" t="n">
        <x:v>0.7907003789488226</x:v>
      </x:c>
      <x:c r="J73" s="23" t="n">
        <x:v>10</x:v>
      </x:c>
      <x:c r="K73" s="23" t="n">
        <x:v>183.86990721590743</x:v>
      </x:c>
      <x:c r="L73" s="23" t="n">
        <x:v>40</x:v>
      </x:c>
      <x:c r="M73" s="23" t="n">
        <x:v>25</x:v>
      </x:c>
      <x:c r="N73" s="23" t="n">
        <x:v>1.222622303355126</x:v>
      </x:c>
      <x:c r="O73" s="23" t="n">
        <x:v>52.26298375774452</x:v>
      </x:c>
      <x:c r="P73" s="23" t="n">
        <x:v>1453.8600531290285</x:v>
      </x:c>
      <x:c r="Q73" s="23" t="n">
        <x:v>1.2206385769241959</x:v>
      </x:c>
      <x:c r="R73" s="23" t="n">
        <x:v>52.558935613630005</x:v>
      </x:c>
      <x:c r="S73" s="23" t="n">
        <x:v>1445.3365025500225</x:v>
      </x:c>
      <x:c r="T73" s="23" t="n">
        <x:v>-0.001983726430930144</x:v>
      </x:c>
      <x:c r="U73" s="23" t="n">
        <x:v>0.2959518558854839</x:v>
      </x:c>
      <x:c r="V73" s="23" t="n">
        <x:v>-8.523550579006042</x:v>
      </x:c>
    </x:row>
    <x:row r="74">
      <x:c r="A74" s="23" t="n">
        <x:v>73</x:v>
      </x:c>
      <x:c r="B74" s="23" t="str">
        <x:v>Train</x:v>
      </x:c>
      <x:c r="C74" s="23" t="str">
        <x:v>Lightning</x:v>
      </x:c>
      <x:c r="D74" s="23" t="n">
        <x:v>1372.0306986942887</x:v>
      </x:c>
      <x:c r="E74" s="23" t="n">
        <x:v>748.001996462699</x:v>
      </x:c>
      <x:c r="F74" s="23" t="n">
        <x:v>704.8346193507314</x:v>
      </x:c>
      <x:c r="G74" s="23" t="n">
        <x:v>323.25122829759493</x:v>
      </x:c>
      <x:c r="H74" s="23" t="n">
        <x:v>13.26231617294252</x:v>
      </x:c>
      <x:c r="I74" s="23" t="n">
        <x:v>0.8091585626569577</x:v>
      </x:c>
      <x:c r="J74" s="23" t="n">
        <x:v>9</x:v>
      </x:c>
      <x:c r="K74" s="23" t="n">
        <x:v>188.4029440532618</x:v>
      </x:c>
      <x:c r="L74" s="23" t="n">
        <x:v>40</x:v>
      </x:c>
      <x:c r="M74" s="23" t="n">
        <x:v>25</x:v>
      </x:c>
      <x:c r="N74" s="23" t="n">
        <x:v>1.1421008333254792</x:v>
      </x:c>
      <x:c r="O74" s="23" t="n">
        <x:v>52.251936497093006</x:v>
      </x:c>
      <x:c r="P74" s="23" t="n">
        <x:v>1372.0306986942887</x:v>
      </x:c>
      <x:c r="Q74" s="23" t="n">
        <x:v>1.1470751738886709</x:v>
      </x:c>
      <x:c r="R74" s="23" t="n">
        <x:v>52.05881840524189</x:v>
      </x:c>
      <x:c r="S74" s="23" t="n">
        <x:v>1367.0368510170806</x:v>
      </x:c>
      <x:c r="T74" s="23" t="n">
        <x:v>0.0049743405631916815</x:v>
      </x:c>
      <x:c r="U74" s="23" t="n">
        <x:v>-0.19311809185111883</x:v>
      </x:c>
      <x:c r="V74" s="23" t="n">
        <x:v>-4.993847677208123</x:v>
      </x:c>
    </x:row>
    <x:row r="75">
      <x:c r="A75" s="23" t="n">
        <x:v>74</x:v>
      </x:c>
      <x:c r="B75" s="23" t="str">
        <x:v>Train</x:v>
      </x:c>
      <x:c r="C75" s="23" t="str">
        <x:v>Lightning</x:v>
      </x:c>
      <x:c r="D75" s="23" t="n">
        <x:v>1401.5314587042667</x:v>
      </x:c>
      <x:c r="E75" s="23" t="n">
        <x:v>759.0763002866879</x:v>
      </x:c>
      <x:c r="F75" s="23" t="n">
        <x:v>369.80238864198327</x:v>
      </x:c>
      <x:c r="G75" s="23" t="n">
        <x:v>120.86342896334827</x:v>
      </x:c>
      <x:c r="H75" s="23" t="n">
        <x:v>8.713874523062259</x:v>
      </x:c>
      <x:c r="I75" s="23" t="n">
        <x:v>0.8001308951200917</x:v>
      </x:c>
      <x:c r="J75" s="23" t="n">
        <x:v>9</x:v>
      </x:c>
      <x:c r="K75" s="23" t="n">
        <x:v>194.62530266430284</x:v>
      </x:c>
      <x:c r="L75" s="23" t="n">
        <x:v>60</x:v>
      </x:c>
      <x:c r="M75" s="23" t="n">
        <x:v>25</x:v>
      </x:c>
      <x:c r="N75" s="23" t="n">
        <x:v>1.1602141122340828</x:v>
      </x:c>
      <x:c r="O75" s="23" t="n">
        <x:v>52.169866039732305</x:v>
      </x:c>
      <x:c r="P75" s="23" t="n">
        <x:v>1401.5314587042667</x:v>
      </x:c>
      <x:c r="Q75" s="23" t="n">
        <x:v>1.1470360548077676</x:v>
      </x:c>
      <x:c r="R75" s="23" t="n">
        <x:v>51.716884600805315</x:v>
      </x:c>
      <x:c r="S75" s="23" t="n">
        <x:v>1427.9706437526452</x:v>
      </x:c>
      <x:c r="T75" s="23" t="n">
        <x:v>-0.01317805742631517</x:v>
      </x:c>
      <x:c r="U75" s="23" t="n">
        <x:v>-0.45298143892699017</x:v>
      </x:c>
      <x:c r="V75" s="23" t="n">
        <x:v>26.439185048378476</x:v>
      </x:c>
    </x:row>
    <x:row r="76">
      <x:c r="A76" s="23" t="n">
        <x:v>75</x:v>
      </x:c>
      <x:c r="B76" s="23" t="str">
        <x:v>Validation</x:v>
      </x:c>
      <x:c r="C76" s="23" t="str">
        <x:v>Lightning</x:v>
      </x:c>
      <x:c r="D76" s="23" t="n">
        <x:v>1408.1268260953948</x:v>
      </x:c>
      <x:c r="E76" s="23" t="n">
        <x:v>1209.3387427390553</x:v>
      </x:c>
      <x:c r="F76" s="23" t="n">
        <x:v>580.2780974656343</x:v>
      </x:c>
      <x:c r="G76" s="23" t="n">
        <x:v>170.38198384223506</x:v>
      </x:c>
      <x:c r="H76" s="23" t="n">
        <x:v>19.499135077930987</x:v>
      </x:c>
      <x:c r="I76" s="23" t="n">
        <x:v>0.8186652815225535</x:v>
      </x:c>
      <x:c r="J76" s="23" t="n">
        <x:v>9</x:v>
      </x:c>
      <x:c r="K76" s="23" t="n">
        <x:v>191.11417054579388</x:v>
      </x:c>
      <x:c r="L76" s="23" t="n">
        <x:v>35</x:v>
      </x:c>
      <x:c r="M76" s="23" t="n">
        <x:v>25</x:v>
      </x:c>
      <x:c r="N76" s="23" t="n">
        <x:v>1.1530597292233933</x:v>
      </x:c>
      <x:c r="O76" s="23" t="n">
        <x:v>52.28061281663951</x:v>
      </x:c>
      <x:c r="P76" s="23" t="n">
        <x:v>1408.1268260953948</x:v>
      </x:c>
      <x:c r="Q76" s="23" t="n">
        <x:v>1.1713772097199413</x:v>
      </x:c>
      <x:c r="R76" s="23" t="n">
        <x:v>52.45321754645057</x:v>
      </x:c>
      <x:c r="S76" s="23" t="n">
        <x:v>1396.096463422567</x:v>
      </x:c>
      <x:c r="T76" s="23" t="n">
        <x:v>0.018317480496548022</x:v>
      </x:c>
      <x:c r="U76" s="23" t="n">
        <x:v>0.1726047298110558</x:v>
      </x:c>
      <x:c r="V76" s="23" t="n">
        <x:v>-12.030362672827778</x:v>
      </x:c>
    </x:row>
    <x:row r="77">
      <x:c r="A77" s="23" t="n">
        <x:v>76</x:v>
      </x:c>
      <x:c r="B77" s="23" t="str">
        <x:v>Validation</x:v>
      </x:c>
      <x:c r="C77" s="23" t="str">
        <x:v>Lightning</x:v>
      </x:c>
      <x:c r="D77" s="23" t="n">
        <x:v>1384.7573960549198</x:v>
      </x:c>
      <x:c r="E77" s="23" t="n">
        <x:v>773.6735490616411</x:v>
      </x:c>
      <x:c r="F77" s="23" t="n">
        <x:v>668.5821603052318</x:v>
      </x:c>
      <x:c r="G77" s="23" t="n">
        <x:v>120.5057844473049</x:v>
      </x:c>
      <x:c r="H77" s="23" t="n">
        <x:v>25.58892461983487</x:v>
      </x:c>
      <x:c r="I77" s="23" t="n">
        <x:v>0.8089201283082367</x:v>
      </x:c>
      <x:c r="J77" s="23" t="n">
        <x:v>9</x:v>
      </x:c>
      <x:c r="K77" s="23" t="n">
        <x:v>190.20658222063977</x:v>
      </x:c>
      <x:c r="L77" s="23" t="n">
        <x:v>45</x:v>
      </x:c>
      <x:c r="M77" s="23" t="n">
        <x:v>25</x:v>
      </x:c>
      <x:c r="N77" s="23" t="n">
        <x:v>1.1815284492130445</x:v>
      </x:c>
      <x:c r="O77" s="23" t="n">
        <x:v>52.218673585922964</x:v>
      </x:c>
      <x:c r="P77" s="23" t="n">
        <x:v>1384.7573960549198</x:v>
      </x:c>
      <x:c r="Q77" s="23" t="n">
        <x:v>1.178054571672492</x:v>
      </x:c>
      <x:c r="R77" s="23" t="n">
        <x:v>51.49834763060636</x:v>
      </x:c>
      <x:c r="S77" s="23" t="n">
        <x:v>1380.4985205500911</x:v>
      </x:c>
      <x:c r="T77" s="23" t="n">
        <x:v>-0.0034738775405525057</x:v>
      </x:c>
      <x:c r="U77" s="23" t="n">
        <x:v>-0.7203259553166035</x:v>
      </x:c>
      <x:c r="V77" s="23" t="n">
        <x:v>-4.258875504828666</x:v>
      </x:c>
    </x:row>
    <x:row r="78">
      <x:c r="A78" s="23" t="n">
        <x:v>77</x:v>
      </x:c>
      <x:c r="B78" s="23" t="str">
        <x:v>Validation</x:v>
      </x:c>
      <x:c r="C78" s="23" t="str">
        <x:v>Lightning</x:v>
      </x:c>
      <x:c r="D78" s="23" t="n">
        <x:v>1496.223778417334</x:v>
      </x:c>
      <x:c r="E78" s="23" t="n">
        <x:v>687.4480045284145</x:v>
      </x:c>
      <x:c r="F78" s="23" t="n">
        <x:v>653.4965177997947</x:v>
      </x:c>
      <x:c r="G78" s="23" t="n">
        <x:v>102.32368272962049</x:v>
      </x:c>
      <x:c r="H78" s="23" t="n">
        <x:v>20.057101298123598</x:v>
      </x:c>
      <x:c r="I78" s="23" t="n">
        <x:v>0.8082374009513297</x:v>
      </x:c>
      <x:c r="J78" s="23" t="n">
        <x:v>10</x:v>
      </x:c>
      <x:c r="K78" s="23" t="n">
        <x:v>185.12181899231774</x:v>
      </x:c>
      <x:c r="L78" s="23" t="n">
        <x:v>45</x:v>
      </x:c>
      <x:c r="M78" s="23" t="n">
        <x:v>25</x:v>
      </x:c>
      <x:c r="N78" s="23" t="n">
        <x:v>1.173977480395637</x:v>
      </x:c>
      <x:c r="O78" s="23" t="n">
        <x:v>52.225046216526266</x:v>
      </x:c>
      <x:c r="P78" s="23" t="n">
        <x:v>1496.223778417334</x:v>
      </x:c>
      <x:c r="Q78" s="23" t="n">
        <x:v>1.1585793027145217</x:v>
      </x:c>
      <x:c r="R78" s="23" t="n">
        <x:v>51.4457209405526</x:v>
      </x:c>
      <x:c r="S78" s="23" t="n">
        <x:v>1503.9249996466529</x:v>
      </x:c>
      <x:c r="T78" s="23" t="n">
        <x:v>-0.0153981776811154</x:v>
      </x:c>
      <x:c r="U78" s="23" t="n">
        <x:v>-0.7793252759736689</x:v>
      </x:c>
      <x:c r="V78" s="23" t="n">
        <x:v>7.7012212293188895</x:v>
      </x:c>
    </x:row>
    <x:row r="79">
      <x:c r="A79" s="23" t="n">
        <x:v>78</x:v>
      </x:c>
      <x:c r="B79" s="23" t="str">
        <x:v>Hidden Test</x:v>
      </x:c>
      <x:c r="C79" s="23" t="str">
        <x:v>Lightning</x:v>
      </x:c>
      <x:c r="D79" s="23" t="n">
        <x:v>1471.7707457137294</x:v>
      </x:c>
      <x:c r="E79" s="23" t="n">
        <x:v>1188.98381262552</x:v>
      </x:c>
      <x:c r="F79" s="23" t="n">
        <x:v>555.6336467154324</x:v>
      </x:c>
      <x:c r="G79" s="23" t="n">
        <x:v>105.14137141406536</x:v>
      </x:c>
      <x:c r="H79" s="23" t="n">
        <x:v>8.023759151343256</x:v>
      </x:c>
      <x:c r="I79" s="23" t="n">
        <x:v>0.8501200887514279</x:v>
      </x:c>
      <x:c r="J79" s="23" t="n">
        <x:v>9</x:v>
      </x:c>
      <x:c r="K79" s="23" t="n">
        <x:v>192.36115581888888</x:v>
      </x:c>
      <x:c r="L79" s="23" t="n">
        <x:v>40</x:v>
      </x:c>
      <x:c r="M79" s="23" t="n">
        <x:v>25</x:v>
      </x:c>
      <x:c r="N79" s="23" t="n">
        <x:v>1.1576670916713747</x:v>
      </x:c>
      <x:c r="O79" s="23" t="n">
        <x:v>52.26342364568548</x:v>
      </x:c>
      <x:c r="P79" s="23" t="n">
        <x:v>1471.7707457137294</x:v>
      </x:c>
      <x:c r="Q79" s="23" t="n">
        <x:v>1.1704721999135872</x:v>
      </x:c>
      <x:c r="R79" s="23" t="n">
        <x:v>54.06062688148506</x:v>
      </x:c>
      <x:c r="S79" s="23" t="n">
        <x:v>1468.8211750610722</x:v>
      </x:c>
      <x:c r="T79" s="23" t="n">
        <x:v>0.012805108242212482</x:v>
      </x:c>
      <x:c r="U79" s="23" t="n">
        <x:v>1.7972032357995786</x:v>
      </x:c>
      <x:c r="V79" s="23" t="n">
        <x:v>-2.9495706526572576</x:v>
      </x:c>
    </x:row>
    <x:row r="80">
      <x:c r="A80" s="23" t="n">
        <x:v>79</x:v>
      </x:c>
      <x:c r="B80" s="23" t="str">
        <x:v>Hidden Test</x:v>
      </x:c>
      <x:c r="C80" s="23" t="str">
        <x:v>Lightning</x:v>
      </x:c>
      <x:c r="D80" s="23" t="n">
        <x:v>1471.1461579659954</x:v>
      </x:c>
      <x:c r="E80" s="23" t="n">
        <x:v>1223.9936922793277</x:v>
      </x:c>
      <x:c r="F80" s="23" t="n">
        <x:v>383.2833416759968</x:v>
      </x:c>
      <x:c r="G80" s="23" t="n">
        <x:v>235.45651729917154</x:v>
      </x:c>
      <x:c r="H80" s="23" t="n">
        <x:v>14.025746910832822</x:v>
      </x:c>
      <x:c r="I80" s="23" t="n">
        <x:v>0.8331780662923121</x:v>
      </x:c>
      <x:c r="J80" s="23" t="n">
        <x:v>9</x:v>
      </x:c>
      <x:c r="K80" s="23" t="n">
        <x:v>196.1893751546448</x:v>
      </x:c>
      <x:c r="L80" s="23" t="n">
        <x:v>40</x:v>
      </x:c>
      <x:c r="M80" s="23" t="n">
        <x:v>25</x:v>
      </x:c>
      <x:c r="N80" s="23" t="n">
        <x:v>1.1863968691838083</x:v>
      </x:c>
      <x:c r="O80" s="23" t="n">
        <x:v>52.26232822897935</x:v>
      </x:c>
      <x:c r="P80" s="23" t="n">
        <x:v>1471.1461579659954</x:v>
      </x:c>
      <x:c r="Q80" s="23" t="n">
        <x:v>1.1939777092063242</x:v>
      </x:c>
      <x:c r="R80" s="23" t="n">
        <x:v>53.76684496518875</x:v>
      </x:c>
      <x:c r="S80" s="23" t="n">
        <x:v>1476.4682215260634</x:v>
      </x:c>
      <x:c r="T80" s="23" t="n">
        <x:v>0.007580840022515911</x:v>
      </x:c>
      <x:c r="U80" s="23" t="n">
        <x:v>1.5045167362094034</x:v>
      </x:c>
      <x:c r="V80" s="23" t="n">
        <x:v>5.322063560068045</x:v>
      </x:c>
    </x:row>
    <x:row r="81">
      <x:c r="A81" s="23" t="n">
        <x:v>80</x:v>
      </x:c>
      <x:c r="B81" s="23" t="str">
        <x:v>Hidden Test</x:v>
      </x:c>
      <x:c r="C81" s="23" t="str">
        <x:v>Lightning</x:v>
      </x:c>
      <x:c r="D81" s="23" t="n">
        <x:v>1469.1235348465852</x:v>
      </x:c>
      <x:c r="E81" s="23" t="n">
        <x:v>761.4197356626391</x:v>
      </x:c>
      <x:c r="F81" s="23" t="n">
        <x:v>404.7372533939779</x:v>
      </x:c>
      <x:c r="G81" s="23" t="n">
        <x:v>93.2080001058057</x:v>
      </x:c>
      <x:c r="H81" s="23" t="n">
        <x:v>17.27459363033995</x:v>
      </x:c>
      <x:c r="I81" s="23" t="n">
        <x:v>0.7968601177539677</x:v>
      </x:c>
      <x:c r="J81" s="23" t="n">
        <x:v>10</x:v>
      </x:c>
      <x:c r="K81" s="23" t="n">
        <x:v>184.36404358991655</x:v>
      </x:c>
      <x:c r="L81" s="23" t="n">
        <x:v>55</x:v>
      </x:c>
      <x:c r="M81" s="23" t="n">
        <x:v>25</x:v>
      </x:c>
      <x:c r="N81" s="23" t="n">
        <x:v>1.2205319267022898</x:v>
      </x:c>
      <x:c r="O81" s="23" t="n">
        <x:v>52.19318498437239</x:v>
      </x:c>
      <x:c r="P81" s="23" t="n">
        <x:v>1469.1235348465852</x:v>
      </x:c>
      <x:c r="Q81" s="23" t="n">
        <x:v>1.213614589096726</x:v>
      </x:c>
      <x:c r="R81" s="23" t="n">
        <x:v>52.26039799021371</x:v>
      </x:c>
      <x:c r="S81" s="23" t="n">
        <x:v>1479.9013543817127</x:v>
      </x:c>
      <x:c r="T81" s="23" t="n">
        <x:v>-0.006917337605563789</x:v>
      </x:c>
      <x:c r="U81" s="23" t="n">
        <x:v>0.0672130058413245</x:v>
      </x:c>
      <x:c r="V81" s="23" t="n">
        <x:v>10.777819535127492</x:v>
      </x:c>
    </x:row>
    <x:row r="82">
      <x:c r="A82" s="23" t="n">
        <x:v>81</x:v>
      </x:c>
      <x:c r="B82" s="23" t="str">
        <x:v>Train</x:v>
      </x:c>
      <x:c r="C82" s="23" t="str">
        <x:v>Lightning</x:v>
      </x:c>
      <x:c r="D82" s="23" t="n">
        <x:v>1357.322169933468</x:v>
      </x:c>
      <x:c r="E82" s="23" t="n">
        <x:v>688.047708326485</x:v>
      </x:c>
      <x:c r="F82" s="23" t="n">
        <x:v>543.9361998811364</x:v>
      </x:c>
      <x:c r="G82" s="23" t="n">
        <x:v>172.20896108308807</x:v>
      </x:c>
      <x:c r="H82" s="23" t="n">
        <x:v>23.836816193535924</x:v>
      </x:c>
      <x:c r="I82" s="23" t="n">
        <x:v>0.8143983115931042</x:v>
      </x:c>
      <x:c r="J82" s="23" t="n">
        <x:v>9</x:v>
      </x:c>
      <x:c r="K82" s="23" t="n">
        <x:v>185.18404604994151</x:v>
      </x:c>
      <x:c r="L82" s="23" t="n">
        <x:v>50</x:v>
      </x:c>
      <x:c r="M82" s="23" t="n">
        <x:v>25</x:v>
      </x:c>
      <x:c r="N82" s="23" t="n">
        <x:v>1.1605714655121355</x:v>
      </x:c>
      <x:c r="O82" s="23" t="n">
        <x:v>52.19394877314415</x:v>
      </x:c>
      <x:c r="P82" s="23" t="n">
        <x:v>1357.322169933468</x:v>
      </x:c>
      <x:c r="Q82" s="23" t="n">
        <x:v>1.1623488761220877</x:v>
      </x:c>
      <x:c r="R82" s="23" t="n">
        <x:v>51.45523911986082</x:v>
      </x:c>
      <x:c r="S82" s="23" t="n">
        <x:v>1350.1400320525563</x:v>
      </x:c>
      <x:c r="T82" s="23" t="n">
        <x:v>0.0017774106099521791</x:v>
      </x:c>
      <x:c r="U82" s="23" t="n">
        <x:v>-0.7387096532833297</x:v>
      </x:c>
      <x:c r="V82" s="23" t="n">
        <x:v>-7.182137880911796</x:v>
      </x:c>
    </x:row>
    <x:row r="83">
      <x:c r="A83" s="23" t="n">
        <x:v>82</x:v>
      </x:c>
      <x:c r="B83" s="23" t="str">
        <x:v>Train</x:v>
      </x:c>
      <x:c r="C83" s="23" t="str">
        <x:v>Lightning</x:v>
      </x:c>
      <x:c r="D83" s="23" t="n">
        <x:v>1378.568555752281</x:v>
      </x:c>
      <x:c r="E83" s="23" t="n">
        <x:v>1079.5863003702834</x:v>
      </x:c>
      <x:c r="F83" s="23" t="n">
        <x:v>559.2726328410208</x:v>
      </x:c>
      <x:c r="G83" s="23" t="n">
        <x:v>94.75430582650006</x:v>
      </x:c>
      <x:c r="H83" s="23" t="n">
        <x:v>27.353210643399507</x:v>
      </x:c>
      <x:c r="I83" s="23" t="n">
        <x:v>0.8286263180756942</x:v>
      </x:c>
      <x:c r="J83" s="23" t="n">
        <x:v>9</x:v>
      </x:c>
      <x:c r="K83" s="23" t="n">
        <x:v>184.8532693581226</x:v>
      </x:c>
      <x:c r="L83" s="23" t="n">
        <x:v>40</x:v>
      </x:c>
      <x:c r="M83" s="23" t="n">
        <x:v>25</x:v>
      </x:c>
      <x:c r="N83" s="23" t="n">
        <x:v>1.1903380992558217</x:v>
      </x:c>
      <x:c r="O83" s="23" t="n">
        <x:v>52.24531364429697</x:v>
      </x:c>
      <x:c r="P83" s="23" t="n">
        <x:v>1378.568555752281</x:v>
      </x:c>
      <x:c r="Q83" s="23" t="n">
        <x:v>1.1926674881368933</x:v>
      </x:c>
      <x:c r="R83" s="23" t="n">
        <x:v>53.11994756505095</x:v>
      </x:c>
      <x:c r="S83" s="23" t="n">
        <x:v>1361.0435555347362</x:v>
      </x:c>
      <x:c r="T83" s="23" t="n">
        <x:v>0.0023293888810715924</x:v>
      </x:c>
      <x:c r="U83" s="23" t="n">
        <x:v>0.874633920753979</x:v>
      </x:c>
      <x:c r="V83" s="23" t="n">
        <x:v>-17.525000217544857</x:v>
      </x:c>
    </x:row>
    <x:row r="84">
      <x:c r="A84" s="23" t="n">
        <x:v>83</x:v>
      </x:c>
      <x:c r="B84" s="23" t="str">
        <x:v>Train</x:v>
      </x:c>
      <x:c r="C84" s="23" t="str">
        <x:v>Lightning</x:v>
      </x:c>
      <x:c r="D84" s="23" t="n">
        <x:v>1496.6327244183049</x:v>
      </x:c>
      <x:c r="E84" s="23" t="n">
        <x:v>691.097824240569</x:v>
      </x:c>
      <x:c r="F84" s="23" t="n">
        <x:v>448.0542864650488</x:v>
      </x:c>
      <x:c r="G84" s="23" t="n">
        <x:v>271.003390296828</x:v>
      </x:c>
      <x:c r="H84" s="23" t="n">
        <x:v>27.998072233982384</x:v>
      </x:c>
      <x:c r="I84" s="23" t="n">
        <x:v>0.854841524779331</x:v>
      </x:c>
      <x:c r="J84" s="23" t="n">
        <x:v>9</x:v>
      </x:c>
      <x:c r="K84" s="23" t="n">
        <x:v>194.5302376113444</x:v>
      </x:c>
      <x:c r="L84" s="23" t="n">
        <x:v>50</x:v>
      </x:c>
      <x:c r="M84" s="23" t="n">
        <x:v>25</x:v>
      </x:c>
      <x:c r="N84" s="23" t="n">
        <x:v>1.1825005059816565</x:v>
      </x:c>
      <x:c r="O84" s="23" t="n">
        <x:v>52.19487849649381</x:v>
      </x:c>
      <x:c r="P84" s="23" t="n">
        <x:v>1496.6327244183049</x:v>
      </x:c>
      <x:c r="Q84" s="23" t="n">
        <x:v>1.1647978727801989</x:v>
      </x:c>
      <x:c r="R84" s="23" t="n">
        <x:v>51.78425947380203</x:v>
      </x:c>
      <x:c r="S84" s="23" t="n">
        <x:v>1486.981754776819</x:v>
      </x:c>
      <x:c r="T84" s="23" t="n">
        <x:v>-0.017702633201457596</x:v>
      </x:c>
      <x:c r="U84" s="23" t="n">
        <x:v>-0.4106190226917761</x:v>
      </x:c>
      <x:c r="V84" s="23" t="n">
        <x:v>-9.650969641485972</x:v>
      </x:c>
    </x:row>
    <x:row r="85">
      <x:c r="A85" s="23" t="n">
        <x:v>84</x:v>
      </x:c>
      <x:c r="B85" s="23" t="str">
        <x:v>Train</x:v>
      </x:c>
      <x:c r="C85" s="23" t="str">
        <x:v>Lightning</x:v>
      </x:c>
      <x:c r="D85" s="23" t="n">
        <x:v>1466.63858568063</x:v>
      </x:c>
      <x:c r="E85" s="23" t="n">
        <x:v>718.0410689208657</x:v>
      </x:c>
      <x:c r="F85" s="23" t="n">
        <x:v>635.3474992327392</x:v>
      </x:c>
      <x:c r="G85" s="23" t="n">
        <x:v>167.8672277322039</x:v>
      </x:c>
      <x:c r="H85" s="23" t="n">
        <x:v>8.550698712002486</x:v>
      </x:c>
      <x:c r="I85" s="23" t="n">
        <x:v>0.8058043815381826</x:v>
      </x:c>
      <x:c r="J85" s="23" t="n">
        <x:v>10</x:v>
      </x:c>
      <x:c r="K85" s="23" t="n">
        <x:v>182.00925923001253</x:v>
      </x:c>
      <x:c r="L85" s="23" t="n">
        <x:v>45</x:v>
      </x:c>
      <x:c r="M85" s="23" t="n">
        <x:v>25</x:v>
      </x:c>
      <x:c r="N85" s="23" t="n">
        <x:v>1.1822242306762087</x:v>
      </x:c>
      <x:c r="O85" s="23" t="n">
        <x:v>52.23855756663721</x:v>
      </x:c>
      <x:c r="P85" s="23" t="n">
        <x:v>1466.63858568063</x:v>
      </x:c>
      <x:c r="Q85" s="23" t="n">
        <x:v>1.1860388228973497</x:v>
      </x:c>
      <x:c r="R85" s="23" t="n">
        <x:v>51.68873523162473</x:v>
      </x:c>
      <x:c r="S85" s="23" t="n">
        <x:v>1485.2248056297162</x:v>
      </x:c>
      <x:c r="T85" s="23" t="n">
        <x:v>0.003814592221141</x:v>
      </x:c>
      <x:c r="U85" s="23" t="n">
        <x:v>-0.5498223350124789</x:v>
      </x:c>
      <x:c r="V85" s="23" t="n">
        <x:v>18.58621994908617</x:v>
      </x:c>
    </x:row>
    <x:row r="86">
      <x:c r="A86" s="23" t="n">
        <x:v>85</x:v>
      </x:c>
      <x:c r="B86" s="23" t="str">
        <x:v>Train</x:v>
      </x:c>
      <x:c r="C86" s="23" t="str">
        <x:v>Lightning</x:v>
      </x:c>
      <x:c r="D86" s="23" t="n">
        <x:v>1395.7971290219575</x:v>
      </x:c>
      <x:c r="E86" s="23" t="n">
        <x:v>823.5803689691238</x:v>
      </x:c>
      <x:c r="F86" s="23" t="n">
        <x:v>575.9092388674617</x:v>
      </x:c>
      <x:c r="G86" s="23" t="n">
        <x:v>123.90815674560145</x:v>
      </x:c>
      <x:c r="H86" s="23" t="n">
        <x:v>10.958908960223198</x:v>
      </x:c>
      <x:c r="I86" s="23" t="n">
        <x:v>0.8572334438399412</x:v>
      </x:c>
      <x:c r="J86" s="23" t="n">
        <x:v>9</x:v>
      </x:c>
      <x:c r="K86" s="23" t="n">
        <x:v>180.917544696595</x:v>
      </x:c>
      <x:c r="L86" s="23" t="n">
        <x:v>50</x:v>
      </x:c>
      <x:c r="M86" s="23" t="n">
        <x:v>25</x:v>
      </x:c>
      <x:c r="N86" s="23" t="n">
        <x:v>1.1945893526868427</x:v>
      </x:c>
      <x:c r="O86" s="23" t="n">
        <x:v>52.21253579644248</x:v>
      </x:c>
      <x:c r="P86" s="23" t="n">
        <x:v>1395.7971290219575</x:v>
      </x:c>
      <x:c r="Q86" s="23" t="n">
        <x:v>1.1983010698932033</x:v>
      </x:c>
      <x:c r="R86" s="23" t="n">
        <x:v>51.917228612528525</x:v>
      </x:c>
      <x:c r="S86" s="23" t="n">
        <x:v>1408.8910297272196</x:v>
      </x:c>
      <x:c r="T86" s="23" t="n">
        <x:v>0.003711717206360543</x:v>
      </x:c>
      <x:c r="U86" s="23" t="n">
        <x:v>-0.2953071839139554</x:v>
      </x:c>
      <x:c r="V86" s="23" t="n">
        <x:v>13.093900705262058</x:v>
      </x:c>
    </x:row>
    <x:row r="87">
      <x:c r="A87" s="23" t="n">
        <x:v>86</x:v>
      </x:c>
      <x:c r="B87" s="23" t="str">
        <x:v>Train</x:v>
      </x:c>
      <x:c r="C87" s="23" t="str">
        <x:v>Lightning</x:v>
      </x:c>
      <x:c r="D87" s="23" t="n">
        <x:v>1367.376088828314</x:v>
      </x:c>
      <x:c r="E87" s="23" t="n">
        <x:v>1118.5576302697882</x:v>
      </x:c>
      <x:c r="F87" s="23" t="n">
        <x:v>591.827077884227</x:v>
      </x:c>
      <x:c r="G87" s="23" t="n">
        <x:v>149.5265200920403</x:v>
      </x:c>
      <x:c r="H87" s="23" t="n">
        <x:v>24.708841300103813</x:v>
      </x:c>
      <x:c r="I87" s="23" t="n">
        <x:v>0.857640843144618</x:v>
      </x:c>
      <x:c r="J87" s="23" t="n">
        <x:v>8</x:v>
      </x:c>
      <x:c r="K87" s="23" t="n">
        <x:v>199.29322684404605</x:v>
      </x:c>
      <x:c r="L87" s="23" t="n">
        <x:v>45</x:v>
      </x:c>
      <x:c r="M87" s="23" t="n">
        <x:v>25</x:v>
      </x:c>
      <x:c r="N87" s="23" t="n">
        <x:v>1.2532924332145754</x:v>
      </x:c>
      <x:c r="O87" s="23" t="n">
        <x:v>52.2327836962349</x:v>
      </x:c>
      <x:c r="P87" s="23" t="n">
        <x:v>1367.376088828314</x:v>
      </x:c>
      <x:c r="Q87" s="23" t="n">
        <x:v>1.2425562301088382</x:v>
      </x:c>
      <x:c r="R87" s="23" t="n">
        <x:v>52.315098833178</x:v>
      </x:c>
      <x:c r="S87" s="23" t="n">
        <x:v>1350.1419492876305</x:v>
      </x:c>
      <x:c r="T87" s="23" t="n">
        <x:v>-0.010736203105737196</x:v>
      </x:c>
      <x:c r="U87" s="23" t="n">
        <x:v>0.08231513694310166</x:v>
      </x:c>
      <x:c r="V87" s="23" t="n">
        <x:v>-17.2341395406836</x:v>
      </x:c>
    </x:row>
    <x:row r="88">
      <x:c r="A88" s="23" t="n">
        <x:v>87</x:v>
      </x:c>
      <x:c r="B88" s="23" t="str">
        <x:v>Train</x:v>
      </x:c>
      <x:c r="C88" s="23" t="str">
        <x:v>Lightning</x:v>
      </x:c>
      <x:c r="D88" s="23" t="n">
        <x:v>1483.2062606932595</x:v>
      </x:c>
      <x:c r="E88" s="23" t="n">
        <x:v>1191.4594562840648</x:v>
      </x:c>
      <x:c r="F88" s="23" t="n">
        <x:v>414.5633324980736</x:v>
      </x:c>
      <x:c r="G88" s="23" t="n">
        <x:v>189.65846566250548</x:v>
      </x:c>
      <x:c r="H88" s="23" t="n">
        <x:v>13.858501012437046</x:v>
      </x:c>
      <x:c r="I88" s="23" t="n">
        <x:v>0.8427902523777449</x:v>
      </x:c>
      <x:c r="J88" s="23" t="n">
        <x:v>9</x:v>
      </x:c>
      <x:c r="K88" s="23" t="n">
        <x:v>195.54176756035795</x:v>
      </x:c>
      <x:c r="L88" s="23" t="n">
        <x:v>40</x:v>
      </x:c>
      <x:c r="M88" s="23" t="n">
        <x:v>25</x:v>
      </x:c>
      <x:c r="N88" s="23" t="n">
        <x:v>1.1571365883814342</x:v>
      </x:c>
      <x:c r="O88" s="23" t="n">
        <x:v>52.25499159959928</x:v>
      </x:c>
      <x:c r="P88" s="23" t="n">
        <x:v>1483.2062606932595</x:v>
      </x:c>
      <x:c r="Q88" s="23" t="n">
        <x:v>1.175891985733105</x:v>
      </x:c>
      <x:c r="R88" s="23" t="n">
        <x:v>52.36656268838776</x:v>
      </x:c>
      <x:c r="S88" s="23" t="n">
        <x:v>1477.526708033469</x:v>
      </x:c>
      <x:c r="T88" s="23" t="n">
        <x:v>0.018755397351670755</x:v>
      </x:c>
      <x:c r="U88" s="23" t="n">
        <x:v>0.11157108878848021</x:v>
      </x:c>
      <x:c r="V88" s="23" t="n">
        <x:v>-5.679552659790488</x:v>
      </x:c>
    </x:row>
    <x:row r="89">
      <x:c r="A89" s="23" t="n">
        <x:v>88</x:v>
      </x:c>
      <x:c r="B89" s="23" t="str">
        <x:v>Train</x:v>
      </x:c>
      <x:c r="C89" s="23" t="str">
        <x:v>Lightning</x:v>
      </x:c>
      <x:c r="D89" s="23" t="n">
        <x:v>1493.109640746843</x:v>
      </x:c>
      <x:c r="E89" s="23" t="n">
        <x:v>644.0887845121324</x:v>
      </x:c>
      <x:c r="F89" s="23" t="n">
        <x:v>403.83645510300994</x:v>
      </x:c>
      <x:c r="G89" s="23" t="n">
        <x:v>217.41095422301441</x:v>
      </x:c>
      <x:c r="H89" s="23" t="n">
        <x:v>10.428364952560514</x:v>
      </x:c>
      <x:c r="I89" s="23" t="n">
        <x:v>0.851619587885216</x:v>
      </x:c>
      <x:c r="J89" s="23" t="n">
        <x:v>9</x:v>
      </x:c>
      <x:c r="K89" s="23" t="n">
        <x:v>194.80654690677966</x:v>
      </x:c>
      <x:c r="L89" s="23" t="n">
        <x:v>60</x:v>
      </x:c>
      <x:c r="M89" s="23" t="n">
        <x:v>25</x:v>
      </x:c>
      <x:c r="N89" s="23" t="n">
        <x:v>1.180705516882262</x:v>
      </x:c>
      <x:c r="O89" s="23" t="n">
        <x:v>52.17229754602422</x:v>
      </x:c>
      <x:c r="P89" s="23" t="n">
        <x:v>1493.109640746843</x:v>
      </x:c>
      <x:c r="Q89" s="23" t="n">
        <x:v>1.1664917204449876</x:v>
      </x:c>
      <x:c r="R89" s="23" t="n">
        <x:v>52.11471055435151</x:v>
      </x:c>
      <x:c r="S89" s="23" t="n">
        <x:v>1509.429502391404</x:v>
      </x:c>
      <x:c r="T89" s="23" t="n">
        <x:v>-0.014213796437274384</x:v>
      </x:c>
      <x:c r="U89" s="23" t="n">
        <x:v>-0.0575869916727072</x:v>
      </x:c>
      <x:c r="V89" s="23" t="n">
        <x:v>16.319861644560888</x:v>
      </x:c>
    </x:row>
    <x:row r="90">
      <x:c r="A90" s="23" t="n">
        <x:v>89</x:v>
      </x:c>
      <x:c r="B90" s="23" t="str">
        <x:v>Train</x:v>
      </x:c>
      <x:c r="C90" s="23" t="str">
        <x:v>Lightning</x:v>
      </x:c>
      <x:c r="D90" s="23" t="n">
        <x:v>1496.3152773678303</x:v>
      </x:c>
      <x:c r="E90" s="23" t="n">
        <x:v>914.0404956764542</x:v>
      </x:c>
      <x:c r="F90" s="23" t="n">
        <x:v>571.2369428947568</x:v>
      </x:c>
      <x:c r="G90" s="23" t="n">
        <x:v>152.99942761892453</x:v>
      </x:c>
      <x:c r="H90" s="23" t="n">
        <x:v>23.95214575342834</x:v>
      </x:c>
      <x:c r="I90" s="23" t="n">
        <x:v>0.8046482022595592</x:v>
      </x:c>
      <x:c r="J90" s="23" t="n">
        <x:v>10</x:v>
      </x:c>
      <x:c r="K90" s="23" t="n">
        <x:v>185.9589412075958</x:v>
      </x:c>
      <x:c r="L90" s="23" t="n">
        <x:v>40</x:v>
      </x:c>
      <x:c r="M90" s="23" t="n">
        <x:v>25</x:v>
      </x:c>
      <x:c r="N90" s="23" t="n">
        <x:v>1.2129452578187827</x:v>
      </x:c>
      <x:c r="O90" s="23" t="n">
        <x:v>52.25883146706744</x:v>
      </x:c>
      <x:c r="P90" s="23" t="n">
        <x:v>1496.3152773678303</x:v>
      </x:c>
      <x:c r="Q90" s="23" t="n">
        <x:v>1.216701595746342</x:v>
      </x:c>
      <x:c r="R90" s="23" t="n">
        <x:v>51.90642416216968</x:v>
      </x:c>
      <x:c r="S90" s="23" t="n">
        <x:v>1493.521452528501</x:v>
      </x:c>
      <x:c r="T90" s="23" t="n">
        <x:v>0.003756337927559361</x:v>
      </x:c>
      <x:c r="U90" s="23" t="n">
        <x:v>-0.35240730489775984</x:v>
      </x:c>
      <x:c r="V90" s="23" t="n">
        <x:v>-2.793824839329318</x:v>
      </x:c>
    </x:row>
    <x:row r="91">
      <x:c r="A91" s="23" t="n">
        <x:v>90</x:v>
      </x:c>
      <x:c r="B91" s="23" t="str">
        <x:v>Train</x:v>
      </x:c>
      <x:c r="C91" s="23" t="str">
        <x:v>Lightning</x:v>
      </x:c>
      <x:c r="D91" s="23" t="n">
        <x:v>1438.476049771998</x:v>
      </x:c>
      <x:c r="E91" s="23" t="n">
        <x:v>739.3467011163011</x:v>
      </x:c>
      <x:c r="F91" s="23" t="n">
        <x:v>486.0737190581858</x:v>
      </x:c>
      <x:c r="G91" s="23" t="n">
        <x:v>206.02657242678106</x:v>
      </x:c>
      <x:c r="H91" s="23" t="n">
        <x:v>24.674739923793823</x:v>
      </x:c>
      <x:c r="I91" s="23" t="n">
        <x:v>0.8493891082750634</x:v>
      </x:c>
      <x:c r="J91" s="23" t="n">
        <x:v>9</x:v>
      </x:c>
      <x:c r="K91" s="23" t="n">
        <x:v>188.17132294228765</x:v>
      </x:c>
      <x:c r="L91" s="23" t="n">
        <x:v>50</x:v>
      </x:c>
      <x:c r="M91" s="23" t="n">
        <x:v>25</x:v>
      </x:c>
      <x:c r="N91" s="23" t="n">
        <x:v>1.1846789262051654</x:v>
      </x:c>
      <x:c r="O91" s="23" t="n">
        <x:v>52.19819837232135</x:v>
      </x:c>
      <x:c r="P91" s="23" t="n">
        <x:v>1438.476049771998</x:v>
      </x:c>
      <x:c r="Q91" s="23" t="n">
        <x:v>1.1779658692399675</x:v>
      </x:c>
      <x:c r="R91" s="23" t="n">
        <x:v>52.56243771311394</x:v>
      </x:c>
      <x:c r="S91" s="23" t="n">
        <x:v>1428.8458294684144</x:v>
      </x:c>
      <x:c r="T91" s="23" t="n">
        <x:v>-0.006713056965197861</x:v>
      </x:c>
      <x:c r="U91" s="23" t="n">
        <x:v>0.3642393407925866</x:v>
      </x:c>
      <x:c r="V91" s="23" t="n">
        <x:v>-9.630220303583656</x:v>
      </x:c>
    </x:row>
    <x:row r="92">
      <x:c r="A92" s="23" t="n">
        <x:v>91</x:v>
      </x:c>
      <x:c r="B92" s="23" t="str">
        <x:v>Train</x:v>
      </x:c>
      <x:c r="C92" s="23" t="str">
        <x:v>Lightning</x:v>
      </x:c>
      <x:c r="D92" s="23" t="n">
        <x:v>1365.5809768242761</x:v>
      </x:c>
      <x:c r="E92" s="23" t="n">
        <x:v>1080.3873714641668</x:v>
      </x:c>
      <x:c r="F92" s="23" t="n">
        <x:v>714.8803535848856</x:v>
      </x:c>
      <x:c r="G92" s="23" t="n">
        <x:v>183.1112942728214</x:v>
      </x:c>
      <x:c r="H92" s="23" t="n">
        <x:v>19.97824858967215</x:v>
      </x:c>
      <x:c r="I92" s="23" t="n">
        <x:v>0.8072684254753404</x:v>
      </x:c>
      <x:c r="J92" s="23" t="n">
        <x:v>9</x:v>
      </x:c>
      <x:c r="K92" s="23" t="n">
        <x:v>187.95634123531903</x:v>
      </x:c>
      <x:c r="L92" s="23" t="n">
        <x:v>35</x:v>
      </x:c>
      <x:c r="M92" s="23" t="n">
        <x:v>25</x:v>
      </x:c>
      <x:c r="N92" s="23" t="n">
        <x:v>1.1656269665421122</x:v>
      </x:c>
      <x:c r="O92" s="23" t="n">
        <x:v>52.28347874858776</x:v>
      </x:c>
      <x:c r="P92" s="23" t="n">
        <x:v>1365.5809768242761</x:v>
      </x:c>
      <x:c r="Q92" s="23" t="n">
        <x:v>1.1831857561808359</x:v>
      </x:c>
      <x:c r="R92" s="23" t="n">
        <x:v>51.91106933892937</x:v>
      </x:c>
      <x:c r="S92" s="23" t="n">
        <x:v>1358.2785409704256</x:v>
      </x:c>
      <x:c r="T92" s="23" t="n">
        <x:v>0.017558789638723704</x:v>
      </x:c>
      <x:c r="U92" s="23" t="n">
        <x:v>-0.3724094096583883</x:v>
      </x:c>
      <x:c r="V92" s="23" t="n">
        <x:v>-7.302435853850511</x:v>
      </x:c>
    </x:row>
    <x:row r="93">
      <x:c r="A93" s="23" t="n">
        <x:v>92</x:v>
      </x:c>
      <x:c r="B93" s="23" t="str">
        <x:v>Train</x:v>
      </x:c>
      <x:c r="C93" s="23" t="str">
        <x:v>Lightning</x:v>
      </x:c>
      <x:c r="D93" s="23" t="n">
        <x:v>1438.4242594591342</x:v>
      </x:c>
      <x:c r="E93" s="23" t="n">
        <x:v>928.8411154877394</x:v>
      </x:c>
      <x:c r="F93" s="23" t="n">
        <x:v>387.66240729019046</x:v>
      </x:c>
      <x:c r="G93" s="23" t="n">
        <x:v>150.5761833814904</x:v>
      </x:c>
      <x:c r="H93" s="23" t="n">
        <x:v>19.498086031060666</x:v>
      </x:c>
      <x:c r="I93" s="23" t="n">
        <x:v>0.792686557546258</x:v>
      </x:c>
      <x:c r="J93" s="23" t="n">
        <x:v>10</x:v>
      </x:c>
      <x:c r="K93" s="23" t="n">
        <x:v>181.46192158370158</x:v>
      </x:c>
      <x:c r="L93" s="23" t="n">
        <x:v>45</x:v>
      </x:c>
      <x:c r="M93" s="23" t="n">
        <x:v>25</x:v>
      </x:c>
      <x:c r="N93" s="23" t="n">
        <x:v>1.1895260018123697</x:v>
      </x:c>
      <x:c r="O93" s="23" t="n">
        <x:v>52.229171559092116</x:v>
      </x:c>
      <x:c r="P93" s="23" t="n">
        <x:v>1438.4242594591342</x:v>
      </x:c>
      <x:c r="Q93" s="23" t="n">
        <x:v>1.1904028662896466</x:v>
      </x:c>
      <x:c r="R93" s="23" t="n">
        <x:v>51.846609193977194</x:v>
      </x:c>
      <x:c r="S93" s="23" t="n">
        <x:v>1440.8339184142621</x:v>
      </x:c>
      <x:c r="T93" s="23" t="n">
        <x:v>0.0008768644772769729</x:v>
      </x:c>
      <x:c r="U93" s="23" t="n">
        <x:v>-0.3825623651149215</x:v>
      </x:c>
      <x:c r="V93" s="23" t="n">
        <x:v>2.409658955127952</x:v>
      </x:c>
    </x:row>
    <x:row r="94">
      <x:c r="A94" s="23" t="n">
        <x:v>93</x:v>
      </x:c>
      <x:c r="B94" s="23" t="str">
        <x:v>Train</x:v>
      </x:c>
      <x:c r="C94" s="23" t="str">
        <x:v>Lightning</x:v>
      </x:c>
      <x:c r="D94" s="23" t="n">
        <x:v>1391.3488320540637</x:v>
      </x:c>
      <x:c r="E94" s="23" t="n">
        <x:v>817.034940503072</x:v>
      </x:c>
      <x:c r="F94" s="23" t="n">
        <x:v>742.4831127747893</x:v>
      </x:c>
      <x:c r="G94" s="23" t="n">
        <x:v>109.82415334554389</x:v>
      </x:c>
      <x:c r="H94" s="23" t="n">
        <x:v>17.49207464978099</x:v>
      </x:c>
      <x:c r="I94" s="23" t="n">
        <x:v>0.8432952066906728</x:v>
      </x:c>
      <x:c r="J94" s="23" t="n">
        <x:v>9</x:v>
      </x:c>
      <x:c r="K94" s="23" t="n">
        <x:v>183.32170448275787</x:v>
      </x:c>
      <x:c r="L94" s="23" t="n">
        <x:v>45</x:v>
      </x:c>
      <x:c r="M94" s="23" t="n">
        <x:v>25</x:v>
      </x:c>
      <x:c r="N94" s="23" t="n">
        <x:v>1.2158811972855885</x:v>
      </x:c>
      <x:c r="O94" s="23" t="n">
        <x:v>52.23529218356775</x:v>
      </x:c>
      <x:c r="P94" s="23" t="n">
        <x:v>1391.3488320540637</x:v>
      </x:c>
      <x:c r="Q94" s="23" t="n">
        <x:v>1.2102335278712064</x:v>
      </x:c>
      <x:c r="R94" s="23" t="n">
        <x:v>51.15335641250886</x:v>
      </x:c>
      <x:c r="S94" s="23" t="n">
        <x:v>1393.3067769640904</x:v>
      </x:c>
      <x:c r="T94" s="23" t="n">
        <x:v>-0.005647669414382106</x:v>
      </x:c>
      <x:c r="U94" s="23" t="n">
        <x:v>-1.0819357710588875</x:v>
      </x:c>
      <x:c r="V94" s="23" t="n">
        <x:v>1.9579449100267539</x:v>
      </x:c>
    </x:row>
    <x:row r="95">
      <x:c r="A95" s="23" t="n">
        <x:v>94</x:v>
      </x:c>
      <x:c r="B95" s="23" t="str">
        <x:v>Train</x:v>
      </x:c>
      <x:c r="C95" s="23" t="str">
        <x:v>Lightning</x:v>
      </x:c>
      <x:c r="D95" s="23" t="n">
        <x:v>1466.0836003837176</x:v>
      </x:c>
      <x:c r="E95" s="23" t="n">
        <x:v>991.4685814408585</x:v>
      </x:c>
      <x:c r="F95" s="23" t="n">
        <x:v>746.2874014861882</x:v>
      </x:c>
      <x:c r="G95" s="23" t="n">
        <x:v>318.36624156683683</x:v>
      </x:c>
      <x:c r="H95" s="23" t="n">
        <x:v>19.198970841709524</x:v>
      </x:c>
      <x:c r="I95" s="23" t="n">
        <x:v>0.8540620652912185</x:v>
      </x:c>
      <x:c r="J95" s="23" t="n">
        <x:v>9</x:v>
      </x:c>
      <x:c r="K95" s="23" t="n">
        <x:v>190.7334190810453</x:v>
      </x:c>
      <x:c r="L95" s="23" t="n">
        <x:v>35</x:v>
      </x:c>
      <x:c r="M95" s="23" t="n">
        <x:v>25</x:v>
      </x:c>
      <x:c r="N95" s="23" t="n">
        <x:v>1.2021402137303676</x:v>
      </x:c>
      <x:c r="O95" s="23" t="n">
        <x:v>52.29560085785421</x:v>
      </x:c>
      <x:c r="P95" s="23" t="n">
        <x:v>1466.0836003837176</x:v>
      </x:c>
      <x:c r="Q95" s="23" t="n">
        <x:v>1.2123696155942427</x:v>
      </x:c>
      <x:c r="R95" s="23" t="n">
        <x:v>51.659163255776576</x:v>
      </x:c>
      <x:c r="S95" s="23" t="n">
        <x:v>1458.856170251183</x:v>
      </x:c>
      <x:c r="T95" s="23" t="n">
        <x:v>0.01022940186387511</x:v>
      </x:c>
      <x:c r="U95" s="23" t="n">
        <x:v>-0.6364376020776348</x:v>
      </x:c>
      <x:c r="V95" s="23" t="n">
        <x:v>-7.227430132534664</x:v>
      </x:c>
    </x:row>
    <x:row r="96">
      <x:c r="A96" s="23" t="n">
        <x:v>95</x:v>
      </x:c>
      <x:c r="B96" s="23" t="str">
        <x:v>Validation</x:v>
      </x:c>
      <x:c r="C96" s="23" t="str">
        <x:v>Lightning</x:v>
      </x:c>
      <x:c r="D96" s="23" t="n">
        <x:v>1422.9365293169394</x:v>
      </x:c>
      <x:c r="E96" s="23" t="n">
        <x:v>1084.7763895173557</x:v>
      </x:c>
      <x:c r="F96" s="23" t="n">
        <x:v>487.35726699233055</x:v>
      </x:c>
      <x:c r="G96" s="23" t="n">
        <x:v>267.0422488427721</x:v>
      </x:c>
      <x:c r="H96" s="23" t="n">
        <x:v>13.127936742268503</x:v>
      </x:c>
      <x:c r="I96" s="23" t="n">
        <x:v>0.7966799723519944</x:v>
      </x:c>
      <x:c r="J96" s="23" t="n">
        <x:v>9</x:v>
      </x:c>
      <x:c r="K96" s="23" t="n">
        <x:v>198.45366307656934</x:v>
      </x:c>
      <x:c r="L96" s="23" t="n">
        <x:v>40</x:v>
      </x:c>
      <x:c r="M96" s="23" t="n">
        <x:v>25</x:v>
      </x:c>
      <x:c r="N96" s="23" t="n">
        <x:v>1.1793821836467615</x:v>
      </x:c>
      <x:c r="O96" s="23" t="n">
        <x:v>52.26177350304208</x:v>
      </x:c>
      <x:c r="P96" s="23" t="n">
        <x:v>1422.9365293169394</x:v>
      </x:c>
      <x:c r="Q96" s="23" t="n">
        <x:v>1.1982339226768628</x:v>
      </x:c>
      <x:c r="R96" s="23" t="n">
        <x:v>53.482005967512784</x:v>
      </x:c>
      <x:c r="S96" s="23" t="n">
        <x:v>1423.6127721620117</x:v>
      </x:c>
      <x:c r="T96" s="23" t="n">
        <x:v>0.01885173903010129</x:v>
      </x:c>
      <x:c r="U96" s="23" t="n">
        <x:v>1.2202324644707048</x:v>
      </x:c>
      <x:c r="V96" s="23" t="n">
        <x:v>0.6762428450722382</x:v>
      </x:c>
    </x:row>
    <x:row r="97">
      <x:c r="A97" s="23" t="n">
        <x:v>96</x:v>
      </x:c>
      <x:c r="B97" s="23" t="str">
        <x:v>Validation</x:v>
      </x:c>
      <x:c r="C97" s="23" t="str">
        <x:v>Lightning</x:v>
      </x:c>
      <x:c r="D97" s="23" t="n">
        <x:v>1440.509819041472</x:v>
      </x:c>
      <x:c r="E97" s="23" t="n">
        <x:v>998.4508752822876</x:v>
      </x:c>
      <x:c r="F97" s="23" t="n">
        <x:v>470.9990351460874</x:v>
      </x:c>
      <x:c r="G97" s="23" t="n">
        <x:v>88.37733142543584</x:v>
      </x:c>
      <x:c r="H97" s="23" t="n">
        <x:v>15.621496678795666</x:v>
      </x:c>
      <x:c r="I97" s="23" t="n">
        <x:v>0.8184860792290419</x:v>
      </x:c>
      <x:c r="J97" s="23" t="n">
        <x:v>9</x:v>
      </x:c>
      <x:c r="K97" s="23" t="n">
        <x:v>195.55206939002065</x:v>
      </x:c>
      <x:c r="L97" s="23" t="n">
        <x:v>50</x:v>
      </x:c>
      <x:c r="M97" s="23" t="n">
        <x:v>25</x:v>
      </x:c>
      <x:c r="N97" s="23" t="n">
        <x:v>1.2410596770704203</x:v>
      </x:c>
      <x:c r="O97" s="23" t="n">
        <x:v>52.21790421268605</x:v>
      </x:c>
      <x:c r="P97" s="23" t="n">
        <x:v>1440.509819041472</x:v>
      </x:c>
      <x:c r="Q97" s="23" t="n">
        <x:v>1.2475344984324859</x:v>
      </x:c>
      <x:c r="R97" s="23" t="n">
        <x:v>51.43293269502895</x:v>
      </x:c>
      <x:c r="S97" s="23" t="n">
        <x:v>1454.8208902840101</x:v>
      </x:c>
      <x:c r="T97" s="23" t="n">
        <x:v>0.006474821362065564</x:v>
      </x:c>
      <x:c r="U97" s="23" t="n">
        <x:v>-0.7849715176570982</x:v>
      </x:c>
      <x:c r="V97" s="23" t="n">
        <x:v>14.311071242538219</x:v>
      </x:c>
    </x:row>
    <x:row r="98">
      <x:c r="A98" s="23" t="n">
        <x:v>97</x:v>
      </x:c>
      <x:c r="B98" s="23" t="str">
        <x:v>Validation</x:v>
      </x:c>
      <x:c r="C98" s="23" t="str">
        <x:v>Lightning</x:v>
      </x:c>
      <x:c r="D98" s="23" t="n">
        <x:v>1466.2995069287717</x:v>
      </x:c>
      <x:c r="E98" s="23" t="n">
        <x:v>912.7835086896084</x:v>
      </x:c>
      <x:c r="F98" s="23" t="n">
        <x:v>610.4589248076081</x:v>
      </x:c>
      <x:c r="G98" s="23" t="n">
        <x:v>133.90160816023126</x:v>
      </x:c>
      <x:c r="H98" s="23" t="n">
        <x:v>19.733911389485</x:v>
      </x:c>
      <x:c r="I98" s="23" t="n">
        <x:v>0.8347016115789302</x:v>
      </x:c>
      <x:c r="J98" s="23" t="n">
        <x:v>9</x:v>
      </x:c>
      <x:c r="K98" s="23" t="n">
        <x:v>195.1861182205518</x:v>
      </x:c>
      <x:c r="L98" s="23" t="n">
        <x:v>45</x:v>
      </x:c>
      <x:c r="M98" s="23" t="n">
        <x:v>25</x:v>
      </x:c>
      <x:c r="N98" s="23" t="n">
        <x:v>1.2182855604234215</x:v>
      </x:c>
      <x:c r="O98" s="23" t="n">
        <x:v>52.23339018469543</x:v>
      </x:c>
      <x:c r="P98" s="23" t="n">
        <x:v>1466.2995069287717</x:v>
      </x:c>
      <x:c r="Q98" s="23" t="n">
        <x:v>1.2229913437050415</x:v>
      </x:c>
      <x:c r="R98" s="23" t="n">
        <x:v>51.65091630547744</x:v>
      </x:c>
      <x:c r="S98" s="23" t="n">
        <x:v>1471.685039880748</x:v>
      </x:c>
      <x:c r="T98" s="23" t="n">
        <x:v>0.0047057832816199685</x:v>
      </x:c>
      <x:c r="U98" s="23" t="n">
        <x:v>-0.5824738792179929</x:v>
      </x:c>
      <x:c r="V98" s="23" t="n">
        <x:v>5.385532951976302</x:v>
      </x:c>
    </x:row>
    <x:row r="99">
      <x:c r="A99" s="23" t="n">
        <x:v>98</x:v>
      </x:c>
      <x:c r="B99" s="23" t="str">
        <x:v>Hidden Test</x:v>
      </x:c>
      <x:c r="C99" s="23" t="str">
        <x:v>Lightning</x:v>
      </x:c>
      <x:c r="D99" s="23" t="n">
        <x:v>1441.8125459575094</x:v>
      </x:c>
      <x:c r="E99" s="23" t="n">
        <x:v>1091.7038503335789</x:v>
      </x:c>
      <x:c r="F99" s="23" t="n">
        <x:v>445.3358047641814</x:v>
      </x:c>
      <x:c r="G99" s="23" t="n">
        <x:v>158.03268008865416</x:v>
      </x:c>
      <x:c r="H99" s="23" t="n">
        <x:v>21.714057304430753</x:v>
      </x:c>
      <x:c r="I99" s="23" t="n">
        <x:v>0.8549986686417833</x:v>
      </x:c>
      <x:c r="J99" s="23" t="n">
        <x:v>9</x:v>
      </x:c>
      <x:c r="K99" s="23" t="n">
        <x:v>187.37034321909337</x:v>
      </x:c>
      <x:c r="L99" s="23" t="n">
        <x:v>45</x:v>
      </x:c>
      <x:c r="M99" s="23" t="n">
        <x:v>25</x:v>
      </x:c>
      <x:c r="N99" s="23" t="n">
        <x:v>1.253396349733938</x:v>
      </x:c>
      <x:c r="O99" s="23" t="n">
        <x:v>52.23930415386395</x:v>
      </x:c>
      <x:c r="P99" s="23" t="n">
        <x:v>1441.8125459575094</x:v>
      </x:c>
      <x:c r="Q99" s="23" t="n">
        <x:v>1.2639426985895938</x:v>
      </x:c>
      <x:c r="R99" s="23" t="n">
        <x:v>52.52092259172136</x:v>
      </x:c>
      <x:c r="S99" s="23" t="n">
        <x:v>1438.437758075136</x:v>
      </x:c>
      <x:c r="T99" s="23" t="n">
        <x:v>0.010546348855655863</x:v>
      </x:c>
      <x:c r="U99" s="23" t="n">
        <x:v>0.2816184378574107</x:v>
      </x:c>
      <x:c r="V99" s="23" t="n">
        <x:v>-3.374787882373539</x:v>
      </x:c>
    </x:row>
    <x:row r="100">
      <x:c r="A100" s="23" t="n">
        <x:v>99</x:v>
      </x:c>
      <x:c r="B100" s="23" t="str">
        <x:v>Hidden Test</x:v>
      </x:c>
      <x:c r="C100" s="23" t="str">
        <x:v>Lightning</x:v>
      </x:c>
      <x:c r="D100" s="23" t="n">
        <x:v>1364.9745397036895</x:v>
      </x:c>
      <x:c r="E100" s="23" t="n">
        <x:v>734.8120787763037</x:v>
      </x:c>
      <x:c r="F100" s="23" t="n">
        <x:v>367.7657287567854</x:v>
      </x:c>
      <x:c r="G100" s="23" t="n">
        <x:v>326.3037983397953</x:v>
      </x:c>
      <x:c r="H100" s="23" t="n">
        <x:v>20.22747160959989</x:v>
      </x:c>
      <x:c r="I100" s="23" t="n">
        <x:v>0.8261914784531109</x:v>
      </x:c>
      <x:c r="J100" s="23" t="n">
        <x:v>9</x:v>
      </x:c>
      <x:c r="K100" s="23" t="n">
        <x:v>183.5698402854706</x:v>
      </x:c>
      <x:c r="L100" s="23" t="n">
        <x:v>50</x:v>
      </x:c>
      <x:c r="M100" s="23" t="n">
        <x:v>25</x:v>
      </x:c>
      <x:c r="N100" s="23" t="n">
        <x:v>1.1638611376557306</x:v>
      </x:c>
      <x:c r="O100" s="23" t="n">
        <x:v>52.19779836439573</x:v>
      </x:c>
      <x:c r="P100" s="23" t="n">
        <x:v>1364.9745397036895</x:v>
      </x:c>
      <x:c r="Q100" s="23" t="n">
        <x:v>1.1661081905044501</x:v>
      </x:c>
      <x:c r="R100" s="23" t="n">
        <x:v>52.34828653968699</x:v>
      </x:c>
      <x:c r="S100" s="23" t="n">
        <x:v>1362.8013867854454</x:v>
      </x:c>
      <x:c r="T100" s="23" t="n">
        <x:v>0.0022470528487195107</x:v>
      </x:c>
      <x:c r="U100" s="23" t="n">
        <x:v>0.15048817529125813</x:v>
      </x:c>
      <x:c r="V100" s="23" t="n">
        <x:v>-2.1731529182441136</x:v>
      </x:c>
    </x:row>
    <x:row r="101">
      <x:c r="A101" s="23" t="n">
        <x:v>100</x:v>
      </x:c>
      <x:c r="B101" s="23" t="str">
        <x:v>Hidden Test</x:v>
      </x:c>
      <x:c r="C101" s="23" t="str">
        <x:v>Lightning</x:v>
      </x:c>
      <x:c r="D101" s="23" t="n">
        <x:v>1411.3924744888209</x:v>
      </x:c>
      <x:c r="E101" s="23" t="n">
        <x:v>790.704368846491</x:v>
      </x:c>
      <x:c r="F101" s="23" t="n">
        <x:v>530.3067001514137</x:v>
      </x:c>
      <x:c r="G101" s="23" t="n">
        <x:v>270.31045062001795</x:v>
      </x:c>
      <x:c r="H101" s="23" t="n">
        <x:v>13.441504515241832</x:v>
      </x:c>
      <x:c r="I101" s="23" t="n">
        <x:v>0.8393077719025315</x:v>
      </x:c>
      <x:c r="J101" s="23" t="n">
        <x:v>9</x:v>
      </x:c>
      <x:c r="K101" s="23" t="n">
        <x:v>186.84610259098739</x:v>
      </x:c>
      <x:c r="L101" s="23" t="n">
        <x:v>50</x:v>
      </x:c>
      <x:c r="M101" s="23" t="n">
        <x:v>25</x:v>
      </x:c>
      <x:c r="N101" s="23" t="n">
        <x:v>1.2566858018960454</x:v>
      </x:c>
      <x:c r="O101" s="23" t="n">
        <x:v>52.22312680794642</x:v>
      </x:c>
      <x:c r="P101" s="23" t="n">
        <x:v>1411.3924744888209</x:v>
      </x:c>
      <x:c r="Q101" s="23" t="n">
        <x:v>1.2542214784474068</x:v>
      </x:c>
      <x:c r="R101" s="23" t="n">
        <x:v>50.94056005673911</x:v>
      </x:c>
      <x:c r="S101" s="23" t="n">
        <x:v>1417.809791936997</x:v>
      </x:c>
      <x:c r="T101" s="23" t="n">
        <x:v>-0.0024643234486385612</x:v>
      </x:c>
      <x:c r="U101" s="23" t="n">
        <x:v>-1.2825667512073124</x:v>
      </x:c>
      <x:c r="V101" s="23" t="n">
        <x:v>6.4173174481761635</x:v>
      </x:c>
    </x:row>
    <x:row r="102">
      <x:c r="A102" s="23" t="n">
        <x:v>101</x:v>
      </x:c>
      <x:c r="B102" s="23" t="str">
        <x:v>Train</x:v>
      </x:c>
      <x:c r="C102" s="23" t="str">
        <x:v>Lightning</x:v>
      </x:c>
      <x:c r="D102" s="23" t="n">
        <x:v>1390.3548358473927</x:v>
      </x:c>
      <x:c r="E102" s="23" t="n">
        <x:v>680.3793346392922</x:v>
      </x:c>
      <x:c r="F102" s="23" t="n">
        <x:v>451.80593859404325</x:v>
      </x:c>
      <x:c r="G102" s="23" t="n">
        <x:v>220.22839936660603</x:v>
      </x:c>
      <x:c r="H102" s="23" t="n">
        <x:v>28.721596993505955</x:v>
      </x:c>
      <x:c r="I102" s="23" t="n">
        <x:v>0.8581835346878507</x:v>
      </x:c>
      <x:c r="J102" s="23" t="n">
        <x:v>9</x:v>
      </x:c>
      <x:c r="K102" s="23" t="n">
        <x:v>180.01262481212845</x:v>
      </x:c>
      <x:c r="L102" s="23" t="n">
        <x:v>55</x:v>
      </x:c>
      <x:c r="M102" s="23" t="n">
        <x:v>25</x:v>
      </x:c>
      <x:c r="N102" s="23" t="n">
        <x:v>1.2331624200882958</x:v>
      </x:c>
      <x:c r="O102" s="23" t="n">
        <x:v>52.18587510190014</x:v>
      </x:c>
      <x:c r="P102" s="23" t="n">
        <x:v>1390.3548358473927</x:v>
      </x:c>
      <x:c r="Q102" s="23" t="n">
        <x:v>1.2244943632306824</x:v>
      </x:c>
      <x:c r="R102" s="23" t="n">
        <x:v>51.56688814086495</x:v>
      </x:c>
      <x:c r="S102" s="23" t="n">
        <x:v>1386.2220125427743</x:v>
      </x:c>
      <x:c r="T102" s="23" t="n">
        <x:v>-0.008668056857613404</x:v>
      </x:c>
      <x:c r="U102" s="23" t="n">
        <x:v>-0.6189869610351906</x:v>
      </x:c>
      <x:c r="V102" s="23" t="n">
        <x:v>-4.132823304618341</x:v>
      </x:c>
    </x:row>
    <x:row r="103">
      <x:c r="A103" s="23" t="n">
        <x:v>102</x:v>
      </x:c>
      <x:c r="B103" s="23" t="str">
        <x:v>Train</x:v>
      </x:c>
      <x:c r="C103" s="23" t="str">
        <x:v>Lightning</x:v>
      </x:c>
      <x:c r="D103" s="23" t="n">
        <x:v>1432.3505061795004</x:v>
      </x:c>
      <x:c r="E103" s="23" t="n">
        <x:v>650.7373913889751</x:v>
      </x:c>
      <x:c r="F103" s="23" t="n">
        <x:v>725.2897945232689</x:v>
      </x:c>
      <x:c r="G103" s="23" t="n">
        <x:v>167.2850208543241</x:v>
      </x:c>
      <x:c r="H103" s="23" t="n">
        <x:v>21.935199259314686</x:v>
      </x:c>
      <x:c r="I103" s="23" t="n">
        <x:v>0.830538292392157</x:v>
      </x:c>
      <x:c r="J103" s="23" t="n">
        <x:v>9</x:v>
      </x:c>
      <x:c r="K103" s="23" t="n">
        <x:v>191.62277970805528</x:v>
      </x:c>
      <x:c r="L103" s="23" t="n">
        <x:v>45</x:v>
      </x:c>
      <x:c r="M103" s="23" t="n">
        <x:v>25</x:v>
      </x:c>
      <x:c r="N103" s="23" t="n">
        <x:v>1.1513423269760747</x:v>
      </x:c>
      <x:c r="O103" s="23" t="n">
        <x:v>52.21564095584007</x:v>
      </x:c>
      <x:c r="P103" s="23" t="n">
        <x:v>1432.3505061795004</x:v>
      </x:c>
      <x:c r="Q103" s="23" t="n">
        <x:v>1.1443181213915161</x:v>
      </x:c>
      <x:c r="R103" s="23" t="n">
        <x:v>52.60480585259406</x:v>
      </x:c>
      <x:c r="S103" s="23" t="n">
        <x:v>1436.897129478469</x:v>
      </x:c>
      <x:c r="T103" s="23" t="n">
        <x:v>-0.007024205584558629</x:v>
      </x:c>
      <x:c r="U103" s="23" t="n">
        <x:v>0.38916489675398935</x:v>
      </x:c>
      <x:c r="V103" s="23" t="n">
        <x:v>4.546623298968598</x:v>
      </x:c>
    </x:row>
    <x:row r="104">
      <x:c r="A104" s="23" t="n">
        <x:v>103</x:v>
      </x:c>
      <x:c r="B104" s="23" t="str">
        <x:v>Train</x:v>
      </x:c>
      <x:c r="C104" s="23" t="str">
        <x:v>Lightning</x:v>
      </x:c>
      <x:c r="D104" s="23" t="n">
        <x:v>1388.6294099735096</x:v>
      </x:c>
      <x:c r="E104" s="23" t="n">
        <x:v>834.2008587089367</x:v>
      </x:c>
      <x:c r="F104" s="23" t="n">
        <x:v>588.6379539966583</x:v>
      </x:c>
      <x:c r="G104" s="23" t="n">
        <x:v>164.25217302283272</x:v>
      </x:c>
      <x:c r="H104" s="23" t="n">
        <x:v>21.843968498520553</x:v>
      </x:c>
      <x:c r="I104" s="23" t="n">
        <x:v>0.7927315760380589</x:v>
      </x:c>
      <x:c r="J104" s="23" t="n">
        <x:v>9</x:v>
      </x:c>
      <x:c r="K104" s="23" t="n">
        <x:v>194.63354473004586</x:v>
      </x:c>
      <x:c r="L104" s="23" t="n">
        <x:v>45</x:v>
      </x:c>
      <x:c r="M104" s="23" t="n">
        <x:v>25</x:v>
      </x:c>
      <x:c r="N104" s="23" t="n">
        <x:v>1.180663501610758</x:v>
      </x:c>
      <x:c r="O104" s="23" t="n">
        <x:v>52.2224671619497</x:v>
      </x:c>
      <x:c r="P104" s="23" t="n">
        <x:v>1388.6294099735096</x:v>
      </x:c>
      <x:c r="Q104" s="23" t="n">
        <x:v>1.1696490545951252</x:v>
      </x:c>
      <x:c r="R104" s="23" t="n">
        <x:v>52.85112783381891</x:v>
      </x:c>
      <x:c r="S104" s="23" t="n">
        <x:v>1382.231581357155</x:v>
      </x:c>
      <x:c r="T104" s="23" t="n">
        <x:v>-0.011014447015632811</x:v>
      </x:c>
      <x:c r="U104" s="23" t="n">
        <x:v>0.6286606718692056</x:v>
      </x:c>
      <x:c r="V104" s="23" t="n">
        <x:v>-6.397828616354673</x:v>
      </x:c>
    </x:row>
    <x:row r="105">
      <x:c r="A105" s="23" t="n">
        <x:v>104</x:v>
      </x:c>
      <x:c r="B105" s="23" t="str">
        <x:v>Train</x:v>
      </x:c>
      <x:c r="C105" s="23" t="str">
        <x:v>Lightning</x:v>
      </x:c>
      <x:c r="D105" s="23" t="n">
        <x:v>1398.9494779030792</x:v>
      </x:c>
      <x:c r="E105" s="23" t="n">
        <x:v>882.1728819049895</x:v>
      </x:c>
      <x:c r="F105" s="23" t="n">
        <x:v>639.0443599782884</x:v>
      </x:c>
      <x:c r="G105" s="23" t="n">
        <x:v>116.07503103557974</x:v>
      </x:c>
      <x:c r="H105" s="23" t="n">
        <x:v>16.804531258996576</x:v>
      </x:c>
      <x:c r="I105" s="23" t="n">
        <x:v>0.7950507439766079</x:v>
      </x:c>
      <x:c r="J105" s="23" t="n">
        <x:v>9</x:v>
      </x:c>
      <x:c r="K105" s="23" t="n">
        <x:v>195.50806292018672</x:v>
      </x:c>
      <x:c r="L105" s="23" t="n">
        <x:v>45</x:v>
      </x:c>
      <x:c r="M105" s="23" t="n">
        <x:v>25</x:v>
      </x:c>
      <x:c r="N105" s="23" t="n">
        <x:v>1.1908527529761175</x:v>
      </x:c>
      <x:c r="O105" s="23" t="n">
        <x:v>52.23029479765487</x:v>
      </x:c>
      <x:c r="P105" s="23" t="n">
        <x:v>1398.9494779030792</x:v>
      </x:c>
      <x:c r="Q105" s="23" t="n">
        <x:v>1.1942244574592062</x:v>
      </x:c>
      <x:c r="R105" s="23" t="n">
        <x:v>51.724602668926266</x:v>
      </x:c>
      <x:c r="S105" s="23" t="n">
        <x:v>1401.1103592064276</x:v>
      </x:c>
      <x:c r="T105" s="23" t="n">
        <x:v>0.0033717044830887666</x:v>
      </x:c>
      <x:c r="U105" s="23" t="n">
        <x:v>-0.5056921287286045</x:v>
      </x:c>
      <x:c r="V105" s="23" t="n">
        <x:v>2.160881303348333</x:v>
      </x:c>
    </x:row>
    <x:row r="106">
      <x:c r="A106" s="23" t="n">
        <x:v>105</x:v>
      </x:c>
      <x:c r="B106" s="23" t="str">
        <x:v>Train</x:v>
      </x:c>
      <x:c r="C106" s="23" t="str">
        <x:v>Lightning</x:v>
      </x:c>
      <x:c r="D106" s="23" t="n">
        <x:v>1384.7956677898765</x:v>
      </x:c>
      <x:c r="E106" s="23" t="n">
        <x:v>1225.4652735195123</x:v>
      </x:c>
      <x:c r="F106" s="23" t="n">
        <x:v>557.907229848206</x:v>
      </x:c>
      <x:c r="G106" s="23" t="n">
        <x:v>127.61892143869773</x:v>
      </x:c>
      <x:c r="H106" s="23" t="n">
        <x:v>25.091777255758643</x:v>
      </x:c>
      <x:c r="I106" s="23" t="n">
        <x:v>0.859141345184762</x:v>
      </x:c>
      <x:c r="J106" s="23" t="n">
        <x:v>9</x:v>
      </x:c>
      <x:c r="K106" s="23" t="n">
        <x:v>179.09298181534575</x:v>
      </x:c>
      <x:c r="L106" s="23" t="n">
        <x:v>35</x:v>
      </x:c>
      <x:c r="M106" s="23" t="n">
        <x:v>25</x:v>
      </x:c>
      <x:c r="N106" s="23" t="n">
        <x:v>1.1596993171128702</x:v>
      </x:c>
      <x:c r="O106" s="23" t="n">
        <x:v>52.27297133791294</x:v>
      </x:c>
      <x:c r="P106" s="23" t="n">
        <x:v>1384.7956677898765</x:v>
      </x:c>
      <x:c r="Q106" s="23" t="n">
        <x:v>1.1581467383860347</x:v>
      </x:c>
      <x:c r="R106" s="23" t="n">
        <x:v>53.11914750285037</x:v>
      </x:c>
      <x:c r="S106" s="23" t="n">
        <x:v>1373.8176658317795</x:v>
      </x:c>
      <x:c r="T106" s="23" t="n">
        <x:v>-0.0015525787268355629</x:v>
      </x:c>
      <x:c r="U106" s="23" t="n">
        <x:v>0.8461761649374253</x:v>
      </x:c>
      <x:c r="V106" s="23" t="n">
        <x:v>-10.978001958096911</x:v>
      </x:c>
    </x:row>
    <x:row r="107">
      <x:c r="A107" s="23" t="n">
        <x:v>106</x:v>
      </x:c>
      <x:c r="B107" s="23" t="str">
        <x:v>Train</x:v>
      </x:c>
      <x:c r="C107" s="23" t="str">
        <x:v>Lightning</x:v>
      </x:c>
      <x:c r="D107" s="23" t="n">
        <x:v>1478.6868204013444</x:v>
      </x:c>
      <x:c r="E107" s="23" t="n">
        <x:v>882.2678897762671</x:v>
      </x:c>
      <x:c r="F107" s="23" t="n">
        <x:v>357.7993989922106</x:v>
      </x:c>
      <x:c r="G107" s="23" t="n">
        <x:v>323.14668658189476</x:v>
      </x:c>
      <x:c r="H107" s="23" t="n">
        <x:v>12.179975498933345</x:v>
      </x:c>
      <x:c r="I107" s="23" t="n">
        <x:v>0.7992618190916255</x:v>
      </x:c>
      <x:c r="J107" s="23" t="n">
        <x:v>10</x:v>
      </x:c>
      <x:c r="K107" s="23" t="n">
        <x:v>185.00656294102686</x:v>
      </x:c>
      <x:c r="L107" s="23" t="n">
        <x:v>45</x:v>
      </x:c>
      <x:c r="M107" s="23" t="n">
        <x:v>25</x:v>
      </x:c>
      <x:c r="N107" s="23" t="n">
        <x:v>1.2299597630352634</x:v>
      </x:c>
      <x:c r="O107" s="23" t="n">
        <x:v>52.24582682122945</x:v>
      </x:c>
      <x:c r="P107" s="23" t="n">
        <x:v>1478.6868204013444</x:v>
      </x:c>
      <x:c r="Q107" s="23" t="n">
        <x:v>1.231160382540904</x:v>
      </x:c>
      <x:c r="R107" s="23" t="n">
        <x:v>52.692379498804186</x:v>
      </x:c>
      <x:c r="S107" s="23" t="n">
        <x:v>1497.1154789397942</x:v>
      </x:c>
      <x:c r="T107" s="23" t="n">
        <x:v>0.0012006195056406543</x:v>
      </x:c>
      <x:c r="U107" s="23" t="n">
        <x:v>0.4465526775747364</x:v>
      </x:c>
      <x:c r="V107" s="23" t="n">
        <x:v>18.42865853844978</x:v>
      </x:c>
    </x:row>
    <x:row r="108">
      <x:c r="A108" s="23" t="n">
        <x:v>107</x:v>
      </x:c>
      <x:c r="B108" s="23" t="str">
        <x:v>Train</x:v>
      </x:c>
      <x:c r="C108" s="23" t="str">
        <x:v>Lightning</x:v>
      </x:c>
      <x:c r="D108" s="23" t="n">
        <x:v>1485.9021848766133</x:v>
      </x:c>
      <x:c r="E108" s="23" t="n">
        <x:v>685.3317430824973</x:v>
      </x:c>
      <x:c r="F108" s="23" t="n">
        <x:v>518.0606622248888</x:v>
      </x:c>
      <x:c r="G108" s="23" t="n">
        <x:v>122.63567010639235</x:v>
      </x:c>
      <x:c r="H108" s="23" t="n">
        <x:v>25.406473563052714</x:v>
      </x:c>
      <x:c r="I108" s="23" t="n">
        <x:v>0.8587305682036095</x:v>
      </x:c>
      <x:c r="J108" s="23" t="n">
        <x:v>9</x:v>
      </x:c>
      <x:c r="K108" s="23" t="n">
        <x:v>192.26081949015003</x:v>
      </x:c>
      <x:c r="L108" s="23" t="n">
        <x:v>55</x:v>
      </x:c>
      <x:c r="M108" s="23" t="n">
        <x:v>25</x:v>
      </x:c>
      <x:c r="N108" s="23" t="n">
        <x:v>1.1985249965987335</x:v>
      </x:c>
      <x:c r="O108" s="23" t="n">
        <x:v>52.18176092765889</x:v>
      </x:c>
      <x:c r="P108" s="23" t="n">
        <x:v>1485.9021848766133</x:v>
      </x:c>
      <x:c r="Q108" s="23" t="n">
        <x:v>1.1866927959660742</x:v>
      </x:c>
      <x:c r="R108" s="23" t="n">
        <x:v>52.68561361162065</x:v>
      </x:c>
      <x:c r="S108" s="23" t="n">
        <x:v>1480.0307782823654</x:v>
      </x:c>
      <x:c r="T108" s="23" t="n">
        <x:v>-0.011832200632659218</x:v>
      </x:c>
      <x:c r="U108" s="23" t="n">
        <x:v>0.5038526839617603</x:v>
      </x:c>
      <x:c r="V108" s="23" t="n">
        <x:v>-5.871406594247901</x:v>
      </x:c>
    </x:row>
    <x:row r="109">
      <x:c r="A109" s="23" t="n">
        <x:v>108</x:v>
      </x:c>
      <x:c r="B109" s="23" t="str">
        <x:v>Train</x:v>
      </x:c>
      <x:c r="C109" s="23" t="str">
        <x:v>Lightning</x:v>
      </x:c>
      <x:c r="D109" s="23" t="n">
        <x:v>1455.4486072040163</x:v>
      </x:c>
      <x:c r="E109" s="23" t="n">
        <x:v>1156.0379983391613</x:v>
      </x:c>
      <x:c r="F109" s="23" t="n">
        <x:v>597.772107552737</x:v>
      </x:c>
      <x:c r="G109" s="23" t="n">
        <x:v>181.09463043045253</x:v>
      </x:c>
      <x:c r="H109" s="23" t="n">
        <x:v>16.688613313715905</x:v>
      </x:c>
      <x:c r="I109" s="23" t="n">
        <x:v>0.8385847993567587</x:v>
      </x:c>
      <x:c r="J109" s="23" t="n">
        <x:v>9</x:v>
      </x:c>
      <x:c r="K109" s="23" t="n">
        <x:v>192.84455434394107</x:v>
      </x:c>
      <x:c r="L109" s="23" t="n">
        <x:v>40</x:v>
      </x:c>
      <x:c r="M109" s="23" t="n">
        <x:v>25</x:v>
      </x:c>
      <x:c r="N109" s="23" t="n">
        <x:v>1.256314010492792</x:v>
      </x:c>
      <x:c r="O109" s="23" t="n">
        <x:v>52.27670002101107</x:v>
      </x:c>
      <x:c r="P109" s="23" t="n">
        <x:v>1455.4486072040163</x:v>
      </x:c>
      <x:c r="Q109" s="23" t="n">
        <x:v>1.2716790898533383</x:v>
      </x:c>
      <x:c r="R109" s="23" t="n">
        <x:v>52.54076992351537</x:v>
      </x:c>
      <x:c r="S109" s="23" t="n">
        <x:v>1454.0649087089184</x:v>
      </x:c>
      <x:c r="T109" s="23" t="n">
        <x:v>0.01536507936054643</x:v>
      </x:c>
      <x:c r="U109" s="23" t="n">
        <x:v>0.2640699025043034</x:v>
      </x:c>
      <x:c r="V109" s="23" t="n">
        <x:v>-1.3836984950978604</x:v>
      </x:c>
    </x:row>
    <x:row r="110">
      <x:c r="A110" s="23" t="n">
        <x:v>109</x:v>
      </x:c>
      <x:c r="B110" s="23" t="str">
        <x:v>Train</x:v>
      </x:c>
      <x:c r="C110" s="23" t="str">
        <x:v>Lightning</x:v>
      </x:c>
      <x:c r="D110" s="23" t="n">
        <x:v>1377.9735838528723</x:v>
      </x:c>
      <x:c r="E110" s="23" t="n">
        <x:v>881.9825584883802</x:v>
      </x:c>
      <x:c r="F110" s="23" t="n">
        <x:v>486.37664820998907</x:v>
      </x:c>
      <x:c r="G110" s="23" t="n">
        <x:v>101.74307574750856</x:v>
      </x:c>
      <x:c r="H110" s="23" t="n">
        <x:v>25.79145411029458</x:v>
      </x:c>
      <x:c r="I110" s="23" t="n">
        <x:v>0.8388295611017385</x:v>
      </x:c>
      <x:c r="J110" s="23" t="n">
        <x:v>9</x:v>
      </x:c>
      <x:c r="K110" s="23" t="n">
        <x:v>182.52596604077306</x:v>
      </x:c>
      <x:c r="L110" s="23" t="n">
        <x:v>50</x:v>
      </x:c>
      <x:c r="M110" s="23" t="n">
        <x:v>25</x:v>
      </x:c>
      <x:c r="N110" s="23" t="n">
        <x:v>1.2185660948805592</x:v>
      </x:c>
      <x:c r="O110" s="23" t="n">
        <x:v>52.20422569839037</x:v>
      </x:c>
      <x:c r="P110" s="23" t="n">
        <x:v>1377.9735838528723</x:v>
      </x:c>
      <x:c r="Q110" s="23" t="n">
        <x:v>1.2193121333980588</x:v>
      </x:c>
      <x:c r="R110" s="23" t="n">
        <x:v>51.78241897675342</x:v>
      </x:c>
      <x:c r="S110" s="23" t="n">
        <x:v>1364.991204670864</x:v>
      </x:c>
      <x:c r="T110" s="23" t="n">
        <x:v>0.0007460385174995476</x:v>
      </x:c>
      <x:c r="U110" s="23" t="n">
        <x:v>-0.42180672163694766</x:v>
      </x:c>
      <x:c r="V110" s="23" t="n">
        <x:v>-12.982379182008344</x:v>
      </x:c>
    </x:row>
    <x:row r="111">
      <x:c r="A111" s="23" t="n">
        <x:v>110</x:v>
      </x:c>
      <x:c r="B111" s="23" t="str">
        <x:v>Train</x:v>
      </x:c>
      <x:c r="C111" s="23" t="str">
        <x:v>Lightning</x:v>
      </x:c>
      <x:c r="D111" s="23" t="n">
        <x:v>1401.7369372886606</x:v>
      </x:c>
      <x:c r="E111" s="23" t="n">
        <x:v>864.1192824346945</x:v>
      </x:c>
      <x:c r="F111" s="23" t="n">
        <x:v>720.4854105599225</x:v>
      </x:c>
      <x:c r="G111" s="23" t="n">
        <x:v>281.52465254068375</x:v>
      </x:c>
      <x:c r="H111" s="23" t="n">
        <x:v>19.553280184511095</x:v>
      </x:c>
      <x:c r="I111" s="23" t="n">
        <x:v>0.7928401505155489</x:v>
      </x:c>
      <x:c r="J111" s="23" t="n">
        <x:v>9</x:v>
      </x:c>
      <x:c r="K111" s="23" t="n">
        <x:v>196.4438209724275</x:v>
      </x:c>
      <x:c r="L111" s="23" t="n">
        <x:v>40</x:v>
      </x:c>
      <x:c r="M111" s="23" t="n">
        <x:v>25</x:v>
      </x:c>
      <x:c r="N111" s="23" t="n">
        <x:v>1.2300844491907537</x:v>
      </x:c>
      <x:c r="O111" s="23" t="n">
        <x:v>52.26597621820258</x:v>
      </x:c>
      <x:c r="P111" s="23" t="n">
        <x:v>1401.7369372886606</x:v>
      </x:c>
      <x:c r="Q111" s="23" t="n">
        <x:v>1.2477216928469206</x:v>
      </x:c>
      <x:c r="R111" s="23" t="n">
        <x:v>51.94560878693663</x:v>
      </x:c>
      <x:c r="S111" s="23" t="n">
        <x:v>1396.5672321968582</x:v>
      </x:c>
      <x:c r="T111" s="23" t="n">
        <x:v>0.017637243656166923</x:v>
      </x:c>
      <x:c r="U111" s="23" t="n">
        <x:v>-0.32036743126595013</x:v>
      </x:c>
      <x:c r="V111" s="23" t="n">
        <x:v>-5.169705091802371</x:v>
      </x:c>
    </x:row>
    <x:row r="112">
      <x:c r="A112" s="23" t="n">
        <x:v>111</x:v>
      </x:c>
      <x:c r="B112" s="23" t="str">
        <x:v>Train</x:v>
      </x:c>
      <x:c r="C112" s="23" t="str">
        <x:v>Lightning</x:v>
      </x:c>
      <x:c r="D112" s="23" t="n">
        <x:v>1470.7862111041322</x:v>
      </x:c>
      <x:c r="E112" s="23" t="n">
        <x:v>1048.2759737526067</x:v>
      </x:c>
      <x:c r="F112" s="23" t="n">
        <x:v>669.1721476614475</x:v>
      </x:c>
      <x:c r="G112" s="23" t="n">
        <x:v>150.94585004961118</x:v>
      </x:c>
      <x:c r="H112" s="23" t="n">
        <x:v>25.606232359074056</x:v>
      </x:c>
      <x:c r="I112" s="23" t="n">
        <x:v>0.8444440372823738</x:v>
      </x:c>
      <x:c r="J112" s="23" t="n">
        <x:v>9</x:v>
      </x:c>
      <x:c r="K112" s="23" t="n">
        <x:v>193.5245947719743</x:v>
      </x:c>
      <x:c r="L112" s="23" t="n">
        <x:v>35</x:v>
      </x:c>
      <x:c r="M112" s="23" t="n">
        <x:v>25</x:v>
      </x:c>
      <x:c r="N112" s="23" t="n">
        <x:v>1.140000377878693</x:v>
      </x:c>
      <x:c r="O112" s="23" t="n">
        <x:v>52.26632933000047</x:v>
      </x:c>
      <x:c r="P112" s="23" t="n">
        <x:v>1470.7862111041322</x:v>
      </x:c>
      <x:c r="Q112" s="23" t="n">
        <x:v>1.1314096689632873</x:v>
      </x:c>
      <x:c r="R112" s="23" t="n">
        <x:v>53.22298301647632</x:v>
      </x:c>
      <x:c r="S112" s="23" t="n">
        <x:v>1460.938369514283</x:v>
      </x:c>
      <x:c r="T112" s="23" t="n">
        <x:v>-0.008590708915405587</x:v>
      </x:c>
      <x:c r="U112" s="23" t="n">
        <x:v>0.9566536864758532</x:v>
      </x:c>
      <x:c r="V112" s="23" t="n">
        <x:v>-9.847841589849168</x:v>
      </x:c>
    </x:row>
    <x:row r="113">
      <x:c r="A113" s="23" t="n">
        <x:v>112</x:v>
      </x:c>
      <x:c r="B113" s="23" t="str">
        <x:v>Train</x:v>
      </x:c>
      <x:c r="C113" s="23" t="str">
        <x:v>Lightning</x:v>
      </x:c>
      <x:c r="D113" s="23" t="n">
        <x:v>1371.46845421521</x:v>
      </x:c>
      <x:c r="E113" s="23" t="n">
        <x:v>661.3719956949353</x:v>
      </x:c>
      <x:c r="F113" s="23" t="n">
        <x:v>395.8943351171911</x:v>
      </x:c>
      <x:c r="G113" s="23" t="n">
        <x:v>306.6175822587684</x:v>
      </x:c>
      <x:c r="H113" s="23" t="n">
        <x:v>24.731111729051918</x:v>
      </x:c>
      <x:c r="I113" s="23" t="n">
        <x:v>0.8566409403737635</x:v>
      </x:c>
      <x:c r="J113" s="23" t="n">
        <x:v>9</x:v>
      </x:c>
      <x:c r="K113" s="23" t="n">
        <x:v>177.88711304785676</x:v>
      </x:c>
      <x:c r="L113" s="23" t="n">
        <x:v>55</x:v>
      </x:c>
      <x:c r="M113" s="23" t="n">
        <x:v>25</x:v>
      </x:c>
      <x:c r="N113" s="23" t="n">
        <x:v>1.2273265654840972</x:v>
      </x:c>
      <x:c r="O113" s="23" t="n">
        <x:v>52.18766359914557</x:v>
      </x:c>
      <x:c r="P113" s="23" t="n">
        <x:v>1371.46845421521</x:v>
      </x:c>
      <x:c r="Q113" s="23" t="n">
        <x:v>1.213920121182598</x:v>
      </x:c>
      <x:c r="R113" s="23" t="n">
        <x:v>52.40920939998258</x:v>
      </x:c>
      <x:c r="S113" s="23" t="n">
        <x:v>1374.468634003945</x:v>
      </x:c>
      <x:c r="T113" s="23" t="n">
        <x:v>-0.013406444301499176</x:v>
      </x:c>
      <x:c r="U113" s="23" t="n">
        <x:v>0.22154580083700637</x:v>
      </x:c>
      <x:c r="V113" s="23" t="n">
        <x:v>3.0001797887350676</x:v>
      </x:c>
    </x:row>
    <x:row r="114">
      <x:c r="A114" s="23" t="n">
        <x:v>113</x:v>
      </x:c>
      <x:c r="B114" s="23" t="str">
        <x:v>Train</x:v>
      </x:c>
      <x:c r="C114" s="23" t="str">
        <x:v>Lightning</x:v>
      </x:c>
      <x:c r="D114" s="23" t="n">
        <x:v>1433.676986116916</x:v>
      </x:c>
      <x:c r="E114" s="23" t="n">
        <x:v>1123.1479735462926</x:v>
      </x:c>
      <x:c r="F114" s="23" t="n">
        <x:v>586.3762000575662</x:v>
      </x:c>
      <x:c r="G114" s="23" t="n">
        <x:v>198.01750591257587</x:v>
      </x:c>
      <x:c r="H114" s="23" t="n">
        <x:v>21.0280588734895</x:v>
      </x:c>
      <x:c r="I114" s="23" t="n">
        <x:v>0.7991951061715372</x:v>
      </x:c>
      <x:c r="J114" s="23" t="n">
        <x:v>9</x:v>
      </x:c>
      <x:c r="K114" s="23" t="n">
        <x:v>199.32234528434205</x:v>
      </x:c>
      <x:c r="L114" s="23" t="n">
        <x:v>40</x:v>
      </x:c>
      <x:c r="M114" s="23" t="n">
        <x:v>25</x:v>
      </x:c>
      <x:c r="N114" s="23" t="n">
        <x:v>1.2628747637789821</x:v>
      </x:c>
      <x:c r="O114" s="23" t="n">
        <x:v>52.2724334363786</x:v>
      </x:c>
      <x:c r="P114" s="23" t="n">
        <x:v>1433.676986116916</x:v>
      </x:c>
      <x:c r="Q114" s="23" t="n">
        <x:v>1.2559028314765095</x:v>
      </x:c>
      <x:c r="R114" s="23" t="n">
        <x:v>52.95905181828026</x:v>
      </x:c>
      <x:c r="S114" s="23" t="n">
        <x:v>1419.152623387497</x:v>
      </x:c>
      <x:c r="T114" s="23" t="n">
        <x:v>-0.0069719323024726165</x:v>
      </x:c>
      <x:c r="U114" s="23" t="n">
        <x:v>0.6866183819016598</x:v>
      </x:c>
      <x:c r="V114" s="23" t="n">
        <x:v>-14.524362729418954</x:v>
      </x:c>
    </x:row>
    <x:row r="115">
      <x:c r="A115" s="23" t="n">
        <x:v>114</x:v>
      </x:c>
      <x:c r="B115" s="23" t="str">
        <x:v>Train</x:v>
      </x:c>
      <x:c r="C115" s="23" t="str">
        <x:v>Lightning</x:v>
      </x:c>
      <x:c r="D115" s="23" t="n">
        <x:v>1416.70703884447</x:v>
      </x:c>
      <x:c r="E115" s="23" t="n">
        <x:v>683.3854113938287</x:v>
      </x:c>
      <x:c r="F115" s="23" t="n">
        <x:v>445.5966123379767</x:v>
      </x:c>
      <x:c r="G115" s="23" t="n">
        <x:v>233.48691237159073</x:v>
      </x:c>
      <x:c r="H115" s="23" t="n">
        <x:v>17.841243744362146</x:v>
      </x:c>
      <x:c r="I115" s="23" t="n">
        <x:v>0.858208890282549</x:v>
      </x:c>
      <x:c r="J115" s="23" t="n">
        <x:v>9</x:v>
      </x:c>
      <x:c r="K115" s="23" t="n">
        <x:v>183.4190894400036</x:v>
      </x:c>
      <x:c r="L115" s="23" t="n">
        <x:v>55</x:v>
      </x:c>
      <x:c r="M115" s="23" t="n">
        <x:v>25</x:v>
      </x:c>
      <x:c r="N115" s="23" t="n">
        <x:v>1.1991664652748915</x:v>
      </x:c>
      <x:c r="O115" s="23" t="n">
        <x:v>52.18744296886192</x:v>
      </x:c>
      <x:c r="P115" s="23" t="n">
        <x:v>1416.70703884447</x:v>
      </x:c>
      <x:c r="Q115" s="23" t="n">
        <x:v>1.1959370403920992</x:v>
      </x:c>
      <x:c r="R115" s="23" t="n">
        <x:v>51.6240660973785</x:v>
      </x:c>
      <x:c r="S115" s="23" t="n">
        <x:v>1421.4208019317907</x:v>
      </x:c>
      <x:c r="T115" s="23" t="n">
        <x:v>-0.003229424882792209</x:v>
      </x:c>
      <x:c r="U115" s="23" t="n">
        <x:v>-0.5633768714834204</x:v>
      </x:c>
      <x:c r="V115" s="23" t="n">
        <x:v>4.713763087320785</x:v>
      </x:c>
    </x:row>
    <x:row r="116">
      <x:c r="A116" s="23" t="n">
        <x:v>115</x:v>
      </x:c>
      <x:c r="B116" s="23" t="str">
        <x:v>Validation</x:v>
      </x:c>
      <x:c r="C116" s="23" t="str">
        <x:v>Lightning</x:v>
      </x:c>
      <x:c r="D116" s="23" t="n">
        <x:v>1380.7533433428034</x:v>
      </x:c>
      <x:c r="E116" s="23" t="n">
        <x:v>1225.0307950773276</x:v>
      </x:c>
      <x:c r="F116" s="23" t="n">
        <x:v>711.6124745458364</x:v>
      </x:c>
      <x:c r="G116" s="23" t="n">
        <x:v>266.6378734703176</x:v>
      </x:c>
      <x:c r="H116" s="23" t="n">
        <x:v>26.951255274005234</x:v>
      </x:c>
      <x:c r="I116" s="23" t="n">
        <x:v>0.8262041876162403</x:v>
      </x:c>
      <x:c r="J116" s="23" t="n">
        <x:v>9</x:v>
      </x:c>
      <x:c r="K116" s="23" t="n">
        <x:v>185.68901059656739</x:v>
      </x:c>
      <x:c r="L116" s="23" t="n">
        <x:v>30</x:v>
      </x:c>
      <x:c r="M116" s="23" t="n">
        <x:v>25</x:v>
      </x:c>
      <x:c r="N116" s="23" t="n">
        <x:v>1.1836309530469677</x:v>
      </x:c>
      <x:c r="O116" s="23" t="n">
        <x:v>52.31854661223685</x:v>
      </x:c>
      <x:c r="P116" s="23" t="n">
        <x:v>1380.7533433428034</x:v>
      </x:c>
      <x:c r="Q116" s="23" t="n">
        <x:v>1.1785103595735</x:v>
      </x:c>
      <x:c r="R116" s="23" t="n">
        <x:v>53.87080972089647</x:v>
      </x:c>
      <x:c r="S116" s="23" t="n">
        <x:v>1349.4120437439146</x:v>
      </x:c>
      <x:c r="T116" s="23" t="n">
        <x:v>-0.005120593473467716</x:v>
      </x:c>
      <x:c r="U116" s="23" t="n">
        <x:v>1.5522631086596164</x:v>
      </x:c>
      <x:c r="V116" s="23" t="n">
        <x:v>-31.34129959888878</x:v>
      </x:c>
    </x:row>
    <x:row r="117">
      <x:c r="A117" s="23" t="n">
        <x:v>116</x:v>
      </x:c>
      <x:c r="B117" s="23" t="str">
        <x:v>Validation</x:v>
      </x:c>
      <x:c r="C117" s="23" t="str">
        <x:v>Lightning</x:v>
      </x:c>
      <x:c r="D117" s="23" t="n">
        <x:v>1421.2933221249841</x:v>
      </x:c>
      <x:c r="E117" s="23" t="n">
        <x:v>827.1545688156039</x:v>
      </x:c>
      <x:c r="F117" s="23" t="n">
        <x:v>511.29352329298854</x:v>
      </x:c>
      <x:c r="G117" s="23" t="n">
        <x:v>327.67903180327266</x:v>
      </x:c>
      <x:c r="H117" s="23" t="n">
        <x:v>29.949781536590308</x:v>
      </x:c>
      <x:c r="I117" s="23" t="n">
        <x:v>0.838699917588383</x:v>
      </x:c>
      <x:c r="J117" s="23" t="n">
        <x:v>9</x:v>
      </x:c>
      <x:c r="K117" s="23" t="n">
        <x:v>188.29318678151344</x:v>
      </x:c>
      <x:c r="L117" s="23" t="n">
        <x:v>40</x:v>
      </x:c>
      <x:c r="M117" s="23" t="n">
        <x:v>25</x:v>
      </x:c>
      <x:c r="N117" s="23" t="n">
        <x:v>1.162441540961069</x:v>
      </x:c>
      <x:c r="O117" s="23" t="n">
        <x:v>52.23479087179596</x:v>
      </x:c>
      <x:c r="P117" s="23" t="n">
        <x:v>1421.2933221249841</x:v>
      </x:c>
      <x:c r="Q117" s="23" t="n">
        <x:v>1.148315238203035</x:v>
      </x:c>
      <x:c r="R117" s="23" t="n">
        <x:v>52.43863689639909</x:v>
      </x:c>
      <x:c r="S117" s="23" t="n">
        <x:v>1405.303671905711</x:v>
      </x:c>
      <x:c r="T117" s="23" t="n">
        <x:v>-0.01412630275803406</x:v>
      </x:c>
      <x:c r="U117" s="23" t="n">
        <x:v>0.20384602460313062</x:v>
      </x:c>
      <x:c r="V117" s="23" t="n">
        <x:v>-15.989650219273017</x:v>
      </x:c>
    </x:row>
    <x:row r="118">
      <x:c r="A118" s="23" t="n">
        <x:v>117</x:v>
      </x:c>
      <x:c r="B118" s="23" t="str">
        <x:v>Validation</x:v>
      </x:c>
      <x:c r="C118" s="23" t="str">
        <x:v>Lightning</x:v>
      </x:c>
      <x:c r="D118" s="23" t="n">
        <x:v>1477.1046083886176</x:v>
      </x:c>
      <x:c r="E118" s="23" t="n">
        <x:v>1179.315792012494</x:v>
      </x:c>
      <x:c r="F118" s="23" t="n">
        <x:v>579.0115563198924</x:v>
      </x:c>
      <x:c r="G118" s="23" t="n">
        <x:v>302.0065987785347</x:v>
      </x:c>
      <x:c r="H118" s="23" t="n">
        <x:v>16.17069736123085</x:v>
      </x:c>
      <x:c r="I118" s="23" t="n">
        <x:v>0.7938776760385372</x:v>
      </x:c>
      <x:c r="J118" s="23" t="n">
        <x:v>10</x:v>
      </x:c>
      <x:c r="K118" s="23" t="n">
        <x:v>186.0619907791581</x:v>
      </x:c>
      <x:c r="L118" s="23" t="n">
        <x:v>30</x:v>
      </x:c>
      <x:c r="M118" s="23" t="n">
        <x:v>25</x:v>
      </x:c>
      <x:c r="N118" s="23" t="n">
        <x:v>1.1392049524284842</x:v>
      </x:c>
      <x:c r="O118" s="23" t="n">
        <x:v>52.33195285633697</x:v>
      </x:c>
      <x:c r="P118" s="23" t="n">
        <x:v>1477.1046083886176</x:v>
      </x:c>
      <x:c r="Q118" s="23" t="n">
        <x:v>1.14511797137865</x:v>
      </x:c>
      <x:c r="R118" s="23" t="n">
        <x:v>54.139127334545314</x:v>
      </x:c>
      <x:c r="S118" s="23" t="n">
        <x:v>1472.0145314051733</x:v>
      </x:c>
      <x:c r="T118" s="23" t="n">
        <x:v>0.005913018950165716</x:v>
      </x:c>
      <x:c r="U118" s="23" t="n">
        <x:v>1.8071744782083456</x:v>
      </x:c>
      <x:c r="V118" s="23" t="n">
        <x:v>-5.090076983444305</x:v>
      </x:c>
    </x:row>
    <x:row r="119">
      <x:c r="A119" s="23" t="n">
        <x:v>118</x:v>
      </x:c>
      <x:c r="B119" s="23" t="str">
        <x:v>Hidden Test</x:v>
      </x:c>
      <x:c r="C119" s="23" t="str">
        <x:v>Lightning</x:v>
      </x:c>
      <x:c r="D119" s="23" t="n">
        <x:v>1496.0426488076337</x:v>
      </x:c>
      <x:c r="E119" s="23" t="n">
        <x:v>710.1391302188858</x:v>
      </x:c>
      <x:c r="F119" s="23" t="n">
        <x:v>497.18262972310185</x:v>
      </x:c>
      <x:c r="G119" s="23" t="n">
        <x:v>118.2293970324099</x:v>
      </x:c>
      <x:c r="H119" s="23" t="n">
        <x:v>16.45788814732805</x:v>
      </x:c>
      <x:c r="I119" s="23" t="n">
        <x:v>0.8582879483466969</x:v>
      </x:c>
      <x:c r="J119" s="23" t="n">
        <x:v>9</x:v>
      </x:c>
      <x:c r="K119" s="23" t="n">
        <x:v>193.6727193930961</x:v>
      </x:c>
      <x:c r="L119" s="23" t="n">
        <x:v>55</x:v>
      </x:c>
      <x:c r="M119" s="23" t="n">
        <x:v>25</x:v>
      </x:c>
      <x:c r="N119" s="23" t="n">
        <x:v>1.163103624395982</x:v>
      </x:c>
      <x:c r="O119" s="23" t="n">
        <x:v>52.18168656415123</x:v>
      </x:c>
      <x:c r="P119" s="23" t="n">
        <x:v>1496.0426488076337</x:v>
      </x:c>
      <x:c r="Q119" s="23" t="n">
        <x:v>1.1582682172636198</x:v>
      </x:c>
      <x:c r="R119" s="23" t="n">
        <x:v>52.52210161595355</x:v>
      </x:c>
      <x:c r="S119" s="23" t="n">
        <x:v>1518.4867328745413</x:v>
      </x:c>
      <x:c r="T119" s="23" t="n">
        <x:v>-0.0048354071323621906</x:v>
      </x:c>
      <x:c r="U119" s="23" t="n">
        <x:v>0.34041505180232434</x:v>
      </x:c>
      <x:c r="V119" s="23" t="n">
        <x:v>22.444084066907635</x:v>
      </x:c>
    </x:row>
    <x:row r="120">
      <x:c r="A120" s="23" t="n">
        <x:v>119</x:v>
      </x:c>
      <x:c r="B120" s="23" t="str">
        <x:v>Hidden Test</x:v>
      </x:c>
      <x:c r="C120" s="23" t="str">
        <x:v>Lightning</x:v>
      </x:c>
      <x:c r="D120" s="23" t="n">
        <x:v>1495.769447204657</x:v>
      </x:c>
      <x:c r="E120" s="23" t="n">
        <x:v>922.9136189562269</x:v>
      </x:c>
      <x:c r="F120" s="23" t="n">
        <x:v>716.1767974495888</x:v>
      </x:c>
      <x:c r="G120" s="23" t="n">
        <x:v>160.1262286840938</x:v>
      </x:c>
      <x:c r="H120" s="23" t="n">
        <x:v>22.94392983149737</x:v>
      </x:c>
      <x:c r="I120" s="23" t="n">
        <x:v>0.8154426727048122</x:v>
      </x:c>
      <x:c r="J120" s="23" t="n">
        <x:v>10</x:v>
      </x:c>
      <x:c r="K120" s="23" t="n">
        <x:v>183.4303620931696</x:v>
      </x:c>
      <x:c r="L120" s="23" t="n">
        <x:v>35</x:v>
      </x:c>
      <x:c r="M120" s="23" t="n">
        <x:v>25</x:v>
      </x:c>
      <x:c r="N120" s="23" t="n">
        <x:v>1.1805817719505949</x:v>
      </x:c>
      <x:c r="O120" s="23" t="n">
        <x:v>52.286714283761825</x:v>
      </x:c>
      <x:c r="P120" s="23" t="n">
        <x:v>1495.769447204657</x:v>
      </x:c>
      <x:c r="Q120" s="23" t="n">
        <x:v>1.1876111447608493</x:v>
      </x:c>
      <x:c r="R120" s="23" t="n">
        <x:v>53.43589585103982</x:v>
      </x:c>
      <x:c r="S120" s="23" t="n">
        <x:v>1491.44074510225</x:v>
      </x:c>
      <x:c r="T120" s="23" t="n">
        <x:v>0.007029372810254397</x:v>
      </x:c>
      <x:c r="U120" s="23" t="n">
        <x:v>1.1491815672779921</x:v>
      </x:c>
      <x:c r="V120" s="23" t="n">
        <x:v>-4.328702102406851</x:v>
      </x:c>
    </x:row>
    <x:row r="121">
      <x:c r="A121" s="23" t="n">
        <x:v>120</x:v>
      </x:c>
      <x:c r="B121" s="23" t="str">
        <x:v>Hidden Test</x:v>
      </x:c>
      <x:c r="C121" s="23" t="str">
        <x:v>Lightning</x:v>
      </x:c>
      <x:c r="D121" s="23" t="n">
        <x:v>1403.3764823223464</x:v>
      </x:c>
      <x:c r="E121" s="23" t="n">
        <x:v>706.8071315996349</x:v>
      </x:c>
      <x:c r="F121" s="23" t="n">
        <x:v>654.1046551428735</x:v>
      </x:c>
      <x:c r="G121" s="23" t="n">
        <x:v>264.7055504331365</x:v>
      </x:c>
      <x:c r="H121" s="23" t="n">
        <x:v>13.750950460787863</x:v>
      </x:c>
      <x:c r="I121" s="23" t="n">
        <x:v>0.8218475764710457</x:v>
      </x:c>
      <x:c r="J121" s="23" t="n">
        <x:v>9</x:v>
      </x:c>
      <x:c r="K121" s="23" t="n">
        <x:v>189.73192197949135</x:v>
      </x:c>
      <x:c r="L121" s="23" t="n">
        <x:v>45</x:v>
      </x:c>
      <x:c r="M121" s="23" t="n">
        <x:v>25</x:v>
      </x:c>
      <x:c r="N121" s="23" t="n">
        <x:v>1.1682149887370392</x:v>
      </x:c>
      <x:c r="O121" s="23" t="n">
        <x:v>52.22847438329911</x:v>
      </x:c>
      <x:c r="P121" s="23" t="n">
        <x:v>1403.3764823223464</x:v>
      </x:c>
      <x:c r="Q121" s="23" t="n">
        <x:v>1.1729338401752483</x:v>
      </x:c>
      <x:c r="R121" s="23" t="n">
        <x:v>51.56490522504999</x:v>
      </x:c>
      <x:c r="S121" s="23" t="n">
        <x:v>1414.0805003345479</x:v>
      </x:c>
      <x:c r="T121" s="23" t="n">
        <x:v>0.0047188514382090485</x:v>
      </x:c>
      <x:c r="U121" s="23" t="n">
        <x:v>-0.6635691582491177</x:v>
      </x:c>
      <x:c r="V121" s="23" t="n">
        <x:v>10.704018012201459</x:v>
      </x:c>
    </x:row>
    <x:row r="122">
      <x:c r="A122" s="23" t="n">
        <x:v>121</x:v>
      </x:c>
      <x:c r="B122" s="23" t="str">
        <x:v>Train</x:v>
      </x:c>
      <x:c r="C122" s="23" t="str">
        <x:v>Lightning</x:v>
      </x:c>
      <x:c r="D122" s="23" t="n">
        <x:v>1380.1651988178492</x:v>
      </x:c>
      <x:c r="E122" s="23" t="n">
        <x:v>872.880730626639</x:v>
      </x:c>
      <x:c r="F122" s="23" t="n">
        <x:v>474.0556852892041</x:v>
      </x:c>
      <x:c r="G122" s="23" t="n">
        <x:v>257.48950101668015</x:v>
      </x:c>
      <x:c r="H122" s="23" t="n">
        <x:v>9.821316881105304</x:v>
      </x:c>
      <x:c r="I122" s="23" t="n">
        <x:v>0.8239659638446756</x:v>
      </x:c>
      <x:c r="J122" s="23" t="n">
        <x:v>9</x:v>
      </x:c>
      <x:c r="K122" s="23" t="n">
        <x:v>186.1141060268927</x:v>
      </x:c>
      <x:c r="L122" s="23" t="n">
        <x:v>50</x:v>
      </x:c>
      <x:c r="M122" s="23" t="n">
        <x:v>25</x:v>
      </x:c>
      <x:c r="N122" s="23" t="n">
        <x:v>1.2504563672571112</x:v>
      </x:c>
      <x:c r="O122" s="23" t="n">
        <x:v>52.225170111097704</x:v>
      </x:c>
      <x:c r="P122" s="23" t="n">
        <x:v>1380.1651988178492</x:v>
      </x:c>
      <x:c r="Q122" s="23" t="n">
        <x:v>1.2556618321745479</x:v>
      </x:c>
      <x:c r="R122" s="23" t="n">
        <x:v>52.13392974946395</x:v>
      </x:c>
      <x:c r="S122" s="23" t="n">
        <x:v>1389.5173755758358</x:v>
      </x:c>
      <x:c r="T122" s="23" t="n">
        <x:v>0.005205464917436675</x:v>
      </x:c>
      <x:c r="U122" s="23" t="n">
        <x:v>-0.09124036163375138</x:v>
      </x:c>
      <x:c r="V122" s="23" t="n">
        <x:v>9.352176757986626</x:v>
      </x:c>
    </x:row>
    <x:row r="123">
      <x:c r="A123" s="23" t="n">
        <x:v>122</x:v>
      </x:c>
      <x:c r="B123" s="23" t="str">
        <x:v>Train</x:v>
      </x:c>
      <x:c r="C123" s="23" t="str">
        <x:v>Lightning</x:v>
      </x:c>
      <x:c r="D123" s="23" t="n">
        <x:v>1358.3049754262902</x:v>
      </x:c>
      <x:c r="E123" s="23" t="n">
        <x:v>706.737113581039</x:v>
      </x:c>
      <x:c r="F123" s="23" t="n">
        <x:v>533.0324069596827</x:v>
      </x:c>
      <x:c r="G123" s="23" t="n">
        <x:v>149.76359686814249</x:v>
      </x:c>
      <x:c r="H123" s="23" t="n">
        <x:v>13.288266551215202</x:v>
      </x:c>
      <x:c r="I123" s="23" t="n">
        <x:v>0.8379648173647002</x:v>
      </x:c>
      <x:c r="J123" s="23" t="n">
        <x:v>9</x:v>
      </x:c>
      <x:c r="K123" s="23" t="n">
        <x:v>180.10633849998592</x:v>
      </x:c>
      <x:c r="L123" s="23" t="n">
        <x:v>55</x:v>
      </x:c>
      <x:c r="M123" s="23" t="n">
        <x:v>25</x:v>
      </x:c>
      <x:c r="N123" s="23" t="n">
        <x:v>1.2033923658782542</x:v>
      </x:c>
      <x:c r="O123" s="23" t="n">
        <x:v>52.19166295133198</x:v>
      </x:c>
      <x:c r="P123" s="23" t="n">
        <x:v>1358.3049754262902</x:v>
      </x:c>
      <x:c r="Q123" s="23" t="n">
        <x:v>1.1954893845482732</x:v>
      </x:c>
      <x:c r="R123" s="23" t="n">
        <x:v>50.59622212923178</x:v>
      </x:c>
      <x:c r="S123" s="23" t="n">
        <x:v>1375.964969959217</x:v>
      </x:c>
      <x:c r="T123" s="23" t="n">
        <x:v>-0.007902981329980907</x:v>
      </x:c>
      <x:c r="U123" s="23" t="n">
        <x:v>-1.5954408221001941</x:v>
      </x:c>
      <x:c r="V123" s="23" t="n">
        <x:v>17.659994532926703</x:v>
      </x:c>
    </x:row>
    <x:row r="124">
      <x:c r="A124" s="23" t="n">
        <x:v>123</x:v>
      </x:c>
      <x:c r="B124" s="23" t="str">
        <x:v>Train</x:v>
      </x:c>
      <x:c r="C124" s="23" t="str">
        <x:v>Lightning</x:v>
      </x:c>
      <x:c r="D124" s="23" t="n">
        <x:v>1405.3079490317032</x:v>
      </x:c>
      <x:c r="E124" s="23" t="n">
        <x:v>813.5128304944374</x:v>
      </x:c>
      <x:c r="F124" s="23" t="n">
        <x:v>563.921806588769</x:v>
      </x:c>
      <x:c r="G124" s="23" t="n">
        <x:v>260.96209986833856</x:v>
      </x:c>
      <x:c r="H124" s="23" t="n">
        <x:v>29.85042987111956</x:v>
      </x:c>
      <x:c r="I124" s="23" t="n">
        <x:v>0.8408286567288451</x:v>
      </x:c>
      <x:c r="J124" s="23" t="n">
        <x:v>9</x:v>
      </x:c>
      <x:c r="K124" s="23" t="n">
        <x:v>185.70409847549217</x:v>
      </x:c>
      <x:c r="L124" s="23" t="n">
        <x:v>45</x:v>
      </x:c>
      <x:c r="M124" s="23" t="n">
        <x:v>25</x:v>
      </x:c>
      <x:c r="N124" s="23" t="n">
        <x:v>1.25257416822151</x:v>
      </x:c>
      <x:c r="O124" s="23" t="n">
        <x:v>52.23046701120917</x:v>
      </x:c>
      <x:c r="P124" s="23" t="n">
        <x:v>1405.3079490317032</x:v>
      </x:c>
      <x:c r="Q124" s="23" t="n">
        <x:v>1.241111463854926</x:v>
      </x:c>
      <x:c r="R124" s="23" t="n">
        <x:v>51.421899375660544</x:v>
      </x:c>
      <x:c r="S124" s="23" t="n">
        <x:v>1395.600861766272</x:v>
      </x:c>
      <x:c r="T124" s="23" t="n">
        <x:v>-0.011462704366583809</x:v>
      </x:c>
      <x:c r="U124" s="23" t="n">
        <x:v>-0.8085676355486271</x:v>
      </x:c>
      <x:c r="V124" s="23" t="n">
        <x:v>-9.707087265431255</x:v>
      </x:c>
    </x:row>
    <x:row r="125">
      <x:c r="A125" s="23" t="n">
        <x:v>124</x:v>
      </x:c>
      <x:c r="B125" s="23" t="str">
        <x:v>Train</x:v>
      </x:c>
      <x:c r="C125" s="23" t="str">
        <x:v>Lightning</x:v>
      </x:c>
      <x:c r="D125" s="23" t="n">
        <x:v>1446.9655406079255</x:v>
      </x:c>
      <x:c r="E125" s="23" t="n">
        <x:v>1041.5259468834847</x:v>
      </x:c>
      <x:c r="F125" s="23" t="n">
        <x:v>460.8802552334964</x:v>
      </x:c>
      <x:c r="G125" s="23" t="n">
        <x:v>237.04357798676938</x:v>
      </x:c>
      <x:c r="H125" s="23" t="n">
        <x:v>9.818557004909962</x:v>
      </x:c>
      <x:c r="I125" s="23" t="n">
        <x:v>0.8370657509565353</x:v>
      </x:c>
      <x:c r="J125" s="23" t="n">
        <x:v>9</x:v>
      </x:c>
      <x:c r="K125" s="23" t="n">
        <x:v>192.06848299875594</x:v>
      </x:c>
      <x:c r="L125" s="23" t="n">
        <x:v>45</x:v>
      </x:c>
      <x:c r="M125" s="23" t="n">
        <x:v>25</x:v>
      </x:c>
      <x:c r="N125" s="23" t="n">
        <x:v>1.2260408100391007</x:v>
      </x:c>
      <x:c r="O125" s="23" t="n">
        <x:v>52.246223706962674</x:v>
      </x:c>
      <x:c r="P125" s="23" t="n">
        <x:v>1446.9655406079255</x:v>
      </x:c>
      <x:c r="Q125" s="23" t="n">
        <x:v>1.232222650993831</x:v>
      </x:c>
      <x:c r="R125" s="23" t="n">
        <x:v>52.325518693807815</x:v>
      </x:c>
      <x:c r="S125" s="23" t="n">
        <x:v>1445.9648246290105</x:v>
      </x:c>
      <x:c r="T125" s="23" t="n">
        <x:v>0.006181840954730289</x:v>
      </x:c>
      <x:c r="U125" s="23" t="n">
        <x:v>0.07929498684514158</x:v>
      </x:c>
      <x:c r="V125" s="23" t="n">
        <x:v>-1.0007159789149682</x:v>
      </x:c>
    </x:row>
    <x:row r="126">
      <x:c r="A126" s="23" t="n">
        <x:v>125</x:v>
      </x:c>
      <x:c r="B126" s="23" t="str">
        <x:v>Train</x:v>
      </x:c>
      <x:c r="C126" s="23" t="str">
        <x:v>Lightning</x:v>
      </x:c>
      <x:c r="D126" s="23" t="n">
        <x:v>1455.3221243899316</x:v>
      </x:c>
      <x:c r="E126" s="23" t="n">
        <x:v>792.8781692753546</x:v>
      </x:c>
      <x:c r="F126" s="23" t="n">
        <x:v>404.2506104335189</x:v>
      </x:c>
      <x:c r="G126" s="23" t="n">
        <x:v>324.8494013515301</x:v>
      </x:c>
      <x:c r="H126" s="23" t="n">
        <x:v>8.774545099586248</x:v>
      </x:c>
      <x:c r="I126" s="23" t="n">
        <x:v>0.8246034951903858</x:v>
      </x:c>
      <x:c r="J126" s="23" t="n">
        <x:v>9</x:v>
      </x:c>
      <x:c r="K126" s="23" t="n">
        <x:v>196.09722637449386</x:v>
      </x:c>
      <x:c r="L126" s="23" t="n">
        <x:v>50</x:v>
      </x:c>
      <x:c r="M126" s="23" t="n">
        <x:v>25</x:v>
      </x:c>
      <x:c r="N126" s="23" t="n">
        <x:v>1.1837711407347724</x:v>
      </x:c>
      <x:c r="O126" s="23" t="n">
        <x:v>52.21231444788184</x:v>
      </x:c>
      <x:c r="P126" s="23" t="n">
        <x:v>1455.3221243899316</x:v>
      </x:c>
      <x:c r="Q126" s="23" t="n">
        <x:v>1.1821509815664653</x:v>
      </x:c>
      <x:c r="R126" s="23" t="n">
        <x:v>52.790190821158035</x:v>
      </x:c>
      <x:c r="S126" s="23" t="n">
        <x:v>1472.4462738891054</x:v>
      </x:c>
      <x:c r="T126" s="23" t="n">
        <x:v>-0.001620159168307156</x:v>
      </x:c>
      <x:c r="U126" s="23" t="n">
        <x:v>0.5778763732761973</x:v>
      </x:c>
      <x:c r="V126" s="23" t="n">
        <x:v>17.124149499173882</x:v>
      </x:c>
    </x:row>
    <x:row r="127">
      <x:c r="A127" s="23" t="n">
        <x:v>126</x:v>
      </x:c>
      <x:c r="B127" s="23" t="str">
        <x:v>Train</x:v>
      </x:c>
      <x:c r="C127" s="23" t="str">
        <x:v>Lightning</x:v>
      </x:c>
      <x:c r="D127" s="23" t="n">
        <x:v>1497.8187386062928</x:v>
      </x:c>
      <x:c r="E127" s="23" t="n">
        <x:v>692.2516199527308</x:v>
      </x:c>
      <x:c r="F127" s="23" t="n">
        <x:v>707.6283087022603</x:v>
      </x:c>
      <x:c r="G127" s="23" t="n">
        <x:v>176.85613680630922</x:v>
      </x:c>
      <x:c r="H127" s="23" t="n">
        <x:v>9.771837326232344</x:v>
      </x:c>
      <x:c r="I127" s="23" t="n">
        <x:v>0.8495602709380911</x:v>
      </x:c>
      <x:c r="J127" s="23" t="n">
        <x:v>9</x:v>
      </x:c>
      <x:c r="K127" s="23" t="n">
        <x:v>195.89464100742504</x:v>
      </x:c>
      <x:c r="L127" s="23" t="n">
        <x:v>50</x:v>
      </x:c>
      <x:c r="M127" s="23" t="n">
        <x:v>25</x:v>
      </x:c>
      <x:c r="N127" s="23" t="n">
        <x:v>1.229412199861799</x:v>
      </x:c>
      <x:c r="O127" s="23" t="n">
        <x:v>52.22085257100705</x:v>
      </x:c>
      <x:c r="P127" s="23" t="n">
        <x:v>1497.8187386062928</x:v>
      </x:c>
      <x:c r="Q127" s="23" t="n">
        <x:v>1.2389141641129957</x:v>
      </x:c>
      <x:c r="R127" s="23" t="n">
        <x:v>51.15415770069829</x:v>
      </x:c>
      <x:c r="S127" s="23" t="n">
        <x:v>1501.0646839903236</x:v>
      </x:c>
      <x:c r="T127" s="23" t="n">
        <x:v>0.009501964251196648</x:v>
      </x:c>
      <x:c r="U127" s="23" t="n">
        <x:v>-1.0666948703087584</x:v>
      </x:c>
      <x:c r="V127" s="23" t="n">
        <x:v>3.245945384030847</x:v>
      </x:c>
    </x:row>
    <x:row r="128">
      <x:c r="A128" s="23" t="n">
        <x:v>127</x:v>
      </x:c>
      <x:c r="B128" s="23" t="str">
        <x:v>Train</x:v>
      </x:c>
      <x:c r="C128" s="23" t="str">
        <x:v>Lightning</x:v>
      </x:c>
      <x:c r="D128" s="23" t="n">
        <x:v>1491.3301825756207</x:v>
      </x:c>
      <x:c r="E128" s="23" t="n">
        <x:v>1066.1014842917211</x:v>
      </x:c>
      <x:c r="F128" s="23" t="n">
        <x:v>550.9752981364727</x:v>
      </x:c>
      <x:c r="G128" s="23" t="n">
        <x:v>144.09862585132942</x:v>
      </x:c>
      <x:c r="H128" s="23" t="n">
        <x:v>14.530671603046358</x:v>
      </x:c>
      <x:c r="I128" s="23" t="n">
        <x:v>0.8133658604486845</x:v>
      </x:c>
      <x:c r="J128" s="23" t="n">
        <x:v>10</x:v>
      </x:c>
      <x:c r="K128" s="23" t="n">
        <x:v>183.35293563378042</x:v>
      </x:c>
      <x:c r="L128" s="23" t="n">
        <x:v>40</x:v>
      </x:c>
      <x:c r="M128" s="23" t="n">
        <x:v>25</x:v>
      </x:c>
      <x:c r="N128" s="23" t="n">
        <x:v>1.2499990324569814</x:v>
      </x:c>
      <x:c r="O128" s="23" t="n">
        <x:v>52.28012363948443</x:v>
      </x:c>
      <x:c r="P128" s="23" t="n">
        <x:v>1491.3301825756207</x:v>
      </x:c>
      <x:c r="Q128" s="23" t="n">
        <x:v>1.254594472069583</x:v>
      </x:c>
      <x:c r="R128" s="23" t="n">
        <x:v>51.99228996460013</x:v>
      </x:c>
      <x:c r="S128" s="23" t="n">
        <x:v>1500.477957888355</x:v>
      </x:c>
      <x:c r="T128" s="23" t="n">
        <x:v>0.0045954396126015595</x:v>
      </x:c>
      <x:c r="U128" s="23" t="n">
        <x:v>-0.2878336748842969</x:v>
      </x:c>
      <x:c r="V128" s="23" t="n">
        <x:v>9.147775312734211</x:v>
      </x:c>
    </x:row>
    <x:row r="129">
      <x:c r="A129" s="23" t="n">
        <x:v>128</x:v>
      </x:c>
      <x:c r="B129" s="23" t="str">
        <x:v>Train</x:v>
      </x:c>
      <x:c r="C129" s="23" t="str">
        <x:v>Lightning</x:v>
      </x:c>
      <x:c r="D129" s="23" t="n">
        <x:v>1493.4836627799086</x:v>
      </x:c>
      <x:c r="E129" s="23" t="n">
        <x:v>943.1953344494104</x:v>
      </x:c>
      <x:c r="F129" s="23" t="n">
        <x:v>545.3960536979139</x:v>
      </x:c>
      <x:c r="G129" s="23" t="n">
        <x:v>149.19294327963144</x:v>
      </x:c>
      <x:c r="H129" s="23" t="n">
        <x:v>24.977797911968082</x:v>
      </x:c>
      <x:c r="I129" s="23" t="n">
        <x:v>0.809927453873679</x:v>
      </x:c>
      <x:c r="J129" s="23" t="n">
        <x:v>10</x:v>
      </x:c>
      <x:c r="K129" s="23" t="n">
        <x:v>184.39721429826247</x:v>
      </x:c>
      <x:c r="L129" s="23" t="n">
        <x:v>40</x:v>
      </x:c>
      <x:c r="M129" s="23" t="n">
        <x:v>25</x:v>
      </x:c>
      <x:c r="N129" s="23" t="n">
        <x:v>1.2174341437660647</x:v>
      </x:c>
      <x:c r="O129" s="23" t="n">
        <x:v>52.25874613541972</x:v>
      </x:c>
      <x:c r="P129" s="23" t="n">
        <x:v>1493.4836627799086</x:v>
      </x:c>
      <x:c r="Q129" s="23" t="n">
        <x:v>1.2192463570742573</x:v>
      </x:c>
      <x:c r="R129" s="23" t="n">
        <x:v>52.73987675552991</x:v>
      </x:c>
      <x:c r="S129" s="23" t="n">
        <x:v>1484.0611700536317</x:v>
      </x:c>
      <x:c r="T129" s="23" t="n">
        <x:v>0.0018122133081925895</x:v>
      </x:c>
      <x:c r="U129" s="23" t="n">
        <x:v>0.4811306201101928</x:v>
      </x:c>
      <x:c r="V129" s="23" t="n">
        <x:v>-9.422492726276914</x:v>
      </x:c>
    </x:row>
    <x:row r="130">
      <x:c r="A130" s="23" t="n">
        <x:v>129</x:v>
      </x:c>
      <x:c r="B130" s="23" t="str">
        <x:v>Train</x:v>
      </x:c>
      <x:c r="C130" s="23" t="str">
        <x:v>Lightning</x:v>
      </x:c>
      <x:c r="D130" s="23" t="n">
        <x:v>1494.7016472928226</x:v>
      </x:c>
      <x:c r="E130" s="23" t="n">
        <x:v>794.4378863438033</x:v>
      </x:c>
      <x:c r="F130" s="23" t="n">
        <x:v>458.43729320913553</x:v>
      </x:c>
      <x:c r="G130" s="23" t="n">
        <x:v>254.94132841238752</x:v>
      </x:c>
      <x:c r="H130" s="23" t="n">
        <x:v>10.084950784221292</x:v>
      </x:c>
      <x:c r="I130" s="23" t="n">
        <x:v>0.7960378224705347</x:v>
      </x:c>
      <x:c r="J130" s="23" t="n">
        <x:v>10</x:v>
      </x:c>
      <x:c r="K130" s="23" t="n">
        <x:v>187.7676669500398</x:v>
      </x:c>
      <x:c r="L130" s="23" t="n">
        <x:v>45</x:v>
      </x:c>
      <x:c r="M130" s="23" t="n">
        <x:v>25</x:v>
      </x:c>
      <x:c r="N130" s="23" t="n">
        <x:v>1.1789792416905738</x:v>
      </x:c>
      <x:c r="O130" s="23" t="n">
        <x:v>52.23622921000499</x:v>
      </x:c>
      <x:c r="P130" s="23" t="n">
        <x:v>1494.7016472928226</x:v>
      </x:c>
      <x:c r="Q130" s="23" t="n">
        <x:v>1.1747191798188878</x:v>
      </x:c>
      <x:c r="R130" s="23" t="n">
        <x:v>52.988028183591155</x:v>
      </x:c>
      <x:c r="S130" s="23" t="n">
        <x:v>1514.4912585687423</x:v>
      </x:c>
      <x:c r="T130" s="23" t="n">
        <x:v>-0.004260061871685927</x:v>
      </x:c>
      <x:c r="U130" s="23" t="n">
        <x:v>0.7517989735861619</x:v>
      </x:c>
      <x:c r="V130" s="23" t="n">
        <x:v>19.789611275919697</x:v>
      </x:c>
    </x:row>
    <x:row r="131">
      <x:c r="A131" s="23" t="n">
        <x:v>130</x:v>
      </x:c>
      <x:c r="B131" s="23" t="str">
        <x:v>Train</x:v>
      </x:c>
      <x:c r="C131" s="23" t="str">
        <x:v>Lightning</x:v>
      </x:c>
      <x:c r="D131" s="23" t="n">
        <x:v>1357.435231434647</x:v>
      </x:c>
      <x:c r="E131" s="23" t="n">
        <x:v>1094.060457427986</x:v>
      </x:c>
      <x:c r="F131" s="23" t="n">
        <x:v>372.3658465780318</x:v>
      </x:c>
      <x:c r="G131" s="23" t="n">
        <x:v>208.2515546772629</x:v>
      </x:c>
      <x:c r="H131" s="23" t="n">
        <x:v>28.06982245342806</x:v>
      </x:c>
      <x:c r="I131" s="23" t="n">
        <x:v>0.8294952337304131</x:v>
      </x:c>
      <x:c r="J131" s="23" t="n">
        <x:v>9</x:v>
      </x:c>
      <x:c r="K131" s="23" t="n">
        <x:v>181.8288167224003</x:v>
      </x:c>
      <x:c r="L131" s="23" t="n">
        <x:v>40</x:v>
      </x:c>
      <x:c r="M131" s="23" t="n">
        <x:v>25</x:v>
      </x:c>
      <x:c r="N131" s="23" t="n">
        <x:v>1.1582012006682862</x:v>
      </x:c>
      <x:c r="O131" s="23" t="n">
        <x:v>52.236124145115184</x:v>
      </x:c>
      <x:c r="P131" s="23" t="n">
        <x:v>1357.435231434647</x:v>
      </x:c>
      <x:c r="Q131" s="23" t="n">
        <x:v>1.1560641050071059</x:v>
      </x:c>
      <x:c r="R131" s="23" t="n">
        <x:v>53.626302005509956</x:v>
      </x:c>
      <x:c r="S131" s="23" t="n">
        <x:v>1348.547654151344</x:v>
      </x:c>
      <x:c r="T131" s="23" t="n">
        <x:v>-0.002137095661180366</x:v>
      </x:c>
      <x:c r="U131" s="23" t="n">
        <x:v>1.3901778603947719</x:v>
      </x:c>
      <x:c r="V131" s="23" t="n">
        <x:v>-8.887577283303017</x:v>
      </x:c>
    </x:row>
    <x:row r="132">
      <x:c r="A132" s="23" t="n">
        <x:v>131</x:v>
      </x:c>
      <x:c r="B132" s="23" t="str">
        <x:v>Train</x:v>
      </x:c>
      <x:c r="C132" s="23" t="str">
        <x:v>Lightning</x:v>
      </x:c>
      <x:c r="D132" s="23" t="n">
        <x:v>1382.7012825524434</x:v>
      </x:c>
      <x:c r="E132" s="23" t="n">
        <x:v>1196.9201413565315</x:v>
      </x:c>
      <x:c r="F132" s="23" t="n">
        <x:v>720.298869535327</x:v>
      </x:c>
      <x:c r="G132" s="23" t="n">
        <x:v>217.65029952628538</x:v>
      </x:c>
      <x:c r="H132" s="23" t="n">
        <x:v>23.297566537745297</x:v>
      </x:c>
      <x:c r="I132" s="23" t="n">
        <x:v>0.8317923414777033</x:v>
      </x:c>
      <x:c r="J132" s="23" t="n">
        <x:v>9</x:v>
      </x:c>
      <x:c r="K132" s="23" t="n">
        <x:v>184.7017196217821</x:v>
      </x:c>
      <x:c r="L132" s="23" t="n">
        <x:v>35</x:v>
      </x:c>
      <x:c r="M132" s="23" t="n">
        <x:v>25</x:v>
      </x:c>
      <x:c r="N132" s="23" t="n">
        <x:v>1.2680762680851214</x:v>
      </x:c>
      <x:c r="O132" s="23" t="n">
        <x:v>52.30787949722695</x:v>
      </x:c>
      <x:c r="P132" s="23" t="n">
        <x:v>1382.7012825524434</x:v>
      </x:c>
      <x:c r="Q132" s="23" t="n">
        <x:v>1.271579834829452</x:v>
      </x:c>
      <x:c r="R132" s="23" t="n">
        <x:v>52.27503811756103</x:v>
      </x:c>
      <x:c r="S132" s="23" t="n">
        <x:v>1371.1748902249901</x:v>
      </x:c>
      <x:c r="T132" s="23" t="n">
        <x:v>0.0035035667443306107</x:v>
      </x:c>
      <x:c r="U132" s="23" t="n">
        <x:v>-0.032841379665917714</x:v>
      </x:c>
      <x:c r="V132" s="23" t="n">
        <x:v>-11.526392327453323</x:v>
      </x:c>
    </x:row>
    <x:row r="133">
      <x:c r="A133" s="23" t="n">
        <x:v>132</x:v>
      </x:c>
      <x:c r="B133" s="23" t="str">
        <x:v>Train</x:v>
      </x:c>
      <x:c r="C133" s="23" t="str">
        <x:v>Lightning</x:v>
      </x:c>
      <x:c r="D133" s="23" t="n">
        <x:v>1498.7604095949791</x:v>
      </x:c>
      <x:c r="E133" s="23" t="n">
        <x:v>1060.1622071582824</x:v>
      </x:c>
      <x:c r="F133" s="23" t="n">
        <x:v>412.3472752980888</x:v>
      </x:c>
      <x:c r="G133" s="23" t="n">
        <x:v>263.0267127370462</x:v>
      </x:c>
      <x:c r="H133" s="23" t="n">
        <x:v>16.62713500065729</x:v>
      </x:c>
      <x:c r="I133" s="23" t="n">
        <x:v>0.8061651142500341</x:v>
      </x:c>
      <x:c r="J133" s="23" t="n">
        <x:v>10</x:v>
      </x:c>
      <x:c r="K133" s="23" t="n">
        <x:v>185.91233769638595</x:v>
      </x:c>
      <x:c r="L133" s="23" t="n">
        <x:v>40</x:v>
      </x:c>
      <x:c r="M133" s="23" t="n">
        <x:v>25</x:v>
      </x:c>
      <x:c r="N133" s="23" t="n">
        <x:v>1.2430861565403488</x:v>
      </x:c>
      <x:c r="O133" s="23" t="n">
        <x:v>52.27568164581726</x:v>
      </x:c>
      <x:c r="P133" s="23" t="n">
        <x:v>1498.7604095949791</x:v>
      </x:c>
      <x:c r="Q133" s="23" t="n">
        <x:v>1.2445296252569598</x:v>
      </x:c>
      <x:c r="R133" s="23" t="n">
        <x:v>52.8406716223758</x:v>
      </x:c>
      <x:c r="S133" s="23" t="n">
        <x:v>1502.1626984952147</x:v>
      </x:c>
      <x:c r="T133" s="23" t="n">
        <x:v>0.0014434687166109406</x:v>
      </x:c>
      <x:c r="U133" s="23" t="n">
        <x:v>0.5649899765585431</x:v>
      </x:c>
      <x:c r="V133" s="23" t="n">
        <x:v>3.4022889002355896</x:v>
      </x:c>
    </x:row>
    <x:row r="134">
      <x:c r="A134" s="23" t="n">
        <x:v>133</x:v>
      </x:c>
      <x:c r="B134" s="23" t="str">
        <x:v>Train</x:v>
      </x:c>
      <x:c r="C134" s="23" t="str">
        <x:v>Lightning</x:v>
      </x:c>
      <x:c r="D134" s="23" t="n">
        <x:v>1478.6836231593043</x:v>
      </x:c>
      <x:c r="E134" s="23" t="n">
        <x:v>1220.747559692245</x:v>
      </x:c>
      <x:c r="F134" s="23" t="n">
        <x:v>494.76364087313414</x:v>
      </x:c>
      <x:c r="G134" s="23" t="n">
        <x:v>326.09471420990303</x:v>
      </x:c>
      <x:c r="H134" s="23" t="n">
        <x:v>17.96047642081976</x:v>
      </x:c>
      <x:c r="I134" s="23" t="n">
        <x:v>0.8002068285853602</x:v>
      </x:c>
      <x:c r="J134" s="23" t="n">
        <x:v>10</x:v>
      </x:c>
      <x:c r="K134" s="23" t="n">
        <x:v>184.78767867719705</x:v>
      </x:c>
      <x:c r="L134" s="23" t="n">
        <x:v>30</x:v>
      </x:c>
      <x:c r="M134" s="23" t="n">
        <x:v>25</x:v>
      </x:c>
      <x:c r="N134" s="23" t="n">
        <x:v>1.1409956012029692</x:v>
      </x:c>
      <x:c r="O134" s="23" t="n">
        <x:v>52.32870822473482</x:v>
      </x:c>
      <x:c r="P134" s="23" t="n">
        <x:v>1478.6836231593043</x:v>
      </x:c>
      <x:c r="Q134" s="23" t="n">
        <x:v>1.1565355955504635</x:v>
      </x:c>
      <x:c r="R134" s="23" t="n">
        <x:v>53.293346639735695</x:v>
      </x:c>
      <x:c r="S134" s="23" t="n">
        <x:v>1477.3202716425885</x:v>
      </x:c>
      <x:c r="T134" s="23" t="n">
        <x:v>0.015539994347494313</x:v>
      </x:c>
      <x:c r="U134" s="23" t="n">
        <x:v>0.9646384150008771</x:v>
      </x:c>
      <x:c r="V134" s="23" t="n">
        <x:v>-1.3633515167157384</x:v>
      </x:c>
    </x:row>
    <x:row r="135">
      <x:c r="A135" s="23" t="n">
        <x:v>134</x:v>
      </x:c>
      <x:c r="B135" s="23" t="str">
        <x:v>Train</x:v>
      </x:c>
      <x:c r="C135" s="23" t="str">
        <x:v>Lightning</x:v>
      </x:c>
      <x:c r="D135" s="23" t="n">
        <x:v>1434.2543660779484</x:v>
      </x:c>
      <x:c r="E135" s="23" t="n">
        <x:v>1181.1264026677236</x:v>
      </x:c>
      <x:c r="F135" s="23" t="n">
        <x:v>429.2890307493508</x:v>
      </x:c>
      <x:c r="G135" s="23" t="n">
        <x:v>247.70953265950084</x:v>
      </x:c>
      <x:c r="H135" s="23" t="n">
        <x:v>9.660300298128277</x:v>
      </x:c>
      <x:c r="I135" s="23" t="n">
        <x:v>0.8553775734594092</x:v>
      </x:c>
      <x:c r="J135" s="23" t="n">
        <x:v>9</x:v>
      </x:c>
      <x:c r="K135" s="23" t="n">
        <x:v>186.30555812490616</x:v>
      </x:c>
      <x:c r="L135" s="23" t="n">
        <x:v>40</x:v>
      </x:c>
      <x:c r="M135" s="23" t="n">
        <x:v>25</x:v>
      </x:c>
      <x:c r="N135" s="23" t="n">
        <x:v>1.1717829062157117</x:v>
      </x:c>
      <x:c r="O135" s="23" t="n">
        <x:v>52.26472813533549</x:v>
      </x:c>
      <x:c r="P135" s="23" t="n">
        <x:v>1434.2543660779484</x:v>
      </x:c>
      <x:c r="Q135" s="23" t="n">
        <x:v>1.1937687597818079</x:v>
      </x:c>
      <x:c r="R135" s="23" t="n">
        <x:v>52.685871115867855</x:v>
      </x:c>
      <x:c r="S135" s="23" t="n">
        <x:v>1432.1551129748188</x:v>
      </x:c>
      <x:c r="T135" s="23" t="n">
        <x:v>0.02198585356609617</x:v>
      </x:c>
      <x:c r="U135" s="23" t="n">
        <x:v>0.4211429805323661</x:v>
      </x:c>
      <x:c r="V135" s="23" t="n">
        <x:v>-2.099253103129513</x:v>
      </x:c>
    </x:row>
    <x:row r="136">
      <x:c r="A136" s="23" t="n">
        <x:v>135</x:v>
      </x:c>
      <x:c r="B136" s="23" t="str">
        <x:v>Validation</x:v>
      </x:c>
      <x:c r="C136" s="23" t="str">
        <x:v>Lightning</x:v>
      </x:c>
      <x:c r="D136" s="23" t="n">
        <x:v>1374.0103750722483</x:v>
      </x:c>
      <x:c r="E136" s="23" t="n">
        <x:v>838.2350966450758</x:v>
      </x:c>
      <x:c r="F136" s="23" t="n">
        <x:v>551.6537398099899</x:v>
      </x:c>
      <x:c r="G136" s="23" t="n">
        <x:v>196.05275789042935</x:v>
      </x:c>
      <x:c r="H136" s="23" t="n">
        <x:v>10.274321290664375</x:v>
      </x:c>
      <x:c r="I136" s="23" t="n">
        <x:v>0.8531267589307391</x:v>
      </x:c>
      <x:c r="J136" s="23" t="n">
        <x:v>9</x:v>
      </x:c>
      <x:c r="K136" s="23" t="n">
        <x:v>178.95092124858124</x:v>
      </x:c>
      <x:c r="L136" s="23" t="n">
        <x:v>50</x:v>
      </x:c>
      <x:c r="M136" s="23" t="n">
        <x:v>25</x:v>
      </x:c>
      <x:c r="N136" s="23" t="n">
        <x:v>1.2385798592746766</x:v>
      </x:c>
      <x:c r="O136" s="23" t="n">
        <x:v>52.222287943098316</x:v>
      </x:c>
      <x:c r="P136" s="23" t="n">
        <x:v>1374.0103750722483</x:v>
      </x:c>
      <x:c r="Q136" s="23" t="n">
        <x:v>1.254849057930719</x:v>
      </x:c>
      <x:c r="R136" s="23" t="n">
        <x:v>52.95391132221115</x:v>
      </x:c>
      <x:c r="S136" s="23" t="n">
        <x:v>1377.791736704917</x:v>
      </x:c>
      <x:c r="T136" s="23" t="n">
        <x:v>0.016269198656042372</x:v>
      </x:c>
      <x:c r="U136" s="23" t="n">
        <x:v>0.7316233791128326</x:v>
      </x:c>
      <x:c r="V136" s="23" t="n">
        <x:v>3.781361632668677</x:v>
      </x:c>
    </x:row>
    <x:row r="137">
      <x:c r="A137" s="23" t="n">
        <x:v>136</x:v>
      </x:c>
      <x:c r="B137" s="23" t="str">
        <x:v>Validation</x:v>
      </x:c>
      <x:c r="C137" s="23" t="str">
        <x:v>Lightning</x:v>
      </x:c>
      <x:c r="D137" s="23" t="n">
        <x:v>1439.705931104254</x:v>
      </x:c>
      <x:c r="E137" s="23" t="n">
        <x:v>601.6531852073967</x:v>
      </x:c>
      <x:c r="F137" s="23" t="n">
        <x:v>640.1855534873903</x:v>
      </x:c>
      <x:c r="G137" s="23" t="n">
        <x:v>81.77861715201288</x:v>
      </x:c>
      <x:c r="H137" s="23" t="n">
        <x:v>17.83241137629375</x:v>
      </x:c>
      <x:c r="I137" s="23" t="n">
        <x:v>0.8400806114915759</x:v>
      </x:c>
      <x:c r="J137" s="23" t="n">
        <x:v>9</x:v>
      </x:c>
      <x:c r="K137" s="23" t="n">
        <x:v>190.41901871086637</x:v>
      </x:c>
      <x:c r="L137" s="23" t="n">
        <x:v>55</x:v>
      </x:c>
      <x:c r="M137" s="23" t="n">
        <x:v>25</x:v>
      </x:c>
      <x:c r="N137" s="23" t="n">
        <x:v>1.1669499877125915</x:v>
      </x:c>
      <x:c r="O137" s="23" t="n">
        <x:v>52.18138503621041</x:v>
      </x:c>
      <x:c r="P137" s="23" t="n">
        <x:v>1439.705931104254</x:v>
      </x:c>
      <x:c r="Q137" s="23" t="n">
        <x:v>1.1616914220042844</x:v>
      </x:c>
      <x:c r="R137" s="23" t="n">
        <x:v>52.359722230901234</x:v>
      </x:c>
      <x:c r="S137" s="23" t="n">
        <x:v>1453.6348047796353</x:v>
      </x:c>
      <x:c r="T137" s="23" t="n">
        <x:v>-0.0052585657083070725</x:v>
      </x:c>
      <x:c r="U137" s="23" t="n">
        <x:v>0.1783371946908261</x:v>
      </x:c>
      <x:c r="V137" s="23" t="n">
        <x:v>13.928873675381283</x:v>
      </x:c>
    </x:row>
    <x:row r="138">
      <x:c r="A138" s="23" t="n">
        <x:v>137</x:v>
      </x:c>
      <x:c r="B138" s="23" t="str">
        <x:v>Validation</x:v>
      </x:c>
      <x:c r="C138" s="23" t="str">
        <x:v>Lightning</x:v>
      </x:c>
      <x:c r="D138" s="23" t="n">
        <x:v>1415.6933711841702</x:v>
      </x:c>
      <x:c r="E138" s="23" t="n">
        <x:v>1007.6822832575999</x:v>
      </x:c>
      <x:c r="F138" s="23" t="n">
        <x:v>415.220639295876</x:v>
      </x:c>
      <x:c r="G138" s="23" t="n">
        <x:v>254.40697323763743</x:v>
      </x:c>
      <x:c r="H138" s="23" t="n">
        <x:v>14.700792705640197</x:v>
      </x:c>
      <x:c r="I138" s="23" t="n">
        <x:v>0.8414558900264092</x:v>
      </x:c>
      <x:c r="J138" s="23" t="n">
        <x:v>9</x:v>
      </x:c>
      <x:c r="K138" s="23" t="n">
        <x:v>186.93702822612715</x:v>
      </x:c>
      <x:c r="L138" s="23" t="n">
        <x:v>45</x:v>
      </x:c>
      <x:c r="M138" s="23" t="n">
        <x:v>25</x:v>
      </x:c>
      <x:c r="N138" s="23" t="n">
        <x:v>1.207846741160848</x:v>
      </x:c>
      <x:c r="O138" s="23" t="n">
        <x:v>52.23653454550123</x:v>
      </x:c>
      <x:c r="P138" s="23" t="n">
        <x:v>1415.6933711841702</x:v>
      </x:c>
      <x:c r="Q138" s="23" t="n">
        <x:v>1.2053922749681352</x:v>
      </x:c>
      <x:c r="R138" s="23" t="n">
        <x:v>51.672336420303054</x:v>
      </x:c>
      <x:c r="S138" s="23" t="n">
        <x:v>1418.3449156255076</x:v>
      </x:c>
      <x:c r="T138" s="23" t="n">
        <x:v>-0.002454466192712834</x:v>
      </x:c>
      <x:c r="U138" s="23" t="n">
        <x:v>-0.5641981251981747</x:v>
      </x:c>
      <x:c r="V138" s="23" t="n">
        <x:v>2.6515444413373643</x:v>
      </x:c>
    </x:row>
    <x:row r="139">
      <x:c r="A139" s="23" t="n">
        <x:v>138</x:v>
      </x:c>
      <x:c r="B139" s="23" t="str">
        <x:v>Hidden Test</x:v>
      </x:c>
      <x:c r="C139" s="23" t="str">
        <x:v>Lightning</x:v>
      </x:c>
      <x:c r="D139" s="23" t="n">
        <x:v>1445.6494540558197</x:v>
      </x:c>
      <x:c r="E139" s="23" t="n">
        <x:v>785.99732297007</x:v>
      </x:c>
      <x:c r="F139" s="23" t="n">
        <x:v>594.591346476227</x:v>
      </x:c>
      <x:c r="G139" s="23" t="n">
        <x:v>145.88783184997737</x:v>
      </x:c>
      <x:c r="H139" s="23" t="n">
        <x:v>8.204782758373767</x:v>
      </x:c>
      <x:c r="I139" s="23" t="n">
        <x:v>0.8002275647642091</x:v>
      </x:c>
      <x:c r="J139" s="23" t="n">
        <x:v>10</x:v>
      </x:c>
      <x:c r="K139" s="23" t="n">
        <x:v>180.65479342514118</x:v>
      </x:c>
      <x:c r="L139" s="23" t="n">
        <x:v>45</x:v>
      </x:c>
      <x:c r="M139" s="23" t="n">
        <x:v>25</x:v>
      </x:c>
      <x:c r="N139" s="23" t="n">
        <x:v>1.1845968731956795</x:v>
      </x:c>
      <x:c r="O139" s="23" t="n">
        <x:v>52.23946205384958</x:v>
      </x:c>
      <x:c r="P139" s="23" t="n">
        <x:v>1445.6494540558197</x:v>
      </x:c>
      <x:c r="Q139" s="23" t="n">
        <x:v>1.1952909792150421</x:v>
      </x:c>
      <x:c r="R139" s="23" t="n">
        <x:v>51.37759097367868</x:v>
      </x:c>
      <x:c r="S139" s="23" t="n">
        <x:v>1452.5589298722489</x:v>
      </x:c>
      <x:c r="T139" s="23" t="n">
        <x:v>0.010694106019362604</x:v>
      </x:c>
      <x:c r="U139" s="23" t="n">
        <x:v>-0.8618710801709</x:v>
      </x:c>
      <x:c r="V139" s="23" t="n">
        <x:v>6.909475816429222</x:v>
      </x:c>
    </x:row>
    <x:row r="140">
      <x:c r="A140" s="23" t="n">
        <x:v>139</x:v>
      </x:c>
      <x:c r="B140" s="23" t="str">
        <x:v>Hidden Test</x:v>
      </x:c>
      <x:c r="C140" s="23" t="str">
        <x:v>Lightning</x:v>
      </x:c>
      <x:c r="D140" s="23" t="n">
        <x:v>1439.2638149438426</x:v>
      </x:c>
      <x:c r="E140" s="23" t="n">
        <x:v>1193.5782472253777</x:v>
      </x:c>
      <x:c r="F140" s="23" t="n">
        <x:v>741.0196948796511</x:v>
      </x:c>
      <x:c r="G140" s="23" t="n">
        <x:v>175.02921270905063</x:v>
      </x:c>
      <x:c r="H140" s="23" t="n">
        <x:v>13.218534261919558</x:v>
      </x:c>
      <x:c r="I140" s="23" t="n">
        <x:v>0.8407048724475317</x:v>
      </x:c>
      <x:c r="J140" s="23" t="n">
        <x:v>9</x:v>
      </x:c>
      <x:c r="K140" s="23" t="n">
        <x:v>190.21919213440438</x:v>
      </x:c>
      <x:c r="L140" s="23" t="n">
        <x:v>35</x:v>
      </x:c>
      <x:c r="M140" s="23" t="n">
        <x:v>25</x:v>
      </x:c>
      <x:c r="N140" s="23" t="n">
        <x:v>1.1941597268976902</x:v>
      </x:c>
      <x:c r="O140" s="23" t="n">
        <x:v>52.30394361411439</x:v>
      </x:c>
      <x:c r="P140" s="23" t="n">
        <x:v>1439.2638149438426</x:v>
      </x:c>
      <x:c r="Q140" s="23" t="n">
        <x:v>1.2170988580501358</x:v>
      </x:c>
      <x:c r="R140" s="23" t="n">
        <x:v>53.85841423567635</x:v>
      </x:c>
      <x:c r="S140" s="23" t="n">
        <x:v>1441.014209774406</x:v>
      </x:c>
      <x:c r="T140" s="23" t="n">
        <x:v>0.022939131152445613</x:v>
      </x:c>
      <x:c r="U140" s="23" t="n">
        <x:v>1.5544706215619613</x:v>
      </x:c>
      <x:c r="V140" s="23" t="n">
        <x:v>1.7503948305634367</x:v>
      </x:c>
    </x:row>
    <x:row r="141">
      <x:c r="A141" s="23" t="n">
        <x:v>140</x:v>
      </x:c>
      <x:c r="B141" s="23" t="str">
        <x:v>Hidden Test</x:v>
      </x:c>
      <x:c r="C141" s="23" t="str">
        <x:v>Lightning</x:v>
      </x:c>
      <x:c r="D141" s="23" t="n">
        <x:v>1446.5222703642212</x:v>
      </x:c>
      <x:c r="E141" s="23" t="n">
        <x:v>1109.115538513288</x:v>
      </x:c>
      <x:c r="F141" s="23" t="n">
        <x:v>439.34646947309375</x:v>
      </x:c>
      <x:c r="G141" s="23" t="n">
        <x:v>284.0793065680191</x:v>
      </x:c>
      <x:c r="H141" s="23" t="n">
        <x:v>22.676827016752213</x:v>
      </x:c>
      <x:c r="I141" s="23" t="n">
        <x:v>0.8112658564373851</x:v>
      </x:c>
      <x:c r="J141" s="23" t="n">
        <x:v>9</x:v>
      </x:c>
      <x:c r="K141" s="23" t="n">
        <x:v>198.11593872931675</x:v>
      </x:c>
      <x:c r="L141" s="23" t="n">
        <x:v>40</x:v>
      </x:c>
      <x:c r="M141" s="23" t="n">
        <x:v>25</x:v>
      </x:c>
      <x:c r="N141" s="23" t="n">
        <x:v>1.2261875009425796</x:v>
      </x:c>
      <x:c r="O141" s="23" t="n">
        <x:v>52.260739004471894</x:v>
      </x:c>
      <x:c r="P141" s="23" t="n">
        <x:v>1446.5222703642212</x:v>
      </x:c>
      <x:c r="Q141" s="23" t="n">
        <x:v>1.2288160780339852</x:v>
      </x:c>
      <x:c r="R141" s="23" t="n">
        <x:v>53.23499826738671</x:v>
      </x:c>
      <x:c r="S141" s="23" t="n">
        <x:v>1431.1639317805284</x:v>
      </x:c>
      <x:c r="T141" s="23" t="n">
        <x:v>0.002628577091405626</x:v>
      </x:c>
      <x:c r="U141" s="23" t="n">
        <x:v>0.9742592629148135</x:v>
      </x:c>
      <x:c r="V141" s="23" t="n">
        <x:v>-15.358338583692785</x:v>
      </x:c>
    </x:row>
    <x:row r="142">
      <x:c r="A142" s="23" t="n">
        <x:v>141</x:v>
      </x:c>
      <x:c r="B142" s="23" t="str">
        <x:v>Train</x:v>
      </x:c>
      <x:c r="C142" s="23" t="str">
        <x:v>Lightning</x:v>
      </x:c>
      <x:c r="D142" s="23" t="n">
        <x:v>1412.4134661164135</x:v>
      </x:c>
      <x:c r="E142" s="23" t="n">
        <x:v>643.7563492800109</x:v>
      </x:c>
      <x:c r="F142" s="23" t="n">
        <x:v>682.7566107735038</x:v>
      </x:c>
      <x:c r="G142" s="23" t="n">
        <x:v>199.98434719862416</x:v>
      </x:c>
      <x:c r="H142" s="23" t="n">
        <x:v>8.399324912577868</x:v>
      </x:c>
      <x:c r="I142" s="23" t="n">
        <x:v>0.8074796493374743</x:v>
      </x:c>
      <x:c r="J142" s="23" t="n">
        <x:v>9</x:v>
      </x:c>
      <x:c r="K142" s="23" t="n">
        <x:v>194.35143622164745</x:v>
      </x:c>
      <x:c r="L142" s="23" t="n">
        <x:v>50</x:v>
      </x:c>
      <x:c r="M142" s="23" t="n">
        <x:v>25</x:v>
      </x:c>
      <x:c r="N142" s="23" t="n">
        <x:v>1.1854861243171628</x:v>
      </x:c>
      <x:c r="O142" s="23" t="n">
        <x:v>52.21301909263329</x:v>
      </x:c>
      <x:c r="P142" s="23" t="n">
        <x:v>1412.4134661164135</x:v>
      </x:c>
      <x:c r="Q142" s="23" t="n">
        <x:v>1.1912434894867607</x:v>
      </x:c>
      <x:c r="R142" s="23" t="n">
        <x:v>51.25076503095715</x:v>
      </x:c>
      <x:c r="S142" s="23" t="n">
        <x:v>1426.6786743854182</x:v>
      </x:c>
      <x:c r="T142" s="23" t="n">
        <x:v>0.0057573651695979056</x:v>
      </x:c>
      <x:c r="U142" s="23" t="n">
        <x:v>-0.9622540616761412</x:v>
      </x:c>
      <x:c r="V142" s="23" t="n">
        <x:v>14.265208269004688</x:v>
      </x:c>
    </x:row>
    <x:row r="143">
      <x:c r="A143" s="23" t="n">
        <x:v>142</x:v>
      </x:c>
      <x:c r="B143" s="23" t="str">
        <x:v>Train</x:v>
      </x:c>
      <x:c r="C143" s="23" t="str">
        <x:v>Lightning</x:v>
      </x:c>
      <x:c r="D143" s="23" t="n">
        <x:v>1420.4384708893485</x:v>
      </x:c>
      <x:c r="E143" s="23" t="n">
        <x:v>735.0582514656708</x:v>
      </x:c>
      <x:c r="F143" s="23" t="n">
        <x:v>528.1323556788266</x:v>
      </x:c>
      <x:c r="G143" s="23" t="n">
        <x:v>238.6021799594164</x:v>
      </x:c>
      <x:c r="H143" s="23" t="n">
        <x:v>17.030026788357645</x:v>
      </x:c>
      <x:c r="I143" s="23" t="n">
        <x:v>0.7980607749475167</x:v>
      </x:c>
      <x:c r="J143" s="23" t="n">
        <x:v>9</x:v>
      </x:c>
      <x:c r="K143" s="23" t="n">
        <x:v>197.76250345828913</x:v>
      </x:c>
      <x:c r="L143" s="23" t="n">
        <x:v>50</x:v>
      </x:c>
      <x:c r="M143" s="23" t="n">
        <x:v>25</x:v>
      </x:c>
      <x:c r="N143" s="23" t="n">
        <x:v>1.2050108285706718</x:v>
      </x:c>
      <x:c r="O143" s="23" t="n">
        <x:v>52.209167040329184</x:v>
      </x:c>
      <x:c r="P143" s="23" t="n">
        <x:v>1420.4384708893485</x:v>
      </x:c>
      <x:c r="Q143" s="23" t="n">
        <x:v>1.2124880914726526</x:v>
      </x:c>
      <x:c r="R143" s="23" t="n">
        <x:v>52.79660269087786</x:v>
      </x:c>
      <x:c r="S143" s="23" t="n">
        <x:v>1435.5604498658918</x:v>
      </x:c>
      <x:c r="T143" s="23" t="n">
        <x:v>0.007477262901980808</x:v>
      </x:c>
      <x:c r="U143" s="23" t="n">
        <x:v>0.5874356505486773</x:v>
      </x:c>
      <x:c r="V143" s="23" t="n">
        <x:v>15.121978976543232</x:v>
      </x:c>
    </x:row>
    <x:row r="144">
      <x:c r="A144" s="23" t="n">
        <x:v>143</x:v>
      </x:c>
      <x:c r="B144" s="23" t="str">
        <x:v>Train</x:v>
      </x:c>
      <x:c r="C144" s="23" t="str">
        <x:v>Lightning</x:v>
      </x:c>
      <x:c r="D144" s="23" t="n">
        <x:v>1358.4202198544517</x:v>
      </x:c>
      <x:c r="E144" s="23" t="n">
        <x:v>608.0748510663398</x:v>
      </x:c>
      <x:c r="F144" s="23" t="n">
        <x:v>500.7171578705311</x:v>
      </x:c>
      <x:c r="G144" s="23" t="n">
        <x:v>187.26977180456743</x:v>
      </x:c>
      <x:c r="H144" s="23" t="n">
        <x:v>10.281839190982282</x:v>
      </x:c>
      <x:c r="I144" s="23" t="n">
        <x:v>0.8395500255911611</x:v>
      </x:c>
      <x:c r="J144" s="23" t="n">
        <x:v>9</x:v>
      </x:c>
      <x:c r="K144" s="23" t="n">
        <x:v>179.78152031803955</x:v>
      </x:c>
      <x:c r="L144" s="23" t="n">
        <x:v>60</x:v>
      </x:c>
      <x:c r="M144" s="23" t="n">
        <x:v>25</x:v>
      </x:c>
      <x:c r="N144" s="23" t="n">
        <x:v>1.2078816532039511</x:v>
      </x:c>
      <x:c r="O144" s="23" t="n">
        <x:v>52.177088433162105</x:v>
      </x:c>
      <x:c r="P144" s="23" t="n">
        <x:v>1358.4202198544517</x:v>
      </x:c>
      <x:c r="Q144" s="23" t="n">
        <x:v>1.212844542945246</x:v>
      </x:c>
      <x:c r="R144" s="23" t="n">
        <x:v>50.397728029340215</x:v>
      </x:c>
      <x:c r="S144" s="23" t="n">
        <x:v>1378.6383321025157</x:v>
      </x:c>
      <x:c r="T144" s="23" t="n">
        <x:v>0.004962889741294774</x:v>
      </x:c>
      <x:c r="U144" s="23" t="n">
        <x:v>-1.7793604038218902</x:v>
      </x:c>
      <x:c r="V144" s="23" t="n">
        <x:v>20.218112248064017</x:v>
      </x:c>
    </x:row>
    <x:row r="145">
      <x:c r="A145" s="23" t="n">
        <x:v>144</x:v>
      </x:c>
      <x:c r="B145" s="23" t="str">
        <x:v>Train</x:v>
      </x:c>
      <x:c r="C145" s="23" t="str">
        <x:v>Lightning</x:v>
      </x:c>
      <x:c r="D145" s="23" t="n">
        <x:v>1369.0455265226774</x:v>
      </x:c>
      <x:c r="E145" s="23" t="n">
        <x:v>775.2632072195411</x:v>
      </x:c>
      <x:c r="F145" s="23" t="n">
        <x:v>592.1177162788808</x:v>
      </x:c>
      <x:c r="G145" s="23" t="n">
        <x:v>258.82268328685313</x:v>
      </x:c>
      <x:c r="H145" s="23" t="n">
        <x:v>19.960523733403534</x:v>
      </x:c>
      <x:c r="I145" s="23" t="n">
        <x:v>0.8026026692893357</x:v>
      </x:c>
      <x:c r="J145" s="23" t="n">
        <x:v>9</x:v>
      </x:c>
      <x:c r="K145" s="23" t="n">
        <x:v>189.5286116458123</x:v>
      </x:c>
      <x:c r="L145" s="23" t="n">
        <x:v>45</x:v>
      </x:c>
      <x:c r="M145" s="23" t="n">
        <x:v>25</x:v>
      </x:c>
      <x:c r="N145" s="23" t="n">
        <x:v>1.1983574436668052</x:v>
      </x:c>
      <x:c r="O145" s="23" t="n">
        <x:v>52.228565797387986</x:v>
      </x:c>
      <x:c r="P145" s="23" t="n">
        <x:v>1369.0455265226774</x:v>
      </x:c>
      <x:c r="Q145" s="23" t="n">
        <x:v>1.1906490161778296</x:v>
      </x:c>
      <x:c r="R145" s="23" t="n">
        <x:v>51.941646470650866</x:v>
      </x:c>
      <x:c r="S145" s="23" t="n">
        <x:v>1362.1447926729445</x:v>
      </x:c>
      <x:c r="T145" s="23" t="n">
        <x:v>-0.0077084274889756</x:v>
      </x:c>
      <x:c r="U145" s="23" t="n">
        <x:v>-0.2869193267371202</x:v>
      </x:c>
      <x:c r="V145" s="23" t="n">
        <x:v>-6.900733849732887</x:v>
      </x:c>
    </x:row>
    <x:row r="146">
      <x:c r="A146" s="23" t="n">
        <x:v>145</x:v>
      </x:c>
      <x:c r="B146" s="23" t="str">
        <x:v>Train</x:v>
      </x:c>
      <x:c r="C146" s="23" t="str">
        <x:v>Lightning</x:v>
      </x:c>
      <x:c r="D146" s="23" t="n">
        <x:v>1461.1342021264136</x:v>
      </x:c>
      <x:c r="E146" s="23" t="n">
        <x:v>1220.553546154406</x:v>
      </x:c>
      <x:c r="F146" s="23" t="n">
        <x:v>562.2195968404412</x:v>
      </x:c>
      <x:c r="G146" s="23" t="n">
        <x:v>154.28626535693184</x:v>
      </x:c>
      <x:c r="H146" s="23" t="n">
        <x:v>21.627701135352254</x:v>
      </x:c>
      <x:c r="I146" s="23" t="n">
        <x:v>0.8040821469505318</x:v>
      </x:c>
      <x:c r="J146" s="23" t="n">
        <x:v>10</x:v>
      </x:c>
      <x:c r="K146" s="23" t="n">
        <x:v>181.7145434291435</x:v>
      </x:c>
      <x:c r="L146" s="23" t="n">
        <x:v>35</x:v>
      </x:c>
      <x:c r="M146" s="23" t="n">
        <x:v>25</x:v>
      </x:c>
      <x:c r="N146" s="23" t="n">
        <x:v>1.2545910439183268</x:v>
      </x:c>
      <x:c r="O146" s="23" t="n">
        <x:v>52.31059554249694</x:v>
      </x:c>
      <x:c r="P146" s="23" t="n">
        <x:v>1461.1342021264136</x:v>
      </x:c>
      <x:c r="Q146" s="23" t="n">
        <x:v>1.2625287215140568</x:v>
      </x:c>
      <x:c r="R146" s="23" t="n">
        <x:v>52.40432347506856</x:v>
      </x:c>
      <x:c r="S146" s="23" t="n">
        <x:v>1449.318768198016</x:v>
      </x:c>
      <x:c r="T146" s="23" t="n">
        <x:v>0.007937677595730053</x:v>
      </x:c>
      <x:c r="U146" s="23" t="n">
        <x:v>0.0937279325716176</x:v>
      </x:c>
      <x:c r="V146" s="23" t="n">
        <x:v>-11.815433928397624</x:v>
      </x:c>
    </x:row>
    <x:row r="147">
      <x:c r="A147" s="23" t="n">
        <x:v>146</x:v>
      </x:c>
      <x:c r="B147" s="23" t="str">
        <x:v>Train</x:v>
      </x:c>
      <x:c r="C147" s="23" t="str">
        <x:v>Lightning</x:v>
      </x:c>
      <x:c r="D147" s="23" t="n">
        <x:v>1367.545555124525</x:v>
      </x:c>
      <x:c r="E147" s="23" t="n">
        <x:v>819.0666654380038</x:v>
      </x:c>
      <x:c r="F147" s="23" t="n">
        <x:v>685.2199234999716</x:v>
      </x:c>
      <x:c r="G147" s="23" t="n">
        <x:v>103.49436213262379</x:v>
      </x:c>
      <x:c r="H147" s="23" t="n">
        <x:v>9.06883029686287</x:v>
      </x:c>
      <x:c r="I147" s="23" t="n">
        <x:v>0.8025471215927974</x:v>
      </x:c>
      <x:c r="J147" s="23" t="n">
        <x:v>9</x:v>
      </x:c>
      <x:c r="K147" s="23" t="n">
        <x:v>189.33406156061767</x:v>
      </x:c>
      <x:c r="L147" s="23" t="n">
        <x:v>50</x:v>
      </x:c>
      <x:c r="M147" s="23" t="n">
        <x:v>25</x:v>
      </x:c>
      <x:c r="N147" s="23" t="n">
        <x:v>1.2496087294368114</x:v>
      </x:c>
      <x:c r="O147" s="23" t="n">
        <x:v>52.22569324479568</x:v>
      </x:c>
      <x:c r="P147" s="23" t="n">
        <x:v>1367.545555124525</x:v>
      </x:c>
      <x:c r="Q147" s="23" t="n">
        <x:v>1.251903250909896</x:v>
      </x:c>
      <x:c r="R147" s="23" t="n">
        <x:v>53.00690597430333</x:v>
      </x:c>
      <x:c r="S147" s="23" t="n">
        <x:v>1371.9317145198888</x:v>
      </x:c>
      <x:c r="T147" s="23" t="n">
        <x:v>0.00229452147308451</x:v>
      </x:c>
      <x:c r="U147" s="23" t="n">
        <x:v>0.7812127295076507</x:v>
      </x:c>
      <x:c r="V147" s="23" t="n">
        <x:v>4.386159395363848</x:v>
      </x:c>
    </x:row>
    <x:row r="148">
      <x:c r="A148" s="23" t="n">
        <x:v>147</x:v>
      </x:c>
      <x:c r="B148" s="23" t="str">
        <x:v>Train</x:v>
      </x:c>
      <x:c r="C148" s="23" t="str">
        <x:v>Lightning</x:v>
      </x:c>
      <x:c r="D148" s="23" t="n">
        <x:v>1462.2360514244065</x:v>
      </x:c>
      <x:c r="E148" s="23" t="n">
        <x:v>1245.265426451806</x:v>
      </x:c>
      <x:c r="F148" s="23" t="n">
        <x:v>711.4823844283819</x:v>
      </x:c>
      <x:c r="G148" s="23" t="n">
        <x:v>180.22990097058937</x:v>
      </x:c>
      <x:c r="H148" s="23" t="n">
        <x:v>28.67384558636695</x:v>
      </x:c>
      <x:c r="I148" s="23" t="n">
        <x:v>0.7964213636214845</x:v>
      </x:c>
      <x:c r="J148" s="23" t="n">
        <x:v>10</x:v>
      </x:c>
      <x:c r="K148" s="23" t="n">
        <x:v>183.6008070872599</x:v>
      </x:c>
      <x:c r="L148" s="23" t="n">
        <x:v>30</x:v>
      </x:c>
      <x:c r="M148" s="23" t="n">
        <x:v>25</x:v>
      </x:c>
      <x:c r="N148" s="23" t="n">
        <x:v>1.2543790761493967</x:v>
      </x:c>
      <x:c r="O148" s="23" t="n">
        <x:v>52.34523138857814</x:v>
      </x:c>
      <x:c r="P148" s="23" t="n">
        <x:v>1462.2360514244065</x:v>
      </x:c>
      <x:c r="Q148" s="23" t="n">
        <x:v>1.2570806681036149</x:v>
      </x:c>
      <x:c r="R148" s="23" t="n">
        <x:v>53.06405605241355</x:v>
      </x:c>
      <x:c r="S148" s="23" t="n">
        <x:v>1437.6420698757493</x:v>
      </x:c>
      <x:c r="T148" s="23" t="n">
        <x:v>0.002701591954218152</x:v>
      </x:c>
      <x:c r="U148" s="23" t="n">
        <x:v>0.7188246638354059</x:v>
      </x:c>
      <x:c r="V148" s="23" t="n">
        <x:v>-24.59398154865721</x:v>
      </x:c>
    </x:row>
    <x:row r="149">
      <x:c r="A149" s="23" t="n">
        <x:v>148</x:v>
      </x:c>
      <x:c r="B149" s="23" t="str">
        <x:v>Train</x:v>
      </x:c>
      <x:c r="C149" s="23" t="str">
        <x:v>Lightning</x:v>
      </x:c>
      <x:c r="D149" s="23" t="n">
        <x:v>1373.3126272796653</x:v>
      </x:c>
      <x:c r="E149" s="23" t="n">
        <x:v>974.1091503296047</x:v>
      </x:c>
      <x:c r="F149" s="23" t="n">
        <x:v>680.3978878073394</x:v>
      </x:c>
      <x:c r="G149" s="23" t="n">
        <x:v>104.14356300141662</x:v>
      </x:c>
      <x:c r="H149" s="23" t="n">
        <x:v>18.843529507052153</x:v>
      </x:c>
      <x:c r="I149" s="23" t="n">
        <x:v>0.8000107044167817</x:v>
      </x:c>
      <x:c r="J149" s="23" t="n">
        <x:v>9</x:v>
      </x:c>
      <x:c r="K149" s="23" t="n">
        <x:v>190.73531276210005</x:v>
      </x:c>
      <x:c r="L149" s="23" t="n">
        <x:v>40</x:v>
      </x:c>
      <x:c r="M149" s="23" t="n">
        <x:v>25</x:v>
      </x:c>
      <x:c r="N149" s="23" t="n">
        <x:v>1.1614385635368478</x:v>
      </x:c>
      <x:c r="O149" s="23" t="n">
        <x:v>52.24921759498249</x:v>
      </x:c>
      <x:c r="P149" s="23" t="n">
        <x:v>1373.3126272796653</x:v>
      </x:c>
      <x:c r="Q149" s="23" t="n">
        <x:v>1.1544893380195085</x:v>
      </x:c>
      <x:c r="R149" s="23" t="n">
        <x:v>52.17196733343357</x:v>
      </x:c>
      <x:c r="S149" s="23" t="n">
        <x:v>1369.7400069437726</x:v>
      </x:c>
      <x:c r="T149" s="23" t="n">
        <x:v>-0.006949225517339341</x:v>
      </x:c>
      <x:c r="U149" s="23" t="n">
        <x:v>-0.07725026154891879</x:v>
      </x:c>
      <x:c r="V149" s="23" t="n">
        <x:v>-3.5726203358926796</x:v>
      </x:c>
    </x:row>
    <x:row r="150">
      <x:c r="A150" s="23" t="n">
        <x:v>149</x:v>
      </x:c>
      <x:c r="B150" s="23" t="str">
        <x:v>Train</x:v>
      </x:c>
      <x:c r="C150" s="23" t="str">
        <x:v>Lightning</x:v>
      </x:c>
      <x:c r="D150" s="23" t="n">
        <x:v>1368.4614785481244</x:v>
      </x:c>
      <x:c r="E150" s="23" t="n">
        <x:v>721.2922219070606</x:v>
      </x:c>
      <x:c r="F150" s="23" t="n">
        <x:v>466.37786608189344</x:v>
      </x:c>
      <x:c r="G150" s="23" t="n">
        <x:v>306.2294705142267</x:v>
      </x:c>
      <x:c r="H150" s="23" t="n">
        <x:v>22.821372404694557</x:v>
      </x:c>
      <x:c r="I150" s="23" t="n">
        <x:v>0.8348490623966791</x:v>
      </x:c>
      <x:c r="J150" s="23" t="n">
        <x:v>9</x:v>
      </x:c>
      <x:c r="K150" s="23" t="n">
        <x:v>182.13025832205915</x:v>
      </x:c>
      <x:c r="L150" s="23" t="n">
        <x:v>50</x:v>
      </x:c>
      <x:c r="M150" s="23" t="n">
        <x:v>25</x:v>
      </x:c>
      <x:c r="N150" s="23" t="n">
        <x:v>1.2239614604426905</x:v>
      </x:c>
      <x:c r="O150" s="23" t="n">
        <x:v>52.20793628865961</x:v>
      </x:c>
      <x:c r="P150" s="23" t="n">
        <x:v>1368.4614785481244</x:v>
      </x:c>
      <x:c r="Q150" s="23" t="n">
        <x:v>1.2272481913111846</x:v>
      </x:c>
      <x:c r="R150" s="23" t="n">
        <x:v>51.78755786767005</x:v>
      </x:c>
      <x:c r="S150" s="23" t="n">
        <x:v>1369.3037490063837</x:v>
      </x:c>
      <x:c r="T150" s="23" t="n">
        <x:v>0.00328673086849407</x:v>
      </x:c>
      <x:c r="U150" s="23" t="n">
        <x:v>-0.42037842098955736</x:v>
      </x:c>
      <x:c r="V150" s="23" t="n">
        <x:v>0.842270458259236</x:v>
      </x:c>
    </x:row>
    <x:row r="151">
      <x:c r="A151" s="23" t="n">
        <x:v>150</x:v>
      </x:c>
      <x:c r="B151" s="23" t="str">
        <x:v>Train</x:v>
      </x:c>
      <x:c r="C151" s="23" t="str">
        <x:v>Lightning</x:v>
      </x:c>
      <x:c r="D151" s="23" t="n">
        <x:v>1361.9964917306788</x:v>
      </x:c>
      <x:c r="E151" s="23" t="n">
        <x:v>798.5022177686915</x:v>
      </x:c>
      <x:c r="F151" s="23" t="n">
        <x:v>446.90806986764073</x:v>
      </x:c>
      <x:c r="G151" s="23" t="n">
        <x:v>329.6397648938</x:v>
      </x:c>
      <x:c r="H151" s="23" t="n">
        <x:v>24.603562420699745</x:v>
      </x:c>
      <x:c r="I151" s="23" t="n">
        <x:v>0.8279648520564661</x:v>
      </x:c>
      <x:c r="J151" s="23" t="n">
        <x:v>9</x:v>
      </x:c>
      <x:c r="K151" s="23" t="n">
        <x:v>182.77701420507918</x:v>
      </x:c>
      <x:c r="L151" s="23" t="n">
        <x:v>45</x:v>
      </x:c>
      <x:c r="M151" s="23" t="n">
        <x:v>25</x:v>
      </x:c>
      <x:c r="N151" s="23" t="n">
        <x:v>1.1853353462601577</x:v>
      </x:c>
      <x:c r="O151" s="23" t="n">
        <x:v>52.22058967944075</x:v>
      </x:c>
      <x:c r="P151" s="23" t="n">
        <x:v>1361.9964917306788</x:v>
      </x:c>
      <x:c r="Q151" s="23" t="n">
        <x:v>1.1858159264637607</x:v>
      </x:c>
      <x:c r="R151" s="23" t="n">
        <x:v>51.01327574469204</x:v>
      </x:c>
      <x:c r="S151" s="23" t="n">
        <x:v>1353.111278424193</x:v>
      </x:c>
      <x:c r="T151" s="23" t="n">
        <x:v>0.00048058020360297604</x:v>
      </x:c>
      <x:c r="U151" s="23" t="n">
        <x:v>-1.2073139347487114</x:v>
      </x:c>
      <x:c r="V151" s="23" t="n">
        <x:v>-8.885213306485866</x:v>
      </x:c>
    </x:row>
    <x:row r="152">
      <x:c r="A152" s="23" t="n">
        <x:v>151</x:v>
      </x:c>
      <x:c r="B152" s="23" t="str">
        <x:v>Train</x:v>
      </x:c>
      <x:c r="C152" s="23" t="str">
        <x:v>Lightning</x:v>
      </x:c>
      <x:c r="D152" s="23" t="n">
        <x:v>1438.3904931368306</x:v>
      </x:c>
      <x:c r="E152" s="23" t="n">
        <x:v>1124.3280420196243</x:v>
      </x:c>
      <x:c r="F152" s="23" t="n">
        <x:v>557.7457830309868</x:v>
      </x:c>
      <x:c r="G152" s="23" t="n">
        <x:v>169.95427651097998</x:v>
      </x:c>
      <x:c r="H152" s="23" t="n">
        <x:v>25.69912603031844</x:v>
      </x:c>
      <x:c r="I152" s="23" t="n">
        <x:v>0.7993835356435739</x:v>
      </x:c>
      <x:c r="J152" s="23" t="n">
        <x:v>9</x:v>
      </x:c>
      <x:c r="K152" s="23" t="n">
        <x:v>199.93051992923802</x:v>
      </x:c>
      <x:c r="L152" s="23" t="n">
        <x:v>40</x:v>
      </x:c>
      <x:c r="M152" s="23" t="n">
        <x:v>25</x:v>
      </x:c>
      <x:c r="N152" s="23" t="n">
        <x:v>1.2536326466799126</x:v>
      </x:c>
      <x:c r="O152" s="23" t="n">
        <x:v>52.26377748173599</x:v>
      </x:c>
      <x:c r="P152" s="23" t="n">
        <x:v>1438.3904931368306</x:v>
      </x:c>
      <x:c r="Q152" s="23" t="n">
        <x:v>1.2583884445531908</x:v>
      </x:c>
      <x:c r="R152" s="23" t="n">
        <x:v>53.07363454628962</x:v>
      </x:c>
      <x:c r="S152" s="23" t="n">
        <x:v>1423.5340380547154</x:v>
      </x:c>
      <x:c r="T152" s="23" t="n">
        <x:v>0.004755797873278178</x:v>
      </x:c>
      <x:c r="U152" s="23" t="n">
        <x:v>0.8098570645536256</x:v>
      </x:c>
      <x:c r="V152" s="23" t="n">
        <x:v>-14.85645508211519</x:v>
      </x:c>
    </x:row>
    <x:row r="153">
      <x:c r="A153" s="23" t="n">
        <x:v>152</x:v>
      </x:c>
      <x:c r="B153" s="23" t="str">
        <x:v>Train</x:v>
      </x:c>
      <x:c r="C153" s="23" t="str">
        <x:v>Lightning</x:v>
      </x:c>
      <x:c r="D153" s="23" t="n">
        <x:v>1451.9464607234113</x:v>
      </x:c>
      <x:c r="E153" s="23" t="n">
        <x:v>677.7652724646032</x:v>
      </x:c>
      <x:c r="F153" s="23" t="n">
        <x:v>407.5958929024637</x:v>
      </x:c>
      <x:c r="G153" s="23" t="n">
        <x:v>266.28791405353695</x:v>
      </x:c>
      <x:c r="H153" s="23" t="n">
        <x:v>25.52581219887361</x:v>
      </x:c>
      <x:c r="I153" s="23" t="n">
        <x:v>0.8019121720362455</x:v>
      </x:c>
      <x:c r="J153" s="23" t="n">
        <x:v>10</x:v>
      </x:c>
      <x:c r="K153" s="23" t="n">
        <x:v>181.06053397800088</x:v>
      </x:c>
      <x:c r="L153" s="23" t="n">
        <x:v>50</x:v>
      </x:c>
      <x:c r="M153" s="23" t="n">
        <x:v>25</x:v>
      </x:c>
      <x:c r="N153" s="23" t="n">
        <x:v>1.230591328599743</x:v>
      </x:c>
      <x:c r="O153" s="23" t="n">
        <x:v>52.20917320300962</x:v>
      </x:c>
      <x:c r="P153" s="23" t="n">
        <x:v>1451.9464607234113</x:v>
      </x:c>
      <x:c r="Q153" s="23" t="n">
        <x:v>1.2296800849643332</x:v>
      </x:c>
      <x:c r="R153" s="23" t="n">
        <x:v>52.58563645349883</x:v>
      </x:c>
      <x:c r="S153" s="23" t="n">
        <x:v>1454.215170930292</x:v>
      </x:c>
      <x:c r="T153" s="23" t="n">
        <x:v>-0.0009112436354097309</x:v>
      </x:c>
      <x:c r="U153" s="23" t="n">
        <x:v>0.37646325048920914</x:v>
      </x:c>
      <x:c r="V153" s="23" t="n">
        <x:v>2.268710206880769</x:v>
      </x:c>
    </x:row>
    <x:row r="154">
      <x:c r="A154" s="23" t="n">
        <x:v>153</x:v>
      </x:c>
      <x:c r="B154" s="23" t="str">
        <x:v>Train</x:v>
      </x:c>
      <x:c r="C154" s="23" t="str">
        <x:v>Lightning</x:v>
      </x:c>
      <x:c r="D154" s="23" t="n">
        <x:v>1437.1008574962616</x:v>
      </x:c>
      <x:c r="E154" s="23" t="n">
        <x:v>1207.6813632971607</x:v>
      </x:c>
      <x:c r="F154" s="23" t="n">
        <x:v>488.26854694634676</x:v>
      </x:c>
      <x:c r="G154" s="23" t="n">
        <x:v>297.2081606113352</x:v>
      </x:c>
      <x:c r="H154" s="23" t="n">
        <x:v>27.585154680535197</x:v>
      </x:c>
      <x:c r="I154" s="23" t="n">
        <x:v>0.8243258148920722</x:v>
      </x:c>
      <x:c r="J154" s="23" t="n">
        <x:v>9</x:v>
      </x:c>
      <x:c r="K154" s="23" t="n">
        <x:v>193.7072334390578</x:v>
      </x:c>
      <x:c r="L154" s="23" t="n">
        <x:v>35</x:v>
      </x:c>
      <x:c r="M154" s="23" t="n">
        <x:v>25</x:v>
      </x:c>
      <x:c r="N154" s="23" t="n">
        <x:v>1.2176613697559833</x:v>
      </x:c>
      <x:c r="O154" s="23" t="n">
        <x:v>52.28578317219804</x:v>
      </x:c>
      <x:c r="P154" s="23" t="n">
        <x:v>1437.1008574962616</x:v>
      </x:c>
      <x:c r="Q154" s="23" t="n">
        <x:v>1.2167801428490168</x:v>
      </x:c>
      <x:c r="R154" s="23" t="n">
        <x:v>53.86648080721784</x:v>
      </x:c>
      <x:c r="S154" s="23" t="n">
        <x:v>1411.3920871098294</x:v>
      </x:c>
      <x:c r="T154" s="23" t="n">
        <x:v>-0.0008812269069664591</x:v>
      </x:c>
      <x:c r="U154" s="23" t="n">
        <x:v>1.5806976350198028</x:v>
      </x:c>
      <x:c r="V154" s="23" t="n">
        <x:v>-25.708770386432207</x:v>
      </x:c>
    </x:row>
    <x:row r="155">
      <x:c r="A155" s="23" t="n">
        <x:v>154</x:v>
      </x:c>
      <x:c r="B155" s="23" t="str">
        <x:v>Train</x:v>
      </x:c>
      <x:c r="C155" s="23" t="str">
        <x:v>Lightning</x:v>
      </x:c>
      <x:c r="D155" s="23" t="n">
        <x:v>1375.5919298739173</x:v>
      </x:c>
      <x:c r="E155" s="23" t="n">
        <x:v>1000.762171507813</x:v>
      </x:c>
      <x:c r="F155" s="23" t="n">
        <x:v>385.06044605746865</x:v>
      </x:c>
      <x:c r="G155" s="23" t="n">
        <x:v>257.12562321685255</x:v>
      </x:c>
      <x:c r="H155" s="23" t="n">
        <x:v>15.656178173143417</x:v>
      </x:c>
      <x:c r="I155" s="23" t="n">
        <x:v>0.8191681948350743</x:v>
      </x:c>
      <x:c r="J155" s="23" t="n">
        <x:v>9</x:v>
      </x:c>
      <x:c r="K155" s="23" t="n">
        <x:v>186.58384044627252</x:v>
      </x:c>
      <x:c r="L155" s="23" t="n">
        <x:v>45</x:v>
      </x:c>
      <x:c r="M155" s="23" t="n">
        <x:v>25</x:v>
      </x:c>
      <x:c r="N155" s="23" t="n">
        <x:v>1.1891701111308801</x:v>
      </x:c>
      <x:c r="O155" s="23" t="n">
        <x:v>52.23117670444395</x:v>
      </x:c>
      <x:c r="P155" s="23" t="n">
        <x:v>1375.5919298739173</x:v>
      </x:c>
      <x:c r="Q155" s="23" t="n">
        <x:v>1.1972580635641843</x:v>
      </x:c>
      <x:c r="R155" s="23" t="n">
        <x:v>52.251275030340096</x:v>
      </x:c>
      <x:c r="S155" s="23" t="n">
        <x:v>1378.7598563609406</x:v>
      </x:c>
      <x:c r="T155" s="23" t="n">
        <x:v>0.00808795243330418</x:v>
      </x:c>
      <x:c r="U155" s="23" t="n">
        <x:v>0.02009832589614291</x:v>
      </x:c>
      <x:c r="V155" s="23" t="n">
        <x:v>3.167926487023351</x:v>
      </x:c>
    </x:row>
    <x:row r="156">
      <x:c r="A156" s="23" t="n">
        <x:v>155</x:v>
      </x:c>
      <x:c r="B156" s="23" t="str">
        <x:v>Validation</x:v>
      </x:c>
      <x:c r="C156" s="23" t="str">
        <x:v>Lightning</x:v>
      </x:c>
      <x:c r="D156" s="23" t="n">
        <x:v>1429.3583751423284</x:v>
      </x:c>
      <x:c r="E156" s="23" t="n">
        <x:v>1184.107247425709</x:v>
      </x:c>
      <x:c r="F156" s="23" t="n">
        <x:v>577.3633603006601</x:v>
      </x:c>
      <x:c r="G156" s="23" t="n">
        <x:v>137.3322784039192</x:v>
      </x:c>
      <x:c r="H156" s="23" t="n">
        <x:v>14.136000358499587</x:v>
      </x:c>
      <x:c r="I156" s="23" t="n">
        <x:v>0.8192416311311536</x:v>
      </x:c>
      <x:c r="J156" s="23" t="n">
        <x:v>9</x:v>
      </x:c>
      <x:c r="K156" s="23" t="n">
        <x:v>193.8592854696018</x:v>
      </x:c>
      <x:c r="L156" s="23" t="n">
        <x:v>40</x:v>
      </x:c>
      <x:c r="M156" s="23" t="n">
        <x:v>25</x:v>
      </x:c>
      <x:c r="N156" s="23" t="n">
        <x:v>1.2207806536699277</x:v>
      </x:c>
      <x:c r="O156" s="23" t="n">
        <x:v>52.27107084001986</x:v>
      </x:c>
      <x:c r="P156" s="23" t="n">
        <x:v>1429.3583751423284</x:v>
      </x:c>
      <x:c r="Q156" s="23" t="n">
        <x:v>1.2421238205762453</x:v>
      </x:c>
      <x:c r="R156" s="23" t="n">
        <x:v>51.98445602383034</x:v>
      </x:c>
      <x:c r="S156" s="23" t="n">
        <x:v>1432.2501482679156</x:v>
      </x:c>
      <x:c r="T156" s="23" t="n">
        <x:v>0.021343166906317546</x:v>
      </x:c>
      <x:c r="U156" s="23" t="n">
        <x:v>-0.28661481618951967</x:v>
      </x:c>
      <x:c r="V156" s="23" t="n">
        <x:v>2.8917731255871786</x:v>
      </x:c>
    </x:row>
    <x:row r="157">
      <x:c r="A157" s="23" t="n">
        <x:v>156</x:v>
      </x:c>
      <x:c r="B157" s="23" t="str">
        <x:v>Validation</x:v>
      </x:c>
      <x:c r="C157" s="23" t="str">
        <x:v>Lightning</x:v>
      </x:c>
      <x:c r="D157" s="23" t="n">
        <x:v>1369.4531165412627</x:v>
      </x:c>
      <x:c r="E157" s="23" t="n">
        <x:v>748.291178746149</x:v>
      </x:c>
      <x:c r="F157" s="23" t="n">
        <x:v>520.920994412154</x:v>
      </x:c>
      <x:c r="G157" s="23" t="n">
        <x:v>306.6569248167798</x:v>
      </x:c>
      <x:c r="H157" s="23" t="n">
        <x:v>23.558192636352032</x:v>
      </x:c>
      <x:c r="I157" s="23" t="n">
        <x:v>0.8338821067661047</x:v>
      </x:c>
      <x:c r="J157" s="23" t="n">
        <x:v>9</x:v>
      </x:c>
      <x:c r="K157" s="23" t="n">
        <x:v>182.4735848854871</x:v>
      </x:c>
      <x:c r="L157" s="23" t="n">
        <x:v>45</x:v>
      </x:c>
      <x:c r="M157" s="23" t="n">
        <x:v>25</x:v>
      </x:c>
      <x:c r="N157" s="23" t="n">
        <x:v>1.1810398372923356</x:v>
      </x:c>
      <x:c r="O157" s="23" t="n">
        <x:v>52.220717389101765</x:v>
      </x:c>
      <x:c r="P157" s="23" t="n">
        <x:v>1369.4531165412627</x:v>
      </x:c>
      <x:c r="Q157" s="23" t="n">
        <x:v>1.1816401619309023</x:v>
      </x:c>
      <x:c r="R157" s="23" t="n">
        <x:v>51.24749271567049</x:v>
      </x:c>
      <x:c r="S157" s="23" t="n">
        <x:v>1360.2117283893156</x:v>
      </x:c>
      <x:c r="T157" s="23" t="n">
        <x:v>0.0006003246385666294</x:v>
      </x:c>
      <x:c r="U157" s="23" t="n">
        <x:v>-0.9732246734312753</x:v>
      </x:c>
      <x:c r="V157" s="23" t="n">
        <x:v>-9.241388151947149</x:v>
      </x:c>
    </x:row>
    <x:row r="158">
      <x:c r="A158" s="23" t="n">
        <x:v>157</x:v>
      </x:c>
      <x:c r="B158" s="23" t="str">
        <x:v>Validation</x:v>
      </x:c>
      <x:c r="C158" s="23" t="str">
        <x:v>Lightning</x:v>
      </x:c>
      <x:c r="D158" s="23" t="n">
        <x:v>1399.9365433584899</x:v>
      </x:c>
      <x:c r="E158" s="23" t="n">
        <x:v>1077.7239405433647</x:v>
      </x:c>
      <x:c r="F158" s="23" t="n">
        <x:v>501.12438555806875</x:v>
      </x:c>
      <x:c r="G158" s="23" t="n">
        <x:v>87.68639595480636</x:v>
      </x:c>
      <x:c r="H158" s="23" t="n">
        <x:v>8.637442719191313</x:v>
      </x:c>
      <x:c r="I158" s="23" t="n">
        <x:v>0.8107952732988634</x:v>
      </x:c>
      <x:c r="J158" s="23" t="n">
        <x:v>9</x:v>
      </x:c>
      <x:c r="K158" s="23" t="n">
        <x:v>191.8468322894058</x:v>
      </x:c>
      <x:c r="L158" s="23" t="n">
        <x:v>45</x:v>
      </x:c>
      <x:c r="M158" s="23" t="n">
        <x:v>25</x:v>
      </x:c>
      <x:c r="N158" s="23" t="n">
        <x:v>1.1708347938675183</x:v>
      </x:c>
      <x:c r="O158" s="23" t="n">
        <x:v>52.234854426536614</x:v>
      </x:c>
      <x:c r="P158" s="23" t="n">
        <x:v>1399.9365433584899</x:v>
      </x:c>
      <x:c r="Q158" s="23" t="n">
        <x:v>1.1798505934674914</x:v>
      </x:c>
      <x:c r="R158" s="23" t="n">
        <x:v>51.736116625859474</x:v>
      </x:c>
      <x:c r="S158" s="23" t="n">
        <x:v>1410.3704785249595</x:v>
      </x:c>
      <x:c r="T158" s="23" t="n">
        <x:v>0.009015799599973118</x:v>
      </x:c>
      <x:c r="U158" s="23" t="n">
        <x:v>-0.4987378006771408</x:v>
      </x:c>
      <x:c r="V158" s="23" t="n">
        <x:v>10.43393516646961</x:v>
      </x:c>
    </x:row>
    <x:row r="159">
      <x:c r="A159" s="23" t="n">
        <x:v>158</x:v>
      </x:c>
      <x:c r="B159" s="23" t="str">
        <x:v>Hidden Test</x:v>
      </x:c>
      <x:c r="C159" s="23" t="str">
        <x:v>Lightning</x:v>
      </x:c>
      <x:c r="D159" s="23" t="n">
        <x:v>1417.1020850655623</x:v>
      </x:c>
      <x:c r="E159" s="23" t="n">
        <x:v>1178.7337875692174</x:v>
      </x:c>
      <x:c r="F159" s="23" t="n">
        <x:v>418.4294362552464</x:v>
      </x:c>
      <x:c r="G159" s="23" t="n">
        <x:v>206.13122072070837</x:v>
      </x:c>
      <x:c r="H159" s="23" t="n">
        <x:v>19.368467467371374</x:v>
      </x:c>
      <x:c r="I159" s="23" t="n">
        <x:v>0.7947874328074978</x:v>
      </x:c>
      <x:c r="J159" s="23" t="n">
        <x:v>9</x:v>
      </x:c>
      <x:c r="K159" s="23" t="n">
        <x:v>198.1105648252539</x:v>
      </x:c>
      <x:c r="L159" s="23" t="n">
        <x:v>40</x:v>
      </x:c>
      <x:c r="M159" s="23" t="n">
        <x:v>25</x:v>
      </x:c>
      <x:c r="N159" s="23" t="n">
        <x:v>1.1911679171790421</x:v>
      </x:c>
      <x:c r="O159" s="23" t="n">
        <x:v>52.256178686265706</x:v>
      </x:c>
      <x:c r="P159" s="23" t="n">
        <x:v>1417.1020850655623</x:v>
      </x:c>
      <x:c r="Q159" s="23" t="n">
        <x:v>1.189705996168949</x:v>
      </x:c>
      <x:c r="R159" s="23" t="n">
        <x:v>52.9968921529823</x:v>
      </x:c>
      <x:c r="S159" s="23" t="n">
        <x:v>1410.7598472307557</x:v>
      </x:c>
      <x:c r="T159" s="23" t="n">
        <x:v>-0.0014619210100932367</x:v>
      </x:c>
      <x:c r="U159" s="23" t="n">
        <x:v>0.740713466716592</x:v>
      </x:c>
      <x:c r="V159" s="23" t="n">
        <x:v>-6.34223783480661</x:v>
      </x:c>
    </x:row>
    <x:row r="160">
      <x:c r="A160" s="23" t="n">
        <x:v>159</x:v>
      </x:c>
      <x:c r="B160" s="23" t="str">
        <x:v>Hidden Test</x:v>
      </x:c>
      <x:c r="C160" s="23" t="str">
        <x:v>Lightning</x:v>
      </x:c>
      <x:c r="D160" s="23" t="n">
        <x:v>1439.9998959386721</x:v>
      </x:c>
      <x:c r="E160" s="23" t="n">
        <x:v>652.8558946331032</x:v>
      </x:c>
      <x:c r="F160" s="23" t="n">
        <x:v>357.05129131674767</x:v>
      </x:c>
      <x:c r="G160" s="23" t="n">
        <x:v>295.69137409096584</x:v>
      </x:c>
      <x:c r="H160" s="23" t="n">
        <x:v>29.425866714678705</x:v>
      </x:c>
      <x:c r="I160" s="23" t="n">
        <x:v>0.8026851008250379</x:v>
      </x:c>
      <x:c r="J160" s="23" t="n">
        <x:v>9</x:v>
      </x:c>
      <x:c r="K160" s="23" t="n">
        <x:v>199.33095590434488</x:v>
      </x:c>
      <x:c r="L160" s="23" t="n">
        <x:v>55</x:v>
      </x:c>
      <x:c r="M160" s="23" t="n">
        <x:v>25</x:v>
      </x:c>
      <x:c r="N160" s="23" t="n">
        <x:v>1.1969514570133528</x:v>
      </x:c>
      <x:c r="O160" s="23" t="n">
        <x:v>52.17857545547436</x:v>
      </x:c>
      <x:c r="P160" s="23" t="n">
        <x:v>1439.9998959386721</x:v>
      </x:c>
      <x:c r="Q160" s="23" t="n">
        <x:v>1.179970876325293</x:v>
      </x:c>
      <x:c r="R160" s="23" t="n">
        <x:v>50.93464286178085</x:v>
      </x:c>
      <x:c r="S160" s="23" t="n">
        <x:v>1432.1532207619553</x:v>
      </x:c>
      <x:c r="T160" s="23" t="n">
        <x:v>-0.016980580688059854</x:v>
      </x:c>
      <x:c r="U160" s="23" t="n">
        <x:v>-1.2439325936935077</x:v>
      </x:c>
      <x:c r="V160" s="23" t="n">
        <x:v>-7.846675176716872</x:v>
      </x:c>
    </x:row>
    <x:row r="161">
      <x:c r="A161" s="23" t="n">
        <x:v>160</x:v>
      </x:c>
      <x:c r="B161" s="23" t="str">
        <x:v>Hidden Test</x:v>
      </x:c>
      <x:c r="C161" s="23" t="str">
        <x:v>Lightning</x:v>
      </x:c>
      <x:c r="D161" s="23" t="n">
        <x:v>1401.0249866056256</x:v>
      </x:c>
      <x:c r="E161" s="23" t="n">
        <x:v>605.3730078041553</x:v>
      </x:c>
      <x:c r="F161" s="23" t="n">
        <x:v>540.3134732507169</x:v>
      </x:c>
      <x:c r="G161" s="23" t="n">
        <x:v>97.8061492042616</x:v>
      </x:c>
      <x:c r="H161" s="23" t="n">
        <x:v>15.877867074217647</x:v>
      </x:c>
      <x:c r="I161" s="23" t="n">
        <x:v>0.8214529330562801</x:v>
      </x:c>
      <x:c r="J161" s="23" t="n">
        <x:v>9</x:v>
      </x:c>
      <x:c r="K161" s="23" t="n">
        <x:v>189.5050059374677</x:v>
      </x:c>
      <x:c r="L161" s="23" t="n">
        <x:v>60</x:v>
      </x:c>
      <x:c r="M161" s="23" t="n">
        <x:v>25</x:v>
      </x:c>
      <x:c r="N161" s="23" t="n">
        <x:v>1.1811676394127109</x:v>
      </x:c>
      <x:c r="O161" s="23" t="n">
        <x:v>52.16889158837316</x:v>
      </x:c>
      <x:c r="P161" s="23" t="n">
        <x:v>1401.0249866056256</x:v>
      </x:c>
      <x:c r="Q161" s="23" t="n">
        <x:v>1.17018455452821</x:v>
      </x:c>
      <x:c r="R161" s="23" t="n">
        <x:v>51.95011439400295</x:v>
      </x:c>
      <x:c r="S161" s="23" t="n">
        <x:v>1411.8780311311727</x:v>
      </x:c>
      <x:c r="T161" s="23" t="n">
        <x:v>-0.010983084884500949</x:v>
      </x:c>
      <x:c r="U161" s="23" t="n">
        <x:v>-0.2187771943702046</x:v>
      </x:c>
      <x:c r="V161" s="23" t="n">
        <x:v>10.853044525547148</x:v>
      </x:c>
    </x:row>
    <x:row r="162">
      <x:c r="A162" s="23" t="n">
        <x:v>161</x:v>
      </x:c>
      <x:c r="B162" s="23" t="str">
        <x:v>Train</x:v>
      </x:c>
      <x:c r="C162" s="23" t="str">
        <x:v>Lightning</x:v>
      </x:c>
      <x:c r="D162" s="23" t="n">
        <x:v>1443.1240341626108</x:v>
      </x:c>
      <x:c r="E162" s="23" t="n">
        <x:v>679.6237676753663</x:v>
      </x:c>
      <x:c r="F162" s="23" t="n">
        <x:v>507.12862852960825</x:v>
      </x:c>
      <x:c r="G162" s="23" t="n">
        <x:v>220.51902206847444</x:v>
      </x:c>
      <x:c r="H162" s="23" t="n">
        <x:v>28.61184581555426</x:v>
      </x:c>
      <x:c r="I162" s="23" t="n">
        <x:v>0.8022488254611381</x:v>
      </x:c>
      <x:c r="J162" s="23" t="n">
        <x:v>9</x:v>
      </x:c>
      <x:c r="K162" s="23" t="n">
        <x:v>199.87204694851144</x:v>
      </x:c>
      <x:c r="L162" s="23" t="n">
        <x:v>50</x:v>
      </x:c>
      <x:c r="M162" s="23" t="n">
        <x:v>25</x:v>
      </x:c>
      <x:c r="N162" s="23" t="n">
        <x:v>1.18286841883949</x:v>
      </x:c>
      <x:c r="O162" s="23" t="n">
        <x:v>52.19442879589429</x:v>
      </x:c>
      <x:c r="P162" s="23" t="n">
        <x:v>1443.1240341626108</x:v>
      </x:c>
      <x:c r="Q162" s="23" t="n">
        <x:v>1.1640883803523268</x:v>
      </x:c>
      <x:c r="R162" s="23" t="n">
        <x:v>50.54562194860887</x:v>
      </x:c>
      <x:c r="S162" s="23" t="n">
        <x:v>1432.3449998909027</x:v>
      </x:c>
      <x:c r="T162" s="23" t="n">
        <x:v>-0.018780038487163253</x:v>
      </x:c>
      <x:c r="U162" s="23" t="n">
        <x:v>-1.648806847285421</x:v>
      </x:c>
      <x:c r="V162" s="23" t="n">
        <x:v>-10.779034271708042</x:v>
      </x:c>
    </x:row>
    <x:row r="163">
      <x:c r="A163" s="23" t="n">
        <x:v>162</x:v>
      </x:c>
      <x:c r="B163" s="23" t="str">
        <x:v>Train</x:v>
      </x:c>
      <x:c r="C163" s="23" t="str">
        <x:v>Lightning</x:v>
      </x:c>
      <x:c r="D163" s="23" t="n">
        <x:v>1384.3266756855883</x:v>
      </x:c>
      <x:c r="E163" s="23" t="n">
        <x:v>1012.7749155508354</x:v>
      </x:c>
      <x:c r="F163" s="23" t="n">
        <x:v>516.0008841194212</x:v>
      </x:c>
      <x:c r="G163" s="23" t="n">
        <x:v>277.5412929896265</x:v>
      </x:c>
      <x:c r="H163" s="23" t="n">
        <x:v>28.216288514900953</x:v>
      </x:c>
      <x:c r="I163" s="23" t="n">
        <x:v>0.8053801483521238</x:v>
      </x:c>
      <x:c r="J163" s="23" t="n">
        <x:v>9</x:v>
      </x:c>
      <x:c r="K163" s="23" t="n">
        <x:v>190.98319643325345</x:v>
      </x:c>
      <x:c r="L163" s="23" t="n">
        <x:v>40</x:v>
      </x:c>
      <x:c r="M163" s="23" t="n">
        <x:v>25</x:v>
      </x:c>
      <x:c r="N163" s="23" t="n">
        <x:v>1.2388151684356041</x:v>
      </x:c>
      <x:c r="O163" s="23" t="n">
        <x:v>52.25664999267299</x:v>
      </x:c>
      <x:c r="P163" s="23" t="n">
        <x:v>1384.3266756855883</x:v>
      </x:c>
      <x:c r="Q163" s="23" t="n">
        <x:v>1.2426010549629625</x:v>
      </x:c>
      <x:c r="R163" s="23" t="n">
        <x:v>52.28094514634387</x:v>
      </x:c>
      <x:c r="S163" s="23" t="n">
        <x:v>1374.5275677520406</x:v>
      </x:c>
      <x:c r="T163" s="23" t="n">
        <x:v>0.0037858865273583397</x:v>
      </x:c>
      <x:c r="U163" s="23" t="n">
        <x:v>0.024295153670877312</x:v>
      </x:c>
      <x:c r="V163" s="23" t="n">
        <x:v>-9.799107933547702</x:v>
      </x:c>
    </x:row>
    <x:row r="164">
      <x:c r="A164" s="23" t="n">
        <x:v>163</x:v>
      </x:c>
      <x:c r="B164" s="23" t="str">
        <x:v>Train</x:v>
      </x:c>
      <x:c r="C164" s="23" t="str">
        <x:v>Lightning</x:v>
      </x:c>
      <x:c r="D164" s="23" t="n">
        <x:v>1410.3358909254894</x:v>
      </x:c>
      <x:c r="E164" s="23" t="n">
        <x:v>965.0960998260416</x:v>
      </x:c>
      <x:c r="F164" s="23" t="n">
        <x:v>404.77361492812634</x:v>
      </x:c>
      <x:c r="G164" s="23" t="n">
        <x:v>171.13464289112017</x:v>
      </x:c>
      <x:c r="H164" s="23" t="n">
        <x:v>25.641829480417073</x:v>
      </x:c>
      <x:c r="I164" s="23" t="n">
        <x:v>0.7944844120065682</x:v>
      </x:c>
      <x:c r="J164" s="23" t="n">
        <x:v>9</x:v>
      </x:c>
      <x:c r="K164" s="23" t="n">
        <x:v>197.23985205050747</x:v>
      </x:c>
      <x:c r="L164" s="23" t="n">
        <x:v>45</x:v>
      </x:c>
      <x:c r="M164" s="23" t="n">
        <x:v>25</x:v>
      </x:c>
      <x:c r="N164" s="23" t="n">
        <x:v>1.1669640254968512</x:v>
      </x:c>
      <x:c r="O164" s="23" t="n">
        <x:v>52.215281104465845</x:v>
      </x:c>
      <x:c r="P164" s="23" t="n">
        <x:v>1410.3358909254894</x:v>
      </x:c>
      <x:c r="Q164" s="23" t="n">
        <x:v>1.1662403032906459</x:v>
      </x:c>
      <x:c r="R164" s="23" t="n">
        <x:v>52.30214419160681</x:v>
      </x:c>
      <x:c r="S164" s="23" t="n">
        <x:v>1399.4113903642212</x:v>
      </x:c>
      <x:c r="T164" s="23" t="n">
        <x:v>-0.0007237222062053128</x:v>
      </x:c>
      <x:c r="U164" s="23" t="n">
        <x:v>0.08686308714096214</x:v>
      </x:c>
      <x:c r="V164" s="23" t="n">
        <x:v>-10.924500561268133</x:v>
      </x:c>
    </x:row>
    <x:row r="165">
      <x:c r="A165" s="23" t="n">
        <x:v>164</x:v>
      </x:c>
      <x:c r="B165" s="23" t="str">
        <x:v>Train</x:v>
      </x:c>
      <x:c r="C165" s="23" t="str">
        <x:v>Lightning</x:v>
      </x:c>
      <x:c r="D165" s="23" t="n">
        <x:v>1410.943474934902</x:v>
      </x:c>
      <x:c r="E165" s="23" t="n">
        <x:v>1133.113592909649</x:v>
      </x:c>
      <x:c r="F165" s="23" t="n">
        <x:v>600.2659174613655</x:v>
      </x:c>
      <x:c r="G165" s="23" t="n">
        <x:v>311.6809803014621</x:v>
      </x:c>
      <x:c r="H165" s="23" t="n">
        <x:v>16.162289030384272</x:v>
      </x:c>
      <x:c r="I165" s="23" t="n">
        <x:v>0.8515420774929225</x:v>
      </x:c>
      <x:c r="J165" s="23" t="n">
        <x:v>9</x:v>
      </x:c>
      <x:c r="K165" s="23" t="n">
        <x:v>184.1030541632772</x:v>
      </x:c>
      <x:c r="L165" s="23" t="n">
        <x:v>35</x:v>
      </x:c>
      <x:c r="M165" s="23" t="n">
        <x:v>25</x:v>
      </x:c>
      <x:c r="N165" s="23" t="n">
        <x:v>1.1780522882065965</x:v>
      </x:c>
      <x:c r="O165" s="23" t="n">
        <x:v>52.293876057008106</x:v>
      </x:c>
      <x:c r="P165" s="23" t="n">
        <x:v>1410.943474934902</x:v>
      </x:c>
      <x:c r="Q165" s="23" t="n">
        <x:v>1.2007899508487012</x:v>
      </x:c>
      <x:c r="R165" s="23" t="n">
        <x:v>53.17036961970907</x:v>
      </x:c>
      <x:c r="S165" s="23" t="n">
        <x:v>1402.7442219898633</x:v>
      </x:c>
      <x:c r="T165" s="23" t="n">
        <x:v>0.02273766264210475</x:v>
      </x:c>
      <x:c r="U165" s="23" t="n">
        <x:v>0.8764935627009649</x:v>
      </x:c>
      <x:c r="V165" s="23" t="n">
        <x:v>-8.19925294503878</x:v>
      </x:c>
    </x:row>
    <x:row r="166">
      <x:c r="A166" s="23" t="n">
        <x:v>165</x:v>
      </x:c>
      <x:c r="B166" s="23" t="str">
        <x:v>Train</x:v>
      </x:c>
      <x:c r="C166" s="23" t="str">
        <x:v>Lightning</x:v>
      </x:c>
      <x:c r="D166" s="23" t="n">
        <x:v>1392.41519481875</x:v>
      </x:c>
      <x:c r="E166" s="23" t="n">
        <x:v>979.4521285104565</x:v>
      </x:c>
      <x:c r="F166" s="23" t="n">
        <x:v>416.24803077429533</x:v>
      </x:c>
      <x:c r="G166" s="23" t="n">
        <x:v>328.6573581700213</x:v>
      </x:c>
      <x:c r="H166" s="23" t="n">
        <x:v>25.43499542027712</x:v>
      </x:c>
      <x:c r="I166" s="23" t="n">
        <x:v>0.8566445569158532</x:v>
      </x:c>
      <x:c r="J166" s="23" t="n">
        <x:v>9</x:v>
      </x:c>
      <x:c r="K166" s="23" t="n">
        <x:v>180.6032597479082</x:v>
      </x:c>
      <x:c r="L166" s="23" t="n">
        <x:v>40</x:v>
      </x:c>
      <x:c r="M166" s="23" t="n">
        <x:v>25</x:v>
      </x:c>
      <x:c r="N166" s="23" t="n">
        <x:v>1.1749507507496957</x:v>
      </x:c>
      <x:c r="O166" s="23" t="n">
        <x:v>52.24387044590913</x:v>
      </x:c>
      <x:c r="P166" s="23" t="n">
        <x:v>1392.41519481875</x:v>
      </x:c>
      <x:c r="Q166" s="23" t="n">
        <x:v>1.1701407834397801</x:v>
      </x:c>
      <x:c r="R166" s="23" t="n">
        <x:v>53.4722182412472</x:v>
      </x:c>
      <x:c r="S166" s="23" t="n">
        <x:v>1384.7271071334978</x:v>
      </x:c>
      <x:c r="T166" s="23" t="n">
        <x:v>-0.004809967309915564</x:v>
      </x:c>
      <x:c r="U166" s="23" t="n">
        <x:v>1.2283477953380668</x:v>
      </x:c>
      <x:c r="V166" s="23" t="n">
        <x:v>-7.688087685252185</x:v>
      </x:c>
    </x:row>
    <x:row r="167">
      <x:c r="A167" s="23" t="n">
        <x:v>166</x:v>
      </x:c>
      <x:c r="B167" s="23" t="str">
        <x:v>Train</x:v>
      </x:c>
      <x:c r="C167" s="23" t="str">
        <x:v>Lightning</x:v>
      </x:c>
      <x:c r="D167" s="23" t="n">
        <x:v>1417.8638438810594</x:v>
      </x:c>
      <x:c r="E167" s="23" t="n">
        <x:v>600.6340376799926</x:v>
      </x:c>
      <x:c r="F167" s="23" t="n">
        <x:v>703.8544443435967</x:v>
      </x:c>
      <x:c r="G167" s="23" t="n">
        <x:v>119.62388401851058</x:v>
      </x:c>
      <x:c r="H167" s="23" t="n">
        <x:v>8.401535599026829</x:v>
      </x:c>
      <x:c r="I167" s="23" t="n">
        <x:v>0.8257523903390394</x:v>
      </x:c>
      <x:c r="J167" s="23" t="n">
        <x:v>9</x:v>
      </x:c>
      <x:c r="K167" s="23" t="n">
        <x:v>190.78410058639028</x:v>
      </x:c>
      <x:c r="L167" s="23" t="n">
        <x:v>55</x:v>
      </x:c>
      <x:c r="M167" s="23" t="n">
        <x:v>25</x:v>
      </x:c>
      <x:c r="N167" s="23" t="n">
        <x:v>1.2121555048826504</x:v>
      </x:c>
      <x:c r="O167" s="23" t="n">
        <x:v>52.19705472067512</x:v>
      </x:c>
      <x:c r="P167" s="23" t="n">
        <x:v>1417.8638438810594</x:v>
      </x:c>
      <x:c r="Q167" s="23" t="n">
        <x:v>1.2204434246121878</x:v>
      </x:c>
      <x:c r="R167" s="23" t="n">
        <x:v>52.13549135583544</x:v>
      </x:c>
      <x:c r="S167" s="23" t="n">
        <x:v>1429.221101871016</x:v>
      </x:c>
      <x:c r="T167" s="23" t="n">
        <x:v>0.008287919729537352</x:v>
      </x:c>
      <x:c r="U167" s="23" t="n">
        <x:v>-0.06156336483967806</x:v>
      </x:c>
      <x:c r="V167" s="23" t="n">
        <x:v>11.357257989956452</x:v>
      </x:c>
    </x:row>
    <x:row r="168">
      <x:c r="A168" s="23" t="n">
        <x:v>167</x:v>
      </x:c>
      <x:c r="B168" s="23" t="str">
        <x:v>Train</x:v>
      </x:c>
      <x:c r="C168" s="23" t="str">
        <x:v>Lightning</x:v>
      </x:c>
      <x:c r="D168" s="23" t="n">
        <x:v>1496.4773978339508</x:v>
      </x:c>
      <x:c r="E168" s="23" t="n">
        <x:v>929.5055959490128</x:v>
      </x:c>
      <x:c r="F168" s="23" t="n">
        <x:v>630.3330540657043</x:v>
      </x:c>
      <x:c r="G168" s="23" t="n">
        <x:v>249.52869103988633</x:v>
      </x:c>
      <x:c r="H168" s="23" t="n">
        <x:v>12.705374079756439</x:v>
      </x:c>
      <x:c r="I168" s="23" t="n">
        <x:v>0.8535841881460511</x:v>
      </x:c>
      <x:c r="J168" s="23" t="n">
        <x:v>9</x:v>
      </x:c>
      <x:c r="K168" s="23" t="n">
        <x:v>194.7965634030047</x:v>
      </x:c>
      <x:c r="L168" s="23" t="n">
        <x:v>40</x:v>
      </x:c>
      <x:c r="M168" s="23" t="n">
        <x:v>25</x:v>
      </x:c>
      <x:c r="N168" s="23" t="n">
        <x:v>1.1591262011474899</x:v>
      </x:c>
      <x:c r="O168" s="23" t="n">
        <x:v>52.25712560265394</x:v>
      </x:c>
      <x:c r="P168" s="23" t="n">
        <x:v>1496.4773978339508</x:v>
      </x:c>
      <x:c r="Q168" s="23" t="n">
        <x:v>1.1595868288752624</x:v>
      </x:c>
      <x:c r="R168" s="23" t="n">
        <x:v>51.81231418572116</x:v>
      </x:c>
      <x:c r="S168" s="23" t="n">
        <x:v>1501.0439967797638</x:v>
      </x:c>
      <x:c r="T168" s="23" t="n">
        <x:v>0.0004606277277725557</x:v>
      </x:c>
      <x:c r="U168" s="23" t="n">
        <x:v>-0.4448114169327795</x:v>
      </x:c>
      <x:c r="V168" s="23" t="n">
        <x:v>4.566598945812984</x:v>
      </x:c>
    </x:row>
    <x:row r="169">
      <x:c r="A169" s="23" t="n">
        <x:v>168</x:v>
      </x:c>
      <x:c r="B169" s="23" t="str">
        <x:v>Train</x:v>
      </x:c>
      <x:c r="C169" s="23" t="str">
        <x:v>Lightning</x:v>
      </x:c>
      <x:c r="D169" s="23" t="n">
        <x:v>1404.1750670294277</x:v>
      </x:c>
      <x:c r="E169" s="23" t="n">
        <x:v>1201.7152012325823</x:v>
      </x:c>
      <x:c r="F169" s="23" t="n">
        <x:v>410.7851362787187</x:v>
      </x:c>
      <x:c r="G169" s="23" t="n">
        <x:v>125.86970212403685</x:v>
      </x:c>
      <x:c r="H169" s="23" t="n">
        <x:v>14.59516049688682</x:v>
      </x:c>
      <x:c r="I169" s="23" t="n">
        <x:v>0.8304713779781014</x:v>
      </x:c>
      <x:c r="J169" s="23" t="n">
        <x:v>9</x:v>
      </x:c>
      <x:c r="K169" s="23" t="n">
        <x:v>187.8685479468417</x:v>
      </x:c>
      <x:c r="L169" s="23" t="n">
        <x:v>45</x:v>
      </x:c>
      <x:c r="M169" s="23" t="n">
        <x:v>25</x:v>
      </x:c>
      <x:c r="N169" s="23" t="n">
        <x:v>1.2487107241685853</x:v>
      </x:c>
      <x:c r="O169" s="23" t="n">
        <x:v>52.24605534843014</x:v>
      </x:c>
      <x:c r="P169" s="23" t="n">
        <x:v>1404.1750670294277</x:v>
      </x:c>
      <x:c r="Q169" s="23" t="n">
        <x:v>1.2496848449746085</x:v>
      </x:c>
      <x:c r="R169" s="23" t="n">
        <x:v>52.82445998514844</x:v>
      </x:c>
      <x:c r="S169" s="23" t="n">
        <x:v>1399.2397129067608</x:v>
      </x:c>
      <x:c r="T169" s="23" t="n">
        <x:v>0.0009741208060232154</x:v>
      </x:c>
      <x:c r="U169" s="23" t="n">
        <x:v>0.5784046367182967</x:v>
      </x:c>
      <x:c r="V169" s="23" t="n">
        <x:v>-4.935354122666922</x:v>
      </x:c>
    </x:row>
    <x:row r="170">
      <x:c r="A170" s="23" t="n">
        <x:v>169</x:v>
      </x:c>
      <x:c r="B170" s="23" t="str">
        <x:v>Train</x:v>
      </x:c>
      <x:c r="C170" s="23" t="str">
        <x:v>Lightning</x:v>
      </x:c>
      <x:c r="D170" s="23" t="n">
        <x:v>1374.434502236545</x:v>
      </x:c>
      <x:c r="E170" s="23" t="n">
        <x:v>1142.730418255087</x:v>
      </x:c>
      <x:c r="F170" s="23" t="n">
        <x:v>536.3939883187413</x:v>
      </x:c>
      <x:c r="G170" s="23" t="n">
        <x:v>297.39590127253905</x:v>
      </x:c>
      <x:c r="H170" s="23" t="n">
        <x:v>27.49927463196218</x:v>
      </x:c>
      <x:c r="I170" s="23" t="n">
        <x:v>0.8450462889787741</x:v>
      </x:c>
      <x:c r="J170" s="23" t="n">
        <x:v>9</x:v>
      </x:c>
      <x:c r="K170" s="23" t="n">
        <x:v>180.71784550110644</x:v>
      </x:c>
      <x:c r="L170" s="23" t="n">
        <x:v>35</x:v>
      </x:c>
      <x:c r="M170" s="23" t="n">
        <x:v>25</x:v>
      </x:c>
      <x:c r="N170" s="23" t="n">
        <x:v>1.2083206490092053</x:v>
      </x:c>
      <x:c r="O170" s="23" t="n">
        <x:v>52.28318892900094</x:v>
      </x:c>
      <x:c r="P170" s="23" t="n">
        <x:v>1374.434502236545</x:v>
      </x:c>
      <x:c r="Q170" s="23" t="n">
        <x:v>1.1989610021694883</x:v>
      </x:c>
      <x:c r="R170" s="23" t="n">
        <x:v>53.96078086778554</x:v>
      </x:c>
      <x:c r="S170" s="23" t="n">
        <x:v>1360.3520916327882</x:v>
      </x:c>
      <x:c r="T170" s="23" t="n">
        <x:v>-0.009359646839717017</x:v>
      </x:c>
      <x:c r="U170" s="23" t="n">
        <x:v>1.6775919387845946</x:v>
      </x:c>
      <x:c r="V170" s="23" t="n">
        <x:v>-14.082410603756898</x:v>
      </x:c>
    </x:row>
    <x:row r="171">
      <x:c r="A171" s="23" t="n">
        <x:v>170</x:v>
      </x:c>
      <x:c r="B171" s="23" t="str">
        <x:v>Train</x:v>
      </x:c>
      <x:c r="C171" s="23" t="str">
        <x:v>Lightning</x:v>
      </x:c>
      <x:c r="D171" s="23" t="n">
        <x:v>1483.9318108395673</x:v>
      </x:c>
      <x:c r="E171" s="23" t="n">
        <x:v>742.3410158837214</x:v>
      </x:c>
      <x:c r="F171" s="23" t="n">
        <x:v>431.7895592190325</x:v>
      </x:c>
      <x:c r="G171" s="23" t="n">
        <x:v>117.80390578322113</x:v>
      </x:c>
      <x:c r="H171" s="23" t="n">
        <x:v>17.265591223258525</x:v>
      </x:c>
      <x:c r="I171" s="23" t="n">
        <x:v>0.8581685129972175</x:v>
      </x:c>
      <x:c r="J171" s="23" t="n">
        <x:v>9</x:v>
      </x:c>
      <x:c r="K171" s="23" t="n">
        <x:v>192.13162661916738</x:v>
      </x:c>
      <x:c r="L171" s="23" t="n">
        <x:v>60</x:v>
      </x:c>
      <x:c r="M171" s="23" t="n">
        <x:v>25</x:v>
      </x:c>
      <x:c r="N171" s="23" t="n">
        <x:v>1.2300012522935992</x:v>
      </x:c>
      <x:c r="O171" s="23" t="n">
        <x:v>52.17644488393214</x:v>
      </x:c>
      <x:c r="P171" s="23" t="n">
        <x:v>1483.9318108395673</x:v>
      </x:c>
      <x:c r="Q171" s="23" t="n">
        <x:v>1.222556118755163</x:v>
      </x:c>
      <x:c r="R171" s="23" t="n">
        <x:v>51.84695061708109</x:v>
      </x:c>
      <x:c r="S171" s="23" t="n">
        <x:v>1505.6281190415066</x:v>
      </x:c>
      <x:c r="T171" s="23" t="n">
        <x:v>-0.007445133538436233</x:v>
      </x:c>
      <x:c r="U171" s="23" t="n">
        <x:v>-0.3294942668510501</x:v>
      </x:c>
      <x:c r="V171" s="23" t="n">
        <x:v>21.696308201939246</x:v>
      </x:c>
    </x:row>
    <x:row r="172">
      <x:c r="A172" s="23" t="n">
        <x:v>171</x:v>
      </x:c>
      <x:c r="B172" s="23" t="str">
        <x:v>Train</x:v>
      </x:c>
      <x:c r="C172" s="23" t="str">
        <x:v>Lightning</x:v>
      </x:c>
      <x:c r="D172" s="23" t="n">
        <x:v>1390.1782690314576</x:v>
      </x:c>
      <x:c r="E172" s="23" t="n">
        <x:v>1114.2357258708216</x:v>
      </x:c>
      <x:c r="F172" s="23" t="n">
        <x:v>365.41496105492115</x:v>
      </x:c>
      <x:c r="G172" s="23" t="n">
        <x:v>256.5482073533349</x:v>
      </x:c>
      <x:c r="H172" s="23" t="n">
        <x:v>26.81983865890652</x:v>
      </x:c>
      <x:c r="I172" s="23" t="n">
        <x:v>0.8254365829261952</x:v>
      </x:c>
      <x:c r="J172" s="23" t="n">
        <x:v>9</x:v>
      </x:c>
      <x:c r="K172" s="23" t="n">
        <x:v>187.13036871594232</x:v>
      </x:c>
      <x:c r="L172" s="23" t="n">
        <x:v>40</x:v>
      </x:c>
      <x:c r="M172" s="23" t="n">
        <x:v>25</x:v>
      </x:c>
      <x:c r="N172" s="23" t="n">
        <x:v>1.1891947217489538</x:v>
      </x:c>
      <x:c r="O172" s="23" t="n">
        <x:v>52.24571681259046</x:v>
      </x:c>
      <x:c r="P172" s="23" t="n">
        <x:v>1390.1782690314576</x:v>
      </x:c>
      <x:c r="Q172" s="23" t="n">
        <x:v>1.1795860142004895</x:v>
      </x:c>
      <x:c r="R172" s="23" t="n">
        <x:v>53.1654373178204</x:v>
      </x:c>
      <x:c r="S172" s="23" t="n">
        <x:v>1375.5011762088245</x:v>
      </x:c>
      <x:c r="T172" s="23" t="n">
        <x:v>-0.009608707548464324</x:v>
      </x:c>
      <x:c r="U172" s="23" t="n">
        <x:v>0.9197205052299395</x:v>
      </x:c>
      <x:c r="V172" s="23" t="n">
        <x:v>-14.677092822633085</x:v>
      </x:c>
    </x:row>
    <x:row r="173">
      <x:c r="A173" s="23" t="n">
        <x:v>172</x:v>
      </x:c>
      <x:c r="B173" s="23" t="str">
        <x:v>Train</x:v>
      </x:c>
      <x:c r="C173" s="23" t="str">
        <x:v>Lightning</x:v>
      </x:c>
      <x:c r="D173" s="23" t="n">
        <x:v>1472.2545085824095</x:v>
      </x:c>
      <x:c r="E173" s="23" t="n">
        <x:v>692.336101224646</x:v>
      </x:c>
      <x:c r="F173" s="23" t="n">
        <x:v>443.74469919130206</x:v>
      </x:c>
      <x:c r="G173" s="23" t="n">
        <x:v>136.1553695006296</x:v>
      </x:c>
      <x:c r="H173" s="23" t="n">
        <x:v>14.638282525818795</x:v>
      </x:c>
      <x:c r="I173" s="23" t="n">
        <x:v>0.8040470397844911</x:v>
      </x:c>
      <x:c r="J173" s="23" t="n">
        <x:v>10</x:v>
      </x:c>
      <x:c r="K173" s="23" t="n">
        <x:v>183.10551942048292</x:v>
      </x:c>
      <x:c r="L173" s="23" t="n">
        <x:v>55</x:v>
      </x:c>
      <x:c r="M173" s="23" t="n">
        <x:v>25</x:v>
      </x:c>
      <x:c r="N173" s="23" t="n">
        <x:v>1.222846373302495</x:v>
      </x:c>
      <x:c r="O173" s="23" t="n">
        <x:v>52.19541491643805</x:v>
      </x:c>
      <x:c r="P173" s="23" t="n">
        <x:v>1472.2545085824095</x:v>
      </x:c>
      <x:c r="Q173" s="23" t="n">
        <x:v>1.2261519956799016</x:v>
      </x:c>
      <x:c r="R173" s="23" t="n">
        <x:v>52.571342829138814</x:v>
      </x:c>
      <x:c r="S173" s="23" t="n">
        <x:v>1490.2052819044518</x:v>
      </x:c>
      <x:c r="T173" s="23" t="n">
        <x:v>0.003305622377406614</x:v>
      </x:c>
      <x:c r="U173" s="23" t="n">
        <x:v>0.3759279127007673</x:v>
      </x:c>
      <x:c r="V173" s="23" t="n">
        <x:v>17.950773322042323</x:v>
      </x:c>
    </x:row>
    <x:row r="174">
      <x:c r="A174" s="23" t="n">
        <x:v>173</x:v>
      </x:c>
      <x:c r="B174" s="23" t="str">
        <x:v>Train</x:v>
      </x:c>
      <x:c r="C174" s="23" t="str">
        <x:v>Lightning</x:v>
      </x:c>
      <x:c r="D174" s="23" t="n">
        <x:v>1452.1252123173326</x:v>
      </x:c>
      <x:c r="E174" s="23" t="n">
        <x:v>1052.5850507314317</x:v>
      </x:c>
      <x:c r="F174" s="23" t="n">
        <x:v>556.1617961153388</x:v>
      </x:c>
      <x:c r="G174" s="23" t="n">
        <x:v>303.8162959110923</x:v>
      </x:c>
      <x:c r="H174" s="23" t="n">
        <x:v>19.34921956434846</x:v>
      </x:c>
      <x:c r="I174" s="23" t="n">
        <x:v>0.8437372262054124</x:v>
      </x:c>
      <x:c r="J174" s="23" t="n">
        <x:v>9</x:v>
      </x:c>
      <x:c r="K174" s="23" t="n">
        <x:v>191.2292604875017</x:v>
      </x:c>
      <x:c r="L174" s="23" t="n">
        <x:v>40</x:v>
      </x:c>
      <x:c r="M174" s="23" t="n">
        <x:v>25</x:v>
      </x:c>
      <x:c r="N174" s="23" t="n">
        <x:v>1.257034261734767</x:v>
      </x:c>
      <x:c r="O174" s="23" t="n">
        <x:v>52.273216408034514</x:v>
      </x:c>
      <x:c r="P174" s="23" t="n">
        <x:v>1452.1252123173326</x:v>
      </x:c>
      <x:c r="Q174" s="23" t="n">
        <x:v>1.2740686029795945</x:v>
      </x:c>
      <x:c r="R174" s="23" t="n">
        <x:v>51.89756691707897</x:v>
      </x:c>
      <x:c r="S174" s="23" t="n">
        <x:v>1444.1639448192702</x:v>
      </x:c>
      <x:c r="T174" s="23" t="n">
        <x:v>0.0170343412448275</x:v>
      </x:c>
      <x:c r="U174" s="23" t="n">
        <x:v>-0.3756494909555457</x:v>
      </x:c>
      <x:c r="V174" s="23" t="n">
        <x:v>-7.961267498062398</x:v>
      </x:c>
    </x:row>
    <x:row r="175">
      <x:c r="A175" s="23" t="n">
        <x:v>174</x:v>
      </x:c>
      <x:c r="B175" s="23" t="str">
        <x:v>Train</x:v>
      </x:c>
      <x:c r="C175" s="23" t="str">
        <x:v>Lightning</x:v>
      </x:c>
      <x:c r="D175" s="23" t="n">
        <x:v>1351.0870164376684</x:v>
      </x:c>
      <x:c r="E175" s="23" t="n">
        <x:v>1039.5997919840738</x:v>
      </x:c>
      <x:c r="F175" s="23" t="n">
        <x:v>655.9670601971447</x:v>
      </x:c>
      <x:c r="G175" s="23" t="n">
        <x:v>277.0636509358883</x:v>
      </x:c>
      <x:c r="H175" s="23" t="n">
        <x:v>24.068012634757906</x:v>
      </x:c>
      <x:c r="I175" s="23" t="n">
        <x:v>0.8406684366567061</x:v>
      </x:c>
      <x:c r="J175" s="23" t="n">
        <x:v>9</x:v>
      </x:c>
      <x:c r="K175" s="23" t="n">
        <x:v>178.5731128448307</x:v>
      </x:c>
      <x:c r="L175" s="23" t="n">
        <x:v>35</x:v>
      </x:c>
      <x:c r="M175" s="23" t="n">
        <x:v>25</x:v>
      </x:c>
      <x:c r="N175" s="23" t="n">
        <x:v>1.1865283772865116</x:v>
      </x:c>
      <x:c r="O175" s="23" t="n">
        <x:v>52.28258241119853</x:v>
      </x:c>
      <x:c r="P175" s="23" t="n">
        <x:v>1351.0870164376684</x:v>
      </x:c>
      <x:c r="Q175" s="23" t="n">
        <x:v>1.1875161152033178</x:v>
      </x:c>
      <x:c r="R175" s="23" t="n">
        <x:v>52.527332858048524</x:v>
      </x:c>
      <x:c r="S175" s="23" t="n">
        <x:v>1334.9721576460772</x:v>
      </x:c>
      <x:c r="T175" s="23" t="n">
        <x:v>0.000987737916806175</x:v>
      </x:c>
      <x:c r="U175" s="23" t="n">
        <x:v>0.24475044684999148</x:v>
      </x:c>
      <x:c r="V175" s="23" t="n">
        <x:v>-16.114858791591132</x:v>
      </x:c>
    </x:row>
    <x:row r="176">
      <x:c r="A176" s="23" t="n">
        <x:v>175</x:v>
      </x:c>
      <x:c r="B176" s="23" t="str">
        <x:v>Validation</x:v>
      </x:c>
      <x:c r="C176" s="23" t="str">
        <x:v>Lightning</x:v>
      </x:c>
      <x:c r="D176" s="23" t="n">
        <x:v>1444.9795807013288</x:v>
      </x:c>
      <x:c r="E176" s="23" t="n">
        <x:v>1128.567326173652</x:v>
      </x:c>
      <x:c r="F176" s="23" t="n">
        <x:v>554.3343879282475</x:v>
      </x:c>
      <x:c r="G176" s="23" t="n">
        <x:v>199.68340951716527</x:v>
      </x:c>
      <x:c r="H176" s="23" t="n">
        <x:v>15.5894326409325</x:v>
      </x:c>
      <x:c r="I176" s="23" t="n">
        <x:v>0.8204186386405491</x:v>
      </x:c>
      <x:c r="J176" s="23" t="n">
        <x:v>9</x:v>
      </x:c>
      <x:c r="K176" s="23" t="n">
        <x:v>195.6967811099858</x:v>
      </x:c>
      <x:c r="L176" s="23" t="n">
        <x:v>40</x:v>
      </x:c>
      <x:c r="M176" s="23" t="n">
        <x:v>25</x:v>
      </x:c>
      <x:c r="N176" s="23" t="n">
        <x:v>1.21885966952991</x:v>
      </x:c>
      <x:c r="O176" s="23" t="n">
        <x:v>52.268542085400306</x:v>
      </x:c>
      <x:c r="P176" s="23" t="n">
        <x:v>1444.9795807013288</x:v>
      </x:c>
      <x:c r="Q176" s="23" t="n">
        <x:v>1.238146149763156</x:v>
      </x:c>
      <x:c r="R176" s="23" t="n">
        <x:v>52.11938559662232</x:v>
      </x:c>
      <x:c r="S176" s="23" t="n">
        <x:v>1443.6900716943971</x:v>
      </x:c>
      <x:c r="T176" s="23" t="n">
        <x:v>0.019286480233245973</x:v>
      </x:c>
      <x:c r="U176" s="23" t="n">
        <x:v>-0.14915648877798304</x:v>
      </x:c>
      <x:c r="V176" s="23" t="n">
        <x:v>-1.2895090069316666</x:v>
      </x:c>
    </x:row>
    <x:row r="177">
      <x:c r="A177" s="23" t="n">
        <x:v>176</x:v>
      </x:c>
      <x:c r="B177" s="23" t="str">
        <x:v>Validation</x:v>
      </x:c>
      <x:c r="C177" s="23" t="str">
        <x:v>Lightning</x:v>
      </x:c>
      <x:c r="D177" s="23" t="n">
        <x:v>1492.0488435658626</x:v>
      </x:c>
      <x:c r="E177" s="23" t="n">
        <x:v>975.9022081270814</x:v>
      </x:c>
      <x:c r="F177" s="23" t="n">
        <x:v>550.8781000040472</x:v>
      </x:c>
      <x:c r="G177" s="23" t="n">
        <x:v>276.14776608068496</x:v>
      </x:c>
      <x:c r="H177" s="23" t="n">
        <x:v>22.903015190269798</x:v>
      </x:c>
      <x:c r="I177" s="23" t="n">
        <x:v>0.8426688884850592</x:v>
      </x:c>
      <x:c r="J177" s="23" t="n">
        <x:v>9</x:v>
      </x:c>
      <x:c r="K177" s="23" t="n">
        <x:v>196.73587942554116</x:v>
      </x:c>
      <x:c r="L177" s="23" t="n">
        <x:v>40</x:v>
      </x:c>
      <x:c r="M177" s="23" t="n">
        <x:v>25</x:v>
      </x:c>
      <x:c r="N177" s="23" t="n">
        <x:v>1.209456448111365</x:v>
      </x:c>
      <x:c r="O177" s="23" t="n">
        <x:v>52.25612155997147</x:v>
      </x:c>
      <x:c r="P177" s="23" t="n">
        <x:v>1492.0488435658626</x:v>
      </x:c>
      <x:c r="Q177" s="23" t="n">
        <x:v>1.2226133567136672</x:v>
      </x:c>
      <x:c r="R177" s="23" t="n">
        <x:v>53.5450951992504</x:v>
      </x:c>
      <x:c r="S177" s="23" t="n">
        <x:v>1475.780939395524</x:v>
      </x:c>
      <x:c r="T177" s="23" t="n">
        <x:v>0.01315690860230223</x:v>
      </x:c>
      <x:c r="U177" s="23" t="n">
        <x:v>1.2889736392789288</x:v>
      </x:c>
      <x:c r="V177" s="23" t="n">
        <x:v>-16.267904170338625</x:v>
      </x:c>
    </x:row>
    <x:row r="178">
      <x:c r="A178" s="23" t="n">
        <x:v>177</x:v>
      </x:c>
      <x:c r="B178" s="23" t="str">
        <x:v>Validation</x:v>
      </x:c>
      <x:c r="C178" s="23" t="str">
        <x:v>Lightning</x:v>
      </x:c>
      <x:c r="D178" s="23" t="n">
        <x:v>1371.084198821336</x:v>
      </x:c>
      <x:c r="E178" s="23" t="n">
        <x:v>649.6308812289499</x:v>
      </x:c>
      <x:c r="F178" s="23" t="n">
        <x:v>501.3980308547616</x:v>
      </x:c>
      <x:c r="G178" s="23" t="n">
        <x:v>268.58481949428096</x:v>
      </x:c>
      <x:c r="H178" s="23" t="n">
        <x:v>26.10034258849919</x:v>
      </x:c>
      <x:c r="I178" s="23" t="n">
        <x:v>0.8089019632269628</x:v>
      </x:c>
      <x:c r="J178" s="23" t="n">
        <x:v>9</x:v>
      </x:c>
      <x:c r="K178" s="23" t="n">
        <x:v>188.33269751279082</x:v>
      </x:c>
      <x:c r="L178" s="23" t="n">
        <x:v>50</x:v>
      </x:c>
      <x:c r="M178" s="23" t="n">
        <x:v>25</x:v>
      </x:c>
      <x:c r="N178" s="23" t="n">
        <x:v>1.1817299249686721</x:v>
      </x:c>
      <x:c r="O178" s="23" t="n">
        <x:v>52.1963532710963</x:v>
      </x:c>
      <x:c r="P178" s="23" t="n">
        <x:v>1371.084198821336</x:v>
      </x:c>
      <x:c r="Q178" s="23" t="n">
        <x:v>1.1758185460304489</x:v>
      </x:c>
      <x:c r="R178" s="23" t="n">
        <x:v>51.63495634981787</x:v>
      </x:c>
      <x:c r="S178" s="23" t="n">
        <x:v>1371.9007861651585</x:v>
      </x:c>
      <x:c r="T178" s="23" t="n">
        <x:v>-0.005911378938223244</x:v>
      </x:c>
      <x:c r="U178" s="23" t="n">
        <x:v>-0.5613969212784298</x:v>
      </x:c>
      <x:c r="V178" s="23" t="n">
        <x:v>0.816587343822448</x:v>
      </x:c>
    </x:row>
    <x:row r="179">
      <x:c r="A179" s="23" t="n">
        <x:v>178</x:v>
      </x:c>
      <x:c r="B179" s="23" t="str">
        <x:v>Hidden Test</x:v>
      </x:c>
      <x:c r="C179" s="23" t="str">
        <x:v>Lightning</x:v>
      </x:c>
      <x:c r="D179" s="23" t="n">
        <x:v>1413.1824932643212</x:v>
      </x:c>
      <x:c r="E179" s="23" t="n">
        <x:v>1141.7142910184339</x:v>
      </x:c>
      <x:c r="F179" s="23" t="n">
        <x:v>493.8163944520056</x:v>
      </x:c>
      <x:c r="G179" s="23" t="n">
        <x:v>129.00150862522423</x:v>
      </x:c>
      <x:c r="H179" s="23" t="n">
        <x:v>11.974202722776681</x:v>
      </x:c>
      <x:c r="I179" s="23" t="n">
        <x:v>0.8122110803658144</x:v>
      </x:c>
      <x:c r="J179" s="23" t="n">
        <x:v>9</x:v>
      </x:c>
      <x:c r="K179" s="23" t="n">
        <x:v>193.32447047958047</x:v>
      </x:c>
      <x:c r="L179" s="23" t="n">
        <x:v>45</x:v>
      </x:c>
      <x:c r="M179" s="23" t="n">
        <x:v>25</x:v>
      </x:c>
      <x:c r="N179" s="23" t="n">
        <x:v>1.2536418914603054</x:v>
      </x:c>
      <x:c r="O179" s="23" t="n">
        <x:v>52.25013468236436</x:v>
      </x:c>
      <x:c r="P179" s="23" t="n">
        <x:v>1413.1824932643212</x:v>
      </x:c>
      <x:c r="Q179" s="23" t="n">
        <x:v>1.2740024832475398</x:v>
      </x:c>
      <x:c r="R179" s="23" t="n">
        <x:v>53.832295858868726</x:v>
      </x:c>
      <x:c r="S179" s="23" t="n">
        <x:v>1423.414511335135</x:v>
      </x:c>
      <x:c r="T179" s="23" t="n">
        <x:v>0.020360591787234483</x:v>
      </x:c>
      <x:c r="U179" s="23" t="n">
        <x:v>1.5821611765043642</x:v>
      </x:c>
      <x:c r="V179" s="23" t="n">
        <x:v>10.232018070813865</x:v>
      </x:c>
    </x:row>
    <x:row r="180">
      <x:c r="A180" s="23" t="n">
        <x:v>179</x:v>
      </x:c>
      <x:c r="B180" s="23" t="str">
        <x:v>Hidden Test</x:v>
      </x:c>
      <x:c r="C180" s="23" t="str">
        <x:v>Lightning</x:v>
      </x:c>
      <x:c r="D180" s="23" t="n">
        <x:v>1364.414588897489</x:v>
      </x:c>
      <x:c r="E180" s="23" t="n">
        <x:v>942.310751567129</x:v>
      </x:c>
      <x:c r="F180" s="23" t="n">
        <x:v>446.7362817376852</x:v>
      </x:c>
      <x:c r="G180" s="23" t="n">
        <x:v>113.6166310007684</x:v>
      </x:c>
      <x:c r="H180" s="23" t="n">
        <x:v>10.792552155442536</x:v>
      </x:c>
      <x:c r="I180" s="23" t="n">
        <x:v>0.8156773789669387</x:v>
      </x:c>
      <x:c r="J180" s="23" t="n">
        <x:v>9</x:v>
      </x:c>
      <x:c r="K180" s="23" t="n">
        <x:v>185.85978341168962</x:v>
      </x:c>
      <x:c r="L180" s="23" t="n">
        <x:v>50</x:v>
      </x:c>
      <x:c r="M180" s="23" t="n">
        <x:v>25</x:v>
      </x:c>
      <x:c r="N180" s="23" t="n">
        <x:v>1.17825400264884</x:v>
      </x:c>
      <x:c r="O180" s="23" t="n">
        <x:v>52.209302831856846</x:v>
      </x:c>
      <x:c r="P180" s="23" t="n">
        <x:v>1364.414588897489</x:v>
      </x:c>
      <x:c r="Q180" s="23" t="n">
        <x:v>1.1890224574940276</x:v>
      </x:c>
      <x:c r="R180" s="23" t="n">
        <x:v>52.13336294380838</x:v>
      </x:c>
      <x:c r="S180" s="23" t="n">
        <x:v>1367.6306096967141</x:v>
      </x:c>
      <x:c r="T180" s="23" t="n">
        <x:v>0.010768454845187625</x:v>
      </x:c>
      <x:c r="U180" s="23" t="n">
        <x:v>-0.07593988804846674</x:v>
      </x:c>
      <x:c r="V180" s="23" t="n">
        <x:v>3.2160207992251344</x:v>
      </x:c>
    </x:row>
    <x:row r="181">
      <x:c r="A181" s="23" t="n">
        <x:v>180</x:v>
      </x:c>
      <x:c r="B181" s="23" t="str">
        <x:v>Hidden Test</x:v>
      </x:c>
      <x:c r="C181" s="23" t="str">
        <x:v>Lightning</x:v>
      </x:c>
      <x:c r="D181" s="23" t="n">
        <x:v>1423.4960616915487</x:v>
      </x:c>
      <x:c r="E181" s="23" t="n">
        <x:v>1109.1550576034933</x:v>
      </x:c>
      <x:c r="F181" s="23" t="n">
        <x:v>519.6625459007919</x:v>
      </x:c>
      <x:c r="G181" s="23" t="n">
        <x:v>107.27669046726078</x:v>
      </x:c>
      <x:c r="H181" s="23" t="n">
        <x:v>11.715096920263022</x:v>
      </x:c>
      <x:c r="I181" s="23" t="n">
        <x:v>0.8119376697577536</x:v>
      </x:c>
      <x:c r="J181" s="23" t="n">
        <x:v>9</x:v>
      </x:c>
      <x:c r="K181" s="23" t="n">
        <x:v>194.80094959016813</x:v>
      </x:c>
      <x:c r="L181" s="23" t="n">
        <x:v>45</x:v>
      </x:c>
      <x:c r="M181" s="23" t="n">
        <x:v>25</x:v>
      </x:c>
      <x:c r="N181" s="23" t="n">
        <x:v>1.233113197519164</x:v>
      </x:c>
      <x:c r="O181" s="23" t="n">
        <x:v>52.24570050278751</x:v>
      </x:c>
      <x:c r="P181" s="23" t="n">
        <x:v>1423.4960616915487</x:v>
      </x:c>
      <x:c r="Q181" s="23" t="n">
        <x:v>1.24259400966151</x:v>
      </x:c>
      <x:c r="R181" s="23" t="n">
        <x:v>53.755314310136455</x:v>
      </x:c>
      <x:c r="S181" s="23" t="n">
        <x:v>1420.786711261948</x:v>
      </x:c>
      <x:c r="T181" s="23" t="n">
        <x:v>0.009480812142345973</x:v>
      </x:c>
      <x:c r="U181" s="23" t="n">
        <x:v>1.5096138073489485</x:v>
      </x:c>
      <x:c r="V181" s="23" t="n">
        <x:v>-2.7093504296005904</x:v>
      </x:c>
    </x:row>
    <x:row r="182">
      <x:c r="A182" s="23" t="n">
        <x:v>181</x:v>
      </x:c>
      <x:c r="B182" s="23" t="str">
        <x:v>Train</x:v>
      </x:c>
      <x:c r="C182" s="23" t="str">
        <x:v>Lightning</x:v>
      </x:c>
      <x:c r="D182" s="23" t="n">
        <x:v>1441.004214109853</x:v>
      </x:c>
      <x:c r="E182" s="23" t="n">
        <x:v>1141.2393949809484</x:v>
      </x:c>
      <x:c r="F182" s="23" t="n">
        <x:v>446.8460587784648</x:v>
      </x:c>
      <x:c r="G182" s="23" t="n">
        <x:v>317.7596332808025</x:v>
      </x:c>
      <x:c r="H182" s="23" t="n">
        <x:v>22.30912744998932</x:v>
      </x:c>
      <x:c r="I182" s="23" t="n">
        <x:v>0.794970600961242</x:v>
      </x:c>
      <x:c r="J182" s="23" t="n">
        <x:v>10</x:v>
      </x:c>
      <x:c r="K182" s="23" t="n">
        <x:v>181.26509488117634</x:v>
      </x:c>
      <x:c r="L182" s="23" t="n">
        <x:v>35</x:v>
      </x:c>
      <x:c r="M182" s="23" t="n">
        <x:v>25</x:v>
      </x:c>
      <x:c r="N182" s="23" t="n">
        <x:v>1.239905471622991</x:v>
      </x:c>
      <x:c r="O182" s="23" t="n">
        <x:v>52.30518766132971</x:v>
      </x:c>
      <x:c r="P182" s="23" t="n">
        <x:v>1441.004214109853</x:v>
      </x:c>
      <x:c r="Q182" s="23" t="n">
        <x:v>1.2515661057105274</x:v>
      </x:c>
      <x:c r="R182" s="23" t="n">
        <x:v>53.70721161542622</x:v>
      </x:c>
      <x:c r="S182" s="23" t="n">
        <x:v>1424.6055649371651</x:v>
      </x:c>
      <x:c r="T182" s="23" t="n">
        <x:v>0.011660634087536481</x:v>
      </x:c>
      <x:c r="U182" s="23" t="n">
        <x:v>1.4020239540965065</x:v>
      </x:c>
      <x:c r="V182" s="23" t="n">
        <x:v>-16.398649172687783</x:v>
      </x:c>
    </x:row>
    <x:row r="183">
      <x:c r="A183" s="23" t="n">
        <x:v>182</x:v>
      </x:c>
      <x:c r="B183" s="23" t="str">
        <x:v>Train</x:v>
      </x:c>
      <x:c r="C183" s="23" t="str">
        <x:v>Lightning</x:v>
      </x:c>
      <x:c r="D183" s="23" t="n">
        <x:v>1398.4102250193246</x:v>
      </x:c>
      <x:c r="E183" s="23" t="n">
        <x:v>882.5787776848301</x:v>
      </x:c>
      <x:c r="F183" s="23" t="n">
        <x:v>407.4584764428437</x:v>
      </x:c>
      <x:c r="G183" s="23" t="n">
        <x:v>308.08013344183564</x:v>
      </x:c>
      <x:c r="H183" s="23" t="n">
        <x:v>20.595815292093903</x:v>
      </x:c>
      <x:c r="I183" s="23" t="n">
        <x:v>0.8238627163833008</x:v>
      </x:c>
      <x:c r="J183" s="23" t="n">
        <x:v>9</x:v>
      </x:c>
      <x:c r="K183" s="23" t="n">
        <x:v>188.59806470322934</x:v>
      </x:c>
      <x:c r="L183" s="23" t="n">
        <x:v>45</x:v>
      </x:c>
      <x:c r="M183" s="23" t="n">
        <x:v>25</x:v>
      </x:c>
      <x:c r="N183" s="23" t="n">
        <x:v>1.1822877750745506</x:v>
      </x:c>
      <x:c r="O183" s="23" t="n">
        <x:v>52.22418645365678</x:v>
      </x:c>
      <x:c r="P183" s="23" t="n">
        <x:v>1398.4102250193246</x:v>
      </x:c>
      <x:c r="Q183" s="23" t="n">
        <x:v>1.1767721803567897</x:v>
      </x:c>
      <x:c r="R183" s="23" t="n">
        <x:v>51.74928087300036</x:v>
      </x:c>
      <x:c r="S183" s="23" t="n">
        <x:v>1402.399073804527</x:v>
      </x:c>
      <x:c r="T183" s="23" t="n">
        <x:v>-0.005515594717760974</x:v>
      </x:c>
      <x:c r="U183" s="23" t="n">
        <x:v>-0.47490558065641864</x:v>
      </x:c>
      <x:c r="V183" s="23" t="n">
        <x:v>3.9888487852024355</x:v>
      </x:c>
    </x:row>
    <x:row r="184">
      <x:c r="A184" s="23" t="n">
        <x:v>183</x:v>
      </x:c>
      <x:c r="B184" s="23" t="str">
        <x:v>Train</x:v>
      </x:c>
      <x:c r="C184" s="23" t="str">
        <x:v>Lightning</x:v>
      </x:c>
      <x:c r="D184" s="23" t="n">
        <x:v>1395.2429824741557</x:v>
      </x:c>
      <x:c r="E184" s="23" t="n">
        <x:v>646.856289927382</x:v>
      </x:c>
      <x:c r="F184" s="23" t="n">
        <x:v>423.4988048672676</x:v>
      </x:c>
      <x:c r="G184" s="23" t="n">
        <x:v>262.874298596289</x:v>
      </x:c>
      <x:c r="H184" s="23" t="n">
        <x:v>21.27814234327525</x:v>
      </x:c>
      <x:c r="I184" s="23" t="n">
        <x:v>0.825246386115905</x:v>
      </x:c>
      <x:c r="J184" s="23" t="n">
        <x:v>9</x:v>
      </x:c>
      <x:c r="K184" s="23" t="n">
        <x:v>187.85540980352818</x:v>
      </x:c>
      <x:c r="L184" s="23" t="n">
        <x:v>55</x:v>
      </x:c>
      <x:c r="M184" s="23" t="n">
        <x:v>25</x:v>
      </x:c>
      <x:c r="N184" s="23" t="n">
        <x:v>1.1884648605645778</x:v>
      </x:c>
      <x:c r="O184" s="23" t="n">
        <x:v>52.182883793164486</x:v>
      </x:c>
      <x:c r="P184" s="23" t="n">
        <x:v>1395.2429824741557</x:v>
      </x:c>
      <x:c r="Q184" s="23" t="n">
        <x:v>1.1804040877046575</x:v>
      </x:c>
      <x:c r="R184" s="23" t="n">
        <x:v>52.345809739237254</x:v>
      </x:c>
      <x:c r="S184" s="23" t="n">
        <x:v>1405.7442523021891</x:v>
      </x:c>
      <x:c r="T184" s="23" t="n">
        <x:v>-0.00806077285992024</x:v>
      </x:c>
      <x:c r="U184" s="23" t="n">
        <x:v>0.1629259460727681</x:v>
      </x:c>
      <x:c r="V184" s="23" t="n">
        <x:v>10.5012698280334</x:v>
      </x:c>
    </x:row>
    <x:row r="185">
      <x:c r="A185" s="23" t="n">
        <x:v>184</x:v>
      </x:c>
      <x:c r="B185" s="23" t="str">
        <x:v>Train</x:v>
      </x:c>
      <x:c r="C185" s="23" t="str">
        <x:v>Lightning</x:v>
      </x:c>
      <x:c r="D185" s="23" t="n">
        <x:v>1439.9121052469127</x:v>
      </x:c>
      <x:c r="E185" s="23" t="n">
        <x:v>1173.7173574976623</x:v>
      </x:c>
      <x:c r="F185" s="23" t="n">
        <x:v>373.3433715067804</x:v>
      </x:c>
      <x:c r="G185" s="23" t="n">
        <x:v>154.9278204748407</x:v>
      </x:c>
      <x:c r="H185" s="23" t="n">
        <x:v>11.466573213692755</x:v>
      </x:c>
      <x:c r="I185" s="23" t="n">
        <x:v>0.8567291460651905</x:v>
      </x:c>
      <x:c r="J185" s="23" t="n">
        <x:v>9</x:v>
      </x:c>
      <x:c r="K185" s="23" t="n">
        <x:v>186.74540798702978</x:v>
      </x:c>
      <x:c r="L185" s="23" t="n">
        <x:v>45</x:v>
      </x:c>
      <x:c r="M185" s="23" t="n">
        <x:v>25</x:v>
      </x:c>
      <x:c r="N185" s="23" t="n">
        <x:v>1.2087983549164765</x:v>
      </x:c>
      <x:c r="O185" s="23" t="n">
        <x:v>52.24038256457756</x:v>
      </x:c>
      <x:c r="P185" s="23" t="n">
        <x:v>1439.9121052469127</x:v>
      </x:c>
      <x:c r="Q185" s="23" t="n">
        <x:v>1.2254080597413308</x:v>
      </x:c>
      <x:c r="R185" s="23" t="n">
        <x:v>52.68754758597262</x:v>
      </x:c>
      <x:c r="S185" s="23" t="n">
        <x:v>1442.0840164994415</x:v>
      </x:c>
      <x:c r="T185" s="23" t="n">
        <x:v>0.016609704824854354</x:v>
      </x:c>
      <x:c r="U185" s="23" t="n">
        <x:v>0.4471650213950582</x:v>
      </x:c>
      <x:c r="V185" s="23" t="n">
        <x:v>2.1719112525288438</x:v>
      </x:c>
    </x:row>
    <x:row r="186">
      <x:c r="A186" s="23" t="n">
        <x:v>185</x:v>
      </x:c>
      <x:c r="B186" s="23" t="str">
        <x:v>Train</x:v>
      </x:c>
      <x:c r="C186" s="23" t="str">
        <x:v>Lightning</x:v>
      </x:c>
      <x:c r="D186" s="23" t="n">
        <x:v>1413.9423217624426</x:v>
      </x:c>
      <x:c r="E186" s="23" t="n">
        <x:v>940.3479112661444</x:v>
      </x:c>
      <x:c r="F186" s="23" t="n">
        <x:v>664.1196684911847</x:v>
      </x:c>
      <x:c r="G186" s="23" t="n">
        <x:v>164.76404898101464</x:v>
      </x:c>
      <x:c r="H186" s="23" t="n">
        <x:v>24.51294626109302</x:v>
      </x:c>
      <x:c r="I186" s="23" t="n">
        <x:v>0.8252187221986242</x:v>
      </x:c>
      <x:c r="J186" s="23" t="n">
        <x:v>9</x:v>
      </x:c>
      <x:c r="K186" s="23" t="n">
        <x:v>190.37946933568867</x:v>
      </x:c>
      <x:c r="L186" s="23" t="n">
        <x:v>40</x:v>
      </x:c>
      <x:c r="M186" s="23" t="n">
        <x:v>25</x:v>
      </x:c>
      <x:c r="N186" s="23" t="n">
        <x:v>1.1973959389325877</x:v>
      </x:c>
      <x:c r="O186" s="23" t="n">
        <x:v>52.25086744171102</x:v>
      </x:c>
      <x:c r="P186" s="23" t="n">
        <x:v>1413.9423217624426</x:v>
      </x:c>
      <x:c r="Q186" s="23" t="n">
        <x:v>1.2021958080441593</x:v>
      </x:c>
      <x:c r="R186" s="23" t="n">
        <x:v>52.10885745300867</x:v>
      </x:c>
      <x:c r="S186" s="23" t="n">
        <x:v>1396.774821275458</x:v>
      </x:c>
      <x:c r="T186" s="23" t="n">
        <x:v>0.0047998691115715975</x:v>
      </x:c>
      <x:c r="U186" s="23" t="n">
        <x:v>-0.14200998870235537</x:v>
      </x:c>
      <x:c r="V186" s="23" t="n">
        <x:v>-17.167500486984636</x:v>
      </x:c>
    </x:row>
    <x:row r="187">
      <x:c r="A187" s="23" t="n">
        <x:v>186</x:v>
      </x:c>
      <x:c r="B187" s="23" t="str">
        <x:v>Train</x:v>
      </x:c>
      <x:c r="C187" s="23" t="str">
        <x:v>Lightning</x:v>
      </x:c>
      <x:c r="D187" s="23" t="n">
        <x:v>1391.7712392867543</x:v>
      </x:c>
      <x:c r="E187" s="23" t="n">
        <x:v>1065.7639159122482</x:v>
      </x:c>
      <x:c r="F187" s="23" t="n">
        <x:v>371.89416447654366</x:v>
      </x:c>
      <x:c r="G187" s="23" t="n">
        <x:v>254.09531748853624</x:v>
      </x:c>
      <x:c r="H187" s="23" t="n">
        <x:v>13.927644711453468</x:v>
      </x:c>
      <x:c r="I187" s="23" t="n">
        <x:v>0.8027489965455606</x:v>
      </x:c>
      <x:c r="J187" s="23" t="n">
        <x:v>9</x:v>
      </x:c>
      <x:c r="K187" s="23" t="n">
        <x:v>192.63960400461562</x:v>
      </x:c>
      <x:c r="L187" s="23" t="n">
        <x:v>45</x:v>
      </x:c>
      <x:c r="M187" s="23" t="n">
        <x:v>25</x:v>
      </x:c>
      <x:c r="N187" s="23" t="n">
        <x:v>1.2138841029140115</x:v>
      </x:c>
      <x:c r="O187" s="23" t="n">
        <x:v>52.23878664856402</x:v>
      </x:c>
      <x:c r="P187" s="23" t="n">
        <x:v>1391.7712392867543</x:v>
      </x:c>
      <x:c r="Q187" s="23" t="n">
        <x:v>1.2259752909555266</x:v>
      </x:c>
      <x:c r="R187" s="23" t="n">
        <x:v>53.56034375491039</x:v>
      </x:c>
      <x:c r="S187" s="23" t="n">
        <x:v>1395.0165951263887</x:v>
      </x:c>
      <x:c r="T187" s="23" t="n">
        <x:v>0.0120911880415151</x:v>
      </x:c>
      <x:c r="U187" s="23" t="n">
        <x:v>1.3215571063463685</x:v>
      </x:c>
      <x:c r="V187" s="23" t="n">
        <x:v>3.245355839634385</x:v>
      </x:c>
    </x:row>
    <x:row r="188">
      <x:c r="A188" s="23" t="n">
        <x:v>187</x:v>
      </x:c>
      <x:c r="B188" s="23" t="str">
        <x:v>Train</x:v>
      </x:c>
      <x:c r="C188" s="23" t="str">
        <x:v>Lightning</x:v>
      </x:c>
      <x:c r="D188" s="23" t="n">
        <x:v>1406.183182890527</x:v>
      </x:c>
      <x:c r="E188" s="23" t="n">
        <x:v>1024.2812179611064</x:v>
      </x:c>
      <x:c r="F188" s="23" t="n">
        <x:v>687.0897803455591</x:v>
      </x:c>
      <x:c r="G188" s="23" t="n">
        <x:v>118.1605505826883</x:v>
      </x:c>
      <x:c r="H188" s="23" t="n">
        <x:v>29.95385653618723</x:v>
      </x:c>
      <x:c r="I188" s="23" t="n">
        <x:v>0.7907776123541408</x:v>
      </x:c>
      <x:c r="J188" s="23" t="n">
        <x:v>9</x:v>
      </x:c>
      <x:c r="K188" s="23" t="n">
        <x:v>197.5809297529199</x:v>
      </x:c>
      <x:c r="L188" s="23" t="n">
        <x:v>35</x:v>
      </x:c>
      <x:c r="M188" s="23" t="n">
        <x:v>25</x:v>
      </x:c>
      <x:c r="N188" s="23" t="n">
        <x:v>1.14383213555442</x:v>
      </x:c>
      <x:c r="O188" s="23" t="n">
        <x:v>52.260269706760575</x:v>
      </x:c>
      <x:c r="P188" s="23" t="n">
        <x:v>1406.183182890527</x:v>
      </x:c>
      <x:c r="Q188" s="23" t="n">
        <x:v>1.1318824268197025</x:v>
      </x:c>
      <x:c r="R188" s="23" t="n">
        <x:v>53.541186364685615</x:v>
      </x:c>
      <x:c r="S188" s="23" t="n">
        <x:v>1388.7874085864175</x:v>
      </x:c>
      <x:c r="T188" s="23" t="n">
        <x:v>-0.011949708734717568</x:v>
      </x:c>
      <x:c r="U188" s="23" t="n">
        <x:v>1.2809166579250402</x:v>
      </x:c>
      <x:c r="V188" s="23" t="n">
        <x:v>-17.39577430410941</x:v>
      </x:c>
    </x:row>
    <x:row r="189">
      <x:c r="A189" s="23" t="n">
        <x:v>188</x:v>
      </x:c>
      <x:c r="B189" s="23" t="str">
        <x:v>Train</x:v>
      </x:c>
      <x:c r="C189" s="23" t="str">
        <x:v>Lightning</x:v>
      </x:c>
      <x:c r="D189" s="23" t="n">
        <x:v>1461.9599853060208</x:v>
      </x:c>
      <x:c r="E189" s="23" t="n">
        <x:v>946.4573677163571</x:v>
      </x:c>
      <x:c r="F189" s="23" t="n">
        <x:v>721.349077951163</x:v>
      </x:c>
      <x:c r="G189" s="23" t="n">
        <x:v>279.00240551214665</x:v>
      </x:c>
      <x:c r="H189" s="23" t="n">
        <x:v>11.348584722261876</x:v>
      </x:c>
      <x:c r="I189" s="23" t="n">
        <x:v>0.8542037402093411</x:v>
      </x:c>
      <x:c r="J189" s="23" t="n">
        <x:v>9</x:v>
      </x:c>
      <x:c r="K189" s="23" t="n">
        <x:v>190.1654028435022</x:v>
      </x:c>
      <x:c r="L189" s="23" t="n">
        <x:v>40</x:v>
      </x:c>
      <x:c r="M189" s="23" t="n">
        <x:v>25</x:v>
      </x:c>
      <x:c r="N189" s="23" t="n">
        <x:v>1.2344747972043033</x:v>
      </x:c>
      <x:c r="O189" s="23" t="n">
        <x:v>52.27855617012018</x:v>
      </x:c>
      <x:c r="P189" s="23" t="n">
        <x:v>1461.9599853060208</x:v>
      </x:c>
      <x:c r="Q189" s="23" t="n">
        <x:v>1.2456355609618015</x:v>
      </x:c>
      <x:c r="R189" s="23" t="n">
        <x:v>53.28038506181244</x:v>
      </x:c>
      <x:c r="S189" s="23" t="n">
        <x:v>1463.8210060583397</x:v>
      </x:c>
      <x:c r="T189" s="23" t="n">
        <x:v>0.011160763757498193</x:v>
      </x:c>
      <x:c r="U189" s="23" t="n">
        <x:v>1.0018288916922558</x:v>
      </x:c>
      <x:c r="V189" s="23" t="n">
        <x:v>1.8610207523188365</x:v>
      </x:c>
    </x:row>
    <x:row r="190">
      <x:c r="A190" s="23" t="n">
        <x:v>189</x:v>
      </x:c>
      <x:c r="B190" s="23" t="str">
        <x:v>Train</x:v>
      </x:c>
      <x:c r="C190" s="23" t="str">
        <x:v>Lightning</x:v>
      </x:c>
      <x:c r="D190" s="23" t="n">
        <x:v>1458.6332510691136</x:v>
      </x:c>
      <x:c r="E190" s="23" t="n">
        <x:v>806.4660531352274</x:v>
      </x:c>
      <x:c r="F190" s="23" t="n">
        <x:v>387.25482877343893</x:v>
      </x:c>
      <x:c r="G190" s="23" t="n">
        <x:v>135.18206098349765</x:v>
      </x:c>
      <x:c r="H190" s="23" t="n">
        <x:v>28.158648367971182</x:v>
      </x:c>
      <x:c r="I190" s="23" t="n">
        <x:v>0.8007169765629806</x:v>
      </x:c>
      <x:c r="J190" s="23" t="n">
        <x:v>10</x:v>
      </x:c>
      <x:c r="K190" s="23" t="n">
        <x:v>182.1658955365466</x:v>
      </x:c>
      <x:c r="L190" s="23" t="n">
        <x:v>50</x:v>
      </x:c>
      <x:c r="M190" s="23" t="n">
        <x:v>25</x:v>
      </x:c>
      <x:c r="N190" s="23" t="n">
        <x:v>1.2215522444592397</x:v>
      </x:c>
      <x:c r="O190" s="23" t="n">
        <x:v>52.205232434856065</x:v>
      </x:c>
      <x:c r="P190" s="23" t="n">
        <x:v>1458.6332510691136</x:v>
      </x:c>
      <x:c r="Q190" s="23" t="n">
        <x:v>1.207817621722877</x:v>
      </x:c>
      <x:c r="R190" s="23" t="n">
        <x:v>52.34335385023819</x:v>
      </x:c>
      <x:c r="S190" s="23" t="n">
        <x:v>1457.2926514942374</x:v>
      </x:c>
      <x:c r="T190" s="23" t="n">
        <x:v>-0.013734622736362612</x:v>
      </x:c>
      <x:c r="U190" s="23" t="n">
        <x:v>0.1381214153821233</x:v>
      </x:c>
      <x:c r="V190" s="23" t="n">
        <x:v>-1.3405995748762507</x:v>
      </x:c>
    </x:row>
    <x:row r="191">
      <x:c r="A191" s="23" t="n">
        <x:v>190</x:v>
      </x:c>
      <x:c r="B191" s="23" t="str">
        <x:v>Train</x:v>
      </x:c>
      <x:c r="C191" s="23" t="str">
        <x:v>Lightning</x:v>
      </x:c>
      <x:c r="D191" s="23" t="n">
        <x:v>1385.8171846834011</x:v>
      </x:c>
      <x:c r="E191" s="23" t="n">
        <x:v>967.2297815559432</x:v>
      </x:c>
      <x:c r="F191" s="23" t="n">
        <x:v>384.2083622701466</x:v>
      </x:c>
      <x:c r="G191" s="23" t="n">
        <x:v>310.3968155756593</x:v>
      </x:c>
      <x:c r="H191" s="23" t="n">
        <x:v>14.024749937001616</x:v>
      </x:c>
      <x:c r="I191" s="23" t="n">
        <x:v>0.8029894005088136</x:v>
      </x:c>
      <x:c r="J191" s="23" t="n">
        <x:v>9</x:v>
      </x:c>
      <x:c r="K191" s="23" t="n">
        <x:v>191.7580569425642</x:v>
      </x:c>
      <x:c r="L191" s="23" t="n">
        <x:v>45</x:v>
      </x:c>
      <x:c r="M191" s="23" t="n">
        <x:v>25</x:v>
      </x:c>
      <x:c r="N191" s="23" t="n">
        <x:v>1.194084033223672</x:v>
      </x:c>
      <x:c r="O191" s="23" t="n">
        <x:v>52.23412161604471</x:v>
      </x:c>
      <x:c r="P191" s="23" t="n">
        <x:v>1385.8171846834011</x:v>
      </x:c>
      <x:c r="Q191" s="23" t="n">
        <x:v>1.194065152524874</x:v>
      </x:c>
      <x:c r="R191" s="23" t="n">
        <x:v>52.69922543016742</x:v>
      </x:c>
      <x:c r="S191" s="23" t="n">
        <x:v>1384.6158206341836</x:v>
      </x:c>
      <x:c r="T191" s="23" t="n">
        <x:v>-0.000018880698797962836</x:v>
      </x:c>
      <x:c r="U191" s="23" t="n">
        <x:v>0.4651038141227062</x:v>
      </x:c>
      <x:c r="V191" s="23" t="n">
        <x:v>-1.2013640492175455</x:v>
      </x:c>
    </x:row>
    <x:row r="192">
      <x:c r="A192" s="23" t="n">
        <x:v>191</x:v>
      </x:c>
      <x:c r="B192" s="23" t="str">
        <x:v>Train</x:v>
      </x:c>
      <x:c r="C192" s="23" t="str">
        <x:v>Lightning</x:v>
      </x:c>
      <x:c r="D192" s="23" t="n">
        <x:v>1370.1114408904687</x:v>
      </x:c>
      <x:c r="E192" s="23" t="n">
        <x:v>953.4197474946268</x:v>
      </x:c>
      <x:c r="F192" s="23" t="n">
        <x:v>447.62626215815544</x:v>
      </x:c>
      <x:c r="G192" s="23" t="n">
        <x:v>235.27874551480636</x:v>
      </x:c>
      <x:c r="H192" s="23" t="n">
        <x:v>22.334762311540544</x:v>
      </x:c>
      <x:c r="I192" s="23" t="n">
        <x:v>0.8327321759029291</x:v>
      </x:c>
      <x:c r="J192" s="23" t="n">
        <x:v>9</x:v>
      </x:c>
      <x:c r="K192" s="23" t="n">
        <x:v>182.81340501622608</x:v>
      </x:c>
      <x:c r="L192" s="23" t="n">
        <x:v>45</x:v>
      </x:c>
      <x:c r="M192" s="23" t="n">
        <x:v>25</x:v>
      </x:c>
      <x:c r="N192" s="23" t="n">
        <x:v>1.216413461539298</x:v>
      </x:c>
      <x:c r="O192" s="23" t="n">
        <x:v>52.230143937449505</x:v>
      </x:c>
      <x:c r="P192" s="23" t="n">
        <x:v>1370.1114408904687</x:v>
      </x:c>
      <x:c r="Q192" s="23" t="n">
        <x:v>1.216418327976515</x:v>
      </x:c>
      <x:c r="R192" s="23" t="n">
        <x:v>51.90809825131487</x:v>
      </x:c>
      <x:c r="S192" s="23" t="n">
        <x:v>1371.4996333545996</x:v>
      </x:c>
      <x:c r="T192" s="23" t="n">
        <x:v>0.000004866437216977104</x:v>
      </x:c>
      <x:c r="U192" s="23" t="n">
        <x:v>-0.32204568613463636</x:v>
      </x:c>
      <x:c r="V192" s="23" t="n">
        <x:v>1.3881924641309524</x:v>
      </x:c>
    </x:row>
    <x:row r="193">
      <x:c r="A193" s="23" t="n">
        <x:v>192</x:v>
      </x:c>
      <x:c r="B193" s="23" t="str">
        <x:v>Train</x:v>
      </x:c>
      <x:c r="C193" s="23" t="str">
        <x:v>Lightning</x:v>
      </x:c>
      <x:c r="D193" s="23" t="n">
        <x:v>1353.8747573154978</x:v>
      </x:c>
      <x:c r="E193" s="23" t="n">
        <x:v>1101.9333582371473</x:v>
      </x:c>
      <x:c r="F193" s="23" t="n">
        <x:v>366.3469969294965</x:v>
      </x:c>
      <x:c r="G193" s="23" t="n">
        <x:v>129.68203708995134</x:v>
      </x:c>
      <x:c r="H193" s="23" t="n">
        <x:v>12.55876471241936</x:v>
      </x:c>
      <x:c r="I193" s="23" t="n">
        <x:v>0.8187204757612199</x:v>
      </x:c>
      <x:c r="J193" s="23" t="n">
        <x:v>9</x:v>
      </x:c>
      <x:c r="K193" s="23" t="n">
        <x:v>183.73856895510696</x:v>
      </x:c>
      <x:c r="L193" s="23" t="n">
        <x:v>45</x:v>
      </x:c>
      <x:c r="M193" s="23" t="n">
        <x:v>25</x:v>
      </x:c>
      <x:c r="N193" s="23" t="n">
        <x:v>1.1436833366135468</x:v>
      </x:c>
      <x:c r="O193" s="23" t="n">
        <x:v>52.22416228601261</x:v>
      </x:c>
      <x:c r="P193" s="23" t="n">
        <x:v>1353.8747573154978</x:v>
      </x:c>
      <x:c r="Q193" s="23" t="n">
        <x:v>1.1457741789690998</x:v>
      </x:c>
      <x:c r="R193" s="23" t="n">
        <x:v>53.2088167902875</x:v>
      </x:c>
      <x:c r="S193" s="23" t="n">
        <x:v>1367.369616272431</x:v>
      </x:c>
      <x:c r="T193" s="23" t="n">
        <x:v>0.002090842355553013</x:v>
      </x:c>
      <x:c r="U193" s="23" t="n">
        <x:v>0.9846545042748929</x:v>
      </x:c>
      <x:c r="V193" s="23" t="n">
        <x:v>13.494858956933058</x:v>
      </x:c>
    </x:row>
    <x:row r="194">
      <x:c r="A194" s="23" t="n">
        <x:v>193</x:v>
      </x:c>
      <x:c r="B194" s="23" t="str">
        <x:v>Train</x:v>
      </x:c>
      <x:c r="C194" s="23" t="str">
        <x:v>Lightning</x:v>
      </x:c>
      <x:c r="D194" s="23" t="n">
        <x:v>1417.5664233975112</x:v>
      </x:c>
      <x:c r="E194" s="23" t="n">
        <x:v>974.0357327624224</x:v>
      </x:c>
      <x:c r="F194" s="23" t="n">
        <x:v>677.0895713940263</x:v>
      </x:c>
      <x:c r="G194" s="23" t="n">
        <x:v>119.53239420661703</x:v>
      </x:c>
      <x:c r="H194" s="23" t="n">
        <x:v>27.13857109285891</x:v>
      </x:c>
      <x:c r="I194" s="23" t="n">
        <x:v>0.8512240248476155</x:v>
      </x:c>
      <x:c r="J194" s="23" t="n">
        <x:v>9</x:v>
      </x:c>
      <x:c r="K194" s="23" t="n">
        <x:v>185.03634270155604</x:v>
      </x:c>
      <x:c r="L194" s="23" t="n">
        <x:v>40</x:v>
      </x:c>
      <x:c r="M194" s="23" t="n">
        <x:v>25</x:v>
      </x:c>
      <x:c r="N194" s="23" t="n">
        <x:v>1.2117095094432555</x:v>
      </x:c>
      <x:c r="O194" s="23" t="n">
        <x:v>52.25108980161726</x:v>
      </x:c>
      <x:c r="P194" s="23" t="n">
        <x:v>1417.5664233975112</x:v>
      </x:c>
      <x:c r="Q194" s="23" t="n">
        <x:v>1.2213644712905671</x:v>
      </x:c>
      <x:c r="R194" s="23" t="n">
        <x:v>51.617680013316495</x:v>
      </x:c>
      <x:c r="S194" s="23" t="n">
        <x:v>1394.3297313068165</x:v>
      </x:c>
      <x:c r="T194" s="23" t="n">
        <x:v>0.009654961847311627</x:v>
      </x:c>
      <x:c r="U194" s="23" t="n">
        <x:v>-0.6334097883007672</x:v>
      </x:c>
      <x:c r="V194" s="23" t="n">
        <x:v>-23.23669209069476</x:v>
      </x:c>
    </x:row>
    <x:row r="195">
      <x:c r="A195" s="23" t="n">
        <x:v>194</x:v>
      </x:c>
      <x:c r="B195" s="23" t="str">
        <x:v>Train</x:v>
      </x:c>
      <x:c r="C195" s="23" t="str">
        <x:v>Lightning</x:v>
      </x:c>
      <x:c r="D195" s="23" t="n">
        <x:v>1462.0071423822083</x:v>
      </x:c>
      <x:c r="E195" s="23" t="n">
        <x:v>1137.6970782177523</x:v>
      </x:c>
      <x:c r="F195" s="23" t="n">
        <x:v>370.03974551334977</x:v>
      </x:c>
      <x:c r="G195" s="23" t="n">
        <x:v>299.89237354137003</x:v>
      </x:c>
      <x:c r="H195" s="23" t="n">
        <x:v>22.26356291072443</x:v>
      </x:c>
      <x:c r="I195" s="23" t="n">
        <x:v>0.8353328558662907</x:v>
      </x:c>
      <x:c r="J195" s="23" t="n">
        <x:v>9</x:v>
      </x:c>
      <x:c r="K195" s="23" t="n">
        <x:v>194.4676746540779</x:v>
      </x:c>
      <x:c r="L195" s="23" t="n">
        <x:v>40</x:v>
      </x:c>
      <x:c r="M195" s="23" t="n">
        <x:v>25</x:v>
      </x:c>
      <x:c r="N195" s="23" t="n">
        <x:v>1.2089712230753469</x:v>
      </x:c>
      <x:c r="O195" s="23" t="n">
        <x:v>52.25685458258471</x:v>
      </x:c>
      <x:c r="P195" s="23" t="n">
        <x:v>1462.0071423822083</x:v>
      </x:c>
      <x:c r="Q195" s="23" t="n">
        <x:v>1.2228675442171295</x:v>
      </x:c>
      <x:c r="R195" s="23" t="n">
        <x:v>52.597902267063375</x:v>
      </x:c>
      <x:c r="S195" s="23" t="n">
        <x:v>1458.9532831959566</x:v>
      </x:c>
      <x:c r="T195" s="23" t="n">
        <x:v>0.01389632114178263</x:v>
      </x:c>
      <x:c r="U195" s="23" t="n">
        <x:v>0.3410476844786672</x:v>
      </x:c>
      <x:c r="V195" s="23" t="n">
        <x:v>-3.053859186251657</x:v>
      </x:c>
    </x:row>
    <x:row r="196">
      <x:c r="A196" s="23" t="n">
        <x:v>195</x:v>
      </x:c>
      <x:c r="B196" s="23" t="str">
        <x:v>Validation</x:v>
      </x:c>
      <x:c r="C196" s="23" t="str">
        <x:v>Lightning</x:v>
      </x:c>
      <x:c r="D196" s="23" t="n">
        <x:v>1405.1964800572023</x:v>
      </x:c>
      <x:c r="E196" s="23" t="n">
        <x:v>844.3021123879589</x:v>
      </x:c>
      <x:c r="F196" s="23" t="n">
        <x:v>735.8872305601835</x:v>
      </x:c>
      <x:c r="G196" s="23" t="n">
        <x:v>228.04711163742468</x:v>
      </x:c>
      <x:c r="H196" s="23" t="n">
        <x:v>23.621344421990216</x:v>
      </x:c>
      <x:c r="I196" s="23" t="n">
        <x:v>0.8393738912115806</x:v>
      </x:c>
      <x:c r="J196" s="23" t="n">
        <x:v>9</x:v>
      </x:c>
      <x:c r="K196" s="23" t="n">
        <x:v>186.01119699257083</x:v>
      </x:c>
      <x:c r="L196" s="23" t="n">
        <x:v>40</x:v>
      </x:c>
      <x:c r="M196" s="23" t="n">
        <x:v>25</x:v>
      </x:c>
      <x:c r="N196" s="23" t="n">
        <x:v>1.216395297038877</x:v>
      </x:c>
      <x:c r="O196" s="23" t="n">
        <x:v>52.256949269181256</x:v>
      </x:c>
      <x:c r="P196" s="23" t="n">
        <x:v>1405.1964800572023</x:v>
      </x:c>
      <x:c r="Q196" s="23" t="n">
        <x:v>1.216525000609017</x:v>
      </x:c>
      <x:c r="R196" s="23" t="n">
        <x:v>52.36869148677231</x:v>
      </x:c>
      <x:c r="S196" s="23" t="n">
        <x:v>1396.8434715623507</x:v>
      </x:c>
      <x:c r="T196" s="23" t="n">
        <x:v>0.0001297035701399718</x:v>
      </x:c>
      <x:c r="U196" s="23" t="n">
        <x:v>0.11174221759105762</x:v>
      </x:c>
      <x:c r="V196" s="23" t="n">
        <x:v>-8.353008494851565</x:v>
      </x:c>
    </x:row>
    <x:row r="197">
      <x:c r="A197" s="23" t="n">
        <x:v>196</x:v>
      </x:c>
      <x:c r="B197" s="23" t="str">
        <x:v>Validation</x:v>
      </x:c>
      <x:c r="C197" s="23" t="str">
        <x:v>Lightning</x:v>
      </x:c>
      <x:c r="D197" s="23" t="n">
        <x:v>1428.0381060554646</x:v>
      </x:c>
      <x:c r="E197" s="23" t="n">
        <x:v>660.1993952412158</x:v>
      </x:c>
      <x:c r="F197" s="23" t="n">
        <x:v>474.1895797662437</x:v>
      </x:c>
      <x:c r="G197" s="23" t="n">
        <x:v>301.67974745389074</x:v>
      </x:c>
      <x:c r="H197" s="23" t="n">
        <x:v>11.576995901297778</x:v>
      </x:c>
      <x:c r="I197" s="23" t="n">
        <x:v>0.8291239643655718</x:v>
      </x:c>
      <x:c r="J197" s="23" t="n">
        <x:v>9</x:v>
      </x:c>
      <x:c r="K197" s="23" t="n">
        <x:v>191.37174595386475</x:v>
      </x:c>
      <x:c r="L197" s="23" t="n">
        <x:v>55</x:v>
      </x:c>
      <x:c r="M197" s="23" t="n">
        <x:v>25</x:v>
      </x:c>
      <x:c r="N197" s="23" t="n">
        <x:v>1.2349837307868095</x:v>
      </x:c>
      <x:c r="O197" s="23" t="n">
        <x:v>52.19891901554979</x:v>
      </x:c>
      <x:c r="P197" s="23" t="n">
        <x:v>1428.0381060554646</x:v>
      </x:c>
      <x:c r="Q197" s="23" t="n">
        <x:v>1.2287155817804658</x:v>
      </x:c>
      <x:c r="R197" s="23" t="n">
        <x:v>51.28629874699014</x:v>
      </x:c>
      <x:c r="S197" s="23" t="n">
        <x:v>1438.2026224567817</x:v>
      </x:c>
      <x:c r="T197" s="23" t="n">
        <x:v>-0.0062681490063436485</x:v>
      </x:c>
      <x:c r="U197" s="23" t="n">
        <x:v>-0.9126202685596496</x:v>
      </x:c>
      <x:c r="V197" s="23" t="n">
        <x:v>10.164516401317087</x:v>
      </x:c>
    </x:row>
    <x:row r="198">
      <x:c r="A198" s="23" t="n">
        <x:v>197</x:v>
      </x:c>
      <x:c r="B198" s="23" t="str">
        <x:v>Validation</x:v>
      </x:c>
      <x:c r="C198" s="23" t="str">
        <x:v>Lightning</x:v>
      </x:c>
      <x:c r="D198" s="23" t="n">
        <x:v>1471.045400435105</x:v>
      </x:c>
      <x:c r="E198" s="23" t="n">
        <x:v>1165.8009024220519</x:v>
      </x:c>
      <x:c r="F198" s="23" t="n">
        <x:v>565.7219989225268</x:v>
      </x:c>
      <x:c r="G198" s="23" t="n">
        <x:v>301.6773175750859</x:v>
      </x:c>
      <x:c r="H198" s="23" t="n">
        <x:v>29.652722351253033</x:v>
      </x:c>
      <x:c r="I198" s="23" t="n">
        <x:v>0.7991165927262046</x:v>
      </x:c>
      <x:c r="J198" s="23" t="n">
        <x:v>10</x:v>
      </x:c>
      <x:c r="K198" s="23" t="n">
        <x:v>184.08395143149258</x:v>
      </x:c>
      <x:c r="L198" s="23" t="n">
        <x:v>30</x:v>
      </x:c>
      <x:c r="M198" s="23" t="n">
        <x:v>25</x:v>
      </x:c>
      <x:c r="N198" s="23" t="n">
        <x:v>1.2074643784792463</x:v>
      </x:c>
      <x:c r="O198" s="23" t="n">
        <x:v>52.327251937927834</x:v>
      </x:c>
      <x:c r="P198" s="23" t="n">
        <x:v>1471.045400435105</x:v>
      </x:c>
      <x:c r="Q198" s="23" t="n">
        <x:v>1.2001109692240304</x:v>
      </x:c>
      <x:c r="R198" s="23" t="n">
        <x:v>52.17414310394316</x:v>
      </x:c>
      <x:c r="S198" s="23" t="n">
        <x:v>1448.2516795297474</x:v>
      </x:c>
      <x:c r="T198" s="23" t="n">
        <x:v>-0.007353409255215881</x:v>
      </x:c>
      <x:c r="U198" s="23" t="n">
        <x:v>-0.15310883398467467</x:v>
      </x:c>
      <x:c r="V198" s="23" t="n">
        <x:v>-22.79372090535753</x:v>
      </x:c>
    </x:row>
    <x:row r="199">
      <x:c r="A199" s="23" t="n">
        <x:v>198</x:v>
      </x:c>
      <x:c r="B199" s="23" t="str">
        <x:v>Hidden Test</x:v>
      </x:c>
      <x:c r="C199" s="23" t="str">
        <x:v>Lightning</x:v>
      </x:c>
      <x:c r="D199" s="23" t="n">
        <x:v>1442.5234220107086</x:v>
      </x:c>
      <x:c r="E199" s="23" t="n">
        <x:v>749.2078061914071</x:v>
      </x:c>
      <x:c r="F199" s="23" t="n">
        <x:v>643.5661134310067</x:v>
      </x:c>
      <x:c r="G199" s="23" t="n">
        <x:v>223.36620969697833</x:v>
      </x:c>
      <x:c r="H199" s="23" t="n">
        <x:v>25.530731333885342</x:v>
      </x:c>
      <x:c r="I199" s="23" t="n">
        <x:v>0.8147132801404223</x:v>
      </x:c>
      <x:c r="J199" s="23" t="n">
        <x:v>9</x:v>
      </x:c>
      <x:c r="K199" s="23" t="n">
        <x:v>196.73225431625033</x:v>
      </x:c>
      <x:c r="L199" s="23" t="n">
        <x:v>45</x:v>
      </x:c>
      <x:c r="M199" s="23" t="n">
        <x:v>25</x:v>
      </x:c>
      <x:c r="N199" s="23" t="n">
        <x:v>1.2175794189574363</x:v>
      </x:c>
      <x:c r="O199" s="23" t="n">
        <x:v>52.22699664966412</x:v>
      </x:c>
      <x:c r="P199" s="23" t="n">
        <x:v>1442.5234220107086</x:v>
      </x:c>
      <x:c r="Q199" s="23" t="n">
        <x:v>1.214093122269354</x:v>
      </x:c>
      <x:c r="R199" s="23" t="n">
        <x:v>50.82355821880692</x:v>
      </x:c>
      <x:c r="S199" s="23" t="n">
        <x:v>1425.3760838308585</x:v>
      </x:c>
      <x:c r="T199" s="23" t="n">
        <x:v>-0.003486296688082202</x:v>
      </x:c>
      <x:c r="U199" s="23" t="n">
        <x:v>-1.4034384308572</x:v>
      </x:c>
      <x:c r="V199" s="23" t="n">
        <x:v>-17.147338179850067</x:v>
      </x:c>
    </x:row>
    <x:row r="200">
      <x:c r="A200" s="23" t="n">
        <x:v>199</x:v>
      </x:c>
      <x:c r="B200" s="23" t="str">
        <x:v>Hidden Test</x:v>
      </x:c>
      <x:c r="C200" s="23" t="str">
        <x:v>Lightning</x:v>
      </x:c>
      <x:c r="D200" s="23" t="n">
        <x:v>1367.9384372429922</x:v>
      </x:c>
      <x:c r="E200" s="23" t="n">
        <x:v>654.8690460738726</x:v>
      </x:c>
      <x:c r="F200" s="23" t="n">
        <x:v>474.5294123888016</x:v>
      </x:c>
      <x:c r="G200" s="23" t="n">
        <x:v>89.11478692432866</x:v>
      </x:c>
      <x:c r="H200" s="23" t="n">
        <x:v>16.775554600171745</x:v>
      </x:c>
      <x:c r="I200" s="23" t="n">
        <x:v>0.8384092836058699</x:v>
      </x:c>
      <x:c r="J200" s="23" t="n">
        <x:v>9</x:v>
      </x:c>
      <x:c r="K200" s="23" t="n">
        <x:v>181.28754376378862</x:v>
      </x:c>
      <x:c r="L200" s="23" t="n">
        <x:v>60</x:v>
      </x:c>
      <x:c r="M200" s="23" t="n">
        <x:v>25</x:v>
      </x:c>
      <x:c r="N200" s="23" t="n">
        <x:v>1.161896833996603</x:v>
      </x:c>
      <x:c r="O200" s="23" t="n">
        <x:v>52.16499667778697</x:v>
      </x:c>
      <x:c r="P200" s="23" t="n">
        <x:v>1367.9384372429922</x:v>
      </x:c>
      <x:c r="Q200" s="23" t="n">
        <x:v>1.1458164432336122</x:v>
      </x:c>
      <x:c r="R200" s="23" t="n">
        <x:v>52.09765168785765</x:v>
      </x:c>
      <x:c r="S200" s="23" t="n">
        <x:v>1378.508334910973</x:v>
      </x:c>
      <x:c r="T200" s="23" t="n">
        <x:v>-0.016080390762990726</x:v>
      </x:c>
      <x:c r="U200" s="23" t="n">
        <x:v>-0.06734498992931748</x:v>
      </x:c>
      <x:c r="V200" s="23" t="n">
        <x:v>10.56989766798074</x:v>
      </x:c>
    </x:row>
    <x:row r="201">
      <x:c r="A201" s="23" t="n">
        <x:v>200</x:v>
      </x:c>
      <x:c r="B201" s="23" t="str">
        <x:v>Hidden Test</x:v>
      </x:c>
      <x:c r="C201" s="23" t="str">
        <x:v>Lightning</x:v>
      </x:c>
      <x:c r="D201" s="23" t="n">
        <x:v>1441.4962899754755</x:v>
      </x:c>
      <x:c r="E201" s="23" t="n">
        <x:v>805.7537053711712</x:v>
      </x:c>
      <x:c r="F201" s="23" t="n">
        <x:v>713.0013114772737</x:v>
      </x:c>
      <x:c r="G201" s="23" t="n">
        <x:v>112.75868634227663</x:v>
      </x:c>
      <x:c r="H201" s="23" t="n">
        <x:v>26.60327666765079</x:v>
      </x:c>
      <x:c r="I201" s="23" t="n">
        <x:v>0.8163731899205595</x:v>
      </x:c>
      <x:c r="J201" s="23" t="n">
        <x:v>9</x:v>
      </x:c>
      <x:c r="K201" s="23" t="n">
        <x:v>196.19244779131603</x:v>
      </x:c>
      <x:c r="L201" s="23" t="n">
        <x:v>45</x:v>
      </x:c>
      <x:c r="M201" s="23" t="n">
        <x:v>25</x:v>
      </x:c>
      <x:c r="N201" s="23" t="n">
        <x:v>1.2329948655576055</x:v>
      </x:c>
      <x:c r="O201" s="23" t="n">
        <x:v>52.22939377417001</x:v>
      </x:c>
      <x:c r="P201" s="23" t="n">
        <x:v>1441.4962899754755</x:v>
      </x:c>
      <x:c r="Q201" s="23" t="n">
        <x:v>1.2264206152357202</x:v>
      </x:c>
      <x:c r="R201" s="23" t="n">
        <x:v>51.39536091988563</x:v>
      </x:c>
      <x:c r="S201" s="23" t="n">
        <x:v>1432.0078395142502</x:v>
      </x:c>
      <x:c r="T201" s="23" t="n">
        <x:v>-0.0065742503218853</x:v>
      </x:c>
      <x:c r="U201" s="23" t="n">
        <x:v>-0.8340328542843807</x:v>
      </x:c>
      <x:c r="V201" s="23" t="n">
        <x:v>-9.488450461225284</x:v>
      </x:c>
    </x:row>
    <x:row r="202">
      <x:c r="A202" s="23" t="n">
        <x:v>201</x:v>
      </x:c>
      <x:c r="B202" s="23" t="str">
        <x:v>Train</x:v>
      </x:c>
      <x:c r="C202" s="23" t="str">
        <x:v>Lightning</x:v>
      </x:c>
      <x:c r="D202" s="23" t="n">
        <x:v>1369.948504306376</x:v>
      </x:c>
      <x:c r="E202" s="23" t="n">
        <x:v>901.3433210900985</x:v>
      </x:c>
      <x:c r="F202" s="23" t="n">
        <x:v>562.2964175418019</x:v>
      </x:c>
      <x:c r="G202" s="23" t="n">
        <x:v>323.0224731215276</x:v>
      </x:c>
      <x:c r="H202" s="23" t="n">
        <x:v>11.615885144099593</x:v>
      </x:c>
      <x:c r="I202" s="23" t="n">
        <x:v>0.8549503838387318</x:v>
      </x:c>
      <x:c r="J202" s="23" t="n">
        <x:v>9</x:v>
      </x:c>
      <x:c r="K202" s="23" t="n">
        <x:v>178.04132655632404</x:v>
      </x:c>
      <x:c r="L202" s="23" t="n">
        <x:v>40</x:v>
      </x:c>
      <x:c r="M202" s="23" t="n">
        <x:v>25</x:v>
      </x:c>
      <x:c r="N202" s="23" t="n">
        <x:v>1.1395083615965391</x:v>
      </x:c>
      <x:c r="O202" s="23" t="n">
        <x:v>52.25358530536765</x:v>
      </x:c>
      <x:c r="P202" s="23" t="n">
        <x:v>1369.948504306376</x:v>
      </x:c>
      <x:c r="Q202" s="23" t="n">
        <x:v>1.1566533712265126</x:v>
      </x:c>
      <x:c r="R202" s="23" t="n">
        <x:v>53.080498493707736</x:v>
      </x:c>
      <x:c r="S202" s="23" t="n">
        <x:v>1369.6458611106937</x:v>
      </x:c>
      <x:c r="T202" s="23" t="n">
        <x:v>0.01714500962997345</x:v>
      </x:c>
      <x:c r="U202" s="23" t="n">
        <x:v>0.826913188340086</x:v>
      </x:c>
      <x:c r="V202" s="23" t="n">
        <x:v>-0.3026431956823217</x:v>
      </x:c>
    </x:row>
    <x:row r="203">
      <x:c r="A203" s="23" t="n">
        <x:v>202</x:v>
      </x:c>
      <x:c r="B203" s="23" t="str">
        <x:v>Train</x:v>
      </x:c>
      <x:c r="C203" s="23" t="str">
        <x:v>Lightning</x:v>
      </x:c>
      <x:c r="D203" s="23" t="n">
        <x:v>1439.8900919244625</x:v>
      </x:c>
      <x:c r="E203" s="23" t="n">
        <x:v>992.9066345328465</x:v>
      </x:c>
      <x:c r="F203" s="23" t="n">
        <x:v>577.2553653456271</x:v>
      </x:c>
      <x:c r="G203" s="23" t="n">
        <x:v>287.143199397251</x:v>
      </x:c>
      <x:c r="H203" s="23" t="n">
        <x:v>16.18344581546262</x:v>
      </x:c>
      <x:c r="I203" s="23" t="n">
        <x:v>0.8324437946500257</x:v>
      </x:c>
      <x:c r="J203" s="23" t="n">
        <x:v>9</x:v>
      </x:c>
      <x:c r="K203" s="23" t="n">
        <x:v>192.190498649664</x:v>
      </x:c>
      <x:c r="L203" s="23" t="n">
        <x:v>40</x:v>
      </x:c>
      <x:c r="M203" s="23" t="n">
        <x:v>25</x:v>
      </x:c>
      <x:c r="N203" s="23" t="n">
        <x:v>1.2068103378579356</x:v>
      </x:c>
      <x:c r="O203" s="23" t="n">
        <x:v>52.264600313197064</x:v>
      </x:c>
      <x:c r="P203" s="23" t="n">
        <x:v>1439.8900919244625</x:v>
      </x:c>
      <x:c r="Q203" s="23" t="n">
        <x:v>1.208157055119503</x:v>
      </x:c>
      <x:c r="R203" s="23" t="n">
        <x:v>52.37692395558013</x:v>
      </x:c>
      <x:c r="S203" s="23" t="n">
        <x:v>1445.439904512023</x:v>
      </x:c>
      <x:c r="T203" s="23" t="n">
        <x:v>0.0013467172615675427</x:v>
      </x:c>
      <x:c r="U203" s="23" t="n">
        <x:v>0.11232364238306758</x:v>
      </x:c>
      <x:c r="V203" s="23" t="n">
        <x:v>5.549812587560609</x:v>
      </x:c>
    </x:row>
    <x:row r="204">
      <x:c r="A204" s="23" t="n">
        <x:v>203</x:v>
      </x:c>
      <x:c r="B204" s="23" t="str">
        <x:v>Train</x:v>
      </x:c>
      <x:c r="C204" s="23" t="str">
        <x:v>Lightning</x:v>
      </x:c>
      <x:c r="D204" s="23" t="n">
        <x:v>1378.5808498738334</x:v>
      </x:c>
      <x:c r="E204" s="23" t="n">
        <x:v>706.367899721954</x:v>
      </x:c>
      <x:c r="F204" s="23" t="n">
        <x:v>738.756226375699</x:v>
      </x:c>
      <x:c r="G204" s="23" t="n">
        <x:v>175.0844997423701</x:v>
      </x:c>
      <x:c r="H204" s="23" t="n">
        <x:v>15.563658238388598</x:v>
      </x:c>
      <x:c r="I204" s="23" t="n">
        <x:v>0.8136178383114748</x:v>
      </x:c>
      <x:c r="J204" s="23" t="n">
        <x:v>9</x:v>
      </x:c>
      <x:c r="K204" s="23" t="n">
        <x:v>188.26486192076544</x:v>
      </x:c>
      <x:c r="L204" s="23" t="n">
        <x:v>45</x:v>
      </x:c>
      <x:c r="M204" s="23" t="n">
        <x:v>25</x:v>
      </x:c>
      <x:c r="N204" s="23" t="n">
        <x:v>1.1733090354374225</x:v>
      </x:c>
      <x:c r="O204" s="23" t="n">
        <x:v>52.2276310299841</x:v>
      </x:c>
      <x:c r="P204" s="23" t="n">
        <x:v>1378.5808498738334</x:v>
      </x:c>
      <x:c r="Q204" s="23" t="n">
        <x:v>1.1676098356633866</x:v>
      </x:c>
      <x:c r="R204" s="23" t="n">
        <x:v>52.59853108231106</x:v>
      </x:c>
      <x:c r="S204" s="23" t="n">
        <x:v>1384.9368599723007</x:v>
      </x:c>
      <x:c r="T204" s="23" t="n">
        <x:v>-0.005699199774035879</x:v>
      </x:c>
      <x:c r="U204" s="23" t="n">
        <x:v>0.37090005232695944</x:v>
      </x:c>
      <x:c r="V204" s="23" t="n">
        <x:v>6.356010098467323</x:v>
      </x:c>
    </x:row>
    <x:row r="205">
      <x:c r="A205" s="23" t="n">
        <x:v>204</x:v>
      </x:c>
      <x:c r="B205" s="23" t="str">
        <x:v>Train</x:v>
      </x:c>
      <x:c r="C205" s="23" t="str">
        <x:v>Lightning</x:v>
      </x:c>
      <x:c r="D205" s="23" t="n">
        <x:v>1405.5151949054562</x:v>
      </x:c>
      <x:c r="E205" s="23" t="n">
        <x:v>665.9108681138605</x:v>
      </x:c>
      <x:c r="F205" s="23" t="n">
        <x:v>467.65624983236194</x:v>
      </x:c>
      <x:c r="G205" s="23" t="n">
        <x:v>244.79962586890906</x:v>
      </x:c>
      <x:c r="H205" s="23" t="n">
        <x:v>21.75144663779065</x:v>
      </x:c>
      <x:c r="I205" s="23" t="n">
        <x:v>0.8469808396324516</x:v>
      </x:c>
      <x:c r="J205" s="23" t="n">
        <x:v>9</x:v>
      </x:c>
      <x:c r="K205" s="23" t="n">
        <x:v>184.38239412507204</x:v>
      </x:c>
      <x:c r="L205" s="23" t="n">
        <x:v>55</x:v>
      </x:c>
      <x:c r="M205" s="23" t="n">
        <x:v>25</x:v>
      </x:c>
      <x:c r="N205" s="23" t="n">
        <x:v>1.2277344575283593</x:v>
      </x:c>
      <x:c r="O205" s="23" t="n">
        <x:v>52.18992183452937</x:v>
      </x:c>
      <x:c r="P205" s="23" t="n">
        <x:v>1405.5151949054562</x:v>
      </x:c>
      <x:c r="Q205" s="23" t="n">
        <x:v>1.220719047617076</x:v>
      </x:c>
      <x:c r="R205" s="23" t="n">
        <x:v>52.54544084844309</x:v>
      </x:c>
      <x:c r="S205" s="23" t="n">
        <x:v>1409.581445187387</x:v>
      </x:c>
      <x:c r="T205" s="23" t="n">
        <x:v>-0.0070154099112833546</x:v>
      </x:c>
      <x:c r="U205" s="23" t="n">
        <x:v>0.355519013913721</x:v>
      </x:c>
      <x:c r="V205" s="23" t="n">
        <x:v>4.066250281930934</x:v>
      </x:c>
    </x:row>
    <x:row r="206">
      <x:c r="A206" s="23" t="n">
        <x:v>205</x:v>
      </x:c>
      <x:c r="B206" s="23" t="str">
        <x:v>Train</x:v>
      </x:c>
      <x:c r="C206" s="23" t="str">
        <x:v>Lightning</x:v>
      </x:c>
      <x:c r="D206" s="23" t="n">
        <x:v>1436.4093595650047</x:v>
      </x:c>
      <x:c r="E206" s="23" t="n">
        <x:v>923.4405866707675</x:v>
      </x:c>
      <x:c r="F206" s="23" t="n">
        <x:v>501.36759486049414</x:v>
      </x:c>
      <x:c r="G206" s="23" t="n">
        <x:v>105.163970713038</x:v>
      </x:c>
      <x:c r="H206" s="23" t="n">
        <x:v>18.328393924981356</x:v>
      </x:c>
      <x:c r="I206" s="23" t="n">
        <x:v>0.8507456022524276</x:v>
      </x:c>
      <x:c r="J206" s="23" t="n">
        <x:v>9</x:v>
      </x:c>
      <x:c r="K206" s="23" t="n">
        <x:v>187.60136935073035</x:v>
      </x:c>
      <x:c r="L206" s="23" t="n">
        <x:v>50</x:v>
      </x:c>
      <x:c r="M206" s="23" t="n">
        <x:v>25</x:v>
      </x:c>
      <x:c r="N206" s="23" t="n">
        <x:v>1.2318667866586424</x:v>
      </x:c>
      <x:c r="O206" s="23" t="n">
        <x:v>52.21356090783869</x:v>
      </x:c>
      <x:c r="P206" s="23" t="n">
        <x:v>1436.4093595650047</x:v>
      </x:c>
      <x:c r="Q206" s="23" t="n">
        <x:v>1.2324189821094036</x:v>
      </x:c>
      <x:c r="R206" s="23" t="n">
        <x:v>52.71993837824932</x:v>
      </x:c>
      <x:c r="S206" s="23" t="n">
        <x:v>1447.5000227428059</x:v>
      </x:c>
      <x:c r="T206" s="23" t="n">
        <x:v>0.0005521954507612392</x:v>
      </x:c>
      <x:c r="U206" s="23" t="n">
        <x:v>0.5063774704106265</x:v>
      </x:c>
      <x:c r="V206" s="23" t="n">
        <x:v>11.090663177801162</x:v>
      </x:c>
    </x:row>
    <x:row r="207">
      <x:c r="A207" s="23" t="n">
        <x:v>206</x:v>
      </x:c>
      <x:c r="B207" s="23" t="str">
        <x:v>Train</x:v>
      </x:c>
      <x:c r="C207" s="23" t="str">
        <x:v>Lightning</x:v>
      </x:c>
      <x:c r="D207" s="23" t="n">
        <x:v>1469.237993855495</x:v>
      </x:c>
      <x:c r="E207" s="23" t="n">
        <x:v>847.5742262555286</x:v>
      </x:c>
      <x:c r="F207" s="23" t="n">
        <x:v>437.632102239877</x:v>
      </x:c>
      <x:c r="G207" s="23" t="n">
        <x:v>279.63001273572445</x:v>
      </x:c>
      <x:c r="H207" s="23" t="n">
        <x:v>26.125001395586878</x:v>
      </x:c>
      <x:c r="I207" s="23" t="n">
        <x:v>0.8572683602524922</x:v>
      </x:c>
      <x:c r="J207" s="23" t="n">
        <x:v>9</x:v>
      </x:c>
      <x:c r="K207" s="23" t="n">
        <x:v>190.42889432646516</x:v>
      </x:c>
      <x:c r="L207" s="23" t="n">
        <x:v>45</x:v>
      </x:c>
      <x:c r="M207" s="23" t="n">
        <x:v>25</x:v>
      </x:c>
      <x:c r="N207" s="23" t="n">
        <x:v>1.1854100571234443</x:v>
      </x:c>
      <x:c r="O207" s="23" t="n">
        <x:v>52.21899710650646</x:v>
      </x:c>
      <x:c r="P207" s="23" t="n">
        <x:v>1469.237993855495</x:v>
      </x:c>
      <x:c r="Q207" s="23" t="n">
        <x:v>1.1856282063038501</x:v>
      </x:c>
      <x:c r="R207" s="23" t="n">
        <x:v>51.25235323415302</x:v>
      </x:c>
      <x:c r="S207" s="23" t="n">
        <x:v>1466.7206618669447</x:v>
      </x:c>
      <x:c r="T207" s="23" t="n">
        <x:v>0.00021814918040585773</x:v>
      </x:c>
      <x:c r="U207" s="23" t="n">
        <x:v>-0.966643872353437</x:v>
      </x:c>
      <x:c r="V207" s="23" t="n">
        <x:v>-2.517331988550268</x:v>
      </x:c>
    </x:row>
    <x:row r="208">
      <x:c r="A208" s="23" t="n">
        <x:v>207</x:v>
      </x:c>
      <x:c r="B208" s="23" t="str">
        <x:v>Train</x:v>
      </x:c>
      <x:c r="C208" s="23" t="str">
        <x:v>Lightning</x:v>
      </x:c>
      <x:c r="D208" s="23" t="n">
        <x:v>1396.8644401291385</x:v>
      </x:c>
      <x:c r="E208" s="23" t="n">
        <x:v>676.3366510276683</x:v>
      </x:c>
      <x:c r="F208" s="23" t="n">
        <x:v>637.6898534595966</x:v>
      </x:c>
      <x:c r="G208" s="23" t="n">
        <x:v>234.84814014052972</x:v>
      </x:c>
      <x:c r="H208" s="23" t="n">
        <x:v>22.03462794329971</x:v>
      </x:c>
      <x:c r="I208" s="23" t="n">
        <x:v>0.8163162338524126</x:v>
      </x:c>
      <x:c r="J208" s="23" t="n">
        <x:v>9</x:v>
      </x:c>
      <x:c r="K208" s="23" t="n">
        <x:v>190.13116924293544</x:v>
      </x:c>
      <x:c r="L208" s="23" t="n">
        <x:v>45</x:v>
      </x:c>
      <x:c r="M208" s="23" t="n">
        <x:v>25</x:v>
      </x:c>
      <x:c r="N208" s="23" t="n">
        <x:v>1.155587200310332</x:v>
      </x:c>
      <x:c r="O208" s="23" t="n">
        <x:v>52.216508278963595</x:v>
      </x:c>
      <x:c r="P208" s="23" t="n">
        <x:v>1396.8644401291385</x:v>
      </x:c>
      <x:c r="Q208" s="23" t="n">
        <x:v>1.1407651433133787</x:v>
      </x:c>
      <x:c r="R208" s="23" t="n">
        <x:v>52.04048844626265</x:v>
      </x:c>
      <x:c r="S208" s="23" t="n">
        <x:v>1388.7353159738732</x:v>
      </x:c>
      <x:c r="T208" s="23" t="n">
        <x:v>-0.01482205699695327</x:v>
      </x:c>
      <x:c r="U208" s="23" t="n">
        <x:v>-0.1760198327009448</x:v>
      </x:c>
      <x:c r="V208" s="23" t="n">
        <x:v>-8.129124155265345</x:v>
      </x:c>
    </x:row>
    <x:row r="209">
      <x:c r="A209" s="23" t="n">
        <x:v>208</x:v>
      </x:c>
      <x:c r="B209" s="23" t="str">
        <x:v>Train</x:v>
      </x:c>
      <x:c r="C209" s="23" t="str">
        <x:v>Lightning</x:v>
      </x:c>
      <x:c r="D209" s="23" t="n">
        <x:v>1416.7662471416406</x:v>
      </x:c>
      <x:c r="E209" s="23" t="n">
        <x:v>699.3790863081813</x:v>
      </x:c>
      <x:c r="F209" s="23" t="n">
        <x:v>735.89618941769</x:v>
      </x:c>
      <x:c r="G209" s="23" t="n">
        <x:v>298.19854353088886</x:v>
      </x:c>
      <x:c r="H209" s="23" t="n">
        <x:v>29.09252164652571</x:v>
      </x:c>
      <x:c r="I209" s="23" t="n">
        <x:v>0.8052319319453091</x:v>
      </x:c>
      <x:c r="J209" s="23" t="n">
        <x:v>9</x:v>
      </x:c>
      <x:c r="K209" s="23" t="n">
        <x:v>195.49457201023978</x:v>
      </x:c>
      <x:c r="L209" s="23" t="n">
        <x:v>40</x:v>
      </x:c>
      <x:c r="M209" s="23" t="n">
        <x:v>25</x:v>
      </x:c>
      <x:c r="N209" s="23" t="n">
        <x:v>1.1990517797567952</x:v>
      </x:c>
      <x:c r="O209" s="23" t="n">
        <x:v>52.24529190526761</x:v>
      </x:c>
      <x:c r="P209" s="23" t="n">
        <x:v>1416.7662471416406</x:v>
      </x:c>
      <x:c r="Q209" s="23" t="n">
        <x:v>1.19044367240666</x:v>
      </x:c>
      <x:c r="R209" s="23" t="n">
        <x:v>51.36659602379857</x:v>
      </x:c>
      <x:c r="S209" s="23" t="n">
        <x:v>1404.2604435425842</x:v>
      </x:c>
      <x:c r="T209" s="23" t="n">
        <x:v>-0.008608107350135175</x:v>
      </x:c>
      <x:c r="U209" s="23" t="n">
        <x:v>-0.8786958814690351</x:v>
      </x:c>
      <x:c r="V209" s="23" t="n">
        <x:v>-12.505803599056435</x:v>
      </x:c>
    </x:row>
    <x:row r="210">
      <x:c r="A210" s="23" t="n">
        <x:v>209</x:v>
      </x:c>
      <x:c r="B210" s="23" t="str">
        <x:v>Train</x:v>
      </x:c>
      <x:c r="C210" s="23" t="str">
        <x:v>Lightning</x:v>
      </x:c>
      <x:c r="D210" s="23" t="n">
        <x:v>1369.1361070610583</x:v>
      </x:c>
      <x:c r="E210" s="23" t="n">
        <x:v>877.4026838480495</x:v>
      </x:c>
      <x:c r="F210" s="23" t="n">
        <x:v>415.0931427255273</x:v>
      </x:c>
      <x:c r="G210" s="23" t="n">
        <x:v>116.13899840274826</x:v>
      </x:c>
      <x:c r="H210" s="23" t="n">
        <x:v>14.629332842305303</x:v>
      </x:c>
      <x:c r="I210" s="23" t="n">
        <x:v>0.7945908342977055</x:v>
      </x:c>
      <x:c r="J210" s="23" t="n">
        <x:v>9</x:v>
      </x:c>
      <x:c r="K210" s="23" t="n">
        <x:v>191.45228909209763</x:v>
      </x:c>
      <x:c r="L210" s="23" t="n">
        <x:v>55</x:v>
      </x:c>
      <x:c r="M210" s="23" t="n">
        <x:v>25</x:v>
      </x:c>
      <x:c r="N210" s="23" t="n">
        <x:v>1.2245892995488619</x:v>
      </x:c>
      <x:c r="O210" s="23" t="n">
        <x:v>52.19464138508444</x:v>
      </x:c>
      <x:c r="P210" s="23" t="n">
        <x:v>1369.1361070610583</x:v>
      </x:c>
      <x:c r="Q210" s="23" t="n">
        <x:v>1.220091172067767</x:v>
      </x:c>
      <x:c r="R210" s="23" t="n">
        <x:v>52.05474743456571</x:v>
      </x:c>
      <x:c r="S210" s="23" t="n">
        <x:v>1376.4227378878281</x:v>
      </x:c>
      <x:c r="T210" s="23" t="n">
        <x:v>-0.004498127481094905</x:v>
      </x:c>
      <x:c r="U210" s="23" t="n">
        <x:v>-0.13989395051872577</x:v>
      </x:c>
      <x:c r="V210" s="23" t="n">
        <x:v>7.286630826769851</x:v>
      </x:c>
    </x:row>
    <x:row r="211">
      <x:c r="A211" s="23" t="n">
        <x:v>210</x:v>
      </x:c>
      <x:c r="B211" s="23" t="str">
        <x:v>Train</x:v>
      </x:c>
      <x:c r="C211" s="23" t="str">
        <x:v>Lightning</x:v>
      </x:c>
      <x:c r="D211" s="23" t="n">
        <x:v>1475.5599919357337</x:v>
      </x:c>
      <x:c r="E211" s="23" t="n">
        <x:v>950.9437666507438</x:v>
      </x:c>
      <x:c r="F211" s="23" t="n">
        <x:v>643.3098533190787</x:v>
      </x:c>
      <x:c r="G211" s="23" t="n">
        <x:v>128.76445536501706</x:v>
      </x:c>
      <x:c r="H211" s="23" t="n">
        <x:v>26.839343443978578</x:v>
      </x:c>
      <x:c r="I211" s="23" t="n">
        <x:v>0.8069895849609748</x:v>
      </x:c>
      <x:c r="J211" s="23" t="n">
        <x:v>10</x:v>
      </x:c>
      <x:c r="K211" s="23" t="n">
        <x:v>182.8474641351276</x:v>
      </x:c>
      <x:c r="L211" s="23" t="n">
        <x:v>35</x:v>
      </x:c>
      <x:c r="M211" s="23" t="n">
        <x:v>25</x:v>
      </x:c>
      <x:c r="N211" s="23" t="n">
        <x:v>1.1561522500496215</x:v>
      </x:c>
      <x:c r="O211" s="23" t="n">
        <x:v>52.27351288155175</x:v>
      </x:c>
      <x:c r="P211" s="23" t="n">
        <x:v>1475.5599919357337</x:v>
      </x:c>
      <x:c r="Q211" s="23" t="n">
        <x:v>1.1500370169825718</x:v>
      </x:c>
      <x:c r="R211" s="23" t="n">
        <x:v>51.655691305431816</x:v>
      </x:c>
      <x:c r="S211" s="23" t="n">
        <x:v>1465.4540944871328</x:v>
      </x:c>
      <x:c r="T211" s="23" t="n">
        <x:v>-0.006115233067049752</x:v>
      </x:c>
      <x:c r="U211" s="23" t="n">
        <x:v>-0.6178215761199368</x:v>
      </x:c>
      <x:c r="V211" s="23" t="n">
        <x:v>-10.1058974486009</x:v>
      </x:c>
    </x:row>
    <x:row r="212">
      <x:c r="A212" s="23" t="n">
        <x:v>211</x:v>
      </x:c>
      <x:c r="B212" s="23" t="str">
        <x:v>Train</x:v>
      </x:c>
      <x:c r="C212" s="23" t="str">
        <x:v>Lightning</x:v>
      </x:c>
      <x:c r="D212" s="23" t="n">
        <x:v>1453.591445996426</x:v>
      </x:c>
      <x:c r="E212" s="23" t="n">
        <x:v>760.5820536264218</x:v>
      </x:c>
      <x:c r="F212" s="23" t="n">
        <x:v>747.6964320987463</x:v>
      </x:c>
      <x:c r="G212" s="23" t="n">
        <x:v>172.54147176397964</x:v>
      </x:c>
      <x:c r="H212" s="23" t="n">
        <x:v>21.402833965606987</x:v>
      </x:c>
      <x:c r="I212" s="23" t="n">
        <x:v>0.8390003098244779</x:v>
      </x:c>
      <x:c r="J212" s="23" t="n">
        <x:v>9</x:v>
      </x:c>
      <x:c r="K212" s="23" t="n">
        <x:v>192.5031001479107</x:v>
      </x:c>
      <x:c r="L212" s="23" t="n">
        <x:v>45</x:v>
      </x:c>
      <x:c r="M212" s="23" t="n">
        <x:v>25</x:v>
      </x:c>
      <x:c r="N212" s="23" t="n">
        <x:v>1.2422509652367988</x:v>
      </x:c>
      <x:c r="O212" s="23" t="n">
        <x:v>52.237081851871494</x:v>
      </x:c>
      <x:c r="P212" s="23" t="n">
        <x:v>1453.591445996426</x:v>
      </x:c>
      <x:c r="Q212" s="23" t="n">
        <x:v>1.231927149004281</x:v>
      </x:c>
      <x:c r="R212" s="23" t="n">
        <x:v>50.842327786127704</x:v>
      </x:c>
      <x:c r="S212" s="23" t="n">
        <x:v>1455.500310377694</x:v>
      </x:c>
      <x:c r="T212" s="23" t="n">
        <x:v>-0.01032381623251788</x:v>
      </x:c>
      <x:c r="U212" s="23" t="n">
        <x:v>-1.3947540657437898</x:v>
      </x:c>
      <x:c r="V212" s="23" t="n">
        <x:v>1.9088643812679038</x:v>
      </x:c>
    </x:row>
    <x:row r="213">
      <x:c r="A213" s="23" t="n">
        <x:v>212</x:v>
      </x:c>
      <x:c r="B213" s="23" t="str">
        <x:v>Train</x:v>
      </x:c>
      <x:c r="C213" s="23" t="str">
        <x:v>Lightning</x:v>
      </x:c>
      <x:c r="D213" s="23" t="n">
        <x:v>1356.2369359075092</x:v>
      </x:c>
      <x:c r="E213" s="23" t="n">
        <x:v>908.3237847778946</x:v>
      </x:c>
      <x:c r="F213" s="23" t="n">
        <x:v>412.3394506983459</x:v>
      </x:c>
      <x:c r="G213" s="23" t="n">
        <x:v>122.87553334143013</x:v>
      </x:c>
      <x:c r="H213" s="23" t="n">
        <x:v>26.141388073097914</x:v>
      </x:c>
      <x:c r="I213" s="23" t="n">
        <x:v>0.8446504913456738</x:v>
      </x:c>
      <x:c r="J213" s="23" t="n">
        <x:v>9</x:v>
      </x:c>
      <x:c r="K213" s="23" t="n">
        <x:v>178.40869616796437</x:v>
      </x:c>
      <x:c r="L213" s="23" t="n">
        <x:v>50</x:v>
      </x:c>
      <x:c r="M213" s="23" t="n">
        <x:v>25</x:v>
      </x:c>
      <x:c r="N213" s="23" t="n">
        <x:v>1.1999744458408963</x:v>
      </x:c>
      <x:c r="O213" s="23" t="n">
        <x:v>52.20008378252789</x:v>
      </x:c>
      <x:c r="P213" s="23" t="n">
        <x:v>1356.2369359075092</x:v>
      </x:c>
      <x:c r="Q213" s="23" t="n">
        <x:v>1.1870462463670048</x:v>
      </x:c>
      <x:c r="R213" s="23" t="n">
        <x:v>52.73061012913767</x:v>
      </x:c>
      <x:c r="S213" s="23" t="n">
        <x:v>1359.7056273702956</x:v>
      </x:c>
      <x:c r="T213" s="23" t="n">
        <x:v>-0.012928199473891455</x:v>
      </x:c>
      <x:c r="U213" s="23" t="n">
        <x:v>0.5305263466097827</x:v>
      </x:c>
      <x:c r="V213" s="23" t="n">
        <x:v>3.46869146278641</x:v>
      </x:c>
    </x:row>
    <x:row r="214">
      <x:c r="A214" s="23" t="n">
        <x:v>213</x:v>
      </x:c>
      <x:c r="B214" s="23" t="str">
        <x:v>Train</x:v>
      </x:c>
      <x:c r="C214" s="23" t="str">
        <x:v>Lightning</x:v>
      </x:c>
      <x:c r="D214" s="23" t="n">
        <x:v>1477.588039683178</x:v>
      </x:c>
      <x:c r="E214" s="23" t="n">
        <x:v>891.0432975622825</x:v>
      </x:c>
      <x:c r="F214" s="23" t="n">
        <x:v>410.50402503460646</x:v>
      </x:c>
      <x:c r="G214" s="23" t="n">
        <x:v>177.93619840638712</x:v>
      </x:c>
      <x:c r="H214" s="23" t="n">
        <x:v>13.250905856490135</x:v>
      </x:c>
      <x:c r="I214" s="23" t="n">
        <x:v>0.8576590397791006</x:v>
      </x:c>
      <x:c r="J214" s="23" t="n">
        <x:v>9</x:v>
      </x:c>
      <x:c r="K214" s="23" t="n">
        <x:v>191.42391234630009</x:v>
      </x:c>
      <x:c r="L214" s="23" t="n">
        <x:v>50</x:v>
      </x:c>
      <x:c r="M214" s="23" t="n">
        <x:v>25</x:v>
      </x:c>
      <x:c r="N214" s="23" t="n">
        <x:v>1.1716900407156283</x:v>
      </x:c>
      <x:c r="O214" s="23" t="n">
        <x:v>52.20568846801243</x:v>
      </x:c>
      <x:c r="P214" s="23" t="n">
        <x:v>1477.588039683178</x:v>
      </x:c>
      <x:c r="Q214" s="23" t="n">
        <x:v>1.178696818463618</x:v>
      </x:c>
      <x:c r="R214" s="23" t="n">
        <x:v>52.552323022193285</x:v>
      </x:c>
      <x:c r="S214" s="23" t="n">
        <x:v>1495.6920723325125</x:v>
      </x:c>
      <x:c r="T214" s="23" t="n">
        <x:v>0.007006777747989634</x:v>
      </x:c>
      <x:c r="U214" s="23" t="n">
        <x:v>0.3466345541808522</x:v>
      </x:c>
      <x:c r="V214" s="23" t="n">
        <x:v>18.104032649334385</x:v>
      </x:c>
    </x:row>
    <x:row r="215">
      <x:c r="A215" s="23" t="n">
        <x:v>214</x:v>
      </x:c>
      <x:c r="B215" s="23" t="str">
        <x:v>Train</x:v>
      </x:c>
      <x:c r="C215" s="23" t="str">
        <x:v>Lightning</x:v>
      </x:c>
      <x:c r="D215" s="23" t="n">
        <x:v>1365.800206095446</x:v>
      </x:c>
      <x:c r="E215" s="23" t="n">
        <x:v>918.3319447329268</x:v>
      </x:c>
      <x:c r="F215" s="23" t="n">
        <x:v>401.5389275737107</x:v>
      </x:c>
      <x:c r="G215" s="23" t="n">
        <x:v>284.90426244214177</x:v>
      </x:c>
      <x:c r="H215" s="23" t="n">
        <x:v>14.728347933385521</x:v>
      </x:c>
      <x:c r="I215" s="23" t="n">
        <x:v>0.8298914534365759</x:v>
      </x:c>
      <x:c r="J215" s="23" t="n">
        <x:v>9</x:v>
      </x:c>
      <x:c r="K215" s="23" t="n">
        <x:v>182.86196083431216</x:v>
      </x:c>
      <x:c r="L215" s="23" t="n">
        <x:v>45</x:v>
      </x:c>
      <x:c r="M215" s="23" t="n">
        <x:v>25</x:v>
      </x:c>
      <x:c r="N215" s="23" t="n">
        <x:v>1.158820363426449</x:v>
      </x:c>
      <x:c r="O215" s="23" t="n">
        <x:v>52.2252245628857</x:v>
      </x:c>
      <x:c r="P215" s="23" t="n">
        <x:v>1365.800206095446</x:v>
      </x:c>
      <x:c r="Q215" s="23" t="n">
        <x:v>1.1566965312797135</x:v>
      </x:c>
      <x:c r="R215" s="23" t="n">
        <x:v>51.39048937750241</x:v>
      </x:c>
      <x:c r="S215" s="23" t="n">
        <x:v>1373.8933183463223</x:v>
      </x:c>
      <x:c r="T215" s="23" t="n">
        <x:v>-0.0021238321467353938</x:v>
      </x:c>
      <x:c r="U215" s="23" t="n">
        <x:v>-0.8347351853832876</x:v>
      </x:c>
      <x:c r="V215" s="23" t="n">
        <x:v>8.093112250876402</x:v>
      </x:c>
    </x:row>
    <x:row r="216">
      <x:c r="A216" s="23" t="n">
        <x:v>215</x:v>
      </x:c>
      <x:c r="B216" s="23" t="str">
        <x:v>Validation</x:v>
      </x:c>
      <x:c r="C216" s="23" t="str">
        <x:v>Lightning</x:v>
      </x:c>
      <x:c r="D216" s="23" t="n">
        <x:v>1480.9692492010072</x:v>
      </x:c>
      <x:c r="E216" s="23" t="n">
        <x:v>708.0581771326251</x:v>
      </x:c>
      <x:c r="F216" s="23" t="n">
        <x:v>528.9143785834312</x:v>
      </x:c>
      <x:c r="G216" s="23" t="n">
        <x:v>299.0242343931459</x:v>
      </x:c>
      <x:c r="H216" s="23" t="n">
        <x:v>18.8037815047428</x:v>
      </x:c>
      <x:c r="I216" s="23" t="n">
        <x:v>0.8460085190436804</x:v>
      </x:c>
      <x:c r="J216" s="23" t="n">
        <x:v>9</x:v>
      </x:c>
      <x:c r="K216" s="23" t="n">
        <x:v>194.50411561590423</x:v>
      </x:c>
      <x:c r="L216" s="23" t="n">
        <x:v>50</x:v>
      </x:c>
      <x:c r="M216" s="23" t="n">
        <x:v>25</x:v>
      </x:c>
      <x:c r="N216" s="23" t="n">
        <x:v>1.2384621516405114</x:v>
      </x:c>
      <x:c r="O216" s="23" t="n">
        <x:v>52.21450029949777</x:v>
      </x:c>
      <x:c r="P216" s="23" t="n">
        <x:v>1480.9692492010072</x:v>
      </x:c>
      <x:c r="Q216" s="23" t="n">
        <x:v>1.2446116783797696</x:v>
      </x:c>
      <x:c r="R216" s="23" t="n">
        <x:v>50.94246331749347</x:v>
      </x:c>
      <x:c r="S216" s="23" t="n">
        <x:v>1486.2324297914258</x:v>
      </x:c>
      <x:c r="T216" s="23" t="n">
        <x:v>0.006149526739258171</x:v>
      </x:c>
      <x:c r="U216" s="23" t="n">
        <x:v>-1.2720369820043018</x:v>
      </x:c>
      <x:c r="V216" s="23" t="n">
        <x:v>5.263180590418642</x:v>
      </x:c>
    </x:row>
    <x:row r="217">
      <x:c r="A217" s="23" t="n">
        <x:v>216</x:v>
      </x:c>
      <x:c r="B217" s="23" t="str">
        <x:v>Validation</x:v>
      </x:c>
      <x:c r="C217" s="23" t="str">
        <x:v>Lightning</x:v>
      </x:c>
      <x:c r="D217" s="23" t="n">
        <x:v>1489.4596951897256</x:v>
      </x:c>
      <x:c r="E217" s="23" t="n">
        <x:v>749.6987870894372</x:v>
      </x:c>
      <x:c r="F217" s="23" t="n">
        <x:v>366.63029408082366</x:v>
      </x:c>
      <x:c r="G217" s="23" t="n">
        <x:v>101.67629508767277</x:v>
      </x:c>
      <x:c r="H217" s="23" t="n">
        <x:v>11.880606552120298</x:v>
      </x:c>
      <x:c r="I217" s="23" t="n">
        <x:v>0.8466830200422556</x:v>
      </x:c>
      <x:c r="J217" s="23" t="n">
        <x:v>9</x:v>
      </x:c>
      <x:c r="K217" s="23" t="n">
        <x:v>195.46337622252997</x:v>
      </x:c>
      <x:c r="L217" s="23" t="n">
        <x:v>65</x:v>
      </x:c>
      <x:c r="M217" s="23" t="n">
        <x:v>25</x:v>
      </x:c>
      <x:c r="N217" s="23" t="n">
        <x:v>1.231595380654994</x:v>
      </x:c>
      <x:c r="O217" s="23" t="n">
        <x:v>52.16491748829302</x:v>
      </x:c>
      <x:c r="P217" s="23" t="n">
        <x:v>1489.4596951897256</x:v>
      </x:c>
      <x:c r="Q217" s="23" t="n">
        <x:v>1.233670088730247</x:v>
      </x:c>
      <x:c r="R217" s="23" t="n">
        <x:v>50.84080185246711</x:v>
      </x:c>
      <x:c r="S217" s="23" t="n">
        <x:v>1512.067575381717</x:v>
      </x:c>
      <x:c r="T217" s="23" t="n">
        <x:v>0.0020747080752530067</x:v>
      </x:c>
      <x:c r="U217" s="23" t="n">
        <x:v>-1.3241156358259119</x:v>
      </x:c>
      <x:c r="V217" s="23" t="n">
        <x:v>22.6078801919914</x:v>
      </x:c>
    </x:row>
    <x:row r="218">
      <x:c r="A218" s="23" t="n">
        <x:v>217</x:v>
      </x:c>
      <x:c r="B218" s="23" t="str">
        <x:v>Validation</x:v>
      </x:c>
      <x:c r="C218" s="23" t="str">
        <x:v>Lightning</x:v>
      </x:c>
      <x:c r="D218" s="23" t="n">
        <x:v>1406.7284099757671</x:v>
      </x:c>
      <x:c r="E218" s="23" t="n">
        <x:v>1215.442142111715</x:v>
      </x:c>
      <x:c r="F218" s="23" t="n">
        <x:v>433.103190548718</x:v>
      </x:c>
      <x:c r="G218" s="23" t="n">
        <x:v>225.4220587038435</x:v>
      </x:c>
      <x:c r="H218" s="23" t="n">
        <x:v>26.592728732153773</x:v>
      </x:c>
      <x:c r="I218" s="23" t="n">
        <x:v>0.8122294025612065</x:v>
      </x:c>
      <x:c r="J218" s="23" t="n">
        <x:v>9</x:v>
      </x:c>
      <x:c r="K218" s="23" t="n">
        <x:v>192.4372057587459</x:v>
      </x:c>
      <x:c r="L218" s="23" t="n">
        <x:v>35</x:v>
      </x:c>
      <x:c r="M218" s="23" t="n">
        <x:v>25</x:v>
      </x:c>
      <x:c r="N218" s="23" t="n">
        <x:v>1.1485892091939696</x:v>
      </x:c>
      <x:c r="O218" s="23" t="n">
        <x:v>52.26719836549847</x:v>
      </x:c>
      <x:c r="P218" s="23" t="n">
        <x:v>1406.7284099757671</x:v>
      </x:c>
      <x:c r="Q218" s="23" t="n">
        <x:v>1.1523231494111046</x:v>
      </x:c>
      <x:c r="R218" s="23" t="n">
        <x:v>52.18802645347527</x:v>
      </x:c>
      <x:c r="S218" s="23" t="n">
        <x:v>1387.6241818559527</x:v>
      </x:c>
      <x:c r="T218" s="23" t="n">
        <x:v>0.0037339402171350233</x:v>
      </x:c>
      <x:c r="U218" s="23" t="n">
        <x:v>-0.07917191202320595</x:v>
      </x:c>
      <x:c r="V218" s="23" t="n">
        <x:v>-19.10422811981448</x:v>
      </x:c>
    </x:row>
    <x:row r="219">
      <x:c r="A219" s="23" t="n">
        <x:v>218</x:v>
      </x:c>
      <x:c r="B219" s="23" t="str">
        <x:v>Hidden Test</x:v>
      </x:c>
      <x:c r="C219" s="23" t="str">
        <x:v>Lightning</x:v>
      </x:c>
      <x:c r="D219" s="23" t="n">
        <x:v>1423.1209798366763</x:v>
      </x:c>
      <x:c r="E219" s="23" t="n">
        <x:v>965.6156378099695</x:v>
      </x:c>
      <x:c r="F219" s="23" t="n">
        <x:v>579.5198903419077</x:v>
      </x:c>
      <x:c r="G219" s="23" t="n">
        <x:v>136.18659569881856</x:v>
      </x:c>
      <x:c r="H219" s="23" t="n">
        <x:v>12.595586088020355</x:v>
      </x:c>
      <x:c r="I219" s="23" t="n">
        <x:v>0.8126757283555344</x:v>
      </x:c>
      <x:c r="J219" s="23" t="n">
        <x:v>9</x:v>
      </x:c>
      <x:c r="K219" s="23" t="n">
        <x:v>194.57275244968181</x:v>
      </x:c>
      <x:c r="L219" s="23" t="n">
        <x:v>45</x:v>
      </x:c>
      <x:c r="M219" s="23" t="n">
        <x:v>25</x:v>
      </x:c>
      <x:c r="N219" s="23" t="n">
        <x:v>1.2003294987768827</x:v>
      </x:c>
      <x:c r="O219" s="23" t="n">
        <x:v>52.237160152161415</x:v>
      </x:c>
      <x:c r="P219" s="23" t="n">
        <x:v>1423.1209798366763</x:v>
      </x:c>
      <x:c r="Q219" s="23" t="n">
        <x:v>1.214116248620668</x:v>
      </x:c>
      <x:c r="R219" s="23" t="n">
        <x:v>53.06806160848354</x:v>
      </x:c>
      <x:c r="S219" s="23" t="n">
        <x:v>1425.8258403351947</x:v>
      </x:c>
      <x:c r="T219" s="23" t="n">
        <x:v>0.013786749843785362</x:v>
      </x:c>
      <x:c r="U219" s="23" t="n">
        <x:v>0.830901456322124</x:v>
      </x:c>
      <x:c r="V219" s="23" t="n">
        <x:v>2.7048604985184284</x:v>
      </x:c>
    </x:row>
    <x:row r="220">
      <x:c r="A220" s="23" t="n">
        <x:v>219</x:v>
      </x:c>
      <x:c r="B220" s="23" t="str">
        <x:v>Hidden Test</x:v>
      </x:c>
      <x:c r="C220" s="23" t="str">
        <x:v>Lightning</x:v>
      </x:c>
      <x:c r="D220" s="23" t="n">
        <x:v>1372.2020500106737</x:v>
      </x:c>
      <x:c r="E220" s="23" t="n">
        <x:v>1045.051587803755</x:v>
      </x:c>
      <x:c r="F220" s="23" t="n">
        <x:v>656.2358323484659</x:v>
      </x:c>
      <x:c r="G220" s="23" t="n">
        <x:v>138.2918871077709</x:v>
      </x:c>
      <x:c r="H220" s="23" t="n">
        <x:v>17.891644888557494</x:v>
      </x:c>
      <x:c r="I220" s="23" t="n">
        <x:v>0.8135506140696817</x:v>
      </x:c>
      <x:c r="J220" s="23" t="n">
        <x:v>9</x:v>
      </x:c>
      <x:c r="K220" s="23" t="n">
        <x:v>187.40923036482573</x:v>
      </x:c>
      <x:c r="L220" s="23" t="n">
        <x:v>40</x:v>
      </x:c>
      <x:c r="M220" s="23" t="n">
        <x:v>25</x:v>
      </x:c>
      <x:c r="N220" s="23" t="n">
        <x:v>1.2052447873267875</x:v>
      </x:c>
      <x:c r="O220" s="23" t="n">
        <x:v>52.261836403484516</x:v>
      </x:c>
      <x:c r="P220" s="23" t="n">
        <x:v>1372.2020500106737</x:v>
      </x:c>
      <x:c r="Q220" s="23" t="n">
        <x:v>1.214775561420359</x:v>
      </x:c>
      <x:c r="R220" s="23" t="n">
        <x:v>51.72021064595949</x:v>
      </x:c>
      <x:c r="S220" s="23" t="n">
        <x:v>1368.2820342234224</x:v>
      </x:c>
      <x:c r="T220" s="23" t="n">
        <x:v>0.009530774093571504</x:v>
      </x:c>
      <x:c r="U220" s="23" t="n">
        <x:v>-0.5416257575250256</x:v>
      </x:c>
      <x:c r="V220" s="23" t="n">
        <x:v>-3.920015787251259</x:v>
      </x:c>
    </x:row>
    <x:row r="221">
      <x:c r="A221" s="23" t="n">
        <x:v>220</x:v>
      </x:c>
      <x:c r="B221" s="23" t="str">
        <x:v>Hidden Test</x:v>
      </x:c>
      <x:c r="C221" s="23" t="str">
        <x:v>Lightning</x:v>
      </x:c>
      <x:c r="D221" s="23" t="n">
        <x:v>1439.1528949490748</x:v>
      </x:c>
      <x:c r="E221" s="23" t="n">
        <x:v>634.1263204347342</x:v>
      </x:c>
      <x:c r="F221" s="23" t="n">
        <x:v>421.9789589755237</x:v>
      </x:c>
      <x:c r="G221" s="23" t="n">
        <x:v>124.44745171349496</x:v>
      </x:c>
      <x:c r="H221" s="23" t="n">
        <x:v>25.915075059514493</x:v>
      </x:c>
      <x:c r="I221" s="23" t="n">
        <x:v>0.8520675165206194</x:v>
      </x:c>
      <x:c r="J221" s="23" t="n">
        <x:v>9</x:v>
      </x:c>
      <x:c r="K221" s="23" t="n">
        <x:v>187.66808277063836</x:v>
      </x:c>
      <x:c r="L221" s="23" t="n">
        <x:v>60</x:v>
      </x:c>
      <x:c r="M221" s="23" t="n">
        <x:v>25</x:v>
      </x:c>
      <x:c r="N221" s="23" t="n">
        <x:v>1.1604872981308054</x:v>
      </x:c>
      <x:c r="O221" s="23" t="n">
        <x:v>52.15907768460046</x:v>
      </x:c>
      <x:c r="P221" s="23" t="n">
        <x:v>1439.1528949490748</x:v>
      </x:c>
      <x:c r="Q221" s="23" t="n">
        <x:v>1.1397388637312447</x:v>
      </x:c>
      <x:c r="R221" s="23" t="n">
        <x:v>51.96544741724012</x:v>
      </x:c>
      <x:c r="S221" s="23" t="n">
        <x:v>1449.1985267505788</x:v>
      </x:c>
      <x:c r="T221" s="23" t="n">
        <x:v>-0.020748434399560756</x:v>
      </x:c>
      <x:c r="U221" s="23" t="n">
        <x:v>-0.19363026736034072</x:v>
      </x:c>
      <x:c r="V221" s="23" t="n">
        <x:v>10.045631801503987</x:v>
      </x:c>
    </x:row>
    <x:row r="222">
      <x:c r="A222" s="23" t="n">
        <x:v>221</x:v>
      </x:c>
      <x:c r="B222" s="23" t="str">
        <x:v>Train</x:v>
      </x:c>
      <x:c r="C222" s="23" t="str">
        <x:v>Lightning</x:v>
      </x:c>
      <x:c r="D222" s="23" t="n">
        <x:v>1351.5721596311778</x:v>
      </x:c>
      <x:c r="E222" s="23" t="n">
        <x:v>749.1545558790676</x:v>
      </x:c>
      <x:c r="F222" s="23" t="n">
        <x:v>498.0423307046294</x:v>
      </x:c>
      <x:c r="G222" s="23" t="n">
        <x:v>239.33957026572898</x:v>
      </x:c>
      <x:c r="H222" s="23" t="n">
        <x:v>8.634792905300856</x:v>
      </x:c>
      <x:c r="I222" s="23" t="n">
        <x:v>0.8468087905296124</x:v>
      </x:c>
      <x:c r="J222" s="23" t="n">
        <x:v>8</x:v>
      </x:c>
      <x:c r="K222" s="23" t="n">
        <x:v>199.5096435503869</x:v>
      </x:c>
      <x:c r="L222" s="23" t="n">
        <x:v>60</x:v>
      </x:c>
      <x:c r="M222" s="23" t="n">
        <x:v>25</x:v>
      </x:c>
      <x:c r="N222" s="23" t="n">
        <x:v>1.2285862090630066</x:v>
      </x:c>
      <x:c r="O222" s="23" t="n">
        <x:v>52.18103395291933</x:v>
      </x:c>
      <x:c r="P222" s="23" t="n">
        <x:v>1351.5721596311778</x:v>
      </x:c>
      <x:c r="Q222" s="23" t="n">
        <x:v>1.2293494520606056</x:v>
      </x:c>
      <x:c r="R222" s="23" t="n">
        <x:v>51.22189844716311</x:v>
      </x:c>
      <x:c r="S222" s="23" t="n">
        <x:v>1366.8793867267366</x:v>
      </x:c>
      <x:c r="T222" s="23" t="n">
        <x:v>0.0007632429975990007</x:v>
      </x:c>
      <x:c r="U222" s="23" t="n">
        <x:v>-0.9591355057562154</x:v>
      </x:c>
      <x:c r="V222" s="23" t="n">
        <x:v>15.307227095558801</x:v>
      </x:c>
    </x:row>
    <x:row r="223">
      <x:c r="A223" s="23" t="n">
        <x:v>222</x:v>
      </x:c>
      <x:c r="B223" s="23" t="str">
        <x:v>Train</x:v>
      </x:c>
      <x:c r="C223" s="23" t="str">
        <x:v>Lightning</x:v>
      </x:c>
      <x:c r="D223" s="23" t="n">
        <x:v>1418.1913323816843</x:v>
      </x:c>
      <x:c r="E223" s="23" t="n">
        <x:v>656.0855491785333</x:v>
      </x:c>
      <x:c r="F223" s="23" t="n">
        <x:v>566.7326648719609</x:v>
      </x:c>
      <x:c r="G223" s="23" t="n">
        <x:v>225.88949363678694</x:v>
      </x:c>
      <x:c r="H223" s="23" t="n">
        <x:v>9.620323406998068</x:v>
      </x:c>
      <x:c r="I223" s="23" t="n">
        <x:v>0.8091307736514136</x:v>
      </x:c>
      <x:c r="J223" s="23" t="n">
        <x:v>9</x:v>
      </x:c>
      <x:c r="K223" s="23" t="n">
        <x:v>194.74826547255094</x:v>
      </x:c>
      <x:c r="L223" s="23" t="n">
        <x:v>55</x:v>
      </x:c>
      <x:c r="M223" s="23" t="n">
        <x:v>25</x:v>
      </x:c>
      <x:c r="N223" s="23" t="n">
        <x:v>1.2374799117737556</x:v>
      </x:c>
      <x:c r="O223" s="23" t="n">
        <x:v>52.20088974932113</x:v>
      </x:c>
      <x:c r="P223" s="23" t="n">
        <x:v>1418.1913323816843</x:v>
      </x:c>
      <x:c r="Q223" s="23" t="n">
        <x:v>1.2405518460302796</x:v>
      </x:c>
      <x:c r="R223" s="23" t="n">
        <x:v>52.582628027057986</x:v>
      </x:c>
      <x:c r="S223" s="23" t="n">
        <x:v>1429.0017277688569</x:v>
      </x:c>
      <x:c r="T223" s="23" t="n">
        <x:v>0.003071934256523967</x:v>
      </x:c>
      <x:c r="U223" s="23" t="n">
        <x:v>0.38173827773685787</x:v>
      </x:c>
      <x:c r="V223" s="23" t="n">
        <x:v>10.810395387172548</x:v>
      </x:c>
    </x:row>
    <x:row r="224">
      <x:c r="A224" s="23" t="n">
        <x:v>223</x:v>
      </x:c>
      <x:c r="B224" s="23" t="str">
        <x:v>Train</x:v>
      </x:c>
      <x:c r="C224" s="23" t="str">
        <x:v>Lightning</x:v>
      </x:c>
      <x:c r="D224" s="23" t="n">
        <x:v>1488.2993389153853</x:v>
      </x:c>
      <x:c r="E224" s="23" t="n">
        <x:v>1217.579419829417</x:v>
      </x:c>
      <x:c r="F224" s="23" t="n">
        <x:v>495.99122628569603</x:v>
      </x:c>
      <x:c r="G224" s="23" t="n">
        <x:v>167.72524207597598</x:v>
      </x:c>
      <x:c r="H224" s="23" t="n">
        <x:v>22.747348628006876</x:v>
      </x:c>
      <x:c r="I224" s="23" t="n">
        <x:v>0.8589453181042337</x:v>
      </x:c>
      <x:c r="J224" s="23" t="n">
        <x:v>9</x:v>
      </x:c>
      <x:c r="K224" s="23" t="n">
        <x:v>192.52284135828216</x:v>
      </x:c>
      <x:c r="L224" s="23" t="n">
        <x:v>40</x:v>
      </x:c>
      <x:c r="M224" s="23" t="n">
        <x:v>25</x:v>
      </x:c>
      <x:c r="N224" s="23" t="n">
        <x:v>1.2560311608944488</x:v>
      </x:c>
      <x:c r="O224" s="23" t="n">
        <x:v>52.268341061366186</x:v>
      </x:c>
      <x:c r="P224" s="23" t="n">
        <x:v>1488.2993389153853</x:v>
      </x:c>
      <x:c r="Q224" s="23" t="n">
        <x:v>1.247534447571276</x:v>
      </x:c>
      <x:c r="R224" s="23" t="n">
        <x:v>53.35305403674019</x:v>
      </x:c>
      <x:c r="S224" s="23" t="n">
        <x:v>1469.0478711738474</x:v>
      </x:c>
      <x:c r="T224" s="23" t="n">
        <x:v>-0.008496713323172811</x:v>
      </x:c>
      <x:c r="U224" s="23" t="n">
        <x:v>1.0847129753740035</x:v>
      </x:c>
      <x:c r="V224" s="23" t="n">
        <x:v>-19.25146774153791</x:v>
      </x:c>
    </x:row>
    <x:row r="225">
      <x:c r="A225" s="23" t="n">
        <x:v>224</x:v>
      </x:c>
      <x:c r="B225" s="23" t="str">
        <x:v>Train</x:v>
      </x:c>
      <x:c r="C225" s="23" t="str">
        <x:v>Lightning</x:v>
      </x:c>
      <x:c r="D225" s="23" t="n">
        <x:v>1488.8676917064004</x:v>
      </x:c>
      <x:c r="E225" s="23" t="n">
        <x:v>1163.1070986390114</x:v>
      </x:c>
      <x:c r="F225" s="23" t="n">
        <x:v>440.3423278592527</x:v>
      </x:c>
      <x:c r="G225" s="23" t="n">
        <x:v>303.56694482732564</x:v>
      </x:c>
      <x:c r="H225" s="23" t="n">
        <x:v>14.851301373448223</x:v>
      </x:c>
      <x:c r="I225" s="23" t="n">
        <x:v>0.8078567909728736</x:v>
      </x:c>
      <x:c r="J225" s="23" t="n">
        <x:v>10</x:v>
      </x:c>
      <x:c r="K225" s="23" t="n">
        <x:v>184.29846828587145</x:v>
      </x:c>
      <x:c r="L225" s="23" t="n">
        <x:v>35</x:v>
      </x:c>
      <x:c r="M225" s="23" t="n">
        <x:v>25</x:v>
      </x:c>
      <x:c r="N225" s="23" t="n">
        <x:v>1.1999636674570444</x:v>
      </x:c>
      <x:c r="O225" s="23" t="n">
        <x:v>52.30539058633216</x:v>
      </x:c>
      <x:c r="P225" s="23" t="n">
        <x:v>1488.8676917064004</x:v>
      </x:c>
      <x:c r="Q225" s="23" t="n">
        <x:v>1.213425308188467</x:v>
      </x:c>
      <x:c r="R225" s="23" t="n">
        <x:v>53.48525303095831</x:v>
      </x:c>
      <x:c r="S225" s="23" t="n">
        <x:v>1489.8630397292206</x:v>
      </x:c>
      <x:c r="T225" s="23" t="n">
        <x:v>0.01346164073142253</x:v>
      </x:c>
      <x:c r="U225" s="23" t="n">
        <x:v>1.1798624446261528</x:v>
      </x:c>
      <x:c r="V225" s="23" t="n">
        <x:v>0.9953480228202807</x:v>
      </x:c>
    </x:row>
    <x:row r="226">
      <x:c r="A226" s="23" t="n">
        <x:v>225</x:v>
      </x:c>
      <x:c r="B226" s="23" t="str">
        <x:v>Train</x:v>
      </x:c>
      <x:c r="C226" s="23" t="str">
        <x:v>Lightning</x:v>
      </x:c>
      <x:c r="D226" s="23" t="n">
        <x:v>1498.247320856899</x:v>
      </x:c>
      <x:c r="E226" s="23" t="n">
        <x:v>631.0246116830967</x:v>
      </x:c>
      <x:c r="F226" s="23" t="n">
        <x:v>470.1267624273896</x:v>
      </x:c>
      <x:c r="G226" s="23" t="n">
        <x:v>138.53539990494028</x:v>
      </x:c>
      <x:c r="H226" s="23" t="n">
        <x:v>25.20785122551024</x:v>
      </x:c>
      <x:c r="I226" s="23" t="n">
        <x:v>0.8019465749268421</x:v>
      </x:c>
      <x:c r="J226" s="23" t="n">
        <x:v>10</x:v>
      </x:c>
      <x:c r="K226" s="23" t="n">
        <x:v>186.8263258052542</x:v>
      </x:c>
      <x:c r="L226" s="23" t="n">
        <x:v>55</x:v>
      </x:c>
      <x:c r="M226" s="23" t="n">
        <x:v>25</x:v>
      </x:c>
      <x:c r="N226" s="23" t="n">
        <x:v>1.2306139768438782</x:v>
      </x:c>
      <x:c r="O226" s="23" t="n">
        <x:v>52.18977573359817</x:v>
      </x:c>
      <x:c r="P226" s="23" t="n">
        <x:v>1498.247320856899</x:v>
      </x:c>
      <x:c r="Q226" s="23" t="n">
        <x:v>1.2290535944305707</x:v>
      </x:c>
      <x:c r="R226" s="23" t="n">
        <x:v>51.957792481508626</x:v>
      </x:c>
      <x:c r="S226" s="23" t="n">
        <x:v>1493.8627645895308</x:v>
      </x:c>
      <x:c r="T226" s="23" t="n">
        <x:v>-0.0015603824133074706</x:v>
      </x:c>
      <x:c r="U226" s="23" t="n">
        <x:v>-0.23198325208954174</x:v>
      </x:c>
      <x:c r="V226" s="23" t="n">
        <x:v>-4.384556267368225</x:v>
      </x:c>
    </x:row>
    <x:row r="227">
      <x:c r="A227" s="23" t="n">
        <x:v>226</x:v>
      </x:c>
      <x:c r="B227" s="23" t="str">
        <x:v>Train</x:v>
      </x:c>
      <x:c r="C227" s="23" t="str">
        <x:v>Lightning</x:v>
      </x:c>
      <x:c r="D227" s="23" t="n">
        <x:v>1419.840645196382</x:v>
      </x:c>
      <x:c r="E227" s="23" t="n">
        <x:v>753.2080489443615</x:v>
      </x:c>
      <x:c r="F227" s="23" t="n">
        <x:v>584.5312588848174</x:v>
      </x:c>
      <x:c r="G227" s="23" t="n">
        <x:v>103.82652484811842</x:v>
      </x:c>
      <x:c r="H227" s="23" t="n">
        <x:v>21.665503062773496</x:v>
      </x:c>
      <x:c r="I227" s="23" t="n">
        <x:v>0.8112515496322885</x:v>
      </x:c>
      <x:c r="J227" s="23" t="n">
        <x:v>9</x:v>
      </x:c>
      <x:c r="K227" s="23" t="n">
        <x:v>194.46504818387578</x:v>
      </x:c>
      <x:c r="L227" s="23" t="n">
        <x:v>50</x:v>
      </x:c>
      <x:c r="M227" s="23" t="n">
        <x:v>25</x:v>
      </x:c>
      <x:c r="N227" s="23" t="n">
        <x:v>1.1795666593244665</x:v>
      </x:c>
      <x:c r="O227" s="23" t="n">
        <x:v>52.1997761524602</x:v>
      </x:c>
      <x:c r="P227" s="23" t="n">
        <x:v>1419.840645196382</x:v>
      </x:c>
      <x:c r="Q227" s="23" t="n">
        <x:v>1.1682672629767386</x:v>
      </x:c>
      <x:c r="R227" s="23" t="n">
        <x:v>51.345816797830665</x:v>
      </x:c>
      <x:c r="S227" s="23" t="n">
        <x:v>1414.1243605185152</x:v>
      </x:c>
      <x:c r="T227" s="23" t="n">
        <x:v>-0.011299396347727919</x:v>
      </x:c>
      <x:c r="U227" s="23" t="n">
        <x:v>-0.8539593546295379</x:v>
      </x:c>
      <x:c r="V227" s="23" t="n">
        <x:v>-5.7162846778667245</x:v>
      </x:c>
    </x:row>
    <x:row r="228">
      <x:c r="A228" s="23" t="n">
        <x:v>227</x:v>
      </x:c>
      <x:c r="B228" s="23" t="str">
        <x:v>Train</x:v>
      </x:c>
      <x:c r="C228" s="23" t="str">
        <x:v>Lightning</x:v>
      </x:c>
      <x:c r="D228" s="23" t="n">
        <x:v>1467.5699151819572</x:v>
      </x:c>
      <x:c r="E228" s="23" t="n">
        <x:v>1243.4065872454084</x:v>
      </x:c>
      <x:c r="F228" s="23" t="n">
        <x:v>659.5869820564985</x:v>
      </x:c>
      <x:c r="G228" s="23" t="n">
        <x:v>183.58423896832392</x:v>
      </x:c>
      <x:c r="H228" s="23" t="n">
        <x:v>18.065945346839726</x:v>
      </x:c>
      <x:c r="I228" s="23" t="n">
        <x:v>0.8564107302646153</x:v>
      </x:c>
      <x:c r="J228" s="23" t="n">
        <x:v>9</x:v>
      </x:c>
      <x:c r="K228" s="23" t="n">
        <x:v>190.40317705818885</x:v>
      </x:c>
      <x:c r="L228" s="23" t="n">
        <x:v>35</x:v>
      </x:c>
      <x:c r="M228" s="23" t="n">
        <x:v>25</x:v>
      </x:c>
      <x:c r="N228" s="23" t="n">
        <x:v>1.2114655807425416</x:v>
      </x:c>
      <x:c r="O228" s="23" t="n">
        <x:v>52.30034964475453</x:v>
      </x:c>
      <x:c r="P228" s="23" t="n">
        <x:v>1467.5699151819572</x:v>
      </x:c>
      <x:c r="Q228" s="23" t="n">
        <x:v>1.216754730612727</x:v>
      </x:c>
      <x:c r="R228" s="23" t="n">
        <x:v>53.84243759644536</x:v>
      </x:c>
      <x:c r="S228" s="23" t="n">
        <x:v>1454.146050771649</x:v>
      </x:c>
      <x:c r="T228" s="23" t="n">
        <x:v>0.005289149870185472</x:v>
      </x:c>
      <x:c r="U228" s="23" t="n">
        <x:v>1.5420879516908244</x:v>
      </x:c>
      <x:c r="V228" s="23" t="n">
        <x:v>-13.42386441030817</x:v>
      </x:c>
    </x:row>
    <x:row r="229">
      <x:c r="A229" s="23" t="n">
        <x:v>228</x:v>
      </x:c>
      <x:c r="B229" s="23" t="str">
        <x:v>Train</x:v>
      </x:c>
      <x:c r="C229" s="23" t="str">
        <x:v>Lightning</x:v>
      </x:c>
      <x:c r="D229" s="23" t="n">
        <x:v>1363.7344885035418</x:v>
      </x:c>
      <x:c r="E229" s="23" t="n">
        <x:v>967.8417332936078</x:v>
      </x:c>
      <x:c r="F229" s="23" t="n">
        <x:v>420.4952153377235</x:v>
      </x:c>
      <x:c r="G229" s="23" t="n">
        <x:v>294.21075833495706</x:v>
      </x:c>
      <x:c r="H229" s="23" t="n">
        <x:v>27.495034910272807</x:v>
      </x:c>
      <x:c r="I229" s="23" t="n">
        <x:v>0.7905648276023567</x:v>
      </x:c>
      <x:c r="J229" s="23" t="n">
        <x:v>9</x:v>
      </x:c>
      <x:c r="K229" s="23" t="n">
        <x:v>191.6680947440111</x:v>
      </x:c>
      <x:c r="L229" s="23" t="n">
        <x:v>40</x:v>
      </x:c>
      <x:c r="M229" s="23" t="n">
        <x:v>25</x:v>
      </x:c>
      <x:c r="N229" s="23" t="n">
        <x:v>1.1600762496473773</x:v>
      </x:c>
      <x:c r="O229" s="23" t="n">
        <x:v>52.237351251208715</x:v>
      </x:c>
      <x:c r="P229" s="23" t="n">
        <x:v>1363.7344885035418</x:v>
      </x:c>
      <x:c r="Q229" s="23" t="n">
        <x:v>1.1495216473016017</x:v>
      </x:c>
      <x:c r="R229" s="23" t="n">
        <x:v>53.27238500020543</x:v>
      </x:c>
      <x:c r="S229" s="23" t="n">
        <x:v>1348.2501862376312</x:v>
      </x:c>
      <x:c r="T229" s="23" t="n">
        <x:v>-0.010554602345775654</x:v>
      </x:c>
      <x:c r="U229" s="23" t="n">
        <x:v>1.0350337489967174</x:v>
      </x:c>
      <x:c r="V229" s="23" t="n">
        <x:v>-15.484302265910628</x:v>
      </x:c>
    </x:row>
    <x:row r="230">
      <x:c r="A230" s="23" t="n">
        <x:v>229</x:v>
      </x:c>
      <x:c r="B230" s="23" t="str">
        <x:v>Train</x:v>
      </x:c>
      <x:c r="C230" s="23" t="str">
        <x:v>Lightning</x:v>
      </x:c>
      <x:c r="D230" s="23" t="n">
        <x:v>1465.788839617744</x:v>
      </x:c>
      <x:c r="E230" s="23" t="n">
        <x:v>1049.257992755156</x:v>
      </x:c>
      <x:c r="F230" s="23" t="n">
        <x:v>573.8984359428287</x:v>
      </x:c>
      <x:c r="G230" s="23" t="n">
        <x:v>229.07182875322178</x:v>
      </x:c>
      <x:c r="H230" s="23" t="n">
        <x:v>16.3399755731225</x:v>
      </x:c>
      <x:c r="I230" s="23" t="n">
        <x:v>0.8378365590632894</x:v>
      </x:c>
      <x:c r="J230" s="23" t="n">
        <x:v>9</x:v>
      </x:c>
      <x:c r="K230" s="23" t="n">
        <x:v>194.38806395161265</x:v>
      </x:c>
      <x:c r="L230" s="23" t="n">
        <x:v>40</x:v>
      </x:c>
      <x:c r="M230" s="23" t="n">
        <x:v>25</x:v>
      </x:c>
      <x:c r="N230" s="23" t="n">
        <x:v>1.2045882007851751</x:v>
      </x:c>
      <x:c r="O230" s="23" t="n">
        <x:v>52.26380869104307</x:v>
      </x:c>
      <x:c r="P230" s="23" t="n">
        <x:v>1465.788839617744</x:v>
      </x:c>
      <x:c r="Q230" s="23" t="n">
        <x:v>1.2096726891161622</x:v>
      </x:c>
      <x:c r="R230" s="23" t="n">
        <x:v>52.57547039186726</x:v>
      </x:c>
      <x:c r="S230" s="23" t="n">
        <x:v>1471.1344160067658</x:v>
      </x:c>
      <x:c r="T230" s="23" t="n">
        <x:v>0.005084488330987069</x:v>
      </x:c>
      <x:c r="U230" s="23" t="n">
        <x:v>0.311661700824196</x:v>
      </x:c>
      <x:c r="V230" s="23" t="n">
        <x:v>5.345576389021744</x:v>
      </x:c>
    </x:row>
    <x:row r="231">
      <x:c r="A231" s="23" t="n">
        <x:v>230</x:v>
      </x:c>
      <x:c r="B231" s="23" t="str">
        <x:v>Train</x:v>
      </x:c>
      <x:c r="C231" s="23" t="str">
        <x:v>Lightning</x:v>
      </x:c>
      <x:c r="D231" s="23" t="n">
        <x:v>1494.9213328887708</x:v>
      </x:c>
      <x:c r="E231" s="23" t="n">
        <x:v>673.8264679675922</x:v>
      </x:c>
      <x:c r="F231" s="23" t="n">
        <x:v>599.2541161365807</x:v>
      </x:c>
      <x:c r="G231" s="23" t="n">
        <x:v>206.3058944605291</x:v>
      </x:c>
      <x:c r="H231" s="23" t="n">
        <x:v>19.263463674578816</x:v>
      </x:c>
      <x:c r="I231" s="23" t="n">
        <x:v>0.8220295299729332</x:v>
      </x:c>
      <x:c r="J231" s="23" t="n">
        <x:v>10</x:v>
      </x:c>
      <x:c r="K231" s="23" t="n">
        <x:v>181.85737596774578</x:v>
      </x:c>
      <x:c r="L231" s="23" t="n">
        <x:v>45</x:v>
      </x:c>
      <x:c r="M231" s="23" t="n">
        <x:v>25</x:v>
      </x:c>
      <x:c r="N231" s="23" t="n">
        <x:v>1.1977912459999203</x:v>
      </x:c>
      <x:c r="O231" s="23" t="n">
        <x:v>52.231303707411335</x:v>
      </x:c>
      <x:c r="P231" s="23" t="n">
        <x:v>1494.9213328887708</x:v>
      </x:c>
      <x:c r="Q231" s="23" t="n">
        <x:v>1.185343278708248</x:v>
      </x:c>
      <x:c r="R231" s="23" t="n">
        <x:v>52.49732777695454</x:v>
      </x:c>
      <x:c r="S231" s="23" t="n">
        <x:v>1497.607785995331</x:v>
      </x:c>
      <x:c r="T231" s="23" t="n">
        <x:v>-0.01244796729167219</x:v>
      </x:c>
      <x:c r="U231" s="23" t="n">
        <x:v>0.26602406954320656</x:v>
      </x:c>
      <x:c r="V231" s="23" t="n">
        <x:v>2.686453106560066</x:v>
      </x:c>
    </x:row>
    <x:row r="232">
      <x:c r="A232" s="23" t="n">
        <x:v>231</x:v>
      </x:c>
      <x:c r="B232" s="23" t="str">
        <x:v>Train</x:v>
      </x:c>
      <x:c r="C232" s="23" t="str">
        <x:v>Lightning</x:v>
      </x:c>
      <x:c r="D232" s="23" t="n">
        <x:v>1380.7702022837475</x:v>
      </x:c>
      <x:c r="E232" s="23" t="n">
        <x:v>627.5883864727803</x:v>
      </x:c>
      <x:c r="F232" s="23" t="n">
        <x:v>665.3463304042816</x:v>
      </x:c>
      <x:c r="G232" s="23" t="n">
        <x:v>295.65210999688134</x:v>
      </x:c>
      <x:c r="H232" s="23" t="n">
        <x:v>20.092040586285293</x:v>
      </x:c>
      <x:c r="I232" s="23" t="n">
        <x:v>0.8442512152320706</x:v>
      </x:c>
      <x:c r="J232" s="23" t="n">
        <x:v>9</x:v>
      </x:c>
      <x:c r="K232" s="23" t="n">
        <x:v>181.7218721120686</x:v>
      </x:c>
      <x:c r="L232" s="23" t="n">
        <x:v>45</x:v>
      </x:c>
      <x:c r="M232" s="23" t="n">
        <x:v>25</x:v>
      </x:c>
      <x:c r="N232" s="23" t="n">
        <x:v>1.1734405619563217</x:v>
      </x:c>
      <x:c r="O232" s="23" t="n">
        <x:v>52.22270040098032</x:v>
      </x:c>
      <x:c r="P232" s="23" t="n">
        <x:v>1380.7702022837475</x:v>
      </x:c>
      <x:c r="Q232" s="23" t="n">
        <x:v>1.159613097205788</x:v>
      </x:c>
      <x:c r="R232" s="23" t="n">
        <x:v>52.10409799211161</x:v>
      </x:c>
      <x:c r="S232" s="23" t="n">
        <x:v>1374.7521377640342</x:v>
      </x:c>
      <x:c r="T232" s="23" t="n">
        <x:v>-0.013827464750533647</x:v>
      </x:c>
      <x:c r="U232" s="23" t="n">
        <x:v>-0.11860240886871054</x:v>
      </x:c>
      <x:c r="V232" s="23" t="n">
        <x:v>-6.0180645197133344</x:v>
      </x:c>
    </x:row>
    <x:row r="233">
      <x:c r="A233" s="23" t="n">
        <x:v>232</x:v>
      </x:c>
      <x:c r="B233" s="23" t="str">
        <x:v>Train</x:v>
      </x:c>
      <x:c r="C233" s="23" t="str">
        <x:v>Lightning</x:v>
      </x:c>
      <x:c r="D233" s="23" t="n">
        <x:v>1421.9027542392723</x:v>
      </x:c>
      <x:c r="E233" s="23" t="n">
        <x:v>675.4447230137885</x:v>
      </x:c>
      <x:c r="F233" s="23" t="n">
        <x:v>615.2422822080553</x:v>
      </x:c>
      <x:c r="G233" s="23" t="n">
        <x:v>145.13722019735724</x:v>
      </x:c>
      <x:c r="H233" s="23" t="n">
        <x:v>15.961007935460657</x:v>
      </x:c>
      <x:c r="I233" s="23" t="n">
        <x:v>0.8534049438033253</x:v>
      </x:c>
      <x:c r="J233" s="23" t="n">
        <x:v>9</x:v>
      </x:c>
      <x:c r="K233" s="23" t="n">
        <x:v>185.12805211951607</x:v>
      </x:c>
      <x:c r="L233" s="23" t="n">
        <x:v>50</x:v>
      </x:c>
      <x:c r="M233" s="23" t="n">
        <x:v>25</x:v>
      </x:c>
      <x:c r="N233" s="23" t="n">
        <x:v>1.1506835937728075</x:v>
      </x:c>
      <x:c r="O233" s="23" t="n">
        <x:v>52.19888089234849</x:v>
      </x:c>
      <x:c r="P233" s="23" t="n">
        <x:v>1421.9027542392723</x:v>
      </x:c>
      <x:c r="Q233" s="23" t="n">
        <x:v>1.158461994074148</x:v>
      </x:c>
      <x:c r="R233" s="23" t="n">
        <x:v>50.58790243534975</x:v>
      </x:c>
      <x:c r="S233" s="23" t="n">
        <x:v>1435.7984565870474</x:v>
      </x:c>
      <x:c r="T233" s="23" t="n">
        <x:v>0.007778400301340582</x:v>
      </x:c>
      <x:c r="U233" s="23" t="n">
        <x:v>-1.610978456998744</x:v>
      </x:c>
      <x:c r="V233" s="23" t="n">
        <x:v>13.895702347775114</x:v>
      </x:c>
    </x:row>
    <x:row r="234">
      <x:c r="A234" s="23" t="n">
        <x:v>233</x:v>
      </x:c>
      <x:c r="B234" s="23" t="str">
        <x:v>Train</x:v>
      </x:c>
      <x:c r="C234" s="23" t="str">
        <x:v>Lightning</x:v>
      </x:c>
      <x:c r="D234" s="23" t="n">
        <x:v>1410.383570753038</x:v>
      </x:c>
      <x:c r="E234" s="23" t="n">
        <x:v>1026.9108843407594</x:v>
      </x:c>
      <x:c r="F234" s="23" t="n">
        <x:v>715.0470675900578</x:v>
      </x:c>
      <x:c r="G234" s="23" t="n">
        <x:v>120.37970636272803</x:v>
      </x:c>
      <x:c r="H234" s="23" t="n">
        <x:v>15.898036351427436</x:v>
      </x:c>
      <x:c r="I234" s="23" t="n">
        <x:v>0.8222997664031573</x:v>
      </x:c>
      <x:c r="J234" s="23" t="n">
        <x:v>9</x:v>
      </x:c>
      <x:c r="K234" s="23" t="n">
        <x:v>190.57440126085964</x:v>
      </x:c>
      <x:c r="L234" s="23" t="n">
        <x:v>40</x:v>
      </x:c>
      <x:c r="M234" s="23" t="n">
        <x:v>25</x:v>
      </x:c>
      <x:c r="N234" s="23" t="n">
        <x:v>1.2083124107323242</x:v>
      </x:c>
      <x:c r="O234" s="23" t="n">
        <x:v>52.265384999369424</x:v>
      </x:c>
      <x:c r="P234" s="23" t="n">
        <x:v>1410.383570753038</x:v>
      </x:c>
      <x:c r="Q234" s="23" t="n">
        <x:v>1.2069491813467212</x:v>
      </x:c>
      <x:c r="R234" s="23" t="n">
        <x:v>53.04533098317887</x:v>
      </x:c>
      <x:c r="S234" s="23" t="n">
        <x:v>1407.2616612167296</x:v>
      </x:c>
      <x:c r="T234" s="23" t="n">
        <x:v>-0.0013632293856029598</x:v>
      </x:c>
      <x:c r="U234" s="23" t="n">
        <x:v>0.7799459838094478</x:v>
      </x:c>
      <x:c r="V234" s="23" t="n">
        <x:v>-3.1219095363082943</x:v>
      </x:c>
    </x:row>
    <x:row r="235">
      <x:c r="A235" s="23" t="n">
        <x:v>234</x:v>
      </x:c>
      <x:c r="B235" s="23" t="str">
        <x:v>Train</x:v>
      </x:c>
      <x:c r="C235" s="23" t="str">
        <x:v>Lightning</x:v>
      </x:c>
      <x:c r="D235" s="23" t="n">
        <x:v>1424.72424848238</x:v>
      </x:c>
      <x:c r="E235" s="23" t="n">
        <x:v>1098.8330949330702</x:v>
      </x:c>
      <x:c r="F235" s="23" t="n">
        <x:v>695.1000929810107</x:v>
      </x:c>
      <x:c r="G235" s="23" t="n">
        <x:v>221.68525370769203</x:v>
      </x:c>
      <x:c r="H235" s="23" t="n">
        <x:v>26.12314145686105</x:v>
      </x:c>
      <x:c r="I235" s="23" t="n">
        <x:v>0.8066312905820087</x:v>
      </x:c>
      <x:c r="J235" s="23" t="n">
        <x:v>9</x:v>
      </x:c>
      <x:c r="K235" s="23" t="n">
        <x:v>196.2516159788444</x:v>
      </x:c>
      <x:c r="L235" s="23" t="n">
        <x:v>35</x:v>
      </x:c>
      <x:c r="M235" s="23" t="n">
        <x:v>25</x:v>
      </x:c>
      <x:c r="N235" s="23" t="n">
        <x:v>1.2212244000881989</x:v>
      </x:c>
      <x:c r="O235" s="23" t="n">
        <x:v>52.28928530550987</x:v>
      </x:c>
      <x:c r="P235" s="23" t="n">
        <x:v>1424.72424848238</x:v>
      </x:c>
      <x:c r="Q235" s="23" t="n">
        <x:v>1.2253640785949613</x:v>
      </x:c>
      <x:c r="R235" s="23" t="n">
        <x:v>51.885052377908686</x:v>
      </x:c>
      <x:c r="S235" s="23" t="n">
        <x:v>1410.8437872633779</x:v>
      </x:c>
      <x:c r="T235" s="23" t="n">
        <x:v>0.004139678506762445</x:v>
      </x:c>
      <x:c r="U235" s="23" t="n">
        <x:v>-0.40423292760118557</x:v>
      </x:c>
      <x:c r="V235" s="23" t="n">
        <x:v>-13.8804612190022</x:v>
      </x:c>
    </x:row>
    <x:row r="236">
      <x:c r="A236" s="23" t="n">
        <x:v>235</x:v>
      </x:c>
      <x:c r="B236" s="23" t="str">
        <x:v>Validation</x:v>
      </x:c>
      <x:c r="C236" s="23" t="str">
        <x:v>Lightning</x:v>
      </x:c>
      <x:c r="D236" s="23" t="n">
        <x:v>1362.3756102053449</x:v>
      </x:c>
      <x:c r="E236" s="23" t="n">
        <x:v>807.9447394818999</x:v>
      </x:c>
      <x:c r="F236" s="23" t="n">
        <x:v>639.8032564669847</x:v>
      </x:c>
      <x:c r="G236" s="23" t="n">
        <x:v>117.4361855792813</x:v>
      </x:c>
      <x:c r="H236" s="23" t="n">
        <x:v>10.272014484740794</x:v>
      </x:c>
      <x:c r="I236" s="23" t="n">
        <x:v>0.8157845272752456</x:v>
      </x:c>
      <x:c r="J236" s="23" t="n">
        <x:v>9</x:v>
      </x:c>
      <x:c r="K236" s="23" t="n">
        <x:v>185.55765982249372</x:v>
      </x:c>
      <x:c r="L236" s="23" t="n">
        <x:v>50</x:v>
      </x:c>
      <x:c r="M236" s="23" t="n">
        <x:v>25</x:v>
      </x:c>
      <x:c r="N236" s="23" t="n">
        <x:v>1.2229586789833464</x:v>
      </x:c>
      <x:c r="O236" s="23" t="n">
        <x:v>52.21905134350477</x:v>
      </x:c>
      <x:c r="P236" s="23" t="n">
        <x:v>1362.3756102053449</x:v>
      </x:c>
      <x:c r="Q236" s="23" t="n">
        <x:v>1.2322142866863777</x:v>
      </x:c>
      <x:c r="R236" s="23" t="n">
        <x:v>52.865591093089755</x:v>
      </x:c>
      <x:c r="S236" s="23" t="n">
        <x:v>1379.0761649607816</x:v>
      </x:c>
      <x:c r="T236" s="23" t="n">
        <x:v>0.009255607703031243</x:v>
      </x:c>
      <x:c r="U236" s="23" t="n">
        <x:v>0.6465397495849814</x:v>
      </x:c>
      <x:c r="V236" s="23" t="n">
        <x:v>16.70055475543677</x:v>
      </x:c>
    </x:row>
    <x:row r="237">
      <x:c r="A237" s="23" t="n">
        <x:v>236</x:v>
      </x:c>
      <x:c r="B237" s="23" t="str">
        <x:v>Validation</x:v>
      </x:c>
      <x:c r="C237" s="23" t="str">
        <x:v>Lightning</x:v>
      </x:c>
      <x:c r="D237" s="23" t="n">
        <x:v>1477.7679523802362</x:v>
      </x:c>
      <x:c r="E237" s="23" t="n">
        <x:v>1190.8322708215564</x:v>
      </x:c>
      <x:c r="F237" s="23" t="n">
        <x:v>374.0205745212734</x:v>
      </x:c>
      <x:c r="G237" s="23" t="n">
        <x:v>168.27013231348246</x:v>
      </x:c>
      <x:c r="H237" s="23" t="n">
        <x:v>21.28853614954278</x:v>
      </x:c>
      <x:c r="I237" s="23" t="n">
        <x:v>0.8530884962156415</x:v>
      </x:c>
      <x:c r="J237" s="23" t="n">
        <x:v>9</x:v>
      </x:c>
      <x:c r="K237" s="23" t="n">
        <x:v>192.47292617559154</x:v>
      </x:c>
      <x:c r="L237" s="23" t="n">
        <x:v>40</x:v>
      </x:c>
      <x:c r="M237" s="23" t="n">
        <x:v>25</x:v>
      </x:c>
      <x:c r="N237" s="23" t="n">
        <x:v>1.1588411759915147</x:v>
      </x:c>
      <x:c r="O237" s="23" t="n">
        <x:v>52.24523720029106</x:v>
      </x:c>
      <x:c r="P237" s="23" t="n">
        <x:v>1477.7679523802362</x:v>
      </x:c>
      <x:c r="Q237" s="23" t="n">
        <x:v>1.149382758597119</x:v>
      </x:c>
      <x:c r="R237" s="23" t="n">
        <x:v>52.165313493550535</x:v>
      </x:c>
      <x:c r="S237" s="23" t="n">
        <x:v>1464.3713232130913</x:v>
      </x:c>
      <x:c r="T237" s="23" t="n">
        <x:v>-0.00945841739439568</x:v>
      </x:c>
      <x:c r="U237" s="23" t="n">
        <x:v>-0.07992370674052296</x:v>
      </x:c>
      <x:c r="V237" s="23" t="n">
        <x:v>-13.396629167144965</x:v>
      </x:c>
    </x:row>
    <x:row r="238">
      <x:c r="A238" s="23" t="n">
        <x:v>237</x:v>
      </x:c>
      <x:c r="B238" s="23" t="str">
        <x:v>Validation</x:v>
      </x:c>
      <x:c r="C238" s="23" t="str">
        <x:v>Lightning</x:v>
      </x:c>
      <x:c r="D238" s="23" t="n">
        <x:v>1391.2851949688047</x:v>
      </x:c>
      <x:c r="E238" s="23" t="n">
        <x:v>706.4511309261434</x:v>
      </x:c>
      <x:c r="F238" s="23" t="n">
        <x:v>394.3993976339698</x:v>
      </x:c>
      <x:c r="G238" s="23" t="n">
        <x:v>81.10867043258622</x:v>
      </x:c>
      <x:c r="H238" s="23" t="n">
        <x:v>27.242853853851557</x:v>
      </x:c>
      <x:c r="I238" s="23" t="n">
        <x:v>0.8552418380253949</x:v>
      </x:c>
      <x:c r="J238" s="23" t="n">
        <x:v>9</x:v>
      </x:c>
      <x:c r="K238" s="23" t="n">
        <x:v>180.7526678563082</x:v>
      </x:c>
      <x:c r="L238" s="23" t="n">
        <x:v>60</x:v>
      </x:c>
      <x:c r="M238" s="23" t="n">
        <x:v>25</x:v>
      </x:c>
      <x:c r="N238" s="23" t="n">
        <x:v>1.1664601378639365</x:v>
      </x:c>
      <x:c r="O238" s="23" t="n">
        <x:v>52.15929698810293</x:v>
      </x:c>
      <x:c r="P238" s="23" t="n">
        <x:v>1391.2851949688047</x:v>
      </x:c>
      <x:c r="Q238" s="23" t="n">
        <x:v>1.144476156555697</x:v>
      </x:c>
      <x:c r="R238" s="23" t="n">
        <x:v>51.57094445465647</x:v>
      </x:c>
      <x:c r="S238" s="23" t="n">
        <x:v>1394.2707073478873</x:v>
      </x:c>
      <x:c r="T238" s="23" t="n">
        <x:v>-0.021983981308239642</x:v>
      </x:c>
      <x:c r="U238" s="23" t="n">
        <x:v>-0.5883525334464608</x:v>
      </x:c>
      <x:c r="V238" s="23" t="n">
        <x:v>2.985512379082593</x:v>
      </x:c>
    </x:row>
    <x:row r="239">
      <x:c r="A239" s="23" t="n">
        <x:v>238</x:v>
      </x:c>
      <x:c r="B239" s="23" t="str">
        <x:v>Hidden Test</x:v>
      </x:c>
      <x:c r="C239" s="23" t="str">
        <x:v>Lightning</x:v>
      </x:c>
      <x:c r="D239" s="23" t="n">
        <x:v>1452.7905730647035</x:v>
      </x:c>
      <x:c r="E239" s="23" t="n">
        <x:v>660.8431265456602</x:v>
      </x:c>
      <x:c r="F239" s="23" t="n">
        <x:v>663.0200599320233</x:v>
      </x:c>
      <x:c r="G239" s="23" t="n">
        <x:v>211.05346262454987</x:v>
      </x:c>
      <x:c r="H239" s="23" t="n">
        <x:v>14.50250674271956</x:v>
      </x:c>
      <x:c r="I239" s="23" t="n">
        <x:v>0.8161845203442499</x:v>
      </x:c>
      <x:c r="J239" s="23" t="n">
        <x:v>9</x:v>
      </x:c>
      <x:c r="K239" s="23" t="n">
        <x:v>197.77534462045776</x:v>
      </x:c>
      <x:c r="L239" s="23" t="n">
        <x:v>50</x:v>
      </x:c>
      <x:c r="M239" s="23" t="n">
        <x:v>25</x:v>
      </x:c>
      <x:c r="N239" s="23" t="n">
        <x:v>1.2189102164594567</x:v>
      </x:c>
      <x:c r="O239" s="23" t="n">
        <x:v>52.21433187851127</x:v>
      </x:c>
      <x:c r="P239" s="23" t="n">
        <x:v>1452.7905730647035</x:v>
      </x:c>
      <x:c r="Q239" s="23" t="n">
        <x:v>1.210593329128852</x:v>
      </x:c>
      <x:c r="R239" s="23" t="n">
        <x:v>52.55243086487159</x:v>
      </x:c>
      <x:c r="S239" s="23" t="n">
        <x:v>1455.8061602149662</x:v>
      </x:c>
      <x:c r="T239" s="23" t="n">
        <x:v>-0.00831688733060476</x:v>
      </x:c>
      <x:c r="U239" s="23" t="n">
        <x:v>0.3380989863603219</x:v>
      </x:c>
      <x:c r="V239" s="23" t="n">
        <x:v>3.015587150262718</x:v>
      </x:c>
    </x:row>
    <x:row r="240">
      <x:c r="A240" s="23" t="n">
        <x:v>239</x:v>
      </x:c>
      <x:c r="B240" s="23" t="str">
        <x:v>Hidden Test</x:v>
      </x:c>
      <x:c r="C240" s="23" t="str">
        <x:v>Lightning</x:v>
      </x:c>
      <x:c r="D240" s="23" t="n">
        <x:v>1435.9436946222559</x:v>
      </x:c>
      <x:c r="E240" s="23" t="n">
        <x:v>659.3723275815137</x:v>
      </x:c>
      <x:c r="F240" s="23" t="n">
        <x:v>489.69957008957863</x:v>
      </x:c>
      <x:c r="G240" s="23" t="n">
        <x:v>280.8315906277858</x:v>
      </x:c>
      <x:c r="H240" s="23" t="n">
        <x:v>9.091790332458913</x:v>
      </x:c>
      <x:c r="I240" s="23" t="n">
        <x:v>0.8138529186486267</x:v>
      </x:c>
      <x:c r="J240" s="23" t="n">
        <x:v>9</x:v>
      </x:c>
      <x:c r="K240" s="23" t="n">
        <x:v>196.0419330650048</x:v>
      </x:c>
      <x:c r="L240" s="23" t="n">
        <x:v>55</x:v>
      </x:c>
      <x:c r="M240" s="23" t="n">
        <x:v>25</x:v>
      </x:c>
      <x:c r="N240" s="23" t="n">
        <x:v>1.219768901889851</x:v>
      </x:c>
      <x:c r="O240" s="23" t="n">
        <x:v>52.197957701413</x:v>
      </x:c>
      <x:c r="P240" s="23" t="n">
        <x:v>1435.9436946222559</x:v>
      </x:c>
      <x:c r="Q240" s="23" t="n">
        <x:v>1.2110907002830016</x:v>
      </x:c>
      <x:c r="R240" s="23" t="n">
        <x:v>50.812312361154056</x:v>
      </x:c>
      <x:c r="S240" s="23" t="n">
        <x:v>1443.271249779904</x:v>
      </x:c>
      <x:c r="T240" s="23" t="n">
        <x:v>-0.0086782016068494</x:v>
      </x:c>
      <x:c r="U240" s="23" t="n">
        <x:v>-1.3856453402589466</x:v>
      </x:c>
      <x:c r="V240" s="23" t="n">
        <x:v>7.3275551576482485</x:v>
      </x:c>
    </x:row>
    <x:row r="241">
      <x:c r="A241" s="23" t="n">
        <x:v>240</x:v>
      </x:c>
      <x:c r="B241" s="23" t="str">
        <x:v>Hidden Test</x:v>
      </x:c>
      <x:c r="C241" s="23" t="str">
        <x:v>Lightning</x:v>
      </x:c>
      <x:c r="D241" s="23" t="n">
        <x:v>1365.5793290468864</x:v>
      </x:c>
      <x:c r="E241" s="23" t="n">
        <x:v>895.0651796534657</x:v>
      </x:c>
      <x:c r="F241" s="23" t="n">
        <x:v>517.1426876448095</x:v>
      </x:c>
      <x:c r="G241" s="23" t="n">
        <x:v>127.86197852808982</x:v>
      </x:c>
      <x:c r="H241" s="23" t="n">
        <x:v>9.656728649046272</x:v>
      </x:c>
      <x:c r="I241" s="23" t="n">
        <x:v>0.8391528836544604</x:v>
      </x:c>
      <x:c r="J241" s="23" t="n">
        <x:v>9</x:v>
      </x:c>
      <x:c r="K241" s="23" t="n">
        <x:v>180.81453274638778</x:v>
      </x:c>
      <x:c r="L241" s="23" t="n">
        <x:v>50</x:v>
      </x:c>
      <x:c r="M241" s="23" t="n">
        <x:v>25</x:v>
      </x:c>
      <x:c r="N241" s="23" t="n">
        <x:v>1.201324056389975</x:v>
      </x:c>
      <x:c r="O241" s="23" t="n">
        <x:v>52.21513539071048</x:v>
      </x:c>
      <x:c r="P241" s="23" t="n">
        <x:v>1365.5793290468864</x:v>
      </x:c>
      <x:c r="Q241" s="23" t="n">
        <x:v>1.196921444741645</x:v>
      </x:c>
      <x:c r="R241" s="23" t="n">
        <x:v>51.876570335260965</x:v>
      </x:c>
      <x:c r="S241" s="23" t="n">
        <x:v>1377.6280451847417</x:v>
      </x:c>
      <x:c r="T241" s="23" t="n">
        <x:v>-0.0044026116483300015</x:v>
      </x:c>
      <x:c r="U241" s="23" t="n">
        <x:v>-0.3385650554495143</x:v>
      </x:c>
      <x:c r="V241" s="23" t="n">
        <x:v>12.048716137855308</x:v>
      </x:c>
    </x:row>
    <x:row r="242">
      <x:c r="A242" s="23" t="n">
        <x:v>241</x:v>
      </x:c>
      <x:c r="B242" s="23" t="str">
        <x:v>Train</x:v>
      </x:c>
      <x:c r="C242" s="23" t="str">
        <x:v>Lightning</x:v>
      </x:c>
      <x:c r="D242" s="23" t="n">
        <x:v>1485.1178077049553</x:v>
      </x:c>
      <x:c r="E242" s="23" t="n">
        <x:v>618.5479090898298</x:v>
      </x:c>
      <x:c r="F242" s="23" t="n">
        <x:v>695.7365730777383</x:v>
      </x:c>
      <x:c r="G242" s="23" t="n">
        <x:v>119.83088216045871</x:v>
      </x:c>
      <x:c r="H242" s="23" t="n">
        <x:v>13.116771506145597</x:v>
      </x:c>
      <x:c r="I242" s="23" t="n">
        <x:v>0.8131787894596346</x:v>
      </x:c>
      <x:c r="J242" s="23" t="n">
        <x:v>10</x:v>
      </x:c>
      <x:c r="K242" s="23" t="n">
        <x:v>182.63115405307494</x:v>
      </x:c>
      <x:c r="L242" s="23" t="n">
        <x:v>50</x:v>
      </x:c>
      <x:c r="M242" s="23" t="n">
        <x:v>25</x:v>
      </x:c>
      <x:c r="N242" s="23" t="n">
        <x:v>1.2510508579778647</x:v>
      </x:c>
      <x:c r="O242" s="23" t="n">
        <x:v>52.223460486869826</x:v>
      </x:c>
      <x:c r="P242" s="23" t="n">
        <x:v>1485.1178077049553</x:v>
      </x:c>
      <x:c r="Q242" s="23" t="n">
        <x:v>1.2396378596838495</x:v>
      </x:c>
      <x:c r="R242" s="23" t="n">
        <x:v>51.400745454828645</x:v>
      </x:c>
      <x:c r="S242" s="23" t="n">
        <x:v>1496.4543665043955</x:v>
      </x:c>
      <x:c r="T242" s="23" t="n">
        <x:v>-0.011412998294015209</x:v>
      </x:c>
      <x:c r="U242" s="23" t="n">
        <x:v>-0.8227150320411809</x:v>
      </x:c>
      <x:c r="V242" s="23" t="n">
        <x:v>11.336558799440127</x:v>
      </x:c>
    </x:row>
    <x:row r="243">
      <x:c r="A243" s="23" t="n">
        <x:v>242</x:v>
      </x:c>
      <x:c r="B243" s="23" t="str">
        <x:v>Train</x:v>
      </x:c>
      <x:c r="C243" s="23" t="str">
        <x:v>Lightning</x:v>
      </x:c>
      <x:c r="D243" s="23" t="n">
        <x:v>1366.4639398106374</x:v>
      </x:c>
      <x:c r="E243" s="23" t="n">
        <x:v>1140.9018208505586</x:v>
      </x:c>
      <x:c r="F243" s="23" t="n">
        <x:v>661.8741282261908</x:v>
      </x:c>
      <x:c r="G243" s="23" t="n">
        <x:v>316.07055586762726</x:v>
      </x:c>
      <x:c r="H243" s="23" t="n">
        <x:v>21.28998488234356</x:v>
      </x:c>
      <x:c r="I243" s="23" t="n">
        <x:v>0.8258902037376539</x:v>
      </x:c>
      <x:c r="J243" s="23" t="n">
        <x:v>9</x:v>
      </x:c>
      <x:c r="K243" s="23" t="n">
        <x:v>183.837180727543</x:v>
      </x:c>
      <x:c r="L243" s="23" t="n">
        <x:v>35</x:v>
      </x:c>
      <x:c r="M243" s="23" t="n">
        <x:v>25</x:v>
      </x:c>
      <x:c r="N243" s="23" t="n">
        <x:v>1.2477562389502985</x:v>
      </x:c>
      <x:c r="O243" s="23" t="n">
        <x:v>52.30538114128345</x:v>
      </x:c>
      <x:c r="P243" s="23" t="n">
        <x:v>1366.4639398106374</x:v>
      </x:c>
      <x:c r="Q243" s="23" t="n">
        <x:v>1.264899290379765</x:v>
      </x:c>
      <x:c r="R243" s="23" t="n">
        <x:v>52.20826013626437</x:v>
      </x:c>
      <x:c r="S243" s="23" t="n">
        <x:v>1350.637465395534</x:v>
      </x:c>
      <x:c r="T243" s="23" t="n">
        <x:v>0.01714305142946637</x:v>
      </x:c>
      <x:c r="U243" s="23" t="n">
        <x:v>-0.09712100501907628</x:v>
      </x:c>
      <x:c r="V243" s="23" t="n">
        <x:v>-15.826474415103348</x:v>
      </x:c>
    </x:row>
    <x:row r="244">
      <x:c r="A244" s="23" t="n">
        <x:v>243</x:v>
      </x:c>
      <x:c r="B244" s="23" t="str">
        <x:v>Train</x:v>
      </x:c>
      <x:c r="C244" s="23" t="str">
        <x:v>Lightning</x:v>
      </x:c>
      <x:c r="D244" s="23" t="n">
        <x:v>1489.0378629555926</x:v>
      </x:c>
      <x:c r="E244" s="23" t="n">
        <x:v>748.4008658328094</x:v>
      </x:c>
      <x:c r="F244" s="23" t="n">
        <x:v>475.9351011365652</x:v>
      </x:c>
      <x:c r="G244" s="23" t="n">
        <x:v>216.65408146334812</x:v>
      </x:c>
      <x:c r="H244" s="23" t="n">
        <x:v>25.068900001235306</x:v>
      </x:c>
      <x:c r="I244" s="23" t="n">
        <x:v>0.796261982365977</x:v>
      </x:c>
      <x:c r="J244" s="23" t="n">
        <x:v>10</x:v>
      </x:c>
      <x:c r="K244" s="23" t="n">
        <x:v>187.00351089614156</x:v>
      </x:c>
      <x:c r="L244" s="23" t="n">
        <x:v>45</x:v>
      </x:c>
      <x:c r="M244" s="23" t="n">
        <x:v>25</x:v>
      </x:c>
      <x:c r="N244" s="23" t="n">
        <x:v>1.1935438515461663</x:v>
      </x:c>
      <x:c r="O244" s="23" t="n">
        <x:v>52.22465152589097</x:v>
      </x:c>
      <x:c r="P244" s="23" t="n">
        <x:v>1489.0378629555926</x:v>
      </x:c>
      <x:c r="Q244" s="23" t="n">
        <x:v>1.1835465944857257</x:v>
      </x:c>
      <x:c r="R244" s="23" t="n">
        <x:v>52.67790319445614</x:v>
      </x:c>
      <x:c r="S244" s="23" t="n">
        <x:v>1481.1247951381263</x:v>
      </x:c>
      <x:c r="T244" s="23" t="n">
        <x:v>-0.009997257060440523</x:v>
      </x:c>
      <x:c r="U244" s="23" t="n">
        <x:v>0.45325166856517285</x:v>
      </x:c>
      <x:c r="V244" s="23" t="n">
        <x:v>-7.913067817466299</x:v>
      </x:c>
    </x:row>
    <x:row r="245">
      <x:c r="A245" s="23" t="n">
        <x:v>244</x:v>
      </x:c>
      <x:c r="B245" s="23" t="str">
        <x:v>Train</x:v>
      </x:c>
      <x:c r="C245" s="23" t="str">
        <x:v>Lightning</x:v>
      </x:c>
      <x:c r="D245" s="23" t="n">
        <x:v>1389.5223104744218</x:v>
      </x:c>
      <x:c r="E245" s="23" t="n">
        <x:v>1073.4280759934336</x:v>
      </x:c>
      <x:c r="F245" s="23" t="n">
        <x:v>547.9305553250015</x:v>
      </x:c>
      <x:c r="G245" s="23" t="n">
        <x:v>112.51846076454967</x:v>
      </x:c>
      <x:c r="H245" s="23" t="n">
        <x:v>16.79305726243183</x:v>
      </x:c>
      <x:c r="I245" s="23" t="n">
        <x:v>0.8562875969149173</x:v>
      </x:c>
      <x:c r="J245" s="23" t="n">
        <x:v>9</x:v>
      </x:c>
      <x:c r="K245" s="23" t="n">
        <x:v>180.30316962051242</x:v>
      </x:c>
      <x:c r="L245" s="23" t="n">
        <x:v>45</x:v>
      </x:c>
      <x:c r="M245" s="23" t="n">
        <x:v>25</x:v>
      </x:c>
      <x:c r="N245" s="23" t="n">
        <x:v>1.256286272434626</x:v>
      </x:c>
      <x:c r="O245" s="23" t="n">
        <x:v>52.24535478558304</x:v>
      </x:c>
      <x:c r="P245" s="23" t="n">
        <x:v>1389.5223104744218</x:v>
      </x:c>
      <x:c r="Q245" s="23" t="n">
        <x:v>1.2559109129387456</x:v>
      </x:c>
      <x:c r="R245" s="23" t="n">
        <x:v>51.76332131284702</x:v>
      </x:c>
      <x:c r="S245" s="23" t="n">
        <x:v>1382.1530564756522</x:v>
      </x:c>
      <x:c r="T245" s="23" t="n">
        <x:v>-0.00037535949588041184</x:v>
      </x:c>
      <x:c r="U245" s="23" t="n">
        <x:v>-0.4820334727360205</x:v>
      </x:c>
      <x:c r="V245" s="23" t="n">
        <x:v>-7.369253998769636</x:v>
      </x:c>
    </x:row>
    <x:row r="246">
      <x:c r="A246" s="23" t="n">
        <x:v>245</x:v>
      </x:c>
      <x:c r="B246" s="23" t="str">
        <x:v>Train</x:v>
      </x:c>
      <x:c r="C246" s="23" t="str">
        <x:v>Lightning</x:v>
      </x:c>
      <x:c r="D246" s="23" t="n">
        <x:v>1422.786929877475</x:v>
      </x:c>
      <x:c r="E246" s="23" t="n">
        <x:v>1032.746165979188</x:v>
      </x:c>
      <x:c r="F246" s="23" t="n">
        <x:v>728.6896554753184</x:v>
      </x:c>
      <x:c r="G246" s="23" t="n">
        <x:v>138.2545272191055</x:v>
      </x:c>
      <x:c r="H246" s="23" t="n">
        <x:v>23.482400983572006</x:v>
      </x:c>
      <x:c r="I246" s="23" t="n">
        <x:v>0.8049248768971302</x:v>
      </x:c>
      <x:c r="J246" s="23" t="n">
        <x:v>9</x:v>
      </x:c>
      <x:c r="K246" s="23" t="n">
        <x:v>196.40023707859189</x:v>
      </x:c>
      <x:c r="L246" s="23" t="n">
        <x:v>35</x:v>
      </x:c>
      <x:c r="M246" s="23" t="n">
        <x:v>25</x:v>
      </x:c>
      <x:c r="N246" s="23" t="n">
        <x:v>1.1444176631338983</x:v>
      </x:c>
      <x:c r="O246" s="23" t="n">
        <x:v>52.271209217616935</x:v>
      </x:c>
      <x:c r="P246" s="23" t="n">
        <x:v>1422.786929877475</x:v>
      </x:c>
      <x:c r="Q246" s="23" t="n">
        <x:v>1.1554428126389005</x:v>
      </x:c>
      <x:c r="R246" s="23" t="n">
        <x:v>52.77507904840088</x:v>
      </x:c>
      <x:c r="S246" s="23" t="n">
        <x:v>1402.1428057590722</x:v>
      </x:c>
      <x:c r="T246" s="23" t="n">
        <x:v>0.011025149505002219</x:v>
      </x:c>
      <x:c r="U246" s="23" t="n">
        <x:v>0.5038698307839482</x:v>
      </x:c>
      <x:c r="V246" s="23" t="n">
        <x:v>-20.644124118402715</x:v>
      </x:c>
    </x:row>
    <x:row r="247">
      <x:c r="A247" s="23" t="n">
        <x:v>246</x:v>
      </x:c>
      <x:c r="B247" s="23" t="str">
        <x:v>Train</x:v>
      </x:c>
      <x:c r="C247" s="23" t="str">
        <x:v>Lightning</x:v>
      </x:c>
      <x:c r="D247" s="23" t="n">
        <x:v>1402.0265423809178</x:v>
      </x:c>
      <x:c r="E247" s="23" t="n">
        <x:v>668.7561036786065</x:v>
      </x:c>
      <x:c r="F247" s="23" t="n">
        <x:v>508.10450138524175</x:v>
      </x:c>
      <x:c r="G247" s="23" t="n">
        <x:v>198.4971616603434</x:v>
      </x:c>
      <x:c r="H247" s="23" t="n">
        <x:v>12.1386115164496</x:v>
      </x:c>
      <x:c r="I247" s="23" t="n">
        <x:v>0.8266797253256664</x:v>
      </x:c>
      <x:c r="J247" s="23" t="n">
        <x:v>9</x:v>
      </x:c>
      <x:c r="K247" s="23" t="n">
        <x:v>188.44145097406863</x:v>
      </x:c>
      <x:c r="L247" s="23" t="n">
        <x:v>55</x:v>
      </x:c>
      <x:c r="M247" s="23" t="n">
        <x:v>25</x:v>
      </x:c>
      <x:c r="N247" s="23" t="n">
        <x:v>1.187026820580141</x:v>
      </x:c>
      <x:c r="O247" s="23" t="n">
        <x:v>52.18945265977647</x:v>
      </x:c>
      <x:c r="P247" s="23" t="n">
        <x:v>1402.0265423809178</x:v>
      </x:c>
      <x:c r="Q247" s="23" t="n">
        <x:v>1.1944525841421718</x:v>
      </x:c>
      <x:c r="R247" s="23" t="n">
        <x:v>50.61337386376447</x:v>
      </x:c>
      <x:c r="S247" s="23" t="n">
        <x:v>1411.068606146269</x:v>
      </x:c>
      <x:c r="T247" s="23" t="n">
        <x:v>0.007425763562030729</x:v>
      </x:c>
      <x:c r="U247" s="23" t="n">
        <x:v>-1.5760787960119984</x:v>
      </x:c>
      <x:c r="V247" s="23" t="n">
        <x:v>9.042063765351259</x:v>
      </x:c>
    </x:row>
    <x:row r="248">
      <x:c r="A248" s="23" t="n">
        <x:v>247</x:v>
      </x:c>
      <x:c r="B248" s="23" t="str">
        <x:v>Train</x:v>
      </x:c>
      <x:c r="C248" s="23" t="str">
        <x:v>Lightning</x:v>
      </x:c>
      <x:c r="D248" s="23" t="n">
        <x:v>1390.68037730176</x:v>
      </x:c>
      <x:c r="E248" s="23" t="n">
        <x:v>991.8997680884786</x:v>
      </x:c>
      <x:c r="F248" s="23" t="n">
        <x:v>420.7210198044777</x:v>
      </x:c>
      <x:c r="G248" s="23" t="n">
        <x:v>204.94827335467562</x:v>
      </x:c>
      <x:c r="H248" s="23" t="n">
        <x:v>15.367596249096096</x:v>
      </x:c>
      <x:c r="I248" s="23" t="n">
        <x:v>0.8069909793487751</x:v>
      </x:c>
      <x:c r="J248" s="23" t="n">
        <x:v>9</x:v>
      </x:c>
      <x:c r="K248" s="23" t="n">
        <x:v>191.4767895511202</x:v>
      </x:c>
      <x:c r="L248" s="23" t="n">
        <x:v>45</x:v>
      </x:c>
      <x:c r="M248" s="23" t="n">
        <x:v>25</x:v>
      </x:c>
      <x:c r="N248" s="23" t="n">
        <x:v>1.1705754772499337</x:v>
      </x:c>
      <x:c r="O248" s="23" t="n">
        <x:v>52.22721945587504</x:v>
      </x:c>
      <x:c r="P248" s="23" t="n">
        <x:v>1390.68037730176</x:v>
      </x:c>
      <x:c r="Q248" s="23" t="n">
        <x:v>1.1748259686958145</x:v>
      </x:c>
      <x:c r="R248" s="23" t="n">
        <x:v>52.075090035541564</x:v>
      </x:c>
      <x:c r="S248" s="23" t="n">
        <x:v>1404.0440534980044</x:v>
      </x:c>
      <x:c r="T248" s="23" t="n">
        <x:v>0.004250491445880744</x:v>
      </x:c>
      <x:c r="U248" s="23" t="n">
        <x:v>-0.15212942033347332</x:v>
      </x:c>
      <x:c r="V248" s="23" t="n">
        <x:v>13.363676196244342</x:v>
      </x:c>
    </x:row>
    <x:row r="249">
      <x:c r="A249" s="23" t="n">
        <x:v>248</x:v>
      </x:c>
      <x:c r="B249" s="23" t="str">
        <x:v>Train</x:v>
      </x:c>
      <x:c r="C249" s="23" t="str">
        <x:v>Lightning</x:v>
      </x:c>
      <x:c r="D249" s="23" t="n">
        <x:v>1443.869259848725</x:v>
      </x:c>
      <x:c r="E249" s="23" t="n">
        <x:v>1099.026211630553</x:v>
      </x:c>
      <x:c r="F249" s="23" t="n">
        <x:v>508.9898637495935</x:v>
      </x:c>
      <x:c r="G249" s="23" t="n">
        <x:v>265.86561328265816</x:v>
      </x:c>
      <x:c r="H249" s="23" t="n">
        <x:v>9.66903526103124</x:v>
      </x:c>
      <x:c r="I249" s="23" t="n">
        <x:v>0.8476270654518158</x:v>
      </x:c>
      <x:c r="J249" s="23" t="n">
        <x:v>9</x:v>
      </x:c>
      <x:c r="K249" s="23" t="n">
        <x:v>189.2694609456041</x:v>
      </x:c>
      <x:c r="L249" s="23" t="n">
        <x:v>40</x:v>
      </x:c>
      <x:c r="M249" s="23" t="n">
        <x:v>25</x:v>
      </x:c>
      <x:c r="N249" s="23" t="n">
        <x:v>1.1813148836059895</x:v>
      </x:c>
      <x:c r="O249" s="23" t="n">
        <x:v>52.26718500230475</x:v>
      </x:c>
      <x:c r="P249" s="23" t="n">
        <x:v>1443.869259848725</x:v>
      </x:c>
      <x:c r="Q249" s="23" t="n">
        <x:v>1.1842446262316852</x:v>
      </x:c>
      <x:c r="R249" s="23" t="n">
        <x:v>52.87784025549662</x:v>
      </x:c>
      <x:c r="S249" s="23" t="n">
        <x:v>1452.405615438829</x:v>
      </x:c>
      <x:c r="T249" s="23" t="n">
        <x:v>0.002929742625695786</x:v>
      </x:c>
      <x:c r="U249" s="23" t="n">
        <x:v>0.6106552531918723</x:v>
      </x:c>
      <x:c r="V249" s="23" t="n">
        <x:v>8.536355590103994</x:v>
      </x:c>
    </x:row>
    <x:row r="250">
      <x:c r="A250" s="23" t="n">
        <x:v>249</x:v>
      </x:c>
      <x:c r="B250" s="23" t="str">
        <x:v>Train</x:v>
      </x:c>
      <x:c r="C250" s="23" t="str">
        <x:v>Lightning</x:v>
      </x:c>
      <x:c r="D250" s="23" t="n">
        <x:v>1410.7166904956102</x:v>
      </x:c>
      <x:c r="E250" s="23" t="n">
        <x:v>750.1820734119974</x:v>
      </x:c>
      <x:c r="F250" s="23" t="n">
        <x:v>607.9632537439466</x:v>
      </x:c>
      <x:c r="G250" s="23" t="n">
        <x:v>317.1033323579468</x:v>
      </x:c>
      <x:c r="H250" s="23" t="n">
        <x:v>28.531289203092456</x:v>
      </x:c>
      <x:c r="I250" s="23" t="n">
        <x:v>0.8070363227766939</x:v>
      </x:c>
      <x:c r="J250" s="23" t="n">
        <x:v>9</x:v>
      </x:c>
      <x:c r="K250" s="23" t="n">
        <x:v>194.22459004652288</x:v>
      </x:c>
      <x:c r="L250" s="23" t="n">
        <x:v>40</x:v>
      </x:c>
      <x:c r="M250" s="23" t="n">
        <x:v>25</x:v>
      </x:c>
      <x:c r="N250" s="23" t="n">
        <x:v>1.160871615483936</x:v>
      </x:c>
      <x:c r="O250" s="23" t="n">
        <x:v>52.23621314723471</x:v>
      </x:c>
      <x:c r="P250" s="23" t="n">
        <x:v>1410.7166904956102</x:v>
      </x:c>
      <x:c r="Q250" s="23" t="n">
        <x:v>1.1627670326915256</x:v>
      </x:c>
      <x:c r="R250" s="23" t="n">
        <x:v>51.291447701312606</x:v>
      </x:c>
      <x:c r="S250" s="23" t="n">
        <x:v>1403.3925010920539</x:v>
      </x:c>
      <x:c r="T250" s="23" t="n">
        <x:v>0.001895417207589567</x:v>
      </x:c>
      <x:c r="U250" s="23" t="n">
        <x:v>-0.9447654459221013</x:v>
      </x:c>
      <x:c r="V250" s="23" t="n">
        <x:v>-7.324189403556375</x:v>
      </x:c>
    </x:row>
    <x:row r="251">
      <x:c r="A251" s="23" t="n">
        <x:v>250</x:v>
      </x:c>
      <x:c r="B251" s="23" t="str">
        <x:v>Train</x:v>
      </x:c>
      <x:c r="C251" s="23" t="str">
        <x:v>Lightning</x:v>
      </x:c>
      <x:c r="D251" s="23" t="n">
        <x:v>1450.7629776955582</x:v>
      </x:c>
      <x:c r="E251" s="23" t="n">
        <x:v>733.7218782166019</x:v>
      </x:c>
      <x:c r="F251" s="23" t="n">
        <x:v>450.1739517785609</x:v>
      </x:c>
      <x:c r="G251" s="23" t="n">
        <x:v>168.44462386332452</x:v>
      </x:c>
      <x:c r="H251" s="23" t="n">
        <x:v>16.496672224719077</x:v>
      </x:c>
      <x:c r="I251" s="23" t="n">
        <x:v>0.8171356461243704</x:v>
      </x:c>
      <x:c r="J251" s="23" t="n">
        <x:v>9</x:v>
      </x:c>
      <x:c r="K251" s="23" t="n">
        <x:v>197.26943399808934</x:v>
      </x:c>
      <x:c r="L251" s="23" t="n">
        <x:v>55</x:v>
      </x:c>
      <x:c r="M251" s="23" t="n">
        <x:v>25</x:v>
      </x:c>
      <x:c r="N251" s="23" t="n">
        <x:v>1.1854419050413332</x:v>
      </x:c>
      <x:c r="O251" s="23" t="n">
        <x:v>52.185863685267876</x:v>
      </x:c>
      <x:c r="P251" s="23" t="n">
        <x:v>1450.7629776955582</x:v>
      </x:c>
      <x:c r="Q251" s="23" t="n">
        <x:v>1.1897945876015756</x:v>
      </x:c>
      <x:c r="R251" s="23" t="n">
        <x:v>52.05588034393976</x:v>
      </x:c>
      <x:c r="S251" s="23" t="n">
        <x:v>1472.3558468173048</x:v>
      </x:c>
      <x:c r="T251" s="23" t="n">
        <x:v>0.00435268256024246</x:v>
      </x:c>
      <x:c r="U251" s="23" t="n">
        <x:v>-0.1299833413281135</x:v>
      </x:c>
      <x:c r="V251" s="23" t="n">
        <x:v>21.592869121746617</x:v>
      </x:c>
    </x:row>
    <x:row r="252">
      <x:c r="A252" s="23" t="n">
        <x:v>251</x:v>
      </x:c>
      <x:c r="B252" s="23" t="str">
        <x:v>Train</x:v>
      </x:c>
      <x:c r="C252" s="23" t="str">
        <x:v>Lightning</x:v>
      </x:c>
      <x:c r="D252" s="23" t="n">
        <x:v>1431.8034042371437</x:v>
      </x:c>
      <x:c r="E252" s="23" t="n">
        <x:v>1236.3414526567794</x:v>
      </x:c>
      <x:c r="F252" s="23" t="n">
        <x:v>479.18628193438053</x:v>
      </x:c>
      <x:c r="G252" s="23" t="n">
        <x:v>261.47750868229195</x:v>
      </x:c>
      <x:c r="H252" s="23" t="n">
        <x:v>22.005761899985373</x:v>
      </x:c>
      <x:c r="I252" s="23" t="n">
        <x:v>0.8155183999496513</x:v>
      </x:c>
      <x:c r="J252" s="23" t="n">
        <x:v>9</x:v>
      </x:c>
      <x:c r="K252" s="23" t="n">
        <x:v>195.07747114875926</x:v>
      </x:c>
      <x:c r="L252" s="23" t="n">
        <x:v>35</x:v>
      </x:c>
      <x:c r="M252" s="23" t="n">
        <x:v>25</x:v>
      </x:c>
      <x:c r="N252" s="23" t="n">
        <x:v>1.1768342168371264</x:v>
      </x:c>
      <x:c r="O252" s="23" t="n">
        <x:v>52.28326454255741</x:v>
      </x:c>
      <x:c r="P252" s="23" t="n">
        <x:v>1431.8034042371437</x:v>
      </x:c>
      <x:c r="Q252" s="23" t="n">
        <x:v>1.1813191742617013</x:v>
      </x:c>
      <x:c r="R252" s="23" t="n">
        <x:v>52.94621903695388</x:v>
      </x:c>
      <x:c r="S252" s="23" t="n">
        <x:v>1413.3736629271275</x:v>
      </x:c>
      <x:c r="T252" s="23" t="n">
        <x:v>0.004484957424574887</x:v>
      </x:c>
      <x:c r="U252" s="23" t="n">
        <x:v>0.662954494396466</x:v>
      </x:c>
      <x:c r="V252" s="23" t="n">
        <x:v>-18.429741310016198</x:v>
      </x:c>
    </x:row>
    <x:row r="253">
      <x:c r="A253" s="23" t="n">
        <x:v>252</x:v>
      </x:c>
      <x:c r="B253" s="23" t="str">
        <x:v>Train</x:v>
      </x:c>
      <x:c r="C253" s="23" t="str">
        <x:v>Lightning</x:v>
      </x:c>
      <x:c r="D253" s="23" t="n">
        <x:v>1374.2923435172997</x:v>
      </x:c>
      <x:c r="E253" s="23" t="n">
        <x:v>810.1810935419053</x:v>
      </x:c>
      <x:c r="F253" s="23" t="n">
        <x:v>588.8750906102359</x:v>
      </x:c>
      <x:c r="G253" s="23" t="n">
        <x:v>114.1407450614497</x:v>
      </x:c>
      <x:c r="H253" s="23" t="n">
        <x:v>24.076755444984883</x:v>
      </x:c>
      <x:c r="I253" s="23" t="n">
        <x:v>0.8044790509343147</x:v>
      </x:c>
      <x:c r="J253" s="23" t="n">
        <x:v>9</x:v>
      </x:c>
      <x:c r="K253" s="23" t="n">
        <x:v>189.81121895263345</x:v>
      </x:c>
      <x:c r="L253" s="23" t="n">
        <x:v>50</x:v>
      </x:c>
      <x:c r="M253" s="23" t="n">
        <x:v>25</x:v>
      </x:c>
      <x:c r="N253" s="23" t="n">
        <x:v>1.2438524832861853</x:v>
      </x:c>
      <x:c r="O253" s="23" t="n">
        <x:v>52.21094523118762</x:v>
      </x:c>
      <x:c r="P253" s="23" t="n">
        <x:v>1374.2923435172997</x:v>
      </x:c>
      <x:c r="Q253" s="23" t="n">
        <x:v>1.23839159055362</x:v>
      </x:c>
      <x:c r="R253" s="23" t="n">
        <x:v>52.14002906122395</x:v>
      </x:c>
      <x:c r="S253" s="23" t="n">
        <x:v>1376.3357451062054</x:v>
      </x:c>
      <x:c r="T253" s="23" t="n">
        <x:v>-0.005460892732565226</x:v>
      </x:c>
      <x:c r="U253" s="23" t="n">
        <x:v>-0.07091616996367378</x:v>
      </x:c>
      <x:c r="V253" s="23" t="n">
        <x:v>2.043401588905681</x:v>
      </x:c>
    </x:row>
    <x:row r="254">
      <x:c r="A254" s="23" t="n">
        <x:v>253</x:v>
      </x:c>
      <x:c r="B254" s="23" t="str">
        <x:v>Train</x:v>
      </x:c>
      <x:c r="C254" s="23" t="str">
        <x:v>Lightning</x:v>
      </x:c>
      <x:c r="D254" s="23" t="n">
        <x:v>1485.6319311540574</x:v>
      </x:c>
      <x:c r="E254" s="23" t="n">
        <x:v>710.9957476030104</x:v>
      </x:c>
      <x:c r="F254" s="23" t="n">
        <x:v>350.1372819766402</x:v>
      </x:c>
      <x:c r="G254" s="23" t="n">
        <x:v>207.31834762962535</x:v>
      </x:c>
      <x:c r="H254" s="23" t="n">
        <x:v>19.581257190555334</x:v>
      </x:c>
      <x:c r="I254" s="23" t="n">
        <x:v>0.845104650745634</x:v>
      </x:c>
      <x:c r="J254" s="23" t="n">
        <x:v>9</x:v>
      </x:c>
      <x:c r="K254" s="23" t="n">
        <x:v>195.32517591405033</x:v>
      </x:c>
      <x:c r="L254" s="23" t="n">
        <x:v>60</x:v>
      </x:c>
      <x:c r="M254" s="23" t="n">
        <x:v>25</x:v>
      </x:c>
      <x:c r="N254" s="23" t="n">
        <x:v>1.2172341335634604</x:v>
      </x:c>
      <x:c r="O254" s="23" t="n">
        <x:v>52.17278328099136</x:v>
      </x:c>
      <x:c r="P254" s="23" t="n">
        <x:v>1485.6319311540574</x:v>
      </x:c>
      <x:c r="Q254" s="23" t="n">
        <x:v>1.2158163376480815</x:v>
      </x:c>
      <x:c r="R254" s="23" t="n">
        <x:v>51.969266778627436</x:v>
      </x:c>
      <x:c r="S254" s="23" t="n">
        <x:v>1502.8125398782863</x:v>
      </x:c>
      <x:c r="T254" s="23" t="n">
        <x:v>-0.0014177959153789388</x:v>
      </x:c>
      <x:c r="U254" s="23" t="n">
        <x:v>-0.20351650236392516</x:v>
      </x:c>
      <x:c r="V254" s="23" t="n">
        <x:v>17.180608724228932</x:v>
      </x:c>
    </x:row>
    <x:row r="255">
      <x:c r="A255" s="23" t="n">
        <x:v>254</x:v>
      </x:c>
      <x:c r="B255" s="23" t="str">
        <x:v>Train</x:v>
      </x:c>
      <x:c r="C255" s="23" t="str">
        <x:v>Lightning</x:v>
      </x:c>
      <x:c r="D255" s="23" t="n">
        <x:v>1380.7955730822869</x:v>
      </x:c>
      <x:c r="E255" s="23" t="n">
        <x:v>975.6782877026126</x:v>
      </x:c>
      <x:c r="F255" s="23" t="n">
        <x:v>384.0199221856892</x:v>
      </x:c>
      <x:c r="G255" s="23" t="n">
        <x:v>270.87707716971636</x:v>
      </x:c>
      <x:c r="H255" s="23" t="n">
        <x:v>27.87857654923573</x:v>
      </x:c>
      <x:c r="I255" s="23" t="n">
        <x:v>0.8498949018446729</x:v>
      </x:c>
      <x:c r="J255" s="23" t="n">
        <x:v>9</x:v>
      </x:c>
      <x:c r="K255" s="23" t="n">
        <x:v>180.51847353064338</x:v>
      </x:c>
      <x:c r="L255" s="23" t="n">
        <x:v>45</x:v>
      </x:c>
      <x:c r="M255" s="23" t="n">
        <x:v>25</x:v>
      </x:c>
      <x:c r="N255" s="23" t="n">
        <x:v>1.2382247518642002</x:v>
      </x:c>
      <x:c r="O255" s="23" t="n">
        <x:v>52.22924745163452</x:v>
      </x:c>
      <x:c r="P255" s="23" t="n">
        <x:v>1380.7955730822869</x:v>
      </x:c>
      <x:c r="Q255" s="23" t="n">
        <x:v>1.2412441505249328</x:v>
      </x:c>
      <x:c r="R255" s="23" t="n">
        <x:v>52.34943264287872</x:v>
      </x:c>
      <x:c r="S255" s="23" t="n">
        <x:v>1374.5373661254068</x:v>
      </x:c>
      <x:c r="T255" s="23" t="n">
        <x:v>0.0030193986607325307</x:v>
      </x:c>
      <x:c r="U255" s="23" t="n">
        <x:v>0.12018519124419669</x:v>
      </x:c>
      <x:c r="V255" s="23" t="n">
        <x:v>-6.258206956880031</x:v>
      </x:c>
    </x:row>
    <x:row r="256">
      <x:c r="A256" s="23" t="n">
        <x:v>255</x:v>
      </x:c>
      <x:c r="B256" s="23" t="str">
        <x:v>Validation</x:v>
      </x:c>
      <x:c r="C256" s="23" t="str">
        <x:v>Lightning</x:v>
      </x:c>
      <x:c r="D256" s="23" t="n">
        <x:v>1356.666861497797</x:v>
      </x:c>
      <x:c r="E256" s="23" t="n">
        <x:v>786.5275385905989</x:v>
      </x:c>
      <x:c r="F256" s="23" t="n">
        <x:v>506.68719932436943</x:v>
      </x:c>
      <x:c r="G256" s="23" t="n">
        <x:v>239.3016157275997</x:v>
      </x:c>
      <x:c r="H256" s="23" t="n">
        <x:v>15.1223658984527</x:v>
      </x:c>
      <x:c r="I256" s="23" t="n">
        <x:v>0.7941065098508262</x:v>
      </x:c>
      <x:c r="J256" s="23" t="n">
        <x:v>9</x:v>
      </x:c>
      <x:c r="K256" s="23" t="n">
        <x:v>189.82436300259135</x:v>
      </x:c>
      <x:c r="L256" s="23" t="n">
        <x:v>50</x:v>
      </x:c>
      <x:c r="M256" s="23" t="n">
        <x:v>25</x:v>
      </x:c>
      <x:c r="N256" s="23" t="n">
        <x:v>1.2198215163181012</x:v>
      </x:c>
      <x:c r="O256" s="23" t="n">
        <x:v>52.21395761244171</x:v>
      </x:c>
      <x:c r="P256" s="23" t="n">
        <x:v>1356.666861497797</x:v>
      </x:c>
      <x:c r="Q256" s="23" t="n">
        <x:v>1.2250958546975625</x:v>
      </x:c>
      <x:c r="R256" s="23" t="n">
        <x:v>52.079641241044115</x:v>
      </x:c>
      <x:c r="S256" s="23" t="n">
        <x:v>1369.5832826979142</x:v>
      </x:c>
      <x:c r="T256" s="23" t="n">
        <x:v>0.005274338379461341</x:v>
      </x:c>
      <x:c r="U256" s="23" t="n">
        <x:v>-0.13431637139759545</x:v>
      </x:c>
      <x:c r="V256" s="23" t="n">
        <x:v>12.916421200117156</x:v>
      </x:c>
    </x:row>
    <x:row r="257">
      <x:c r="A257" s="23" t="n">
        <x:v>256</x:v>
      </x:c>
      <x:c r="B257" s="23" t="str">
        <x:v>Validation</x:v>
      </x:c>
      <x:c r="C257" s="23" t="str">
        <x:v>Lightning</x:v>
      </x:c>
      <x:c r="D257" s="23" t="n">
        <x:v>1438.9322565752082</x:v>
      </x:c>
      <x:c r="E257" s="23" t="n">
        <x:v>1032.4061919003725</x:v>
      </x:c>
      <x:c r="F257" s="23" t="n">
        <x:v>485.3951691649854</x:v>
      </x:c>
      <x:c r="G257" s="23" t="n">
        <x:v>291.4884603070095</x:v>
      </x:c>
      <x:c r="H257" s="23" t="n">
        <x:v>20.180037604179233</x:v>
      </x:c>
      <x:c r="I257" s="23" t="n">
        <x:v>0.8354573376756161</x:v>
      </x:c>
      <x:c r="J257" s="23" t="n">
        <x:v>9</x:v>
      </x:c>
      <x:c r="K257" s="23" t="n">
        <x:v>191.36986968898594</x:v>
      </x:c>
      <x:c r="L257" s="23" t="n">
        <x:v>40</x:v>
      </x:c>
      <x:c r="M257" s="23" t="n">
        <x:v>25</x:v>
      </x:c>
      <x:c r="N257" s="23" t="n">
        <x:v>1.1990649834988722</x:v>
      </x:c>
      <x:c r="O257" s="23" t="n">
        <x:v>52.25711351539748</x:v>
      </x:c>
      <x:c r="P257" s="23" t="n">
        <x:v>1438.9322565752082</x:v>
      </x:c>
      <x:c r="Q257" s="23" t="n">
        <x:v>1.1910148827668086</x:v>
      </x:c>
      <x:c r="R257" s="23" t="n">
        <x:v>53.02405934218273</x:v>
      </x:c>
      <x:c r="S257" s="23" t="n">
        <x:v>1439.1936762255284</x:v>
      </x:c>
      <x:c r="T257" s="23" t="n">
        <x:v>-0.008050100732063692</x:v>
      </x:c>
      <x:c r="U257" s="23" t="n">
        <x:v>0.7669458267852534</x:v>
      </x:c>
      <x:c r="V257" s="23" t="n">
        <x:v>0.2614196503202493</x:v>
      </x:c>
    </x:row>
    <x:row r="258">
      <x:c r="A258" s="23" t="n">
        <x:v>257</x:v>
      </x:c>
      <x:c r="B258" s="23" t="str">
        <x:v>Validation</x:v>
      </x:c>
      <x:c r="C258" s="23" t="str">
        <x:v>Lightning</x:v>
      </x:c>
      <x:c r="D258" s="23" t="n">
        <x:v>1439.603982400149</x:v>
      </x:c>
      <x:c r="E258" s="23" t="n">
        <x:v>1051.5974845155142</x:v>
      </x:c>
      <x:c r="F258" s="23" t="n">
        <x:v>569.2968422546983</x:v>
      </x:c>
      <x:c r="G258" s="23" t="n">
        <x:v>311.7382442415692</x:v>
      </x:c>
      <x:c r="H258" s="23" t="n">
        <x:v>22.08116082288325</x:v>
      </x:c>
      <x:c r="I258" s="23" t="n">
        <x:v>0.7944933799956926</x:v>
      </x:c>
      <x:c r="J258" s="23" t="n">
        <x:v>10</x:v>
      </x:c>
      <x:c r="K258" s="23" t="n">
        <x:v>181.19773161709088</x:v>
      </x:c>
      <x:c r="L258" s="23" t="n">
        <x:v>35</x:v>
      </x:c>
      <x:c r="M258" s="23" t="n">
        <x:v>25</x:v>
      </x:c>
      <x:c r="N258" s="23" t="n">
        <x:v>1.2544277413636062</x:v>
      </x:c>
      <x:c r="O258" s="23" t="n">
        <x:v>52.309828592927786</x:v>
      </x:c>
      <x:c r="P258" s="23" t="n">
        <x:v>1439.603982400149</x:v>
      </x:c>
      <x:c r="Q258" s="23" t="n">
        <x:v>1.2717637632270582</x:v>
      </x:c>
      <x:c r="R258" s="23" t="n">
        <x:v>53.472097868005854</x:v>
      </x:c>
      <x:c r="S258" s="23" t="n">
        <x:v>1422.372260236149</x:v>
      </x:c>
      <x:c r="T258" s="23" t="n">
        <x:v>0.017336021863451956</x:v>
      </x:c>
      <x:c r="U258" s="23" t="n">
        <x:v>1.1622692750780672</x:v>
      </x:c>
      <x:c r="V258" s="23" t="n">
        <x:v>-17.231722164000075</x:v>
      </x:c>
    </x:row>
    <x:row r="259">
      <x:c r="A259" s="23" t="n">
        <x:v>258</x:v>
      </x:c>
      <x:c r="B259" s="23" t="str">
        <x:v>Hidden Test</x:v>
      </x:c>
      <x:c r="C259" s="23" t="str">
        <x:v>Lightning</x:v>
      </x:c>
      <x:c r="D259" s="23" t="n">
        <x:v>1427.0349477999844</x:v>
      </x:c>
      <x:c r="E259" s="23" t="n">
        <x:v>738.2201812462881</x:v>
      </x:c>
      <x:c r="F259" s="23" t="n">
        <x:v>565.774252358824</x:v>
      </x:c>
      <x:c r="G259" s="23" t="n">
        <x:v>162.3967254254967</x:v>
      </x:c>
      <x:c r="H259" s="23" t="n">
        <x:v>27.219716392923146</x:v>
      </x:c>
      <x:c r="I259" s="23" t="n">
        <x:v>0.8142531730094925</x:v>
      </x:c>
      <x:c r="J259" s="23" t="n">
        <x:v>9</x:v>
      </x:c>
      <x:c r="K259" s="23" t="n">
        <x:v>194.72989961881822</x:v>
      </x:c>
      <x:c r="L259" s="23" t="n">
        <x:v>50</x:v>
      </x:c>
      <x:c r="M259" s="23" t="n">
        <x:v>25</x:v>
      </x:c>
      <x:c r="N259" s="23" t="n">
        <x:v>1.221754517501368</x:v>
      </x:c>
      <x:c r="O259" s="23" t="n">
        <x:v>52.20364704147184</x:v>
      </x:c>
      <x:c r="P259" s="23" t="n">
        <x:v>1427.0349477999844</x:v>
      </x:c>
      <x:c r="Q259" s="23" t="n">
        <x:v>1.2175697104955494</x:v>
      </x:c>
      <x:c r="R259" s="23" t="n">
        <x:v>51.423944356142194</x:v>
      </x:c>
      <x:c r="S259" s="23" t="n">
        <x:v>1421.5268611469203</x:v>
      </x:c>
      <x:c r="T259" s="23" t="n">
        <x:v>-0.0041848070058185804</x:v>
      </x:c>
      <x:c r="U259" s="23" t="n">
        <x:v>-0.7797026853296458</x:v>
      </x:c>
      <x:c r="V259" s="23" t="n">
        <x:v>-5.508086653064083</x:v>
      </x:c>
    </x:row>
    <x:row r="260">
      <x:c r="A260" s="23" t="n">
        <x:v>259</x:v>
      </x:c>
      <x:c r="B260" s="23" t="str">
        <x:v>Hidden Test</x:v>
      </x:c>
      <x:c r="C260" s="23" t="str">
        <x:v>Lightning</x:v>
      </x:c>
      <x:c r="D260" s="23" t="n">
        <x:v>1390.711811534129</x:v>
      </x:c>
      <x:c r="E260" s="23" t="n">
        <x:v>875.1841826015152</x:v>
      </x:c>
      <x:c r="F260" s="23" t="n">
        <x:v>353.07013504207134</x:v>
      </x:c>
      <x:c r="G260" s="23" t="n">
        <x:v>86.84880808694288</x:v>
      </x:c>
      <x:c r="H260" s="23" t="n">
        <x:v>14.274216239340603</x:v>
      </x:c>
      <x:c r="I260" s="23" t="n">
        <x:v>0.8503886303375475</x:v>
      </x:c>
      <x:c r="J260" s="23" t="n">
        <x:v>9</x:v>
      </x:c>
      <x:c r="K260" s="23" t="n">
        <x:v>181.70931395633514</x:v>
      </x:c>
      <x:c r="L260" s="23" t="n">
        <x:v>60</x:v>
      </x:c>
      <x:c r="M260" s="23" t="n">
        <x:v>25</x:v>
      </x:c>
      <x:c r="N260" s="23" t="n">
        <x:v>1.2399131657615372</x:v>
      </x:c>
      <x:c r="O260" s="23" t="n">
        <x:v>52.18005745487953</x:v>
      </x:c>
      <x:c r="P260" s="23" t="n">
        <x:v>1390.711811534129</x:v>
      </x:c>
      <x:c r="Q260" s="23" t="n">
        <x:v>1.2286960369802113</x:v>
      </x:c>
      <x:c r="R260" s="23" t="n">
        <x:v>52.124839581020666</x:v>
      </x:c>
      <x:c r="S260" s="23" t="n">
        <x:v>1408.2203991571357</x:v>
      </x:c>
      <x:c r="T260" s="23" t="n">
        <x:v>-0.011217128781325858</x:v>
      </x:c>
      <x:c r="U260" s="23" t="n">
        <x:v>-0.05521787385886512</x:v>
      </x:c>
      <x:c r="V260" s="23" t="n">
        <x:v>17.508587623006633</x:v>
      </x:c>
    </x:row>
    <x:row r="261">
      <x:c r="A261" s="23" t="n">
        <x:v>260</x:v>
      </x:c>
      <x:c r="B261" s="23" t="str">
        <x:v>Hidden Test</x:v>
      </x:c>
      <x:c r="C261" s="23" t="str">
        <x:v>Lightning</x:v>
      </x:c>
      <x:c r="D261" s="23" t="n">
        <x:v>1465.3165578260086</x:v>
      </x:c>
      <x:c r="E261" s="23" t="n">
        <x:v>1158.24397620745</x:v>
      </x:c>
      <x:c r="F261" s="23" t="n">
        <x:v>631.8097773008049</x:v>
      </x:c>
      <x:c r="G261" s="23" t="n">
        <x:v>276.2430070852861</x:v>
      </x:c>
      <x:c r="H261" s="23" t="n">
        <x:v>25.63393535418436</x:v>
      </x:c>
      <x:c r="I261" s="23" t="n">
        <x:v>0.8454874699376524</x:v>
      </x:c>
      <x:c r="J261" s="23" t="n">
        <x:v>9</x:v>
      </x:c>
      <x:c r="K261" s="23" t="n">
        <x:v>192.5669588948049</x:v>
      </x:c>
      <x:c r="L261" s="23" t="n">
        <x:v>35</x:v>
      </x:c>
      <x:c r="M261" s="23" t="n">
        <x:v>25</x:v>
      </x:c>
      <x:c r="N261" s="23" t="n">
        <x:v>1.2453180011329756</x:v>
      </x:c>
      <x:c r="O261" s="23" t="n">
        <x:v>52.297187322395544</x:v>
      </x:c>
      <x:c r="P261" s="23" t="n">
        <x:v>1465.3165578260086</x:v>
      </x:c>
      <x:c r="Q261" s="23" t="n">
        <x:v>1.258381588154893</x:v>
      </x:c>
      <x:c r="R261" s="23" t="n">
        <x:v>52.31182342833344</x:v>
      </x:c>
      <x:c r="S261" s="23" t="n">
        <x:v>1451.7215789873264</x:v>
      </x:c>
      <x:c r="T261" s="23" t="n">
        <x:v>0.013063587021917344</x:v>
      </x:c>
      <x:c r="U261" s="23" t="n">
        <x:v>0.014636105937896104</x:v>
      </x:c>
      <x:c r="V261" s="23" t="n">
        <x:v>-13.59497883868221</x:v>
      </x:c>
    </x:row>
    <x:row r="262">
      <x:c r="A262" s="23" t="n">
        <x:v>261</x:v>
      </x:c>
      <x:c r="B262" s="23" t="str">
        <x:v>Train</x:v>
      </x:c>
      <x:c r="C262" s="23" t="str">
        <x:v>Lightning</x:v>
      </x:c>
      <x:c r="D262" s="23" t="n">
        <x:v>1439.5788619760424</x:v>
      </x:c>
      <x:c r="E262" s="23" t="n">
        <x:v>1209.443760837894</x:v>
      </x:c>
      <x:c r="F262" s="23" t="n">
        <x:v>552.7402324602008</x:v>
      </x:c>
      <x:c r="G262" s="23" t="n">
        <x:v>254.91437803255394</x:v>
      </x:c>
      <x:c r="H262" s="23" t="n">
        <x:v>22.441823445260525</x:v>
      </x:c>
      <x:c r="I262" s="23" t="n">
        <x:v>0.8516118289739826</x:v>
      </x:c>
      <x:c r="J262" s="23" t="n">
        <x:v>9</x:v>
      </x:c>
      <x:c r="K262" s="23" t="n">
        <x:v>187.8240783467483</x:v>
      </x:c>
      <x:c r="L262" s="23" t="n">
        <x:v>35</x:v>
      </x:c>
      <x:c r="M262" s="23" t="n">
        <x:v>25</x:v>
      </x:c>
      <x:c r="N262" s="23" t="n">
        <x:v>1.2006403023660173</x:v>
      </x:c>
      <x:c r="O262" s="23" t="n">
        <x:v>52.289516063549726</x:v>
      </x:c>
      <x:c r="P262" s="23" t="n">
        <x:v>1439.5788619760424</x:v>
      </x:c>
      <x:c r="Q262" s="23" t="n">
        <x:v>1.2072823974973892</x:v>
      </x:c>
      <x:c r="R262" s="23" t="n">
        <x:v>52.50700856549825</x:v>
      </x:c>
      <x:c r="S262" s="23" t="n">
        <x:v>1422.59765670916</x:v>
      </x:c>
      <x:c r="T262" s="23" t="n">
        <x:v>0.006642095131371928</x:v>
      </x:c>
      <x:c r="U262" s="23" t="n">
        <x:v>0.2174925019485272</x:v>
      </x:c>
      <x:c r="V262" s="23" t="n">
        <x:v>-16.981205266882398</x:v>
      </x:c>
    </x:row>
    <x:row r="263">
      <x:c r="A263" s="23" t="n">
        <x:v>262</x:v>
      </x:c>
      <x:c r="B263" s="23" t="str">
        <x:v>Train</x:v>
      </x:c>
      <x:c r="C263" s="23" t="str">
        <x:v>Lightning</x:v>
      </x:c>
      <x:c r="D263" s="23" t="n">
        <x:v>1489.0895589371212</x:v>
      </x:c>
      <x:c r="E263" s="23" t="n">
        <x:v>1178.5000327741727</x:v>
      </x:c>
      <x:c r="F263" s="23" t="n">
        <x:v>577.9985305853188</x:v>
      </x:c>
      <x:c r="G263" s="23" t="n">
        <x:v>172.84357307478786</x:v>
      </x:c>
      <x:c r="H263" s="23" t="n">
        <x:v>8.65905879298225</x:v>
      </x:c>
      <x:c r="I263" s="23" t="n">
        <x:v>0.8441891769459472</x:v>
      </x:c>
      <x:c r="J263" s="23" t="n">
        <x:v>9</x:v>
      </x:c>
      <x:c r="K263" s="23" t="n">
        <x:v>195.99208323900584</x:v>
      </x:c>
      <x:c r="L263" s="23" t="n">
        <x:v>40</x:v>
      </x:c>
      <x:c r="M263" s="23" t="n">
        <x:v>25</x:v>
      </x:c>
      <x:c r="N263" s="23" t="n">
        <x:v>1.2090888959129253</x:v>
      </x:c>
      <x:c r="O263" s="23" t="n">
        <x:v>52.27583267262351</x:v>
      </x:c>
      <x:c r="P263" s="23" t="n">
        <x:v>1489.0895589371212</x:v>
      </x:c>
      <x:c r="Q263" s="23" t="n">
        <x:v>1.2305350501292476</x:v>
      </x:c>
      <x:c r="R263" s="23" t="n">
        <x:v>52.40324047228369</x:v>
      </x:c>
      <x:c r="S263" s="23" t="n">
        <x:v>1485.7529426862488</x:v>
      </x:c>
      <x:c r="T263" s="23" t="n">
        <x:v>0.021446154216322233</x:v>
      </x:c>
      <x:c r="U263" s="23" t="n">
        <x:v>0.12740779966018323</x:v>
      </x:c>
      <x:c r="V263" s="23" t="n">
        <x:v>-3.336616250872339</x:v>
      </x:c>
    </x:row>
    <x:row r="264">
      <x:c r="A264" s="23" t="n">
        <x:v>263</x:v>
      </x:c>
      <x:c r="B264" s="23" t="str">
        <x:v>Train</x:v>
      </x:c>
      <x:c r="C264" s="23" t="str">
        <x:v>Lightning</x:v>
      </x:c>
      <x:c r="D264" s="23" t="n">
        <x:v>1357.8181519405916</x:v>
      </x:c>
      <x:c r="E264" s="23" t="n">
        <x:v>1227.3328065988608</x:v>
      </x:c>
      <x:c r="F264" s="23" t="n">
        <x:v>715.1373237371445</x:v>
      </x:c>
      <x:c r="G264" s="23" t="n">
        <x:v>266.38797471066937</x:v>
      </x:c>
      <x:c r="H264" s="23" t="n">
        <x:v>8.230759772472084</x:v>
      </x:c>
      <x:c r="I264" s="23" t="n">
        <x:v>0.8301029029465281</x:v>
      </x:c>
      <x:c r="J264" s="23" t="n">
        <x:v>9</x:v>
      </x:c>
      <x:c r="K264" s="23" t="n">
        <x:v>181.7469653622847</x:v>
      </x:c>
      <x:c r="L264" s="23" t="n">
        <x:v>35</x:v>
      </x:c>
      <x:c r="M264" s="23" t="n">
        <x:v>25</x:v>
      </x:c>
      <x:c r="N264" s="23" t="n">
        <x:v>1.2152914804106967</x:v>
      </x:c>
      <x:c r="O264" s="23" t="n">
        <x:v>52.319416200029394</x:v>
      </x:c>
      <x:c r="P264" s="23" t="n">
        <x:v>1357.8181519405916</x:v>
      </x:c>
      <x:c r="Q264" s="23" t="n">
        <x:v>1.2288144555180938</x:v>
      </x:c>
      <x:c r="R264" s="23" t="n">
        <x:v>52.339124495192245</x:v>
      </x:c>
      <x:c r="S264" s="23" t="n">
        <x:v>1350.542922935311</x:v>
      </x:c>
      <x:c r="T264" s="23" t="n">
        <x:v>0.013522975107397084</x:v>
      </x:c>
      <x:c r="U264" s="23" t="n">
        <x:v>0.01970829516285022</x:v>
      </x:c>
      <x:c r="V264" s="23" t="n">
        <x:v>-7.2752290052806075</x:v>
      </x:c>
    </x:row>
    <x:row r="265">
      <x:c r="A265" s="23" t="n">
        <x:v>264</x:v>
      </x:c>
      <x:c r="B265" s="23" t="str">
        <x:v>Train</x:v>
      </x:c>
      <x:c r="C265" s="23" t="str">
        <x:v>Lightning</x:v>
      </x:c>
      <x:c r="D265" s="23" t="n">
        <x:v>1386.7213641176932</x:v>
      </x:c>
      <x:c r="E265" s="23" t="n">
        <x:v>660.745529551059</x:v>
      </x:c>
      <x:c r="F265" s="23" t="n">
        <x:v>692.1662515960634</x:v>
      </x:c>
      <x:c r="G265" s="23" t="n">
        <x:v>313.97820407990366</x:v>
      </x:c>
      <x:c r="H265" s="23" t="n">
        <x:v>19.366352347191423</x:v>
      </x:c>
      <x:c r="I265" s="23" t="n">
        <x:v>0.7926542861107737</x:v>
      </x:c>
      <x:c r="J265" s="23" t="n">
        <x:v>9</x:v>
      </x:c>
      <x:c r="K265" s="23" t="n">
        <x:v>194.38506076165947</x:v>
      </x:c>
      <x:c r="L265" s="23" t="n">
        <x:v>45</x:v>
      </x:c>
      <x:c r="M265" s="23" t="n">
        <x:v>25</x:v>
      </x:c>
      <x:c r="N265" s="23" t="n">
        <x:v>1.2231550784868976</x:v>
      </x:c>
      <x:c r="O265" s="23" t="n">
        <x:v>52.23490982094652</x:v>
      </x:c>
      <x:c r="P265" s="23" t="n">
        <x:v>1386.7213641176932</x:v>
      </x:c>
      <x:c r="Q265" s="23" t="n">
        <x:v>1.2197513376662907</x:v>
      </x:c>
      <x:c r="R265" s="23" t="n">
        <x:v>51.9782794707301</x:v>
      </x:c>
      <x:c r="S265" s="23" t="n">
        <x:v>1384.0883869944614</x:v>
      </x:c>
      <x:c r="T265" s="23" t="n">
        <x:v>-0.003403740820606904</x:v>
      </x:c>
      <x:c r="U265" s="23" t="n">
        <x:v>-0.2566303502164189</x:v>
      </x:c>
      <x:c r="V265" s="23" t="n">
        <x:v>-2.63297712323174</x:v>
      </x:c>
    </x:row>
    <x:row r="266">
      <x:c r="A266" s="23" t="n">
        <x:v>265</x:v>
      </x:c>
      <x:c r="B266" s="23" t="str">
        <x:v>Train</x:v>
      </x:c>
      <x:c r="C266" s="23" t="str">
        <x:v>Lightning</x:v>
      </x:c>
      <x:c r="D266" s="23" t="n">
        <x:v>1403.106644935906</x:v>
      </x:c>
      <x:c r="E266" s="23" t="n">
        <x:v>1135.4792505851947</x:v>
      </x:c>
      <x:c r="F266" s="23" t="n">
        <x:v>598.0150790885091</x:v>
      </x:c>
      <x:c r="G266" s="23" t="n">
        <x:v>201.2168685742654</x:v>
      </x:c>
      <x:c r="H266" s="23" t="n">
        <x:v>13.911890363320708</x:v>
      </x:c>
      <x:c r="I266" s="23" t="n">
        <x:v>0.8043197784689256</x:v>
      </x:c>
      <x:c r="J266" s="23" t="n">
        <x:v>9</x:v>
      </x:c>
      <x:c r="K266" s="23" t="n">
        <x:v>193.8292983705795</x:v>
      </x:c>
      <x:c r="L266" s="23" t="n">
        <x:v>40</x:v>
      </x:c>
      <x:c r="M266" s="23" t="n">
        <x:v>25</x:v>
      </x:c>
      <x:c r="N266" s="23" t="n">
        <x:v>1.2411992837007317</x:v>
      </x:c>
      <x:c r="O266" s="23" t="n">
        <x:v>52.27666984358682</x:v>
      </x:c>
      <x:c r="P266" s="23" t="n">
        <x:v>1403.106644935906</x:v>
      </x:c>
      <x:c r="Q266" s="23" t="n">
        <x:v>1.2467399942731312</x:v>
      </x:c>
      <x:c r="R266" s="23" t="n">
        <x:v>52.83794063316826</x:v>
      </x:c>
      <x:c r="S266" s="23" t="n">
        <x:v>1407.038441963428</x:v>
      </x:c>
      <x:c r="T266" s="23" t="n">
        <x:v>0.005540710572399465</x:v>
      </x:c>
      <x:c r="U266" s="23" t="n">
        <x:v>0.5612707895814424</x:v>
      </x:c>
      <x:c r="V266" s="23" t="n">
        <x:v>3.9317970275221796</x:v>
      </x:c>
    </x:row>
    <x:row r="267">
      <x:c r="A267" s="23" t="n">
        <x:v>266</x:v>
      </x:c>
      <x:c r="B267" s="23" t="str">
        <x:v>Train</x:v>
      </x:c>
      <x:c r="C267" s="23" t="str">
        <x:v>Lightning</x:v>
      </x:c>
      <x:c r="D267" s="23" t="n">
        <x:v>1364.4779816851951</x:v>
      </x:c>
      <x:c r="E267" s="23" t="n">
        <x:v>1240.7905631000176</x:v>
      </x:c>
      <x:c r="F267" s="23" t="n">
        <x:v>605.6850702501833</x:v>
      </x:c>
      <x:c r="G267" s="23" t="n">
        <x:v>258.7408597301692</x:v>
      </x:c>
      <x:c r="H267" s="23" t="n">
        <x:v>24.593223069328815</x:v>
      </x:c>
      <x:c r="I267" s="23" t="n">
        <x:v>0.8085276316525415</x:v>
      </x:c>
      <x:c r="J267" s="23" t="n">
        <x:v>9</x:v>
      </x:c>
      <x:c r="K267" s="23" t="n">
        <x:v>187.51203879305513</x:v>
      </x:c>
      <x:c r="L267" s="23" t="n">
        <x:v>35</x:v>
      </x:c>
      <x:c r="M267" s="23" t="n">
        <x:v>25</x:v>
      </x:c>
      <x:c r="N267" s="23" t="n">
        <x:v>1.2599306611354772</x:v>
      </x:c>
      <x:c r="O267" s="23" t="n">
        <x:v>52.30325588168355</x:v>
      </x:c>
      <x:c r="P267" s="23" t="n">
        <x:v>1364.4779816851951</x:v>
      </x:c>
      <x:c r="Q267" s="23" t="n">
        <x:v>1.2652919075290432</x:v>
      </x:c>
      <x:c r="R267" s="23" t="n">
        <x:v>54.13001544175491</x:v>
      </x:c>
      <x:c r="S267" s="23" t="n">
        <x:v>1344.9659090628827</x:v>
      </x:c>
      <x:c r="T267" s="23" t="n">
        <x:v>0.005361246393565944</x:v>
      </x:c>
      <x:c r="U267" s="23" t="n">
        <x:v>1.826759560071359</x:v>
      </x:c>
      <x:c r="V267" s="23" t="n">
        <x:v>-19.512072622312417</x:v>
      </x:c>
    </x:row>
    <x:row r="268">
      <x:c r="A268" s="23" t="n">
        <x:v>267</x:v>
      </x:c>
      <x:c r="B268" s="23" t="str">
        <x:v>Train</x:v>
      </x:c>
      <x:c r="C268" s="23" t="str">
        <x:v>Lightning</x:v>
      </x:c>
      <x:c r="D268" s="23" t="n">
        <x:v>1367.435352760367</x:v>
      </x:c>
      <x:c r="E268" s="23" t="n">
        <x:v>885.8424658537842</x:v>
      </x:c>
      <x:c r="F268" s="23" t="n">
        <x:v>678.5658169537783</x:v>
      </x:c>
      <x:c r="G268" s="23" t="n">
        <x:v>149.30761056719348</x:v>
      </x:c>
      <x:c r="H268" s="23" t="n">
        <x:v>13.235678882338107</x:v>
      </x:c>
      <x:c r="I268" s="23" t="n">
        <x:v>0.8523162884893828</x:v>
      </x:c>
      <x:c r="J268" s="23" t="n">
        <x:v>9</x:v>
      </x:c>
      <x:c r="K268" s="23" t="n">
        <x:v>178.26394200104653</x:v>
      </x:c>
      <x:c r="L268" s="23" t="n">
        <x:v>45</x:v>
      </x:c>
      <x:c r="M268" s="23" t="n">
        <x:v>25</x:v>
      </x:c>
      <x:c r="N268" s="23" t="n">
        <x:v>1.2253951325266963</x:v>
      </x:c>
      <x:c r="O268" s="23" t="n">
        <x:v>52.24221115067446</x:v>
      </x:c>
      <x:c r="P268" s="23" t="n">
        <x:v>1367.435352760367</x:v>
      </x:c>
      <x:c r="Q268" s="23" t="n">
        <x:v>1.2408460354631852</x:v>
      </x:c>
      <x:c r="R268" s="23" t="n">
        <x:v>52.76840188710792</x:v>
      </x:c>
      <x:c r="S268" s="23" t="n">
        <x:v>1369.317096103789</x:v>
      </x:c>
      <x:c r="T268" s="23" t="n">
        <x:v>0.015450902936488875</x:v>
      </x:c>
      <x:c r="U268" s="23" t="n">
        <x:v>0.5261907364334633</x:v>
      </x:c>
      <x:c r="V268" s="23" t="n">
        <x:v>1.881743343421931</x:v>
      </x:c>
    </x:row>
    <x:row r="269">
      <x:c r="A269" s="23" t="n">
        <x:v>268</x:v>
      </x:c>
      <x:c r="B269" s="23" t="str">
        <x:v>Train</x:v>
      </x:c>
      <x:c r="C269" s="23" t="str">
        <x:v>Lightning</x:v>
      </x:c>
      <x:c r="D269" s="23" t="n">
        <x:v>1379.0701540536247</x:v>
      </x:c>
      <x:c r="E269" s="23" t="n">
        <x:v>1178.8739909883589</x:v>
      </x:c>
      <x:c r="F269" s="23" t="n">
        <x:v>432.0271263830364</x:v>
      </x:c>
      <x:c r="G269" s="23" t="n">
        <x:v>265.6061954749748</x:v>
      </x:c>
      <x:c r="H269" s="23" t="n">
        <x:v>26.61551785795018</x:v>
      </x:c>
      <x:c r="I269" s="23" t="n">
        <x:v>0.828359999768436</x:v>
      </x:c>
      <x:c r="J269" s="23" t="n">
        <x:v>9</x:v>
      </x:c>
      <x:c r="K269" s="23" t="n">
        <x:v>184.97998111920435</x:v>
      </x:c>
      <x:c r="L269" s="23" t="n">
        <x:v>35</x:v>
      </x:c>
      <x:c r="M269" s="23" t="n">
        <x:v>25</x:v>
      </x:c>
      <x:c r="N269" s="23" t="n">
        <x:v>1.1500705866983727</x:v>
      </x:c>
      <x:c r="O269" s="23" t="n">
        <x:v>52.26759440275556</x:v>
      </x:c>
      <x:c r="P269" s="23" t="n">
        <x:v>1379.0701540536247</x:v>
      </x:c>
      <x:c r="Q269" s="23" t="n">
        <x:v>1.1618245658162922</x:v>
      </x:c>
      <x:c r="R269" s="23" t="n">
        <x:v>52.60208605568166</x:v>
      </x:c>
      <x:c r="S269" s="23" t="n">
        <x:v>1355.9027367061067</x:v>
      </x:c>
      <x:c r="T269" s="23" t="n">
        <x:v>0.011753979117919533</x:v>
      </x:c>
      <x:c r="U269" s="23" t="n">
        <x:v>0.33449165292609706</x:v>
      </x:c>
      <x:c r="V269" s="23" t="n">
        <x:v>-23.16741734751804</x:v>
      </x:c>
    </x:row>
    <x:row r="270">
      <x:c r="A270" s="23" t="n">
        <x:v>269</x:v>
      </x:c>
      <x:c r="B270" s="23" t="str">
        <x:v>Train</x:v>
      </x:c>
      <x:c r="C270" s="23" t="str">
        <x:v>Lightning</x:v>
      </x:c>
      <x:c r="D270" s="23" t="n">
        <x:v>1429.4907556381077</x:v>
      </x:c>
      <x:c r="E270" s="23" t="n">
        <x:v>1186.9011073256843</x:v>
      </x:c>
      <x:c r="F270" s="23" t="n">
        <x:v>392.53259506076574</x:v>
      </x:c>
      <x:c r="G270" s="23" t="n">
        <x:v>243.887943897862</x:v>
      </x:c>
      <x:c r="H270" s="23" t="n">
        <x:v>20.217355210334063</x:v>
      </x:c>
      <x:c r="I270" s="23" t="n">
        <x:v>0.7975567440711894</x:v>
      </x:c>
      <x:c r="J270" s="23" t="n">
        <x:v>9</x:v>
      </x:c>
      <x:c r="K270" s="23" t="n">
        <x:v>199.14859646379554</x:v>
      </x:c>
      <x:c r="L270" s="23" t="n">
        <x:v>40</x:v>
      </x:c>
      <x:c r="M270" s="23" t="n">
        <x:v>25</x:v>
      </x:c>
      <x:c r="N270" s="23" t="n">
        <x:v>1.207737130268382</x:v>
      </x:c>
      <x:c r="O270" s="23" t="n">
        <x:v>52.259301427696876</x:v>
      </x:c>
      <x:c r="P270" s="23" t="n">
        <x:v>1429.4907556381077</x:v>
      </x:c>
      <x:c r="Q270" s="23" t="n">
        <x:v>1.212275728570669</x:v>
      </x:c>
      <x:c r="R270" s="23" t="n">
        <x:v>52.45272732267175</x:v>
      </x:c>
      <x:c r="S270" s="23" t="n">
        <x:v>1420.9762664200807</x:v>
      </x:c>
      <x:c r="T270" s="23" t="n">
        <x:v>0.004538598302286978</x:v>
      </x:c>
      <x:c r="U270" s="23" t="n">
        <x:v>0.1934258949748724</x:v>
      </x:c>
      <x:c r="V270" s="23" t="n">
        <x:v>-8.514489218026938</x:v>
      </x:c>
    </x:row>
    <x:row r="271">
      <x:c r="A271" s="23" t="n">
        <x:v>270</x:v>
      </x:c>
      <x:c r="B271" s="23" t="str">
        <x:v>Train</x:v>
      </x:c>
      <x:c r="C271" s="23" t="str">
        <x:v>Lightning</x:v>
      </x:c>
      <x:c r="D271" s="23" t="n">
        <x:v>1431.9876739871688</x:v>
      </x:c>
      <x:c r="E271" s="23" t="n">
        <x:v>1113.2993151200935</x:v>
      </x:c>
      <x:c r="F271" s="23" t="n">
        <x:v>378.27351139858365</x:v>
      </x:c>
      <x:c r="G271" s="23" t="n">
        <x:v>118.11744786798954</x:v>
      </x:c>
      <x:c r="H271" s="23" t="n">
        <x:v>8.345792348030955</x:v>
      </x:c>
      <x:c r="I271" s="23" t="n">
        <x:v>0.8574596415413545</x:v>
      </x:c>
      <x:c r="J271" s="23" t="n">
        <x:v>9</x:v>
      </x:c>
      <x:c r="K271" s="23" t="n">
        <x:v>185.55945241704552</x:v>
      </x:c>
      <x:c r="L271" s="23" t="n">
        <x:v>50</x:v>
      </x:c>
      <x:c r="M271" s="23" t="n">
        <x:v>25</x:v>
      </x:c>
      <x:c r="N271" s="23" t="n">
        <x:v>1.2477969837656737</x:v>
      </x:c>
      <x:c r="O271" s="23" t="n">
        <x:v>52.22599095603374</x:v>
      </x:c>
      <x:c r="P271" s="23" t="n">
        <x:v>1431.9876739871688</x:v>
      </x:c>
      <x:c r="Q271" s="23" t="n">
        <x:v>1.2472927403552931</x:v>
      </x:c>
      <x:c r="R271" s="23" t="n">
        <x:v>52.4491108722277</x:v>
      </x:c>
      <x:c r="S271" s="23" t="n">
        <x:v>1431.5919501053427</x:v>
      </x:c>
      <x:c r="T271" s="23" t="n">
        <x:v>-0.0005042434103805782</x:v>
      </x:c>
      <x:c r="U271" s="23" t="n">
        <x:v>0.22311991619395855</x:v>
      </x:c>
      <x:c r="V271" s="23" t="n">
        <x:v>-0.39572388182614304</x:v>
      </x:c>
    </x:row>
    <x:row r="272">
      <x:c r="A272" s="23" t="n">
        <x:v>271</x:v>
      </x:c>
      <x:c r="B272" s="23" t="str">
        <x:v>Train</x:v>
      </x:c>
      <x:c r="C272" s="23" t="str">
        <x:v>Lightning</x:v>
      </x:c>
      <x:c r="D272" s="23" t="n">
        <x:v>1439.5549906650558</x:v>
      </x:c>
      <x:c r="E272" s="23" t="n">
        <x:v>627.0701077883132</x:v>
      </x:c>
      <x:c r="F272" s="23" t="n">
        <x:v>580.5295534431934</x:v>
      </x:c>
      <x:c r="G272" s="23" t="n">
        <x:v>267.1076379320584</x:v>
      </x:c>
      <x:c r="H272" s="23" t="n">
        <x:v>21.204035042785108</x:v>
      </x:c>
      <x:c r="I272" s="23" t="n">
        <x:v>0.8269825504510664</x:v>
      </x:c>
      <x:c r="J272" s="23" t="n">
        <x:v>9</x:v>
      </x:c>
      <x:c r="K272" s="23" t="n">
        <x:v>193.41466688879552</x:v>
      </x:c>
      <x:c r="L272" s="23" t="n">
        <x:v>50</x:v>
      </x:c>
      <x:c r="M272" s="23" t="n">
        <x:v>25</x:v>
      </x:c>
      <x:c r="N272" s="23" t="n">
        <x:v>1.2025897049327277</x:v>
      </x:c>
      <x:c r="O272" s="23" t="n">
        <x:v>52.204943735622074</x:v>
      </x:c>
      <x:c r="P272" s="23" t="n">
        <x:v>1439.5549906650558</x:v>
      </x:c>
      <x:c r="Q272" s="23" t="n">
        <x:v>1.2011481759980605</x:v>
      </x:c>
      <x:c r="R272" s="23" t="n">
        <x:v>50.68731545130807</x:v>
      </x:c>
      <x:c r="S272" s="23" t="n">
        <x:v>1445.169845116486</x:v>
      </x:c>
      <x:c r="T272" s="23" t="n">
        <x:v>-0.0014415289346672022</x:v>
      </x:c>
      <x:c r="U272" s="23" t="n">
        <x:v>-1.517628284314</x:v>
      </x:c>
      <x:c r="V272" s="23" t="n">
        <x:v>5.614854451430119</x:v>
      </x:c>
    </x:row>
    <x:row r="273">
      <x:c r="A273" s="23" t="n">
        <x:v>272</x:v>
      </x:c>
      <x:c r="B273" s="23" t="str">
        <x:v>Train</x:v>
      </x:c>
      <x:c r="C273" s="23" t="str">
        <x:v>Lightning</x:v>
      </x:c>
      <x:c r="D273" s="23" t="n">
        <x:v>1356.963431078475</x:v>
      </x:c>
      <x:c r="E273" s="23" t="n">
        <x:v>775.6130760535598</x:v>
      </x:c>
      <x:c r="F273" s="23" t="n">
        <x:v>570.8382978104055</x:v>
      </x:c>
      <x:c r="G273" s="23" t="n">
        <x:v>181.30628396291286</x:v>
      </x:c>
      <x:c r="H273" s="23" t="n">
        <x:v>21.31707174470648</x:v>
      </x:c>
      <x:c r="I273" s="23" t="n">
        <x:v>0.853761577596888</x:v>
      </x:c>
      <x:c r="J273" s="23" t="n">
        <x:v>8</x:v>
      </x:c>
      <x:c r="K273" s="23" t="n">
        <x:v>198.67423568327567</x:v>
      </x:c>
      <x:c r="L273" s="23" t="n">
        <x:v>55</x:v>
      </x:c>
      <x:c r="M273" s="23" t="n">
        <x:v>25</x:v>
      </x:c>
      <x:c r="N273" s="23" t="n">
        <x:v>1.2195450001591728</x:v>
      </x:c>
      <x:c r="O273" s="23" t="n">
        <x:v>52.1867472113748</x:v>
      </x:c>
      <x:c r="P273" s="23" t="n">
        <x:v>1356.963431078475</x:v>
      </x:c>
      <x:c r="Q273" s="23" t="n">
        <x:v>1.2086790095050217</x:v>
      </x:c>
      <x:c r="R273" s="23" t="n">
        <x:v>51.822027285583204</x:v>
      </x:c>
      <x:c r="S273" s="23" t="n">
        <x:v>1365.0326194758188</x:v>
      </x:c>
      <x:c r="T273" s="23" t="n">
        <x:v>-0.010865990654151059</x:v>
      </x:c>
      <x:c r="U273" s="23" t="n">
        <x:v>-0.3647199257915972</x:v>
      </x:c>
      <x:c r="V273" s="23" t="n">
        <x:v>8.06918839734385</x:v>
      </x:c>
    </x:row>
    <x:row r="274">
      <x:c r="A274" s="23" t="n">
        <x:v>273</x:v>
      </x:c>
      <x:c r="B274" s="23" t="str">
        <x:v>Train</x:v>
      </x:c>
      <x:c r="C274" s="23" t="str">
        <x:v>Lightning</x:v>
      </x:c>
      <x:c r="D274" s="23" t="n">
        <x:v>1423.0759316124022</x:v>
      </x:c>
      <x:c r="E274" s="23" t="n">
        <x:v>1035.4017620324157</x:v>
      </x:c>
      <x:c r="F274" s="23" t="n">
        <x:v>517.0099625363946</x:v>
      </x:c>
      <x:c r="G274" s="23" t="n">
        <x:v>300.19880084553733</x:v>
      </x:c>
      <x:c r="H274" s="23" t="n">
        <x:v>27.18350818939507</x:v>
      </x:c>
      <x:c r="I274" s="23" t="n">
        <x:v>0.8477896080096252</x:v>
      </x:c>
      <x:c r="J274" s="23" t="n">
        <x:v>9</x:v>
      </x:c>
      <x:c r="K274" s="23" t="n">
        <x:v>186.50800441887276</x:v>
      </x:c>
      <x:c r="L274" s="23" t="n">
        <x:v>35</x:v>
      </x:c>
      <x:c r="M274" s="23" t="n">
        <x:v>25</x:v>
      </x:c>
      <x:c r="N274" s="23" t="n">
        <x:v>1.1405718325235294</x:v>
      </x:c>
      <x:c r="O274" s="23" t="n">
        <x:v>52.26386829617523</x:v>
      </x:c>
      <x:c r="P274" s="23" t="n">
        <x:v>1423.0759316124022</x:v>
      </x:c>
      <x:c r="Q274" s="23" t="n">
        <x:v>1.1333258875364214</x:v>
      </x:c>
      <x:c r="R274" s="23" t="n">
        <x:v>52.912918801733795</x:v>
      </x:c>
      <x:c r="S274" s="23" t="n">
        <x:v>1399.7583575955912</x:v>
      </x:c>
      <x:c r="T274" s="23" t="n">
        <x:v>-0.007245944987108066</x:v>
      </x:c>
      <x:c r="U274" s="23" t="n">
        <x:v>0.6490505055585629</x:v>
      </x:c>
      <x:c r="V274" s="23" t="n">
        <x:v>-23.317574016811022</x:v>
      </x:c>
    </x:row>
    <x:row r="275">
      <x:c r="A275" s="23" t="n">
        <x:v>274</x:v>
      </x:c>
      <x:c r="B275" s="23" t="str">
        <x:v>Train</x:v>
      </x:c>
      <x:c r="C275" s="23" t="str">
        <x:v>Lightning</x:v>
      </x:c>
      <x:c r="D275" s="23" t="n">
        <x:v>1387.5239755609073</x:v>
      </x:c>
      <x:c r="E275" s="23" t="n">
        <x:v>950.2664321335033</x:v>
      </x:c>
      <x:c r="F275" s="23" t="n">
        <x:v>433.933047298342</x:v>
      </x:c>
      <x:c r="G275" s="23" t="n">
        <x:v>298.73841364867985</x:v>
      </x:c>
      <x:c r="H275" s="23" t="n">
        <x:v>18.29560945974663</x:v>
      </x:c>
      <x:c r="I275" s="23" t="n">
        <x:v>0.8171392550552264</x:v>
      </x:c>
      <x:c r="J275" s="23" t="n">
        <x:v>9</x:v>
      </x:c>
      <x:c r="K275" s="23" t="n">
        <x:v>188.66959292937045</x:v>
      </x:c>
      <x:c r="L275" s="23" t="n">
        <x:v>45</x:v>
      </x:c>
      <x:c r="M275" s="23" t="n">
        <x:v>25</x:v>
      </x:c>
      <x:c r="N275" s="23" t="n">
        <x:v>1.2289437470138223</x:v>
      </x:c>
      <x:c r="O275" s="23" t="n">
        <x:v>52.23741209097858</x:v>
      </x:c>
      <x:c r="P275" s="23" t="n">
        <x:v>1387.5239755609073</x:v>
      </x:c>
      <x:c r="Q275" s="23" t="n">
        <x:v>1.235207371159651</x:v>
      </x:c>
      <x:c r="R275" s="23" t="n">
        <x:v>52.07232538283286</x:v>
      </x:c>
      <x:c r="S275" s="23" t="n">
        <x:v>1384.46393839177</x:v>
      </x:c>
      <x:c r="T275" s="23" t="n">
        <x:v>0.006263624145828706</x:v>
      </x:c>
      <x:c r="U275" s="23" t="n">
        <x:v>-0.16508670814572213</x:v>
      </x:c>
      <x:c r="V275" s="23" t="n">
        <x:v>-3.060037169137331</x:v>
      </x:c>
    </x:row>
    <x:row r="276">
      <x:c r="A276" s="23" t="n">
        <x:v>275</x:v>
      </x:c>
      <x:c r="B276" s="23" t="str">
        <x:v>Validation</x:v>
      </x:c>
      <x:c r="C276" s="23" t="str">
        <x:v>Lightning</x:v>
      </x:c>
      <x:c r="D276" s="23" t="n">
        <x:v>1372.9938300093636</x:v>
      </x:c>
      <x:c r="E276" s="23" t="n">
        <x:v>1207.9949713894166</x:v>
      </x:c>
      <x:c r="F276" s="23" t="n">
        <x:v>524.2745544761419</x:v>
      </x:c>
      <x:c r="G276" s="23" t="n">
        <x:v>109.51036830199882</x:v>
      </x:c>
      <x:c r="H276" s="23" t="n">
        <x:v>12.823709246702492</x:v>
      </x:c>
      <x:c r="I276" s="23" t="n">
        <x:v>0.8021779727633112</x:v>
      </x:c>
      <x:c r="J276" s="23" t="n">
        <x:v>9</x:v>
      </x:c>
      <x:c r="K276" s="23" t="n">
        <x:v>190.17584025091762</x:v>
      </x:c>
      <x:c r="L276" s="23" t="n">
        <x:v>40</x:v>
      </x:c>
      <x:c r="M276" s="23" t="n">
        <x:v>25</x:v>
      </x:c>
      <x:c r="N276" s="23" t="n">
        <x:v>1.1792957502637957</x:v>
      </x:c>
      <x:c r="O276" s="23" t="n">
        <x:v>52.262179529998065</x:v>
      </x:c>
      <x:c r="P276" s="23" t="n">
        <x:v>1372.9938300093636</x:v>
      </x:c>
      <x:c r="Q276" s="23" t="n">
        <x:v>1.1873534958602179</x:v>
      </x:c>
      <x:c r="R276" s="23" t="n">
        <x:v>53.702438819185296</x:v>
      </x:c>
      <x:c r="S276" s="23" t="n">
        <x:v>1374.612675882066</x:v>
      </x:c>
      <x:c r="T276" s="23" t="n">
        <x:v>0.008057745596422139</x:v>
      </x:c>
      <x:c r="U276" s="23" t="n">
        <x:v>1.4402592891872317</x:v>
      </x:c>
      <x:c r="V276" s="23" t="n">
        <x:v>1.6188458727024226</x:v>
      </x:c>
    </x:row>
    <x:row r="277">
      <x:c r="A277" s="23" t="n">
        <x:v>276</x:v>
      </x:c>
      <x:c r="B277" s="23" t="str">
        <x:v>Validation</x:v>
      </x:c>
      <x:c r="C277" s="23" t="str">
        <x:v>Lightning</x:v>
      </x:c>
      <x:c r="D277" s="23" t="n">
        <x:v>1424.9329959391616</x:v>
      </x:c>
      <x:c r="E277" s="23" t="n">
        <x:v>732.0619253907353</x:v>
      </x:c>
      <x:c r="F277" s="23" t="n">
        <x:v>522.1878129057586</x:v>
      </x:c>
      <x:c r="G277" s="23" t="n">
        <x:v>213.5650918772444</x:v>
      </x:c>
      <x:c r="H277" s="23" t="n">
        <x:v>29.43450878513977</x:v>
      </x:c>
      <x:c r="I277" s="23" t="n">
        <x:v>0.7929561641998589</x:v>
      </x:c>
      <x:c r="J277" s="23" t="n">
        <x:v>9</x:v>
      </x:c>
      <x:c r="K277" s="23" t="n">
        <x:v>199.66537317664347</x:v>
      </x:c>
      <x:c r="L277" s="23" t="n">
        <x:v>50</x:v>
      </x:c>
      <x:c r="M277" s="23" t="n">
        <x:v>25</x:v>
      </x:c>
      <x:c r="N277" s="23" t="n">
        <x:v>1.2320631384002483</x:v>
      </x:c>
      <x:c r="O277" s="23" t="n">
        <x:v>52.20386902739484</x:v>
      </x:c>
      <x:c r="P277" s="23" t="n">
        <x:v>1424.9329959391616</x:v>
      </x:c>
      <x:c r="Q277" s="23" t="n">
        <x:v>1.2266512892240773</x:v>
      </x:c>
      <x:c r="R277" s="23" t="n">
        <x:v>51.114770591423095</x:v>
      </x:c>
      <x:c r="S277" s="23" t="n">
        <x:v>1418.0105132493727</x:v>
      </x:c>
      <x:c r="T277" s="23" t="n">
        <x:v>-0.005411849176170991</x:v>
      </x:c>
      <x:c r="U277" s="23" t="n">
        <x:v>-1.0890984359717422</x:v>
      </x:c>
      <x:c r="V277" s="23" t="n">
        <x:v>-6.922482689788922</x:v>
      </x:c>
    </x:row>
    <x:row r="278">
      <x:c r="A278" s="23" t="n">
        <x:v>277</x:v>
      </x:c>
      <x:c r="B278" s="23" t="str">
        <x:v>Validation</x:v>
      </x:c>
      <x:c r="C278" s="23" t="str">
        <x:v>Lightning</x:v>
      </x:c>
      <x:c r="D278" s="23" t="n">
        <x:v>1382.8936093021184</x:v>
      </x:c>
      <x:c r="E278" s="23" t="n">
        <x:v>688.5464865597896</x:v>
      </x:c>
      <x:c r="F278" s="23" t="n">
        <x:v>653.9908407256007</x:v>
      </x:c>
      <x:c r="G278" s="23" t="n">
        <x:v>110.36623104708269</x:v>
      </x:c>
      <x:c r="H278" s="23" t="n">
        <x:v>22.058056190609932</x:v>
      </x:c>
      <x:c r="I278" s="23" t="n">
        <x:v>0.8573723603622057</x:v>
      </x:c>
      <x:c r="J278" s="23" t="n">
        <x:v>9</x:v>
      </x:c>
      <x:c r="K278" s="23" t="n">
        <x:v>179.2160006337271</x:v>
      </x:c>
      <x:c r="L278" s="23" t="n">
        <x:v>50</x:v>
      </x:c>
      <x:c r="M278" s="23" t="n">
        <x:v>25</x:v>
      </x:c>
      <x:c r="N278" s="23" t="n">
        <x:v>1.189789906250808</x:v>
      </x:c>
      <x:c r="O278" s="23" t="n">
        <x:v>52.20154398733299</x:v>
      </x:c>
      <x:c r="P278" s="23" t="n">
        <x:v>1382.8936093021184</x:v>
      </x:c>
      <x:c r="Q278" s="23" t="n">
        <x:v>1.190024614819716</x:v>
      </x:c>
      <x:c r="R278" s="23" t="n">
        <x:v>50.57252006385835</x:v>
      </x:c>
      <x:c r="S278" s="23" t="n">
        <x:v>1384.103405631635</x:v>
      </x:c>
      <x:c r="T278" s="23" t="n">
        <x:v>0.0002347085689080597</x:v>
      </x:c>
      <x:c r="U278" s="23" t="n">
        <x:v>-1.6290239234746409</x:v>
      </x:c>
      <x:c r="V278" s="23" t="n">
        <x:v>1.209796329516621</x:v>
      </x:c>
    </x:row>
    <x:row r="279">
      <x:c r="A279" s="23" t="n">
        <x:v>278</x:v>
      </x:c>
      <x:c r="B279" s="23" t="str">
        <x:v>Hidden Test</x:v>
      </x:c>
      <x:c r="C279" s="23" t="str">
        <x:v>Lightning</x:v>
      </x:c>
      <x:c r="D279" s="23" t="n">
        <x:v>1422.2930912976153</x:v>
      </x:c>
      <x:c r="E279" s="23" t="n">
        <x:v>1003.8768892874941</x:v>
      </x:c>
      <x:c r="F279" s="23" t="n">
        <x:v>462.3602760024369</x:v>
      </x:c>
      <x:c r="G279" s="23" t="n">
        <x:v>194.27509086206555</x:v>
      </x:c>
      <x:c r="H279" s="23" t="n">
        <x:v>12.80780721316114</x:v>
      </x:c>
      <x:c r="I279" s="23" t="n">
        <x:v>0.7915749441599473</x:v>
      </x:c>
      <x:c r="J279" s="23" t="n">
        <x:v>9</x:v>
      </x:c>
      <x:c r="K279" s="23" t="n">
        <x:v>199.6432136535674</x:v>
      </x:c>
      <x:c r="L279" s="23" t="n">
        <x:v>45</x:v>
      </x:c>
      <x:c r="M279" s="23" t="n">
        <x:v>25</x:v>
      </x:c>
      <x:c r="N279" s="23" t="n">
        <x:v>1.1872691038937653</x:v>
      </x:c>
      <x:c r="O279" s="23" t="n">
        <x:v>52.233915373540505</x:v>
      </x:c>
      <x:c r="P279" s="23" t="n">
        <x:v>1422.2930912976153</x:v>
      </x:c>
      <x:c r="Q279" s="23" t="n">
        <x:v>1.1994113130166555</x:v>
      </x:c>
      <x:c r="R279" s="23" t="n">
        <x:v>53.34665775775232</x:v>
      </x:c>
      <x:c r="S279" s="23" t="n">
        <x:v>1432.1820658423744</x:v>
      </x:c>
      <x:c r="T279" s="23" t="n">
        <x:v>0.012142209122890213</x:v>
      </x:c>
      <x:c r="U279" s="23" t="n">
        <x:v>1.1127423842118134</x:v>
      </x:c>
      <x:c r="V279" s="23" t="n">
        <x:v>9.888974544759094</x:v>
      </x:c>
    </x:row>
    <x:row r="280">
      <x:c r="A280" s="23" t="n">
        <x:v>279</x:v>
      </x:c>
      <x:c r="B280" s="23" t="str">
        <x:v>Hidden Test</x:v>
      </x:c>
      <x:c r="C280" s="23" t="str">
        <x:v>Lightning</x:v>
      </x:c>
      <x:c r="D280" s="23" t="n">
        <x:v>1449.9562007607892</x:v>
      </x:c>
      <x:c r="E280" s="23" t="n">
        <x:v>948.7533772480674</x:v>
      </x:c>
      <x:c r="F280" s="23" t="n">
        <x:v>576.897244155407</x:v>
      </x:c>
      <x:c r="G280" s="23" t="n">
        <x:v>223.5968549340032</x:v>
      </x:c>
      <x:c r="H280" s="23" t="n">
        <x:v>18.029889310710132</x:v>
      </x:c>
      <x:c r="I280" s="23" t="n">
        <x:v>0.8558585619530641</x:v>
      </x:c>
      <x:c r="J280" s="23" t="n">
        <x:v>9</x:v>
      </x:c>
      <x:c r="K280" s="23" t="n">
        <x:v>188.23933263147254</x:v>
      </x:c>
      <x:c r="L280" s="23" t="n">
        <x:v>40</x:v>
      </x:c>
      <x:c r="M280" s="23" t="n">
        <x:v>25</x:v>
      </x:c>
      <x:c r="N280" s="23" t="n">
        <x:v>1.151459337967476</x:v>
      </x:c>
      <x:c r="O280" s="23" t="n">
        <x:v>52.247751412747924</x:v>
      </x:c>
      <x:c r="P280" s="23" t="n">
        <x:v>1449.9562007607892</x:v>
      </x:c>
      <x:c r="Q280" s="23" t="n">
        <x:v>1.1504713063791001</x:v>
      </x:c>
      <x:c r="R280" s="23" t="n">
        <x:v>52.89545783132755</x:v>
      </x:c>
      <x:c r="S280" s="23" t="n">
        <x:v>1450.1069975157257</x:v>
      </x:c>
      <x:c r="T280" s="23" t="n">
        <x:v>-0.0009880315883759039</x:v>
      </x:c>
      <x:c r="U280" s="23" t="n">
        <x:v>0.6477064185796237</x:v>
      </x:c>
      <x:c r="V280" s="23" t="n">
        <x:v>0.15079675493643663</x:v>
      </x:c>
    </x:row>
    <x:row r="281">
      <x:c r="A281" s="23" t="n">
        <x:v>280</x:v>
      </x:c>
      <x:c r="B281" s="23" t="str">
        <x:v>Hidden Test</x:v>
      </x:c>
      <x:c r="C281" s="23" t="str">
        <x:v>Lightning</x:v>
      </x:c>
      <x:c r="D281" s="23" t="n">
        <x:v>1467.514578520786</x:v>
      </x:c>
      <x:c r="E281" s="23" t="n">
        <x:v>1203.2975315116346</x:v>
      </x:c>
      <x:c r="F281" s="23" t="n">
        <x:v>428.2052836380899</x:v>
      </x:c>
      <x:c r="G281" s="23" t="n">
        <x:v>295.10930045042187</x:v>
      </x:c>
      <x:c r="H281" s="23" t="n">
        <x:v>18.32673238730058</x:v>
      </x:c>
      <x:c r="I281" s="23" t="n">
        <x:v>0.8008833037782461</x:v>
      </x:c>
      <x:c r="J281" s="23" t="n">
        <x:v>10</x:v>
      </x:c>
      <x:c r="K281" s="23" t="n">
        <x:v>183.2370048916791</x:v>
      </x:c>
      <x:c r="L281" s="23" t="n">
        <x:v>35</x:v>
      </x:c>
      <x:c r="M281" s="23" t="n">
        <x:v>25</x:v>
      </x:c>
      <x:c r="N281" s="23" t="n">
        <x:v>1.2305656019342794</x:v>
      </x:c>
      <x:c r="O281" s="23" t="n">
        <x:v>52.308785549027725</x:v>
      </x:c>
      <x:c r="P281" s="23" t="n">
        <x:v>1467.514578520786</x:v>
      </x:c>
      <x:c r="Q281" s="23" t="n">
        <x:v>1.239906466518385</x:v>
      </x:c>
      <x:c r="R281" s="23" t="n">
        <x:v>52.96714511721693</x:v>
      </x:c>
      <x:c r="S281" s="23" t="n">
        <x:v>1463.7148690053828</x:v>
      </x:c>
      <x:c r="T281" s="23" t="n">
        <x:v>0.009340864584105546</x:v>
      </x:c>
      <x:c r="U281" s="23" t="n">
        <x:v>0.6583595681892049</x:v>
      </x:c>
      <x:c r="V281" s="23" t="n">
        <x:v>-3.799709515403265</x:v>
      </x:c>
    </x:row>
    <x:row r="282">
      <x:c r="A282" s="23" t="n">
        <x:v>281</x:v>
      </x:c>
      <x:c r="B282" s="23" t="str">
        <x:v>Train</x:v>
      </x:c>
      <x:c r="C282" s="23" t="str">
        <x:v>Lightning</x:v>
      </x:c>
      <x:c r="D282" s="23" t="n">
        <x:v>1470.383481681347</x:v>
      </x:c>
      <x:c r="E282" s="23" t="n">
        <x:v>1034.4419727451168</x:v>
      </x:c>
      <x:c r="F282" s="23" t="n">
        <x:v>582.6939987018704</x:v>
      </x:c>
      <x:c r="G282" s="23" t="n">
        <x:v>250.38526252144948</x:v>
      </x:c>
      <x:c r="H282" s="23" t="n">
        <x:v>15.754164783284068</x:v>
      </x:c>
      <x:c r="I282" s="23" t="n">
        <x:v>0.7974116996419617</x:v>
      </x:c>
      <x:c r="J282" s="23" t="n">
        <x:v>10</x:v>
      </x:c>
      <x:c r="K282" s="23" t="n">
        <x:v>184.39452071515254</x:v>
      </x:c>
      <x:c r="L282" s="23" t="n">
        <x:v>35</x:v>
      </x:c>
      <x:c r="M282" s="23" t="n">
        <x:v>25</x:v>
      </x:c>
      <x:c r="N282" s="23" t="n">
        <x:v>1.1817990124617985</x:v>
      </x:c>
      <x:c r="O282" s="23" t="n">
        <x:v>52.298548053785034</x:v>
      </x:c>
      <x:c r="P282" s="23" t="n">
        <x:v>1470.383481681347</x:v>
      </x:c>
      <x:c r="Q282" s="23" t="n">
        <x:v>1.1916327676341107</x:v>
      </x:c>
      <x:c r="R282" s="23" t="n">
        <x:v>51.96113989669812</x:v>
      </x:c>
      <x:c r="S282" s="23" t="n">
        <x:v>1467.9097336406753</x:v>
      </x:c>
      <x:c r="T282" s="23" t="n">
        <x:v>0.00983375517231222</x:v>
      </x:c>
      <x:c r="U282" s="23" t="n">
        <x:v>-0.3374081570869123</x:v>
      </x:c>
      <x:c r="V282" s="23" t="n">
        <x:v>-2.4737480406715804</x:v>
      </x:c>
    </x:row>
    <x:row r="283">
      <x:c r="A283" s="23" t="n">
        <x:v>282</x:v>
      </x:c>
      <x:c r="B283" s="23" t="str">
        <x:v>Train</x:v>
      </x:c>
      <x:c r="C283" s="23" t="str">
        <x:v>Lightning</x:v>
      </x:c>
      <x:c r="D283" s="23" t="n">
        <x:v>1420.6628090352751</x:v>
      </x:c>
      <x:c r="E283" s="23" t="n">
        <x:v>1023.0184281477705</x:v>
      </x:c>
      <x:c r="F283" s="23" t="n">
        <x:v>382.3426769115031</x:v>
      </x:c>
      <x:c r="G283" s="23" t="n">
        <x:v>135.44581799767911</x:v>
      </x:c>
      <x:c r="H283" s="23" t="n">
        <x:v>8.811323043424636</x:v>
      </x:c>
      <x:c r="I283" s="23" t="n">
        <x:v>0.7985347557114437</x:v>
      </x:c>
      <x:c r="J283" s="23" t="n">
        <x:v>9</x:v>
      </x:c>
      <x:c r="K283" s="23" t="n">
        <x:v>197.67633418223116</x:v>
      </x:c>
      <x:c r="L283" s="23" t="n">
        <x:v>50</x:v>
      </x:c>
      <x:c r="M283" s="23" t="n">
        <x:v>25</x:v>
      </x:c>
      <x:c r="N283" s="23" t="n">
        <x:v>1.1980941028236973</x:v>
      </x:c>
      <x:c r="O283" s="23" t="n">
        <x:v>52.215250319477654</x:v>
      </x:c>
      <x:c r="P283" s="23" t="n">
        <x:v>1420.6628090352751</x:v>
      </x:c>
      <x:c r="Q283" s="23" t="n">
        <x:v>1.2046069041659024</x:v>
      </x:c>
      <x:c r="R283" s="23" t="n">
        <x:v>52.21518061469574</x:v>
      </x:c>
      <x:c r="S283" s="23" t="n">
        <x:v>1430.2892108308183</x:v>
      </x:c>
      <x:c r="T283" s="23" t="n">
        <x:v>0.00651280134220511</x:v>
      </x:c>
      <x:c r="U283" s="23" t="n">
        <x:v>-0.00006970478191448137</x:v>
      </x:c>
      <x:c r="V283" s="23" t="n">
        <x:v>9.626401795543188</x:v>
      </x:c>
    </x:row>
    <x:row r="284">
      <x:c r="A284" s="23" t="n">
        <x:v>283</x:v>
      </x:c>
      <x:c r="B284" s="23" t="str">
        <x:v>Train</x:v>
      </x:c>
      <x:c r="C284" s="23" t="str">
        <x:v>Lightning</x:v>
      </x:c>
      <x:c r="D284" s="23" t="n">
        <x:v>1457.344423304312</x:v>
      </x:c>
      <x:c r="E284" s="23" t="n">
        <x:v>866.9801582233049</x:v>
      </x:c>
      <x:c r="F284" s="23" t="n">
        <x:v>381.57589472830296</x:v>
      </x:c>
      <x:c r="G284" s="23" t="n">
        <x:v>180.3748860093765</x:v>
      </x:c>
      <x:c r="H284" s="23" t="n">
        <x:v>13.82135405484587</x:v>
      </x:c>
      <x:c r="I284" s="23" t="n">
        <x:v>0.8044824836659246</x:v>
      </x:c>
      <x:c r="J284" s="23" t="n">
        <x:v>10</x:v>
      </x:c>
      <x:c r="K284" s="23" t="n">
        <x:v>181.1530335208019</x:v>
      </x:c>
      <x:c r="L284" s="23" t="n">
        <x:v>50</x:v>
      </x:c>
      <x:c r="M284" s="23" t="n">
        <x:v>25</x:v>
      </x:c>
      <x:c r="N284" s="23" t="n">
        <x:v>1.2495297879180873</x:v>
      </x:c>
      <x:c r="O284" s="23" t="n">
        <x:v>52.22256228517499</x:v>
      </x:c>
      <x:c r="P284" s="23" t="n">
        <x:v>1457.344423304312</x:v>
      </x:c>
      <x:c r="Q284" s="23" t="n">
        <x:v>1.241693796866231</x:v>
      </x:c>
      <x:c r="R284" s="23" t="n">
        <x:v>52.56713629676843</x:v>
      </x:c>
      <x:c r="S284" s="23" t="n">
        <x:v>1475.3810841399784</x:v>
      </x:c>
      <x:c r="T284" s="23" t="n">
        <x:v>-0.007835991051856395</x:v>
      </x:c>
      <x:c r="U284" s="23" t="n">
        <x:v>0.34457401159344414</x:v>
      </x:c>
      <x:c r="V284" s="23" t="n">
        <x:v>18.036660835666453</x:v>
      </x:c>
    </x:row>
    <x:row r="285">
      <x:c r="A285" s="23" t="n">
        <x:v>284</x:v>
      </x:c>
      <x:c r="B285" s="23" t="str">
        <x:v>Train</x:v>
      </x:c>
      <x:c r="C285" s="23" t="str">
        <x:v>Lightning</x:v>
      </x:c>
      <x:c r="D285" s="23" t="n">
        <x:v>1399.2325790575705</x:v>
      </x:c>
      <x:c r="E285" s="23" t="n">
        <x:v>1224.2859936784953</x:v>
      </x:c>
      <x:c r="F285" s="23" t="n">
        <x:v>594.3519259802997</x:v>
      </x:c>
      <x:c r="G285" s="23" t="n">
        <x:v>320.0122171966359</x:v>
      </x:c>
      <x:c r="H285" s="23" t="n">
        <x:v>20.746467675548047</x:v>
      </x:c>
      <x:c r="I285" s="23" t="n">
        <x:v>0.8514127086848021</x:v>
      </x:c>
      <x:c r="J285" s="23" t="n">
        <x:v>9</x:v>
      </x:c>
      <x:c r="K285" s="23" t="n">
        <x:v>182.60273187853986</x:v>
      </x:c>
      <x:c r="L285" s="23" t="n">
        <x:v>35</x:v>
      </x:c>
      <x:c r="M285" s="23" t="n">
        <x:v>25</x:v>
      </x:c>
      <x:c r="N285" s="23" t="n">
        <x:v>1.2550150740762545</x:v>
      </x:c>
      <x:c r="O285" s="23" t="n">
        <x:v>52.30846902258918</x:v>
      </x:c>
      <x:c r="P285" s="23" t="n">
        <x:v>1399.2325790575705</x:v>
      </x:c>
      <x:c r="Q285" s="23" t="n">
        <x:v>1.2685206477352617</x:v>
      </x:c>
      <x:c r="R285" s="23" t="n">
        <x:v>53.738827276667784</x:v>
      </x:c>
      <x:c r="S285" s="23" t="n">
        <x:v>1386.8672430555669</x:v>
      </x:c>
      <x:c r="T285" s="23" t="n">
        <x:v>0.013505573659007286</x:v>
      </x:c>
      <x:c r="U285" s="23" t="n">
        <x:v>1.4303582540786053</x:v>
      </x:c>
      <x:c r="V285" s="23" t="n">
        <x:v>-12.365336002003687</x:v>
      </x:c>
    </x:row>
    <x:row r="286">
      <x:c r="A286" s="23" t="n">
        <x:v>285</x:v>
      </x:c>
      <x:c r="B286" s="23" t="str">
        <x:v>Train</x:v>
      </x:c>
      <x:c r="C286" s="23" t="str">
        <x:v>Lightning</x:v>
      </x:c>
      <x:c r="D286" s="23" t="n">
        <x:v>1454.4099777471274</x:v>
      </x:c>
      <x:c r="E286" s="23" t="n">
        <x:v>832.3521771351807</x:v>
      </x:c>
      <x:c r="F286" s="23" t="n">
        <x:v>541.4400732144713</x:v>
      </x:c>
      <x:c r="G286" s="23" t="n">
        <x:v>131.43406690331176</x:v>
      </x:c>
      <x:c r="H286" s="23" t="n">
        <x:v>16.732172083109617</x:v>
      </x:c>
      <x:c r="I286" s="23" t="n">
        <x:v>0.8152322427579202</x:v>
      </x:c>
      <x:c r="J286" s="23" t="n">
        <x:v>9</x:v>
      </x:c>
      <x:c r="K286" s="23" t="n">
        <x:v>198.22708200533782</x:v>
      </x:c>
      <x:c r="L286" s="23" t="n">
        <x:v>50</x:v>
      </x:c>
      <x:c r="M286" s="23" t="n">
        <x:v>25</x:v>
      </x:c>
      <x:c r="N286" s="23" t="n">
        <x:v>1.2063016822764465</x:v>
      </x:c>
      <x:c r="O286" s="23" t="n">
        <x:v>52.20970241351766</x:v>
      </x:c>
      <x:c r="P286" s="23" t="n">
        <x:v>1454.4099777471274</x:v>
      </x:c>
      <x:c r="Q286" s="23" t="n">
        <x:v>1.2168107728755861</x:v>
      </x:c>
      <x:c r="R286" s="23" t="n">
        <x:v>51.14743973541152</x:v>
      </x:c>
      <x:c r="S286" s="23" t="n">
        <x:v>1458.5793605824865</x:v>
      </x:c>
      <x:c r="T286" s="23" t="n">
        <x:v>0.010509090599139626</x:v>
      </x:c>
      <x:c r="U286" s="23" t="n">
        <x:v>-1.0622626781061442</x:v>
      </x:c>
      <x:c r="V286" s="23" t="n">
        <x:v>4.169382835359102</x:v>
      </x:c>
    </x:row>
    <x:row r="287">
      <x:c r="A287" s="23" t="n">
        <x:v>286</x:v>
      </x:c>
      <x:c r="B287" s="23" t="str">
        <x:v>Train</x:v>
      </x:c>
      <x:c r="C287" s="23" t="str">
        <x:v>Lightning</x:v>
      </x:c>
      <x:c r="D287" s="23" t="n">
        <x:v>1442.5447017070837</x:v>
      </x:c>
      <x:c r="E287" s="23" t="n">
        <x:v>838.4164443938062</x:v>
      </x:c>
      <x:c r="F287" s="23" t="n">
        <x:v>710.3377123363316</x:v>
      </x:c>
      <x:c r="G287" s="23" t="n">
        <x:v>95.65863844007254</x:v>
      </x:c>
      <x:c r="H287" s="23" t="n">
        <x:v>8.366648035589606</x:v>
      </x:c>
      <x:c r="I287" s="23" t="n">
        <x:v>0.8536838846979663</x:v>
      </x:c>
      <x:c r="J287" s="23" t="n">
        <x:v>9</x:v>
      </x:c>
      <x:c r="K287" s="23" t="n">
        <x:v>187.75421149109368</x:v>
      </x:c>
      <x:c r="L287" s="23" t="n">
        <x:v>45</x:v>
      </x:c>
      <x:c r="M287" s="23" t="n">
        <x:v>25</x:v>
      </x:c>
      <x:c r="N287" s="23" t="n">
        <x:v>1.154517857554247</x:v>
      </x:c>
      <x:c r="O287" s="23" t="n">
        <x:v>52.23140506508691</x:v>
      </x:c>
      <x:c r="P287" s="23" t="n">
        <x:v>1442.5447017070837</x:v>
      </x:c>
      <x:c r="Q287" s="23" t="n">
        <x:v>1.1686016093622247</x:v>
      </x:c>
      <x:c r="R287" s="23" t="n">
        <x:v>52.35967958556211</x:v>
      </x:c>
      <x:c r="S287" s="23" t="n">
        <x:v>1452.3275274383504</x:v>
      </x:c>
      <x:c r="T287" s="23" t="n">
        <x:v>0.014083751807977718</x:v>
      </x:c>
      <x:c r="U287" s="23" t="n">
        <x:v>0.12827452047520183</x:v>
      </x:c>
      <x:c r="V287" s="23" t="n">
        <x:v>9.782825731266712</x:v>
      </x:c>
    </x:row>
    <x:row r="288">
      <x:c r="A288" s="23" t="n">
        <x:v>287</x:v>
      </x:c>
      <x:c r="B288" s="23" t="str">
        <x:v>Train</x:v>
      </x:c>
      <x:c r="C288" s="23" t="str">
        <x:v>Lightning</x:v>
      </x:c>
      <x:c r="D288" s="23" t="n">
        <x:v>1392.786030122079</x:v>
      </x:c>
      <x:c r="E288" s="23" t="n">
        <x:v>1042.8629807312973</x:v>
      </x:c>
      <x:c r="F288" s="23" t="n">
        <x:v>415.50519689917564</x:v>
      </x:c>
      <x:c r="G288" s="23" t="n">
        <x:v>287.68486842280254</x:v>
      </x:c>
      <x:c r="H288" s="23" t="n">
        <x:v>26.887304357253015</x:v>
      </x:c>
      <x:c r="I288" s="23" t="n">
        <x:v>0.8583414835645817</x:v>
      </x:c>
      <x:c r="J288" s="23" t="n">
        <x:v>9</x:v>
      </x:c>
      <x:c r="K288" s="23" t="n">
        <x:v>180.2942142610004</x:v>
      </x:c>
      <x:c r="L288" s="23" t="n">
        <x:v>40</x:v>
      </x:c>
      <x:c r="M288" s="23" t="n">
        <x:v>25</x:v>
      </x:c>
      <x:c r="N288" s="23" t="n">
        <x:v>1.1955127829046492</x:v>
      </x:c>
      <x:c r="O288" s="23" t="n">
        <x:v>52.24725332120586</x:v>
      </x:c>
      <x:c r="P288" s="23" t="n">
        <x:v>1392.786030122079</x:v>
      </x:c>
      <x:c r="Q288" s="23" t="n">
        <x:v>1.1931798649330134</x:v>
      </x:c>
      <x:c r="R288" s="23" t="n">
        <x:v>52.511520855676316</x:v>
      </x:c>
      <x:c r="S288" s="23" t="n">
        <x:v>1380.793812429308</x:v>
      </x:c>
      <x:c r="T288" s="23" t="n">
        <x:v>-0.0023329179716358173</x:v>
      </x:c>
      <x:c r="U288" s="23" t="n">
        <x:v>0.2642675344704557</x:v>
      </x:c>
      <x:c r="V288" s="23" t="n">
        <x:v>-11.992217692770964</x:v>
      </x:c>
    </x:row>
    <x:row r="289">
      <x:c r="A289" s="23" t="n">
        <x:v>288</x:v>
      </x:c>
      <x:c r="B289" s="23" t="str">
        <x:v>Train</x:v>
      </x:c>
      <x:c r="C289" s="23" t="str">
        <x:v>Lightning</x:v>
      </x:c>
      <x:c r="D289" s="23" t="n">
        <x:v>1383.0906687187962</x:v>
      </x:c>
      <x:c r="E289" s="23" t="n">
        <x:v>1166.6238509118557</x:v>
      </x:c>
      <x:c r="F289" s="23" t="n">
        <x:v>730.8512239716947</x:v>
      </x:c>
      <x:c r="G289" s="23" t="n">
        <x:v>128.75542141962796</x:v>
      </x:c>
      <x:c r="H289" s="23" t="n">
        <x:v>23.563283951487392</x:v>
      </x:c>
      <x:c r="I289" s="23" t="n">
        <x:v>0.8485863248538226</x:v>
      </x:c>
      <x:c r="J289" s="23" t="n">
        <x:v>9</x:v>
      </x:c>
      <x:c r="K289" s="23" t="n">
        <x:v>181.09735741408215</x:v>
      </x:c>
      <x:c r="L289" s="23" t="n">
        <x:v>35</x:v>
      </x:c>
      <x:c r="M289" s="23" t="n">
        <x:v>25</x:v>
      </x:c>
      <x:c r="N289" s="23" t="n">
        <x:v>1.212034373380464</x:v>
      </x:c>
      <x:c r="O289" s="23" t="n">
        <x:v>52.290939990136074</x:v>
      </x:c>
      <x:c r="P289" s="23" t="n">
        <x:v>1383.0906687187962</x:v>
      </x:c>
      <x:c r="Q289" s="23" t="n">
        <x:v>1.211821874916825</x:v>
      </x:c>
      <x:c r="R289" s="23" t="n">
        <x:v>52.18312274613043</x:v>
      </x:c>
      <x:c r="S289" s="23" t="n">
        <x:v>1372.3467800588692</x:v>
      </x:c>
      <x:c r="T289" s="23" t="n">
        <x:v>-0.00021249846363891045</x:v>
      </x:c>
      <x:c r="U289" s="23" t="n">
        <x:v>-0.10781724400564485</x:v>
      </x:c>
      <x:c r="V289" s="23" t="n">
        <x:v>-10.743888659927052</x:v>
      </x:c>
    </x:row>
    <x:row r="290">
      <x:c r="A290" s="23" t="n">
        <x:v>289</x:v>
      </x:c>
      <x:c r="B290" s="23" t="str">
        <x:v>Train</x:v>
      </x:c>
      <x:c r="C290" s="23" t="str">
        <x:v>Lightning</x:v>
      </x:c>
      <x:c r="D290" s="23" t="n">
        <x:v>1420.2924138866365</x:v>
      </x:c>
      <x:c r="E290" s="23" t="n">
        <x:v>884.4176813377999</x:v>
      </x:c>
      <x:c r="F290" s="23" t="n">
        <x:v>438.90645150095224</x:v>
      </x:c>
      <x:c r="G290" s="23" t="n">
        <x:v>271.00738229462877</x:v>
      </x:c>
      <x:c r="H290" s="23" t="n">
        <x:v>18.738724494352937</x:v>
      </x:c>
      <x:c r="I290" s="23" t="n">
        <x:v>0.8300350943510421</x:v>
      </x:c>
      <x:c r="J290" s="23" t="n">
        <x:v>9</x:v>
      </x:c>
      <x:c r="K290" s="23" t="n">
        <x:v>190.12481434054217</x:v>
      </x:c>
      <x:c r="L290" s="23" t="n">
        <x:v>45</x:v>
      </x:c>
      <x:c r="M290" s="23" t="n">
        <x:v>25</x:v>
      </x:c>
      <x:c r="N290" s="23" t="n">
        <x:v>1.1709348158550767</x:v>
      </x:c>
      <x:c r="O290" s="23" t="n">
        <x:v>52.223596141497175</x:v>
      </x:c>
      <x:c r="P290" s="23" t="n">
        <x:v>1420.2924138866365</x:v>
      </x:c>
      <x:c r="Q290" s="23" t="n">
        <x:v>1.1805246782644983</x:v>
      </x:c>
      <x:c r="R290" s="23" t="n">
        <x:v>51.566566533686625</x:v>
      </x:c>
      <x:c r="S290" s="23" t="n">
        <x:v>1428.999141268411</x:v>
      </x:c>
      <x:c r="T290" s="23" t="n">
        <x:v>0.009589862409421501</x:v>
      </x:c>
      <x:c r="U290" s="23" t="n">
        <x:v>-0.65702960781055</x:v>
      </x:c>
      <x:c r="V290" s="23" t="n">
        <x:v>8.706727381774499</x:v>
      </x:c>
    </x:row>
    <x:row r="291">
      <x:c r="A291" s="23" t="n">
        <x:v>290</x:v>
      </x:c>
      <x:c r="B291" s="23" t="str">
        <x:v>Train</x:v>
      </x:c>
      <x:c r="C291" s="23" t="str">
        <x:v>Lightning</x:v>
      </x:c>
      <x:c r="D291" s="23" t="n">
        <x:v>1392.6415638648905</x:v>
      </x:c>
      <x:c r="E291" s="23" t="n">
        <x:v>966.1770786391571</x:v>
      </x:c>
      <x:c r="F291" s="23" t="n">
        <x:v>476.31755406036973</x:v>
      </x:c>
      <x:c r="G291" s="23" t="n">
        <x:v>93.18720378912985</x:v>
      </x:c>
      <x:c r="H291" s="23" t="n">
        <x:v>29.067560323048383</x:v>
      </x:c>
      <x:c r="I291" s="23" t="n">
        <x:v>0.8346734193572775</x:v>
      </x:c>
      <x:c r="J291" s="23" t="n">
        <x:v>9</x:v>
      </x:c>
      <x:c r="K291" s="23" t="n">
        <x:v>185.38741974040107</x:v>
      </x:c>
      <x:c r="L291" s="23" t="n">
        <x:v>45</x:v>
      </x:c>
      <x:c r="M291" s="23" t="n">
        <x:v>25</x:v>
      </x:c>
      <x:c r="N291" s="23" t="n">
        <x:v>1.1790005278929034</x:v>
      </x:c>
      <x:c r="O291" s="23" t="n">
        <x:v>52.214451190354495</x:v>
      </x:c>
      <x:c r="P291" s="23" t="n">
        <x:v>1392.6415638648905</x:v>
      </x:c>
      <x:c r="Q291" s="23" t="n">
        <x:v>1.1660037823216307</x:v>
      </x:c>
      <x:c r="R291" s="23" t="n">
        <x:v>52.55127557505476</x:v>
      </x:c>
      <x:c r="S291" s="23" t="n">
        <x:v>1382.5133182561094</x:v>
      </x:c>
      <x:c r="T291" s="23" t="n">
        <x:v>-0.012996745571272728</x:v>
      </x:c>
      <x:c r="U291" s="23" t="n">
        <x:v>0.33682438470026455</x:v>
      </x:c>
      <x:c r="V291" s="23" t="n">
        <x:v>-10.128245608781071</x:v>
      </x:c>
    </x:row>
    <x:row r="292">
      <x:c r="A292" s="23" t="n">
        <x:v>291</x:v>
      </x:c>
      <x:c r="B292" s="23" t="str">
        <x:v>Train</x:v>
      </x:c>
      <x:c r="C292" s="23" t="str">
        <x:v>Lightning</x:v>
      </x:c>
      <x:c r="D292" s="23" t="n">
        <x:v>1410.846534348093</x:v>
      </x:c>
      <x:c r="E292" s="23" t="n">
        <x:v>656.3158066594042</x:v>
      </x:c>
      <x:c r="F292" s="23" t="n">
        <x:v>424.78395514190197</x:v>
      </x:c>
      <x:c r="G292" s="23" t="n">
        <x:v>240.84985219640657</x:v>
      </x:c>
      <x:c r="H292" s="23" t="n">
        <x:v>22.013491083867848</x:v>
      </x:c>
      <x:c r="I292" s="23" t="n">
        <x:v>0.8009450426022523</x:v>
      </x:c>
      <x:c r="J292" s="23" t="n">
        <x:v>9</x:v>
      </x:c>
      <x:c r="K292" s="23" t="n">
        <x:v>195.719703226285</x:v>
      </x:c>
      <x:c r="L292" s="23" t="n">
        <x:v>55</x:v>
      </x:c>
      <x:c r="M292" s="23" t="n">
        <x:v>25</x:v>
      </x:c>
      <x:c r="N292" s="23" t="n">
        <x:v>1.1819842438943435</x:v>
      </x:c>
      <x:c r="O292" s="23" t="n">
        <x:v>52.18112499356259</x:v>
      </x:c>
      <x:c r="P292" s="23" t="n">
        <x:v>1410.846534348093</x:v>
      </x:c>
      <x:c r="Q292" s="23" t="n">
        <x:v>1.175226729522427</x:v>
      </x:c>
      <x:c r="R292" s="23" t="n">
        <x:v>51.305254273976594</x:v>
      </x:c>
      <x:c r="S292" s="23" t="n">
        <x:v>1417.3433650548448</x:v>
      </x:c>
      <x:c r="T292" s="23" t="n">
        <x:v>-0.006757514371916518</x:v>
      </x:c>
      <x:c r="U292" s="23" t="n">
        <x:v>-0.8758707195859969</x:v>
      </x:c>
      <x:c r="V292" s="23" t="n">
        <x:v>6.49683070675178</x:v>
      </x:c>
    </x:row>
    <x:row r="293">
      <x:c r="A293" s="23" t="n">
        <x:v>292</x:v>
      </x:c>
      <x:c r="B293" s="23" t="str">
        <x:v>Train</x:v>
      </x:c>
      <x:c r="C293" s="23" t="str">
        <x:v>Lightning</x:v>
      </x:c>
      <x:c r="D293" s="23" t="n">
        <x:v>1363.6619995697401</x:v>
      </x:c>
      <x:c r="E293" s="23" t="n">
        <x:v>709.3907431233674</x:v>
      </x:c>
      <x:c r="F293" s="23" t="n">
        <x:v>707.0102187804878</x:v>
      </x:c>
      <x:c r="G293" s="23" t="n">
        <x:v>160.5267378455028</x:v>
      </x:c>
      <x:c r="H293" s="23" t="n">
        <x:v>14.804976529907435</x:v>
      </x:c>
      <x:c r="I293" s="23" t="n">
        <x:v>0.8114834441058338</x:v>
      </x:c>
      <x:c r="J293" s="23" t="n">
        <x:v>9</x:v>
      </x:c>
      <x:c r="K293" s="23" t="n">
        <x:v>186.7173028023383</x:v>
      </x:c>
      <x:c r="L293" s="23" t="n">
        <x:v>50</x:v>
      </x:c>
      <x:c r="M293" s="23" t="n">
        <x:v>25</x:v>
      </x:c>
      <x:c r="N293" s="23" t="n">
        <x:v>1.2518573197970715</x:v>
      </x:c>
      <x:c r="O293" s="23" t="n">
        <x:v>52.220882451583414</x:v>
      </x:c>
      <x:c r="P293" s="23" t="n">
        <x:v>1363.6619995697401</x:v>
      </x:c>
      <x:c r="Q293" s="23" t="n">
        <x:v>1.2554826190991863</x:v>
      </x:c>
      <x:c r="R293" s="23" t="n">
        <x:v>51.309115931692496</x:v>
      </x:c>
      <x:c r="S293" s="23" t="n">
        <x:v>1377.728590628359</x:v>
      </x:c>
      <x:c r="T293" s="23" t="n">
        <x:v>0.0036252993021148594</x:v>
      </x:c>
      <x:c r="U293" s="23" t="n">
        <x:v>-0.911766519890918</x:v>
      </x:c>
      <x:c r="V293" s="23" t="n">
        <x:v>14.06659105861877</x:v>
      </x:c>
    </x:row>
    <x:row r="294">
      <x:c r="A294" s="23" t="n">
        <x:v>293</x:v>
      </x:c>
      <x:c r="B294" s="23" t="str">
        <x:v>Train</x:v>
      </x:c>
      <x:c r="C294" s="23" t="str">
        <x:v>Lightning</x:v>
      </x:c>
      <x:c r="D294" s="23" t="n">
        <x:v>1467.0675671193749</x:v>
      </x:c>
      <x:c r="E294" s="23" t="n">
        <x:v>936.1348179983906</x:v>
      </x:c>
      <x:c r="F294" s="23" t="n">
        <x:v>695.4602790996432</x:v>
      </x:c>
      <x:c r="G294" s="23" t="n">
        <x:v>183.4347017412074</x:v>
      </x:c>
      <x:c r="H294" s="23" t="n">
        <x:v>26.122084327042103</x:v>
      </x:c>
      <x:c r="I294" s="23" t="n">
        <x:v>0.807843525505159</x:v>
      </x:c>
      <x:c r="J294" s="23" t="n">
        <x:v>10</x:v>
      </x:c>
      <x:c r="K294" s="23" t="n">
        <x:v>181.60293680660385</x:v>
      </x:c>
      <x:c r="L294" s="23" t="n">
        <x:v>35</x:v>
      </x:c>
      <x:c r="M294" s="23" t="n">
        <x:v>25</x:v>
      </x:c>
      <x:c r="N294" s="23" t="n">
        <x:v>1.2066679929506532</x:v>
      </x:c>
      <x:c r="O294" s="23" t="n">
        <x:v>52.289453912648895</x:v>
      </x:c>
      <x:c r="P294" s="23" t="n">
        <x:v>1467.0675671193749</x:v>
      </x:c>
      <x:c r="Q294" s="23" t="n">
        <x:v>1.197774566211097</x:v>
      </x:c>
      <x:c r="R294" s="23" t="n">
        <x:v>52.75831041936339</x:v>
      </x:c>
      <x:c r="S294" s="23" t="n">
        <x:v>1450.8297650350244</x:v>
      </x:c>
      <x:c r="T294" s="23" t="n">
        <x:v>-0.008893426739556176</x:v>
      </x:c>
      <x:c r="U294" s="23" t="n">
        <x:v>0.46885650671449497</x:v>
      </x:c>
      <x:c r="V294" s="23" t="n">
        <x:v>-16.237802084350506</x:v>
      </x:c>
    </x:row>
    <x:row r="295">
      <x:c r="A295" s="23" t="n">
        <x:v>294</x:v>
      </x:c>
      <x:c r="B295" s="23" t="str">
        <x:v>Train</x:v>
      </x:c>
      <x:c r="C295" s="23" t="str">
        <x:v>Lightning</x:v>
      </x:c>
      <x:c r="D295" s="23" t="n">
        <x:v>1416.4038325776346</x:v>
      </x:c>
      <x:c r="E295" s="23" t="n">
        <x:v>924.2697603767738</x:v>
      </x:c>
      <x:c r="F295" s="23" t="n">
        <x:v>643.129434902221</x:v>
      </x:c>
      <x:c r="G295" s="23" t="n">
        <x:v>184.41113030537963</x:v>
      </x:c>
      <x:c r="H295" s="23" t="n">
        <x:v>29.620592860970646</x:v>
      </x:c>
      <x:c r="I295" s="23" t="n">
        <x:v>0.8043990081688389</x:v>
      </x:c>
      <x:c r="J295" s="23" t="n">
        <x:v>9</x:v>
      </x:c>
      <x:c r="K295" s="23" t="n">
        <x:v>195.64693892151638</x:v>
      </x:c>
      <x:c r="L295" s="23" t="n">
        <x:v>40</x:v>
      </x:c>
      <x:c r="M295" s="23" t="n">
        <x:v>25</x:v>
      </x:c>
      <x:c r="N295" s="23" t="n">
        <x:v>1.21284517677869</x:v>
      </x:c>
      <x:c r="O295" s="23" t="n">
        <x:v>52.24815102501674</x:v>
      </x:c>
      <x:c r="P295" s="23" t="n">
        <x:v>1416.4038325776346</x:v>
      </x:c>
      <x:c r="Q295" s="23" t="n">
        <x:v>1.2039095564988187</x:v>
      </x:c>
      <x:c r="R295" s="23" t="n">
        <x:v>51.34575407120994</x:v>
      </x:c>
      <x:c r="S295" s="23" t="n">
        <x:v>1395.7828883093246</x:v>
      </x:c>
      <x:c r="T295" s="23" t="n">
        <x:v>-0.008935620279871381</x:v>
      </x:c>
      <x:c r="U295" s="23" t="n">
        <x:v>-0.9023969538068002</x:v>
      </x:c>
      <x:c r="V295" s="23" t="n">
        <x:v>-20.62094426831004</x:v>
      </x:c>
    </x:row>
    <x:row r="296">
      <x:c r="A296" s="23" t="n">
        <x:v>295</x:v>
      </x:c>
      <x:c r="B296" s="23" t="str">
        <x:v>Validation</x:v>
      </x:c>
      <x:c r="C296" s="23" t="str">
        <x:v>Lightning</x:v>
      </x:c>
      <x:c r="D296" s="23" t="n">
        <x:v>1452.3964951978996</x:v>
      </x:c>
      <x:c r="E296" s="23" t="n">
        <x:v>650.1777459052391</x:v>
      </x:c>
      <x:c r="F296" s="23" t="n">
        <x:v>667.5059080123901</x:v>
      </x:c>
      <x:c r="G296" s="23" t="n">
        <x:v>214.97594551881775</x:v>
      </x:c>
      <x:c r="H296" s="23" t="n">
        <x:v>20.736389893107116</x:v>
      </x:c>
      <x:c r="I296" s="23" t="n">
        <x:v>0.8173010166711174</x:v>
      </x:c>
      <x:c r="J296" s="23" t="n">
        <x:v>9</x:v>
      </x:c>
      <x:c r="K296" s="23" t="n">
        <x:v>197.45159379908193</x:v>
      </x:c>
      <x:c r="L296" s="23" t="n">
        <x:v>50</x:v>
      </x:c>
      <x:c r="M296" s="23" t="n">
        <x:v>25</x:v>
      </x:c>
      <x:c r="N296" s="23" t="n">
        <x:v>1.2442747065890858</x:v>
      </x:c>
      <x:c r="O296" s="23" t="n">
        <x:v>52.21397994804212</x:v>
      </x:c>
      <x:c r="P296" s="23" t="n">
        <x:v>1452.3964951978996</x:v>
      </x:c>
      <x:c r="Q296" s="23" t="n">
        <x:v>1.2322279763766586</x:v>
      </x:c>
      <x:c r="R296" s="23" t="n">
        <x:v>51.10436928899538</x:v>
      </x:c>
      <x:c r="S296" s="23" t="n">
        <x:v>1445.5635476979978</x:v>
      </x:c>
      <x:c r="T296" s="23" t="n">
        <x:v>-0.012046730212427192</x:v>
      </x:c>
      <x:c r="U296" s="23" t="n">
        <x:v>-1.1096106590467443</x:v>
      </x:c>
      <x:c r="V296" s="23" t="n">
        <x:v>-6.83294749990182</x:v>
      </x:c>
    </x:row>
    <x:row r="297">
      <x:c r="A297" s="23" t="n">
        <x:v>296</x:v>
      </x:c>
      <x:c r="B297" s="23" t="str">
        <x:v>Validation</x:v>
      </x:c>
      <x:c r="C297" s="23" t="str">
        <x:v>Lightning</x:v>
      </x:c>
      <x:c r="D297" s="23" t="n">
        <x:v>1398.372773907613</x:v>
      </x:c>
      <x:c r="E297" s="23" t="n">
        <x:v>1149.8946503736079</x:v>
      </x:c>
      <x:c r="F297" s="23" t="n">
        <x:v>624.681422766298</x:v>
      </x:c>
      <x:c r="G297" s="23" t="n">
        <x:v>198.5357883805409</x:v>
      </x:c>
      <x:c r="H297" s="23" t="n">
        <x:v>16.111057949718088</x:v>
      </x:c>
      <x:c r="I297" s="23" t="n">
        <x:v>0.8406776133272797</x:v>
      </x:c>
      <x:c r="J297" s="23" t="n">
        <x:v>9</x:v>
      </x:c>
      <x:c r="K297" s="23" t="n">
        <x:v>184.82085188571963</x:v>
      </x:c>
      <x:c r="L297" s="23" t="n">
        <x:v>35</x:v>
      </x:c>
      <x:c r="M297" s="23" t="n">
        <x:v>25</x:v>
      </x:c>
      <x:c r="N297" s="23" t="n">
        <x:v>1.1397332597436656</x:v>
      </x:c>
      <x:c r="O297" s="23" t="n">
        <x:v>52.282657467007574</x:v>
      </x:c>
      <x:c r="P297" s="23" t="n">
        <x:v>1398.372773907613</x:v>
      </x:c>
      <x:c r="Q297" s="23" t="n">
        <x:v>1.1532446700437962</x:v>
      </x:c>
      <x:c r="R297" s="23" t="n">
        <x:v>52.254055469247795</x:v>
      </x:c>
      <x:c r="S297" s="23" t="n">
        <x:v>1393.162275626853</x:v>
      </x:c>
      <x:c r="T297" s="23" t="n">
        <x:v>0.013511410300130589</x:v>
      </x:c>
      <x:c r="U297" s="23" t="n">
        <x:v>-0.028601997759778897</x:v>
      </x:c>
      <x:c r="V297" s="23" t="n">
        <x:v>-5.210498280760021</x:v>
      </x:c>
    </x:row>
    <x:row r="298">
      <x:c r="A298" s="23" t="n">
        <x:v>297</x:v>
      </x:c>
      <x:c r="B298" s="23" t="str">
        <x:v>Validation</x:v>
      </x:c>
      <x:c r="C298" s="23" t="str">
        <x:v>Lightning</x:v>
      </x:c>
      <x:c r="D298" s="23" t="n">
        <x:v>1454.703420214355</x:v>
      </x:c>
      <x:c r="E298" s="23" t="n">
        <x:v>1015.7508124015294</x:v>
      </x:c>
      <x:c r="F298" s="23" t="n">
        <x:v>395.8195926621556</x:v>
      </x:c>
      <x:c r="G298" s="23" t="n">
        <x:v>299.93947733426467</x:v>
      </x:c>
      <x:c r="H298" s="23" t="n">
        <x:v>13.94235928915441</x:v>
      </x:c>
      <x:c r="I298" s="23" t="n">
        <x:v>0.8243295118329116</x:v>
      </x:c>
      <x:c r="J298" s="23" t="n">
        <x:v>9</x:v>
      </x:c>
      <x:c r="K298" s="23" t="n">
        <x:v>196.07900849959267</x:v>
      </x:c>
      <x:c r="L298" s="23" t="n">
        <x:v>45</x:v>
      </x:c>
      <x:c r="M298" s="23" t="n">
        <x:v>25</x:v>
      </x:c>
      <x:c r="N298" s="23" t="n">
        <x:v>1.2273410278192913</x:v>
      </x:c>
      <x:c r="O298" s="23" t="n">
        <x:v>52.241867178412896</x:v>
      </x:c>
      <x:c r="P298" s="23" t="n">
        <x:v>1454.703420214355</x:v>
      </x:c>
      <x:c r="Q298" s="23" t="n">
        <x:v>1.2282084136839295</x:v>
      </x:c>
      <x:c r="R298" s="23" t="n">
        <x:v>52.31016214019047</x:v>
      </x:c>
      <x:c r="S298" s="23" t="n">
        <x:v>1450.823524719712</x:v>
      </x:c>
      <x:c r="T298" s="23" t="n">
        <x:v>0.0008673858646381927</x:v>
      </x:c>
      <x:c r="U298" s="23" t="n">
        <x:v>0.06829496177757477</x:v>
      </x:c>
      <x:c r="V298" s="23" t="n">
        <x:v>-3.8798954946430513</x:v>
      </x:c>
    </x:row>
    <x:row r="299">
      <x:c r="A299" s="23" t="n">
        <x:v>298</x:v>
      </x:c>
      <x:c r="B299" s="23" t="str">
        <x:v>Hidden Test</x:v>
      </x:c>
      <x:c r="C299" s="23" t="str">
        <x:v>Lightning</x:v>
      </x:c>
      <x:c r="D299" s="23" t="n">
        <x:v>1450.0387427047826</x:v>
      </x:c>
      <x:c r="E299" s="23" t="n">
        <x:v>918.9804550493136</x:v>
      </x:c>
      <x:c r="F299" s="23" t="n">
        <x:v>685.6216252781451</x:v>
      </x:c>
      <x:c r="G299" s="23" t="n">
        <x:v>255.15205848030746</x:v>
      </x:c>
      <x:c r="H299" s="23" t="n">
        <x:v>11.445985574740916</x:v>
      </x:c>
      <x:c r="I299" s="23" t="n">
        <x:v>0.8101481987209991</x:v>
      </x:c>
      <x:c r="J299" s="23" t="n">
        <x:v>9</x:v>
      </x:c>
      <x:c r="K299" s="23" t="n">
        <x:v>198.87153499871238</x:v>
      </x:c>
      <x:c r="L299" s="23" t="n">
        <x:v>40</x:v>
      </x:c>
      <x:c r="M299" s="23" t="n">
        <x:v>25</x:v>
      </x:c>
      <x:c r="N299" s="23" t="n">
        <x:v>1.1825940042471927</x:v>
      </x:c>
      <x:c r="O299" s="23" t="n">
        <x:v>52.2649821640936</x:v>
      </x:c>
      <x:c r="P299" s="23" t="n">
        <x:v>1450.0387427047826</x:v>
      </x:c>
      <x:c r="Q299" s="23" t="n">
        <x:v>1.202503016915262</x:v>
      </x:c>
      <x:c r="R299" s="23" t="n">
        <x:v>53.15160855530838</x:v>
      </x:c>
      <x:c r="S299" s="23" t="n">
        <x:v>1454.9065221514868</x:v>
      </x:c>
      <x:c r="T299" s="23" t="n">
        <x:v>0.019909012668069215</x:v>
      </x:c>
      <x:c r="U299" s="23" t="n">
        <x:v>0.8866263912147758</x:v>
      </x:c>
      <x:c r="V299" s="23" t="n">
        <x:v>4.867779446704162</x:v>
      </x:c>
    </x:row>
    <x:row r="300">
      <x:c r="A300" s="23" t="n">
        <x:v>299</x:v>
      </x:c>
      <x:c r="B300" s="23" t="str">
        <x:v>Hidden Test</x:v>
      </x:c>
      <x:c r="C300" s="23" t="str">
        <x:v>Lightning</x:v>
      </x:c>
      <x:c r="D300" s="23" t="n">
        <x:v>1487.601630273275</x:v>
      </x:c>
      <x:c r="E300" s="23" t="n">
        <x:v>985.843549540732</x:v>
      </x:c>
      <x:c r="F300" s="23" t="n">
        <x:v>496.3036734610796</x:v>
      </x:c>
      <x:c r="G300" s="23" t="n">
        <x:v>215.30937040923163</x:v>
      </x:c>
      <x:c r="H300" s="23" t="n">
        <x:v>20.214172915555537</x:v>
      </x:c>
      <x:c r="I300" s="23" t="n">
        <x:v>0.8134365106257611</x:v>
      </x:c>
      <x:c r="J300" s="23" t="n">
        <x:v>10</x:v>
      </x:c>
      <x:c r="K300" s="23" t="n">
        <x:v>182.8786402922696</x:v>
      </x:c>
      <x:c r="L300" s="23" t="n">
        <x:v>40</x:v>
      </x:c>
      <x:c r="M300" s="23" t="n">
        <x:v>25</x:v>
      </x:c>
      <x:c r="N300" s="23" t="n">
        <x:v>1.2348959788365643</x:v>
      </x:c>
      <x:c r="O300" s="23" t="n">
        <x:v>52.26908435480847</x:v>
      </x:c>
      <x:c r="P300" s="23" t="n">
        <x:v>1487.601630273275</x:v>
      </x:c>
      <x:c r="Q300" s="23" t="n">
        <x:v>1.2322380924619407</x:v>
      </x:c>
      <x:c r="R300" s="23" t="n">
        <x:v>52.0421818215011</x:v>
      </x:c>
      <x:c r="S300" s="23" t="n">
        <x:v>1482.3659242479819</x:v>
      </x:c>
      <x:c r="T300" s="23" t="n">
        <x:v>-0.002657886374623608</x:v>
      </x:c>
      <x:c r="U300" s="23" t="n">
        <x:v>-0.2269025333073671</x:v>
      </x:c>
      <x:c r="V300" s="23" t="n">
        <x:v>-5.2357060252932115</x:v>
      </x:c>
    </x:row>
    <x:row r="301">
      <x:c r="A301" s="23" t="n">
        <x:v>300</x:v>
      </x:c>
      <x:c r="B301" s="23" t="str">
        <x:v>Hidden Test</x:v>
      </x:c>
      <x:c r="C301" s="23" t="str">
        <x:v>Lightning</x:v>
      </x:c>
      <x:c r="D301" s="23" t="n">
        <x:v>1458.0729229724966</x:v>
      </x:c>
      <x:c r="E301" s="23" t="n">
        <x:v>892.5909602548927</x:v>
      </x:c>
      <x:c r="F301" s="23" t="n">
        <x:v>517.1153585426509</x:v>
      </x:c>
      <x:c r="G301" s="23" t="n">
        <x:v>196.6283719940111</x:v>
      </x:c>
      <x:c r="H301" s="23" t="n">
        <x:v>21.192108559887856</x:v>
      </x:c>
      <x:c r="I301" s="23" t="n">
        <x:v>0.80175409052521</x:v>
      </x:c>
      <x:c r="J301" s="23" t="n">
        <x:v>10</x:v>
      </x:c>
      <x:c r="K301" s="23" t="n">
        <x:v>181.86036594055267</x:v>
      </x:c>
      <x:c r="L301" s="23" t="n">
        <x:v>40</x:v>
      </x:c>
      <x:c r="M301" s="23" t="n">
        <x:v>25</x:v>
      </x:c>
      <x:c r="N301" s="23" t="n">
        <x:v>1.1784495902421384</x:v>
      </x:c>
      <x:c r="O301" s="23" t="n">
        <x:v>52.25329748517964</x:v>
      </x:c>
      <x:c r="P301" s="23" t="n">
        <x:v>1458.0729229724966</x:v>
      </x:c>
      <x:c r="Q301" s="23" t="n">
        <x:v>1.1867062127141705</x:v>
      </x:c>
      <x:c r="R301" s="23" t="n">
        <x:v>52.95380800467365</x:v>
      </x:c>
      <x:c r="S301" s="23" t="n">
        <x:v>1453.976241140132</x:v>
      </x:c>
      <x:c r="T301" s="23" t="n">
        <x:v>0.008256622472032182</x:v>
      </x:c>
      <x:c r="U301" s="23" t="n">
        <x:v>0.70051051949401</x:v>
      </x:c>
      <x:c r="V301" s="23" t="n">
        <x:v>-4.096681832364538</x:v>
      </x:c>
    </x:row>
    <x:row r="302">
      <x:c r="A302" s="23" t="n">
        <x:v>301</x:v>
      </x:c>
      <x:c r="B302" s="23" t="str">
        <x:v>Train</x:v>
      </x:c>
      <x:c r="C302" s="23" t="str">
        <x:v>Lightning</x:v>
      </x:c>
      <x:c r="D302" s="23" t="n">
        <x:v>1450.4828286822885</x:v>
      </x:c>
      <x:c r="E302" s="23" t="n">
        <x:v>885.2311896975152</x:v>
      </x:c>
      <x:c r="F302" s="23" t="n">
        <x:v>534.292577765882</x:v>
      </x:c>
      <x:c r="G302" s="23" t="n">
        <x:v>140.8955899369903</x:v>
      </x:c>
      <x:c r="H302" s="23" t="n">
        <x:v>11.595403853803873</x:v>
      </x:c>
      <x:c r="I302" s="23" t="n">
        <x:v>0.811614880936686</x:v>
      </x:c>
      <x:c r="J302" s="23" t="n">
        <x:v>9</x:v>
      </x:c>
      <x:c r="K302" s="23" t="n">
        <x:v>198.57294700717662</x:v>
      </x:c>
      <x:c r="L302" s="23" t="n">
        <x:v>50</x:v>
      </x:c>
      <x:c r="M302" s="23" t="n">
        <x:v>25</x:v>
      </x:c>
      <x:c r="N302" s="23" t="n">
        <x:v>1.2252648050238641</x:v>
      </x:c>
      <x:c r="O302" s="23" t="n">
        <x:v>52.218308388302646</x:v>
      </x:c>
      <x:c r="P302" s="23" t="n">
        <x:v>1450.4828286822885</x:v>
      </x:c>
      <x:c r="Q302" s="23" t="n">
        <x:v>1.2410082633140007</x:v>
      </x:c>
      <x:c r="R302" s="23" t="n">
        <x:v>51.69342511054103</x:v>
      </x:c>
      <x:c r="S302" s="23" t="n">
        <x:v>1456.2894180426704</x:v>
      </x:c>
      <x:c r="T302" s="23" t="n">
        <x:v>0.01574345829013657</x:v>
      </x:c>
      <x:c r="U302" s="23" t="n">
        <x:v>-0.5248832777616173</x:v>
      </x:c>
      <x:c r="V302" s="23" t="n">
        <x:v>5.8065893603818495</x:v>
      </x:c>
    </x:row>
    <x:row r="303">
      <x:c r="A303" s="23" t="n">
        <x:v>302</x:v>
      </x:c>
      <x:c r="B303" s="23" t="str">
        <x:v>Train</x:v>
      </x:c>
      <x:c r="C303" s="23" t="str">
        <x:v>Lightning</x:v>
      </x:c>
      <x:c r="D303" s="23" t="n">
        <x:v>1389.415966544766</x:v>
      </x:c>
      <x:c r="E303" s="23" t="n">
        <x:v>1020.8668642444536</x:v>
      </x:c>
      <x:c r="F303" s="23" t="n">
        <x:v>485.7850347645581</x:v>
      </x:c>
      <x:c r="G303" s="23" t="n">
        <x:v>129.63666573166847</x:v>
      </x:c>
      <x:c r="H303" s="23" t="n">
        <x:v>10.64387188339606</x:v>
      </x:c>
      <x:c r="I303" s="23" t="n">
        <x:v>0.8028551984531805</x:v>
      </x:c>
      <x:c r="J303" s="23" t="n">
        <x:v>9</x:v>
      </x:c>
      <x:c r="K303" s="23" t="n">
        <x:v>192.28816371338493</x:v>
      </x:c>
      <x:c r="L303" s="23" t="n">
        <x:v>45</x:v>
      </x:c>
      <x:c r="M303" s="23" t="n">
        <x:v>25</x:v>
      </x:c>
      <x:c r="N303" s="23" t="n">
        <x:v>1.160269387159258</x:v>
      </x:c>
      <x:c r="O303" s="23" t="n">
        <x:v>52.230138294457184</x:v>
      </x:c>
      <x:c r="P303" s="23" t="n">
        <x:v>1389.415966544766</x:v>
      </x:c>
      <x:c r="Q303" s="23" t="n">
        <x:v>1.156624705246622</x:v>
      </x:c>
      <x:c r="R303" s="23" t="n">
        <x:v>52.3616620325129</x:v>
      </x:c>
      <x:c r="S303" s="23" t="n">
        <x:v>1400.356898992275</x:v>
      </x:c>
      <x:c r="T303" s="23" t="n">
        <x:v>-0.0036446819126358942</x:v>
      </x:c>
      <x:c r="U303" s="23" t="n">
        <x:v>0.13152373805571926</x:v>
      </x:c>
      <x:c r="V303" s="23" t="n">
        <x:v>10.940932447509113</x:v>
      </x:c>
    </x:row>
    <x:row r="304">
      <x:c r="A304" s="23" t="n">
        <x:v>303</x:v>
      </x:c>
      <x:c r="B304" s="23" t="str">
        <x:v>Train</x:v>
      </x:c>
      <x:c r="C304" s="23" t="str">
        <x:v>Lightning</x:v>
      </x:c>
      <x:c r="D304" s="23" t="n">
        <x:v>1390.5047247419134</x:v>
      </x:c>
      <x:c r="E304" s="23" t="n">
        <x:v>870.2319936011918</x:v>
      </x:c>
      <x:c r="F304" s="23" t="n">
        <x:v>511.59581914544106</x:v>
      </x:c>
      <x:c r="G304" s="23" t="n">
        <x:v>314.5564090064727</x:v>
      </x:c>
      <x:c r="H304" s="23" t="n">
        <x:v>13.783227308653295</x:v>
      </x:c>
      <x:c r="I304" s="23" t="n">
        <x:v>0.8270027366816066</x:v>
      </x:c>
      <x:c r="J304" s="23" t="n">
        <x:v>9</x:v>
      </x:c>
      <x:c r="K304" s="23" t="n">
        <x:v>186.8198472852284</x:v>
      </x:c>
      <x:c r="L304" s="23" t="n">
        <x:v>45</x:v>
      </x:c>
      <x:c r="M304" s="23" t="n">
        <x:v>25</x:v>
      </x:c>
      <x:c r="N304" s="23" t="n">
        <x:v>1.2163196566477925</x:v>
      </x:c>
      <x:c r="O304" s="23" t="n">
        <x:v>52.23950870977685</x:v>
      </x:c>
      <x:c r="P304" s="23" t="n">
        <x:v>1390.5047247419134</x:v>
      </x:c>
      <x:c r="Q304" s="23" t="n">
        <x:v>1.2274821338736894</x:v>
      </x:c>
      <x:c r="R304" s="23" t="n">
        <x:v>51.45684060517722</x:v>
      </x:c>
      <x:c r="S304" s="23" t="n">
        <x:v>1402.7541178908757</x:v>
      </x:c>
      <x:c r="T304" s="23" t="n">
        <x:v>0.011162477225896916</x:v>
      </x:c>
      <x:c r="U304" s="23" t="n">
        <x:v>-0.7826681045996295</x:v>
      </x:c>
      <x:c r="V304" s="23" t="n">
        <x:v>12.249393148962326</x:v>
      </x:c>
    </x:row>
    <x:row r="305">
      <x:c r="A305" s="23" t="n">
        <x:v>304</x:v>
      </x:c>
      <x:c r="B305" s="23" t="str">
        <x:v>Train</x:v>
      </x:c>
      <x:c r="C305" s="23" t="str">
        <x:v>Lightning</x:v>
      </x:c>
      <x:c r="D305" s="23" t="n">
        <x:v>1355.4876450332813</x:v>
      </x:c>
      <x:c r="E305" s="23" t="n">
        <x:v>1066.9566133990884</x:v>
      </x:c>
      <x:c r="F305" s="23" t="n">
        <x:v>479.45372303947806</x:v>
      </x:c>
      <x:c r="G305" s="23" t="n">
        <x:v>237.98092272598296</x:v>
      </x:c>
      <x:c r="H305" s="23" t="n">
        <x:v>8.38873648038134</x:v>
      </x:c>
      <x:c r="I305" s="23" t="n">
        <x:v>0.7988565977569669</x:v>
      </x:c>
      <x:c r="J305" s="23" t="n">
        <x:v>9</x:v>
      </x:c>
      <x:c r="K305" s="23" t="n">
        <x:v>188.53163228533623</x:v>
      </x:c>
      <x:c r="L305" s="23" t="n">
        <x:v>45</x:v>
      </x:c>
      <x:c r="M305" s="23" t="n">
        <x:v>25</x:v>
      </x:c>
      <x:c r="N305" s="23" t="n">
        <x:v>1.2493632932541259</x:v>
      </x:c>
      <x:c r="O305" s="23" t="n">
        <x:v>52.25323120708523</x:v>
      </x:c>
      <x:c r="P305" s="23" t="n">
        <x:v>1355.4876450332813</x:v>
      </x:c>
      <x:c r="Q305" s="23" t="n">
        <x:v>1.2634467685713504</x:v>
      </x:c>
      <x:c r="R305" s="23" t="n">
        <x:v>53.64646127238147</x:v>
      </x:c>
      <x:c r="S305" s="23" t="n">
        <x:v>1364.4917343294787</x:v>
      </x:c>
      <x:c r="T305" s="23" t="n">
        <x:v>0.014083475317224536</x:v>
      </x:c>
      <x:c r="U305" s="23" t="n">
        <x:v>1.393230065296244</x:v>
      </x:c>
      <x:c r="V305" s="23" t="n">
        <x:v>9.004089296197435</x:v>
      </x:c>
    </x:row>
    <x:row r="306">
      <x:c r="A306" s="23" t="n">
        <x:v>305</x:v>
      </x:c>
      <x:c r="B306" s="23" t="str">
        <x:v>Train</x:v>
      </x:c>
      <x:c r="C306" s="23" t="str">
        <x:v>Lightning</x:v>
      </x:c>
      <x:c r="D306" s="23" t="n">
        <x:v>1461.2758596427739</x:v>
      </x:c>
      <x:c r="E306" s="23" t="n">
        <x:v>1187.9556977539323</x:v>
      </x:c>
      <x:c r="F306" s="23" t="n">
        <x:v>633.8449517264962</x:v>
      </x:c>
      <x:c r="G306" s="23" t="n">
        <x:v>275.4373345361091</x:v>
      </x:c>
      <x:c r="H306" s="23" t="n">
        <x:v>20.169142501428723</x:v>
      </x:c>
      <x:c r="I306" s="23" t="n">
        <x:v>0.8126408192445524</x:v>
      </x:c>
      <x:c r="J306" s="23" t="n">
        <x:v>9</x:v>
      </x:c>
      <x:c r="K306" s="23" t="n">
        <x:v>199.79796800718125</x:v>
      </x:c>
      <x:c r="L306" s="23" t="n">
        <x:v>35</x:v>
      </x:c>
      <x:c r="M306" s="23" t="n">
        <x:v>25</x:v>
      </x:c>
      <x:c r="N306" s="23" t="n">
        <x:v>1.229669751792326</x:v>
      </x:c>
      <x:c r="O306" s="23" t="n">
        <x:v>52.302011832657776</x:v>
      </x:c>
      <x:c r="P306" s="23" t="n">
        <x:v>1461.2758596427739</x:v>
      </x:c>
      <x:c r="Q306" s="23" t="n">
        <x:v>1.2433488673865718</x:v>
      </x:c>
      <x:c r="R306" s="23" t="n">
        <x:v>53.612834620199585</x:v>
      </x:c>
      <x:c r="S306" s="23" t="n">
        <x:v>1454.6790277917744</x:v>
      </x:c>
      <x:c r="T306" s="23" t="n">
        <x:v>0.013679115594245728</x:v>
      </x:c>
      <x:c r="U306" s="23" t="n">
        <x:v>1.3108227875418095</x:v>
      </x:c>
      <x:c r="V306" s="23" t="n">
        <x:v>-6.596831850999479</x:v>
      </x:c>
    </x:row>
    <x:row r="307">
      <x:c r="A307" s="23" t="n">
        <x:v>306</x:v>
      </x:c>
      <x:c r="B307" s="23" t="str">
        <x:v>Train</x:v>
      </x:c>
      <x:c r="C307" s="23" t="str">
        <x:v>Lightning</x:v>
      </x:c>
      <x:c r="D307" s="23" t="n">
        <x:v>1430.2134878584184</x:v>
      </x:c>
      <x:c r="E307" s="23" t="n">
        <x:v>1212.2468290152028</x:v>
      </x:c>
      <x:c r="F307" s="23" t="n">
        <x:v>600.1604386605322</x:v>
      </x:c>
      <x:c r="G307" s="23" t="n">
        <x:v>329.1178822237998</x:v>
      </x:c>
      <x:c r="H307" s="23" t="n">
        <x:v>8.169449598062783</x:v>
      </x:c>
      <x:c r="I307" s="23" t="n">
        <x:v>0.8481818072730676</x:v>
      </x:c>
      <x:c r="J307" s="23" t="n">
        <x:v>9</x:v>
      </x:c>
      <x:c r="K307" s="23" t="n">
        <x:v>187.35677704872705</x:v>
      </x:c>
      <x:c r="L307" s="23" t="n">
        <x:v>35</x:v>
      </x:c>
      <x:c r="M307" s="23" t="n">
        <x:v>25</x:v>
      </x:c>
      <x:c r="N307" s="23" t="n">
        <x:v>1.1794462347805974</x:v>
      </x:c>
      <x:c r="O307" s="23" t="n">
        <x:v>52.30891730899808</x:v>
      </x:c>
      <x:c r="P307" s="23" t="n">
        <x:v>1430.2134878584184</x:v>
      </x:c>
      <x:c r="Q307" s="23" t="n">
        <x:v>1.1913820631580856</x:v>
      </x:c>
      <x:c r="R307" s="23" t="n">
        <x:v>54.035123169170966</x:v>
      </x:c>
      <x:c r="S307" s="23" t="n">
        <x:v>1423.8602562640165</x:v>
      </x:c>
      <x:c r="T307" s="23" t="n">
        <x:v>0.011935828377488189</x:v>
      </x:c>
      <x:c r="U307" s="23" t="n">
        <x:v>1.7262058601728825</x:v>
      </x:c>
      <x:c r="V307" s="23" t="n">
        <x:v>-6.353231594401905</x:v>
      </x:c>
    </x:row>
    <x:row r="308">
      <x:c r="A308" s="23" t="n">
        <x:v>307</x:v>
      </x:c>
      <x:c r="B308" s="23" t="str">
        <x:v>Train</x:v>
      </x:c>
      <x:c r="C308" s="23" t="str">
        <x:v>Lightning</x:v>
      </x:c>
      <x:c r="D308" s="23" t="n">
        <x:v>1450.668087392114</x:v>
      </x:c>
      <x:c r="E308" s="23" t="n">
        <x:v>745.4984034993686</x:v>
      </x:c>
      <x:c r="F308" s="23" t="n">
        <x:v>616.7870577424765</x:v>
      </x:c>
      <x:c r="G308" s="23" t="n">
        <x:v>218.57249048305675</x:v>
      </x:c>
      <x:c r="H308" s="23" t="n">
        <x:v>24.168970686383545</x:v>
      </x:c>
      <x:c r="I308" s="23" t="n">
        <x:v>0.8063076071883553</x:v>
      </x:c>
      <x:c r="J308" s="23" t="n">
        <x:v>9</x:v>
      </x:c>
      <x:c r="K308" s="23" t="n">
        <x:v>199.90552192063714</x:v>
      </x:c>
      <x:c r="L308" s="23" t="n">
        <x:v>45</x:v>
      </x:c>
      <x:c r="M308" s="23" t="n">
        <x:v>25</x:v>
      </x:c>
      <x:c r="N308" s="23" t="n">
        <x:v>1.1872702857175832</x:v>
      </x:c>
      <x:c r="O308" s="23" t="n">
        <x:v>52.22149527612271</x:v>
      </x:c>
      <x:c r="P308" s="23" t="n">
        <x:v>1450.668087392114</x:v>
      </x:c>
      <x:c r="Q308" s="23" t="n">
        <x:v>1.1861930074438338</x:v>
      </x:c>
      <x:c r="R308" s="23" t="n">
        <x:v>52.62316467292102</x:v>
      </x:c>
      <x:c r="S308" s="23" t="n">
        <x:v>1450.011189068829</x:v>
      </x:c>
      <x:c r="T308" s="23" t="n">
        <x:v>-0.0010772782737493714</x:v>
      </x:c>
      <x:c r="U308" s="23" t="n">
        <x:v>0.4016693967983116</x:v>
      </x:c>
      <x:c r="V308" s="23" t="n">
        <x:v>-0.6568983232850769</x:v>
      </x:c>
    </x:row>
    <x:row r="309">
      <x:c r="A309" s="23" t="n">
        <x:v>308</x:v>
      </x:c>
      <x:c r="B309" s="23" t="str">
        <x:v>Train</x:v>
      </x:c>
      <x:c r="C309" s="23" t="str">
        <x:v>Lightning</x:v>
      </x:c>
      <x:c r="D309" s="23" t="n">
        <x:v>1497.6435528486036</x:v>
      </x:c>
      <x:c r="E309" s="23" t="n">
        <x:v>687.6005771104246</x:v>
      </x:c>
      <x:c r="F309" s="23" t="n">
        <x:v>537.1131765656173</x:v>
      </x:c>
      <x:c r="G309" s="23" t="n">
        <x:v>239.15629582013935</x:v>
      </x:c>
      <x:c r="H309" s="23" t="n">
        <x:v>24.923896938096732</x:v>
      </x:c>
      <x:c r="I309" s="23" t="n">
        <x:v>0.7987321209348739</x:v>
      </x:c>
      <x:c r="J309" s="23" t="n">
        <x:v>10</x:v>
      </x:c>
      <x:c r="K309" s="23" t="n">
        <x:v>187.50260739429018</x:v>
      </x:c>
      <x:c r="L309" s="23" t="n">
        <x:v>45</x:v>
      </x:c>
      <x:c r="M309" s="23" t="n">
        <x:v>25</x:v>
      </x:c>
      <x:c r="N309" s="23" t="n">
        <x:v>1.210207138408879</x:v>
      </x:c>
      <x:c r="O309" s="23" t="n">
        <x:v>52.22861548607521</x:v>
      </x:c>
      <x:c r="P309" s="23" t="n">
        <x:v>1497.6435528486036</x:v>
      </x:c>
      <x:c r="Q309" s="23" t="n">
        <x:v>1.207062906240754</x:v>
      </x:c>
      <x:c r="R309" s="23" t="n">
        <x:v>51.38826614416716</x:v>
      </x:c>
      <x:c r="S309" s="23" t="n">
        <x:v>1493.4429343220827</x:v>
      </x:c>
      <x:c r="T309" s="23" t="n">
        <x:v>-0.003144232168124983</x:v>
      </x:c>
      <x:c r="U309" s="23" t="n">
        <x:v>-0.8403493419080519</x:v>
      </x:c>
      <x:c r="V309" s="23" t="n">
        <x:v>-4.200618526520884</x:v>
      </x:c>
    </x:row>
    <x:row r="310">
      <x:c r="A310" s="23" t="n">
        <x:v>309</x:v>
      </x:c>
      <x:c r="B310" s="23" t="str">
        <x:v>Train</x:v>
      </x:c>
      <x:c r="C310" s="23" t="str">
        <x:v>Lightning</x:v>
      </x:c>
      <x:c r="D310" s="23" t="n">
        <x:v>1475.9195525664836</x:v>
      </x:c>
      <x:c r="E310" s="23" t="n">
        <x:v>940.7989956322126</x:v>
      </x:c>
      <x:c r="F310" s="23" t="n">
        <x:v>720.2454714104533</x:v>
      </x:c>
      <x:c r="G310" s="23" t="n">
        <x:v>166.07917121844366</x:v>
      </x:c>
      <x:c r="H310" s="23" t="n">
        <x:v>29.251064836978912</x:v>
      </x:c>
      <x:c r="I310" s="23" t="n">
        <x:v>0.834199488221202</x:v>
      </x:c>
      <x:c r="J310" s="23" t="n">
        <x:v>9</x:v>
      </x:c>
      <x:c r="K310" s="23" t="n">
        <x:v>196.58494606123634</x:v>
      </x:c>
      <x:c r="L310" s="23" t="n">
        <x:v>40</x:v>
      </x:c>
      <x:c r="M310" s="23" t="n">
        <x:v>25</x:v>
      </x:c>
      <x:c r="N310" s="23" t="n">
        <x:v>1.2566874060282287</x:v>
      </x:c>
      <x:c r="O310" s="23" t="n">
        <x:v>52.25989425329586</x:v>
      </x:c>
      <x:c r="P310" s="23" t="n">
        <x:v>1475.9195525664836</x:v>
      </x:c>
      <x:c r="Q310" s="23" t="n">
        <x:v>1.261644723406152</x:v>
      </x:c>
      <x:c r="R310" s="23" t="n">
        <x:v>52.121957809761895</x:v>
      </x:c>
      <x:c r="S310" s="23" t="n">
        <x:v>1462.761418425304</x:v>
      </x:c>
      <x:c r="T310" s="23" t="n">
        <x:v>0.004957317377923376</x:v>
      </x:c>
      <x:c r="U310" s="23" t="n">
        <x:v>-0.13793644353396672</x:v>
      </x:c>
      <x:c r="V310" s="23" t="n">
        <x:v>-13.158134141179517</x:v>
      </x:c>
    </x:row>
    <x:row r="311">
      <x:c r="A311" s="23" t="n">
        <x:v>310</x:v>
      </x:c>
      <x:c r="B311" s="23" t="str">
        <x:v>Train</x:v>
      </x:c>
      <x:c r="C311" s="23" t="str">
        <x:v>Lightning</x:v>
      </x:c>
      <x:c r="D311" s="23" t="n">
        <x:v>1419.1474602674134</x:v>
      </x:c>
      <x:c r="E311" s="23" t="n">
        <x:v>650.7511863252148</x:v>
      </x:c>
      <x:c r="F311" s="23" t="n">
        <x:v>455.76132955029607</x:v>
      </x:c>
      <x:c r="G311" s="23" t="n">
        <x:v>124.6855598129332</x:v>
      </x:c>
      <x:c r="H311" s="23" t="n">
        <x:v>11.560886195395142</x:v>
      </x:c>
      <x:c r="I311" s="23" t="n">
        <x:v>0.8386432720487937</x:v>
      </x:c>
      <x:c r="J311" s="23" t="n">
        <x:v>9</x:v>
      </x:c>
      <x:c r="K311" s="23" t="n">
        <x:v>188.02160155128442</x:v>
      </x:c>
      <x:c r="L311" s="23" t="n">
        <x:v>65</x:v>
      </x:c>
      <x:c r="M311" s="23" t="n">
        <x:v>25</x:v>
      </x:c>
      <x:c r="N311" s="23" t="n">
        <x:v>1.2433883746407828</x:v>
      </x:c>
      <x:c r="O311" s="23" t="n">
        <x:v>52.166974559951726</x:v>
      </x:c>
      <x:c r="P311" s="23" t="n">
        <x:v>1419.1474602674134</x:v>
      </x:c>
      <x:c r="Q311" s="23" t="n">
        <x:v>1.2310084595179487</x:v>
      </x:c>
      <x:c r="R311" s="23" t="n">
        <x:v>51.10627453173442</x:v>
      </x:c>
      <x:c r="S311" s="23" t="n">
        <x:v>1442.6185439162648</x:v>
      </x:c>
      <x:c r="T311" s="23" t="n">
        <x:v>-0.012379915122834095</x:v>
      </x:c>
      <x:c r="U311" s="23" t="n">
        <x:v>-1.0607000282173047</x:v>
      </x:c>
      <x:c r="V311" s="23" t="n">
        <x:v>23.47108364885139</x:v>
      </x:c>
    </x:row>
    <x:row r="312">
      <x:c r="A312" s="23" t="n">
        <x:v>311</x:v>
      </x:c>
      <x:c r="B312" s="23" t="str">
        <x:v>Train</x:v>
      </x:c>
      <x:c r="C312" s="23" t="str">
        <x:v>Lightning</x:v>
      </x:c>
      <x:c r="D312" s="23" t="n">
        <x:v>1414.8453035624698</x:v>
      </x:c>
      <x:c r="E312" s="23" t="n">
        <x:v>1095.3975690645166</x:v>
      </x:c>
      <x:c r="F312" s="23" t="n">
        <x:v>406.671567261219</x:v>
      </x:c>
      <x:c r="G312" s="23" t="n">
        <x:v>164.32666858425364</x:v>
      </x:c>
      <x:c r="H312" s="23" t="n">
        <x:v>21.81971342395991</x:v>
      </x:c>
      <x:c r="I312" s="23" t="n">
        <x:v>0.8526198117784225</x:v>
      </x:c>
      <x:c r="J312" s="23" t="n">
        <x:v>9</x:v>
      </x:c>
      <x:c r="K312" s="23" t="n">
        <x:v>184.37881873898738</x:v>
      </x:c>
      <x:c r="L312" s="23" t="n">
        <x:v>45</x:v>
      </x:c>
      <x:c r="M312" s="23" t="n">
        <x:v>25</x:v>
      </x:c>
      <x:c r="N312" s="23" t="n">
        <x:v>1.2344199173279602</x:v>
      </x:c>
      <x:c r="O312" s="23" t="n">
        <x:v>52.23483276588059</x:v>
      </x:c>
      <x:c r="P312" s="23" t="n">
        <x:v>1414.8453035624698</x:v>
      </x:c>
      <x:c r="Q312" s="23" t="n">
        <x:v>1.227459392316161</x:v>
      </x:c>
      <x:c r="R312" s="23" t="n">
        <x:v>52.32120404675629</x:v>
      </x:c>
      <x:c r="S312" s="23" t="n">
        <x:v>1414.5962908036454</x:v>
      </x:c>
      <x:c r="T312" s="23" t="n">
        <x:v>-0.0069605250117992234</x:v>
      </x:c>
      <x:c r="U312" s="23" t="n">
        <x:v>0.0863712808757029</x:v>
      </x:c>
      <x:c r="V312" s="23" t="n">
        <x:v>-0.24901275882439222</x:v>
      </x:c>
    </x:row>
    <x:row r="313">
      <x:c r="A313" s="23" t="n">
        <x:v>312</x:v>
      </x:c>
      <x:c r="B313" s="23" t="str">
        <x:v>Train</x:v>
      </x:c>
      <x:c r="C313" s="23" t="str">
        <x:v>Lightning</x:v>
      </x:c>
      <x:c r="D313" s="23" t="n">
        <x:v>1445.8631805027835</x:v>
      </x:c>
      <x:c r="E313" s="23" t="n">
        <x:v>1232.391897123307</x:v>
      </x:c>
      <x:c r="F313" s="23" t="n">
        <x:v>458.30975687131286</x:v>
      </x:c>
      <x:c r="G313" s="23" t="n">
        <x:v>325.3021319815889</x:v>
      </x:c>
      <x:c r="H313" s="23" t="n">
        <x:v>15.94232097780332</x:v>
      </x:c>
      <x:c r="I313" s="23" t="n">
        <x:v>0.7932425065059215</x:v>
      </x:c>
      <x:c r="J313" s="23" t="n">
        <x:v>10</x:v>
      </x:c>
      <x:c r="K313" s="23" t="n">
        <x:v>182.27252935190384</x:v>
      </x:c>
      <x:c r="L313" s="23" t="n">
        <x:v>35</x:v>
      </x:c>
      <x:c r="M313" s="23" t="n">
        <x:v>25</x:v>
      </x:c>
      <x:c r="N313" s="23" t="n">
        <x:v>1.2698839428570903</x:v>
      </x:c>
      <x:c r="O313" s="23" t="n">
        <x:v>52.324272655920375</x:v>
      </x:c>
      <x:c r="P313" s="23" t="n">
        <x:v>1445.8631805027835</x:v>
      </x:c>
      <x:c r="Q313" s="23" t="n">
        <x:v>1.2839389098942005</x:v>
      </x:c>
      <x:c r="R313" s="23" t="n">
        <x:v>53.68754916838036</x:v>
      </x:c>
      <x:c r="S313" s="23" t="n">
        <x:v>1439.362057503673</x:v>
      </x:c>
      <x:c r="T313" s="23" t="n">
        <x:v>0.014054967037110178</x:v>
      </x:c>
      <x:c r="U313" s="23" t="n">
        <x:v>1.3632765124599828</x:v>
      </x:c>
      <x:c r="V313" s="23" t="n">
        <x:v>-6.501122999110521</x:v>
      </x:c>
    </x:row>
    <x:row r="314">
      <x:c r="A314" s="23" t="n">
        <x:v>313</x:v>
      </x:c>
      <x:c r="B314" s="23" t="str">
        <x:v>Train</x:v>
      </x:c>
      <x:c r="C314" s="23" t="str">
        <x:v>Lightning</x:v>
      </x:c>
      <x:c r="D314" s="23" t="n">
        <x:v>1379.423851892352</x:v>
      </x:c>
      <x:c r="E314" s="23" t="n">
        <x:v>1130.752357689198</x:v>
      </x:c>
      <x:c r="F314" s="23" t="n">
        <x:v>732.5395660474896</x:v>
      </x:c>
      <x:c r="G314" s="23" t="n">
        <x:v>308.5014917724766</x:v>
      </x:c>
      <x:c r="H314" s="23" t="n">
        <x:v>8.40564258210361</x:v>
      </x:c>
      <x:c r="I314" s="23" t="n">
        <x:v>0.8072214999538847</x:v>
      </x:c>
      <x:c r="J314" s="23" t="n">
        <x:v>9</x:v>
      </x:c>
      <x:c r="K314" s="23" t="n">
        <x:v>189.87268907689406</x:v>
      </x:c>
      <x:c r="L314" s="23" t="n">
        <x:v>35</x:v>
      </x:c>
      <x:c r="M314" s="23" t="n">
        <x:v>25</x:v>
      </x:c>
      <x:c r="N314" s="23" t="n">
        <x:v>1.196880424939297</x:v>
      </x:c>
      <x:c r="O314" s="23" t="n">
        <x:v>52.31363688831327</x:v>
      </x:c>
      <x:c r="P314" s="23" t="n">
        <x:v>1379.423851892352</x:v>
      </x:c>
      <x:c r="Q314" s="23" t="n">
        <x:v>1.203748495257394</x:v>
      </x:c>
      <x:c r="R314" s="23" t="n">
        <x:v>52.64064879265522</x:v>
      </x:c>
      <x:c r="S314" s="23" t="n">
        <x:v>1376.3165988966598</x:v>
      </x:c>
      <x:c r="T314" s="23" t="n">
        <x:v>0.006868070318096997</x:v>
      </x:c>
      <x:c r="U314" s="23" t="n">
        <x:v>0.32701190434195126</x:v>
      </x:c>
      <x:c r="V314" s="23" t="n">
        <x:v>-3.1072529956923063</x:v>
      </x:c>
    </x:row>
    <x:row r="315">
      <x:c r="A315" s="23" t="n">
        <x:v>314</x:v>
      </x:c>
      <x:c r="B315" s="23" t="str">
        <x:v>Train</x:v>
      </x:c>
      <x:c r="C315" s="23" t="str">
        <x:v>Lightning</x:v>
      </x:c>
      <x:c r="D315" s="23" t="n">
        <x:v>1393.629800027702</x:v>
      </x:c>
      <x:c r="E315" s="23" t="n">
        <x:v>1155.9723286191002</x:v>
      </x:c>
      <x:c r="F315" s="23" t="n">
        <x:v>530.7623938657343</x:v>
      </x:c>
      <x:c r="G315" s="23" t="n">
        <x:v>91.29784411750734</x:v>
      </x:c>
      <x:c r="H315" s="23" t="n">
        <x:v>17.06370846601203</x:v>
      </x:c>
      <x:c r="I315" s="23" t="n">
        <x:v>0.8234978129761293</x:v>
      </x:c>
      <x:c r="J315" s="23" t="n">
        <x:v>9</x:v>
      </x:c>
      <x:c r="K315" s="23" t="n">
        <x:v>188.03663242166024</x:v>
      </x:c>
      <x:c r="L315" s="23" t="n">
        <x:v>40</x:v>
      </x:c>
      <x:c r="M315" s="23" t="n">
        <x:v>25</x:v>
      </x:c>
      <x:c r="N315" s="23" t="n">
        <x:v>1.163700036192693</x:v>
      </x:c>
      <x:c r="O315" s="23" t="n">
        <x:v>52.25223972794746</x:v>
      </x:c>
      <x:c r="P315" s="23" t="n">
        <x:v>1393.629800027702</x:v>
      </x:c>
      <x:c r="Q315" s="23" t="n">
        <x:v>1.1658945531126361</x:v>
      </x:c>
      <x:c r="R315" s="23" t="n">
        <x:v>52.08745730773052</x:v>
      </x:c>
      <x:c r="S315" s="23" t="n">
        <x:v>1388.3679465682458</x:v>
      </x:c>
      <x:c r="T315" s="23" t="n">
        <x:v>0.0021945169199431014</x:v>
      </x:c>
      <x:c r="U315" s="23" t="n">
        <x:v>-0.16478242021694456</x:v>
      </x:c>
      <x:c r="V315" s="23" t="n">
        <x:v>-5.261853459456233</x:v>
      </x:c>
    </x:row>
    <x:row r="316">
      <x:c r="A316" s="23" t="n">
        <x:v>315</x:v>
      </x:c>
      <x:c r="B316" s="23" t="str">
        <x:v>Validation</x:v>
      </x:c>
      <x:c r="C316" s="23" t="str">
        <x:v>Lightning</x:v>
      </x:c>
      <x:c r="D316" s="23" t="n">
        <x:v>1389.1510349465534</x:v>
      </x:c>
      <x:c r="E316" s="23" t="n">
        <x:v>1084.7033002064563</x:v>
      </x:c>
      <x:c r="F316" s="23" t="n">
        <x:v>420.2894363552332</x:v>
      </x:c>
      <x:c r="G316" s="23" t="n">
        <x:v>216.5477397921495</x:v>
      </x:c>
      <x:c r="H316" s="23" t="n">
        <x:v>24.332317837513983</x:v>
      </x:c>
      <x:c r="I316" s="23" t="n">
        <x:v>0.7980881288903766</x:v>
      </x:c>
      <x:c r="J316" s="23" t="n">
        <x:v>9</x:v>
      </x:c>
      <x:c r="K316" s="23" t="n">
        <x:v>193.39983819664437</x:v>
      </x:c>
      <x:c r="L316" s="23" t="n">
        <x:v>40</x:v>
      </x:c>
      <x:c r="M316" s="23" t="n">
        <x:v>25</x:v>
      </x:c>
      <x:c r="N316" s="23" t="n">
        <x:v>1.1675896740139222</x:v>
      </x:c>
      <x:c r="O316" s="23" t="n">
        <x:v>52.24343119877547</x:v>
      </x:c>
      <x:c r="P316" s="23" t="n">
        <x:v>1389.1510349465534</x:v>
      </x:c>
      <x:c r="Q316" s="23" t="n">
        <x:v>1.1603137284438911</x:v>
      </x:c>
      <x:c r="R316" s="23" t="n">
        <x:v>52.43424175102511</x:v>
      </x:c>
      <x:c r="S316" s="23" t="n">
        <x:v>1370.9384184028675</x:v>
      </x:c>
      <x:c r="T316" s="23" t="n">
        <x:v>-0.007275945570031084</x:v>
      </x:c>
      <x:c r="U316" s="23" t="n">
        <x:v>0.19081055224964416</x:v>
      </x:c>
      <x:c r="V316" s="23" t="n">
        <x:v>-18.212616543685954</x:v>
      </x:c>
    </x:row>
    <x:row r="317">
      <x:c r="A317" s="23" t="n">
        <x:v>316</x:v>
      </x:c>
      <x:c r="B317" s="23" t="str">
        <x:v>Validation</x:v>
      </x:c>
      <x:c r="C317" s="23" t="str">
        <x:v>Lightning</x:v>
      </x:c>
      <x:c r="D317" s="23" t="n">
        <x:v>1404.4215996167623</x:v>
      </x:c>
      <x:c r="E317" s="23" t="n">
        <x:v>1026.8865774851292</x:v>
      </x:c>
      <x:c r="F317" s="23" t="n">
        <x:v>616.973918210715</x:v>
      </x:c>
      <x:c r="G317" s="23" t="n">
        <x:v>114.77304975967854</x:v>
      </x:c>
      <x:c r="H317" s="23" t="n">
        <x:v>22.930803548078984</x:v>
      </x:c>
      <x:c r="I317" s="23" t="n">
        <x:v>0.8058116050064564</x:v>
      </x:c>
      <x:c r="J317" s="23" t="n">
        <x:v>9</x:v>
      </x:c>
      <x:c r="K317" s="23" t="n">
        <x:v>193.65177100001205</x:v>
      </x:c>
      <x:c r="L317" s="23" t="n">
        <x:v>40</x:v>
      </x:c>
      <x:c r="M317" s="23" t="n">
        <x:v>25</x:v>
      </x:c>
      <x:c r="N317" s="23" t="n">
        <x:v>1.1828069438816602</x:v>
      </x:c>
      <x:c r="O317" s="23" t="n">
        <x:v>52.24921493557515</x:v>
      </x:c>
      <x:c r="P317" s="23" t="n">
        <x:v>1404.4215996167623</x:v>
      </x:c>
      <x:c r="Q317" s="23" t="n">
        <x:v>1.177096842790765</x:v>
      </x:c>
      <x:c r="R317" s="23" t="n">
        <x:v>51.73093510316774</x:v>
      </x:c>
      <x:c r="S317" s="23" t="n">
        <x:v>1389.1781604759963</x:v>
      </x:c>
      <x:c r="T317" s="23" t="n">
        <x:v>-0.005710101090895092</x:v>
      </x:c>
      <x:c r="U317" s="23" t="n">
        <x:v>-0.5182798324074085</x:v>
      </x:c>
      <x:c r="V317" s="23" t="n">
        <x:v>-15.243439140765986</x:v>
      </x:c>
    </x:row>
    <x:row r="318">
      <x:c r="A318" s="23" t="n">
        <x:v>317</x:v>
      </x:c>
      <x:c r="B318" s="23" t="str">
        <x:v>Validation</x:v>
      </x:c>
      <x:c r="C318" s="23" t="str">
        <x:v>Lightning</x:v>
      </x:c>
      <x:c r="D318" s="23" t="n">
        <x:v>1388.2224615197629</x:v>
      </x:c>
      <x:c r="E318" s="23" t="n">
        <x:v>938.7426433037035</x:v>
      </x:c>
      <x:c r="F318" s="23" t="n">
        <x:v>351.10109504312277</x:v>
      </x:c>
      <x:c r="G318" s="23" t="n">
        <x:v>139.1586519149132</x:v>
      </x:c>
      <x:c r="H318" s="23" t="n">
        <x:v>18.040418442338705</x:v>
      </x:c>
      <x:c r="I318" s="23" t="n">
        <x:v>0.830413002113346</x:v>
      </x:c>
      <x:c r="J318" s="23" t="n">
        <x:v>9</x:v>
      </x:c>
      <x:c r="K318" s="23" t="n">
        <x:v>185.7472604310317</x:v>
      </x:c>
      <x:c r="L318" s="23" t="n">
        <x:v>50</x:v>
      </x:c>
      <x:c r="M318" s="23" t="n">
        <x:v>25</x:v>
      </x:c>
      <x:c r="N318" s="23" t="n">
        <x:v>1.154553734316458</x:v>
      </x:c>
      <x:c r="O318" s="23" t="n">
        <x:v>52.19781719770157</x:v>
      </x:c>
      <x:c r="P318" s="23" t="n">
        <x:v>1388.2224615197629</x:v>
      </x:c>
      <x:c r="Q318" s="23" t="n">
        <x:v>1.1417157206964443</x:v>
      </x:c>
      <x:c r="R318" s="23" t="n">
        <x:v>51.86483121664107</x:v>
      </x:c>
      <x:c r="S318" s="23" t="n">
        <x:v>1402.8896150704081</x:v>
      </x:c>
      <x:c r="T318" s="23" t="n">
        <x:v>-0.012838013620013689</x:v>
      </x:c>
      <x:c r="U318" s="23" t="n">
        <x:v>-0.3329859810604958</x:v>
      </x:c>
      <x:c r="V318" s="23" t="n">
        <x:v>14.667153550645253</x:v>
      </x:c>
    </x:row>
    <x:row r="319">
      <x:c r="A319" s="23" t="n">
        <x:v>318</x:v>
      </x:c>
      <x:c r="B319" s="23" t="str">
        <x:v>Hidden Test</x:v>
      </x:c>
      <x:c r="C319" s="23" t="str">
        <x:v>Lightning</x:v>
      </x:c>
      <x:c r="D319" s="23" t="n">
        <x:v>1474.69726317795</x:v>
      </x:c>
      <x:c r="E319" s="23" t="n">
        <x:v>1238.739716517739</x:v>
      </x:c>
      <x:c r="F319" s="23" t="n">
        <x:v>676.2036134488881</x:v>
      </x:c>
      <x:c r="G319" s="23" t="n">
        <x:v>182.56449971348047</x:v>
      </x:c>
      <x:c r="H319" s="23" t="n">
        <x:v>28.49542653793469</x:v>
      </x:c>
      <x:c r="I319" s="23" t="n">
        <x:v>0.8506185718206689</x:v>
      </x:c>
      <x:c r="J319" s="23" t="n">
        <x:v>9</x:v>
      </x:c>
      <x:c r="K319" s="23" t="n">
        <x:v>192.63070063647908</x:v>
      </x:c>
      <x:c r="L319" s="23" t="n">
        <x:v>30</x:v>
      </x:c>
      <x:c r="M319" s="23" t="n">
        <x:v>25</x:v>
      </x:c>
      <x:c r="N319" s="23" t="n">
        <x:v>1.1450768178415074</x:v>
      </x:c>
      <x:c r="O319" s="23" t="n">
        <x:v>52.30205390834286</x:v>
      </x:c>
      <x:c r="P319" s="23" t="n">
        <x:v>1474.69726317795</x:v>
      </x:c>
      <x:c r="Q319" s="23" t="n">
        <x:v>1.1607186006412304</x:v>
      </x:c>
      <x:c r="R319" s="23" t="n">
        <x:v>53.322708345563974</x:v>
      </x:c>
      <x:c r="S319" s="23" t="n">
        <x:v>1450.4703294681697</x:v>
      </x:c>
      <x:c r="T319" s="23" t="n">
        <x:v>0.01564178279972306</x:v>
      </x:c>
      <x:c r="U319" s="23" t="n">
        <x:v>1.0206544372211113</x:v>
      </x:c>
      <x:c r="V319" s="23" t="n">
        <x:v>-24.22693370978027</x:v>
      </x:c>
    </x:row>
    <x:row r="320">
      <x:c r="A320" s="23" t="n">
        <x:v>319</x:v>
      </x:c>
      <x:c r="B320" s="23" t="str">
        <x:v>Hidden Test</x:v>
      </x:c>
      <x:c r="C320" s="23" t="str">
        <x:v>Lightning</x:v>
      </x:c>
      <x:c r="D320" s="23" t="n">
        <x:v>1369.697616272606</x:v>
      </x:c>
      <x:c r="E320" s="23" t="n">
        <x:v>860.5908732046373</x:v>
      </x:c>
      <x:c r="F320" s="23" t="n">
        <x:v>489.48623463511467</x:v>
      </x:c>
      <x:c r="G320" s="23" t="n">
        <x:v>91.95825211470947</x:v>
      </x:c>
      <x:c r="H320" s="23" t="n">
        <x:v>18.438404238782823</x:v>
      </x:c>
      <x:c r="I320" s="23" t="n">
        <x:v>0.8091197216673754</x:v>
      </x:c>
      <x:c r="J320" s="23" t="n">
        <x:v>9</x:v>
      </x:c>
      <x:c r="K320" s="23" t="n">
        <x:v>188.09160122394525</x:v>
      </x:c>
      <x:c r="L320" s="23" t="n">
        <x:v>50</x:v>
      </x:c>
      <x:c r="M320" s="23" t="n">
        <x:v>25</x:v>
      </x:c>
      <x:c r="N320" s="23" t="n">
        <x:v>1.1660905054232988</x:v>
      </x:c>
      <x:c r="O320" s="23" t="n">
        <x:v>52.199849363500896</x:v>
      </x:c>
      <x:c r="P320" s="23" t="n">
        <x:v>1369.697616272606</x:v>
      </x:c>
      <x:c r="Q320" s="23" t="n">
        <x:v>1.1683045139870116</x:v>
      </x:c>
      <x:c r="R320" s="23" t="n">
        <x:v>52.219884759782204</x:v>
      </x:c>
      <x:c r="S320" s="23" t="n">
        <x:v>1381.8139764320647</x:v>
      </x:c>
      <x:c r="T320" s="23" t="n">
        <x:v>0.002214008563712788</x:v>
      </x:c>
      <x:c r="U320" s="23" t="n">
        <x:v>0.020035396281308238</x:v>
      </x:c>
      <x:c r="V320" s="23" t="n">
        <x:v>12.116360159458736</x:v>
      </x:c>
    </x:row>
    <x:row r="321">
      <x:c r="A321" s="23" t="n">
        <x:v>320</x:v>
      </x:c>
      <x:c r="B321" s="23" t="str">
        <x:v>Hidden Test</x:v>
      </x:c>
      <x:c r="C321" s="23" t="str">
        <x:v>Lightning</x:v>
      </x:c>
      <x:c r="D321" s="23" t="n">
        <x:v>1446.4588949340396</x:v>
      </x:c>
      <x:c r="E321" s="23" t="n">
        <x:v>935.834538564086</x:v>
      </x:c>
      <x:c r="F321" s="23" t="n">
        <x:v>712.3061954043806</x:v>
      </x:c>
      <x:c r="G321" s="23" t="n">
        <x:v>213.95791605580598</x:v>
      </x:c>
      <x:c r="H321" s="23" t="n">
        <x:v>17.6131009622477</x:v>
      </x:c>
      <x:c r="I321" s="23" t="n">
        <x:v>0.8347767114918679</x:v>
      </x:c>
      <x:c r="J321" s="23" t="n">
        <x:v>9</x:v>
      </x:c>
      <x:c r="K321" s="23" t="n">
        <x:v>192.52771762816087</x:v>
      </x:c>
      <x:c r="L321" s="23" t="n">
        <x:v>40</x:v>
      </x:c>
      <x:c r="M321" s="23" t="n">
        <x:v>25</x:v>
      </x:c>
      <x:c r="N321" s="23" t="n">
        <x:v>1.2173484948267974</x:v>
      </x:c>
      <x:c r="O321" s="23" t="n">
        <x:v>52.26534773200504</x:v>
      </x:c>
      <x:c r="P321" s="23" t="n">
        <x:v>1446.4588949340396</x:v>
      </x:c>
      <x:c r="Q321" s="23" t="n">
        <x:v>1.224025067233942</x:v>
      </x:c>
      <x:c r="R321" s="23" t="n">
        <x:v>52.09072581152333</x:v>
      </x:c>
      <x:c r="S321" s="23" t="n">
        <x:v>1435.6728564327132</x:v>
      </x:c>
      <x:c r="T321" s="23" t="n">
        <x:v>0.006676572407144699</x:v>
      </x:c>
      <x:c r="U321" s="23" t="n">
        <x:v>-0.17462192048171232</x:v>
      </x:c>
      <x:c r="V321" s="23" t="n">
        <x:v>-10.786038501326402</x:v>
      </x:c>
    </x:row>
    <x:row r="322">
      <x:c r="A322" s="23" t="n">
        <x:v>321</x:v>
      </x:c>
      <x:c r="B322" s="23" t="str">
        <x:v>Train</x:v>
      </x:c>
      <x:c r="C322" s="23" t="str">
        <x:v>Lightning</x:v>
      </x:c>
      <x:c r="D322" s="23" t="n">
        <x:v>1443.1873711757362</x:v>
      </x:c>
      <x:c r="E322" s="23" t="n">
        <x:v>1225.8047822280787</x:v>
      </x:c>
      <x:c r="F322" s="23" t="n">
        <x:v>724.5122307911515</x:v>
      </x:c>
      <x:c r="G322" s="23" t="n">
        <x:v>245.865519142244</x:v>
      </x:c>
      <x:c r="H322" s="23" t="n">
        <x:v>17.879516849294305</x:v>
      </x:c>
      <x:c r="I322" s="23" t="n">
        <x:v>0.8408361222897657</x:v>
      </x:c>
      <x:c r="J322" s="23" t="n">
        <x:v>9</x:v>
      </x:c>
      <x:c r="K322" s="23" t="n">
        <x:v>190.70797281660904</x:v>
      </x:c>
      <x:c r="L322" s="23" t="n">
        <x:v>35</x:v>
      </x:c>
      <x:c r="M322" s="23" t="n">
        <x:v>25</x:v>
      </x:c>
      <x:c r="N322" s="23" t="n">
        <x:v>1.268266306963984</x:v>
      </x:c>
      <x:c r="O322" s="23" t="n">
        <x:v>52.31743976132728</x:v>
      </x:c>
      <x:c r="P322" s="23" t="n">
        <x:v>1443.1873711757362</x:v>
      </x:c>
      <x:c r="Q322" s="23" t="n">
        <x:v>1.2881083613857895</x:v>
      </x:c>
      <x:c r="R322" s="23" t="n">
        <x:v>52.4362750976961</x:v>
      </x:c>
      <x:c r="S322" s="23" t="n">
        <x:v>1433.4898803387218</x:v>
      </x:c>
      <x:c r="T322" s="23" t="n">
        <x:v>0.019842054421805644</x:v>
      </x:c>
      <x:c r="U322" s="23" t="n">
        <x:v>0.11883533636881793</x:v>
      </x:c>
      <x:c r="V322" s="23" t="n">
        <x:v>-9.697490837014357</x:v>
      </x:c>
    </x:row>
    <x:row r="323">
      <x:c r="A323" s="23" t="n">
        <x:v>322</x:v>
      </x:c>
      <x:c r="B323" s="23" t="str">
        <x:v>Train</x:v>
      </x:c>
      <x:c r="C323" s="23" t="str">
        <x:v>Lightning</x:v>
      </x:c>
      <x:c r="D323" s="23" t="n">
        <x:v>1415.5557570629753</x:v>
      </x:c>
      <x:c r="E323" s="23" t="n">
        <x:v>955.0535946385935</x:v>
      </x:c>
      <x:c r="F323" s="23" t="n">
        <x:v>434.9599921144545</x:v>
      </x:c>
      <x:c r="G323" s="23" t="n">
        <x:v>158.3134384546429</x:v>
      </x:c>
      <x:c r="H323" s="23" t="n">
        <x:v>28.694142275024205</x:v>
      </x:c>
      <x:c r="I323" s="23" t="n">
        <x:v>0.8420667320350186</x:v>
      </x:c>
      <x:c r="J323" s="23" t="n">
        <x:v>9</x:v>
      </x:c>
      <x:c r="K323" s="23" t="n">
        <x:v>186.78326434638956</x:v>
      </x:c>
      <x:c r="L323" s="23" t="n">
        <x:v>45</x:v>
      </x:c>
      <x:c r="M323" s="23" t="n">
        <x:v>25</x:v>
      </x:c>
      <x:c r="N323" s="23" t="n">
        <x:v>1.1859230080156247</x:v>
      </x:c>
      <x:c r="O323" s="23" t="n">
        <x:v>52.21642289140551</x:v>
      </x:c>
      <x:c r="P323" s="23" t="n">
        <x:v>1415.5557570629753</x:v>
      </x:c>
      <x:c r="Q323" s="23" t="n">
        <x:v>1.174563272970935</x:v>
      </x:c>
      <x:c r="R323" s="23" t="n">
        <x:v>53.11468103787983</x:v>
      </x:c>
      <x:c r="S323" s="23" t="n">
        <x:v>1407.3601814203737</x:v>
      </x:c>
      <x:c r="T323" s="23" t="n">
        <x:v>-0.011359735044689678</x:v>
      </x:c>
      <x:c r="U323" s="23" t="n">
        <x:v>0.8982581464743262</x:v>
      </x:c>
      <x:c r="V323" s="23" t="n">
        <x:v>-8.195575642601625</x:v>
      </x:c>
    </x:row>
    <x:row r="324">
      <x:c r="A324" s="23" t="n">
        <x:v>323</x:v>
      </x:c>
      <x:c r="B324" s="23" t="str">
        <x:v>Train</x:v>
      </x:c>
      <x:c r="C324" s="23" t="str">
        <x:v>Lightning</x:v>
      </x:c>
      <x:c r="D324" s="23" t="n">
        <x:v>1457.1671988582239</x:v>
      </x:c>
      <x:c r="E324" s="23" t="n">
        <x:v>1107.3886176222004</x:v>
      </x:c>
      <x:c r="F324" s="23" t="n">
        <x:v>714.4257079809904</x:v>
      </x:c>
      <x:c r="G324" s="23" t="n">
        <x:v>202.50265449984</x:v>
      </x:c>
      <x:c r="H324" s="23" t="n">
        <x:v>11.51985386479646</x:v>
      </x:c>
      <x:c r="I324" s="23" t="n">
        <x:v>0.8025611682306044</x:v>
      </x:c>
      <x:c r="J324" s="23" t="n">
        <x:v>10</x:v>
      </x:c>
      <x:c r="K324" s="23" t="n">
        <x:v>181.56462791126816</x:v>
      </x:c>
      <x:c r="L324" s="23" t="n">
        <x:v>35</x:v>
      </x:c>
      <x:c r="M324" s="23" t="n">
        <x:v>25</x:v>
      </x:c>
      <x:c r="N324" s="23" t="n">
        <x:v>1.2500341510909696</x:v>
      </x:c>
      <x:c r="O324" s="23" t="n">
        <x:v>52.32571291680285</x:v>
      </x:c>
      <x:c r="P324" s="23" t="n">
        <x:v>1457.1671988582239</x:v>
      </x:c>
      <x:c r="Q324" s="23" t="n">
        <x:v>1.2618726255572146</x:v>
      </x:c>
      <x:c r="R324" s="23" t="n">
        <x:v>52.76686476457199</x:v>
      </x:c>
      <x:c r="S324" s="23" t="n">
        <x:v>1455.0076499705208</x:v>
      </x:c>
      <x:c r="T324" s="23" t="n">
        <x:v>0.011838474466244975</x:v>
      </x:c>
      <x:c r="U324" s="23" t="n">
        <x:v>0.4411518477691416</x:v>
      </x:c>
      <x:c r="V324" s="23" t="n">
        <x:v>-2.1595488877030675</x:v>
      </x:c>
    </x:row>
    <x:row r="325">
      <x:c r="A325" s="23" t="n">
        <x:v>324</x:v>
      </x:c>
      <x:c r="B325" s="23" t="str">
        <x:v>Train</x:v>
      </x:c>
      <x:c r="C325" s="23" t="str">
        <x:v>Lightning</x:v>
      </x:c>
      <x:c r="D325" s="23" t="n">
        <x:v>1423.2422492816113</x:v>
      </x:c>
      <x:c r="E325" s="23" t="n">
        <x:v>775.047903181985</x:v>
      </x:c>
      <x:c r="F325" s="23" t="n">
        <x:v>451.22349290177226</x:v>
      </x:c>
      <x:c r="G325" s="23" t="n">
        <x:v>285.5934447562322</x:v>
      </x:c>
      <x:c r="H325" s="23" t="n">
        <x:v>28.913187734317034</x:v>
      </x:c>
      <x:c r="I325" s="23" t="n">
        <x:v>0.8441130528412759</x:v>
      </x:c>
      <x:c r="J325" s="23" t="n">
        <x:v>9</x:v>
      </x:c>
      <x:c r="K325" s="23" t="n">
        <x:v>187.34223711582922</x:v>
      </x:c>
      <x:c r="L325" s="23" t="n">
        <x:v>45</x:v>
      </x:c>
      <x:c r="M325" s="23" t="n">
        <x:v>25</x:v>
      </x:c>
      <x:c r="N325" s="23" t="n">
        <x:v>1.1620606075975637</x:v>
      </x:c>
      <x:c r="O325" s="23" t="n">
        <x:v>52.21073752530797</x:v>
      </x:c>
      <x:c r="P325" s="23" t="n">
        <x:v>1423.2422492816113</x:v>
      </x:c>
      <x:c r="Q325" s="23" t="n">
        <x:v>1.15769921967754</x:v>
      </x:c>
      <x:c r="R325" s="23" t="n">
        <x:v>51.130190501020934</x:v>
      </x:c>
      <x:c r="S325" s="23" t="n">
        <x:v>1412.1192186617975</x:v>
      </x:c>
      <x:c r="T325" s="23" t="n">
        <x:v>-0.004361387920023718</x:v>
      </x:c>
      <x:c r="U325" s="23" t="n">
        <x:v>-1.0805470242870356</x:v>
      </x:c>
      <x:c r="V325" s="23" t="n">
        <x:v>-11.12303061981379</x:v>
      </x:c>
    </x:row>
    <x:row r="326">
      <x:c r="A326" s="23" t="n">
        <x:v>325</x:v>
      </x:c>
      <x:c r="B326" s="23" t="str">
        <x:v>Train</x:v>
      </x:c>
      <x:c r="C326" s="23" t="str">
        <x:v>Lightning</x:v>
      </x:c>
      <x:c r="D326" s="23" t="n">
        <x:v>1484.6258046571165</x:v>
      </x:c>
      <x:c r="E326" s="23" t="n">
        <x:v>829.2640255647711</x:v>
      </x:c>
      <x:c r="F326" s="23" t="n">
        <x:v>476.521466486156</x:v>
      </x:c>
      <x:c r="G326" s="23" t="n">
        <x:v>229.01878620730713</x:v>
      </x:c>
      <x:c r="H326" s="23" t="n">
        <x:v>12.763326577842236</x:v>
      </x:c>
      <x:c r="I326" s="23" t="n">
        <x:v>0.832526521703694</x:v>
      </x:c>
      <x:c r="J326" s="23" t="n">
        <x:v>9</x:v>
      </x:c>
      <x:c r="K326" s="23" t="n">
        <x:v>198.14194315648513</x:v>
      </x:c>
      <x:c r="L326" s="23" t="n">
        <x:v>50</x:v>
      </x:c>
      <x:c r="M326" s="23" t="n">
        <x:v>25</x:v>
      </x:c>
      <x:c r="N326" s="23" t="n">
        <x:v>1.211166755130901</x:v>
      </x:c>
      <x:c r="O326" s="23" t="n">
        <x:v>52.21431435708741</x:v>
      </x:c>
      <x:c r="P326" s="23" t="n">
        <x:v>1484.6258046571165</x:v>
      </x:c>
      <x:c r="Q326" s="23" t="n">
        <x:v>1.2110413027399392</x:v>
      </x:c>
      <x:c r="R326" s="23" t="n">
        <x:v>52.62362861632167</x:v>
      </x:c>
      <x:c r="S326" s="23" t="n">
        <x:v>1490.246509458535</x:v>
      </x:c>
      <x:c r="T326" s="23" t="n">
        <x:v>-0.00012545239096195537</x:v>
      </x:c>
      <x:c r="U326" s="23" t="n">
        <x:v>0.40931425923425735</x:v>
      </x:c>
      <x:c r="V326" s="23" t="n">
        <x:v>5.620704801418469</x:v>
      </x:c>
    </x:row>
    <x:row r="327">
      <x:c r="A327" s="23" t="n">
        <x:v>326</x:v>
      </x:c>
      <x:c r="B327" s="23" t="str">
        <x:v>Train</x:v>
      </x:c>
      <x:c r="C327" s="23" t="str">
        <x:v>Lightning</x:v>
      </x:c>
      <x:c r="D327" s="23" t="n">
        <x:v>1495.583636232186</x:v>
      </x:c>
      <x:c r="E327" s="23" t="n">
        <x:v>979.2081605410203</x:v>
      </x:c>
      <x:c r="F327" s="23" t="n">
        <x:v>514.2269072122872</x:v>
      </x:c>
      <x:c r="G327" s="23" t="n">
        <x:v>259.4717009179294</x:v>
      </x:c>
      <x:c r="H327" s="23" t="n">
        <x:v>24.894892050419003</x:v>
      </x:c>
      <x:c r="I327" s="23" t="n">
        <x:v>0.8325845607509836</x:v>
      </x:c>
      <x:c r="J327" s="23" t="n">
        <x:v>9</x:v>
      </x:c>
      <x:c r="K327" s="23" t="n">
        <x:v>199.5904889606226</x:v>
      </x:c>
      <x:c r="L327" s="23" t="n">
        <x:v>40</x:v>
      </x:c>
      <x:c r="M327" s="23" t="n">
        <x:v>25</x:v>
      </x:c>
      <x:c r="N327" s="23" t="n">
        <x:v>1.1894757939506773</x:v>
      </x:c>
      <x:c r="O327" s="23" t="n">
        <x:v>52.248321987905065</x:v>
      </x:c>
      <x:c r="P327" s="23" t="n">
        <x:v>1495.583636232186</x:v>
      </x:c>
      <x:c r="Q327" s="23" t="n">
        <x:v>1.1873834213118355</x:v>
      </x:c>
      <x:c r="R327" s="23" t="n">
        <x:v>52.27388118301606</x:v>
      </x:c>
      <x:c r="S327" s="23" t="n">
        <x:v>1477.5663795973744</x:v>
      </x:c>
      <x:c r="T327" s="23" t="n">
        <x:v>-0.0020923726388417663</x:v>
      </x:c>
      <x:c r="U327" s="23" t="n">
        <x:v>0.02555919511099347</x:v>
      </x:c>
      <x:c r="V327" s="23" t="n">
        <x:v>-18.0172566348117</x:v>
      </x:c>
    </x:row>
    <x:row r="328">
      <x:c r="A328" s="23" t="n">
        <x:v>327</x:v>
      </x:c>
      <x:c r="B328" s="23" t="str">
        <x:v>Train</x:v>
      </x:c>
      <x:c r="C328" s="23" t="str">
        <x:v>Lightning</x:v>
      </x:c>
      <x:c r="D328" s="23" t="n">
        <x:v>1398.2881910400465</x:v>
      </x:c>
      <x:c r="E328" s="23" t="n">
        <x:v>758.6048938450404</x:v>
      </x:c>
      <x:c r="F328" s="23" t="n">
        <x:v>697.3055988550186</x:v>
      </x:c>
      <x:c r="G328" s="23" t="n">
        <x:v>171.4758368744515</x:v>
      </x:c>
      <x:c r="H328" s="23" t="n">
        <x:v>19.12235868256539</x:v>
      </x:c>
      <x:c r="I328" s="23" t="n">
        <x:v>0.8195259763277136</x:v>
      </x:c>
      <x:c r="J328" s="23" t="n">
        <x:v>9</x:v>
      </x:c>
      <x:c r="K328" s="23" t="n">
        <x:v>189.57953627802686</x:v>
      </x:c>
      <x:c r="L328" s="23" t="n">
        <x:v>45</x:v>
      </x:c>
      <x:c r="M328" s="23" t="n">
        <x:v>25</x:v>
      </x:c>
      <x:c r="N328" s="23" t="n">
        <x:v>1.1951883506645198</x:v>
      </x:c>
      <x:c r="O328" s="23" t="n">
        <x:v>52.22875021343891</x:v>
      </x:c>
      <x:c r="P328" s="23" t="n">
        <x:v>1398.2881910400465</x:v>
      </x:c>
      <x:c r="Q328" s="23" t="n">
        <x:v>1.1910736618310558</x:v>
      </x:c>
      <x:c r="R328" s="23" t="n">
        <x:v>50.973254792472886</x:v>
      </x:c>
      <x:c r="S328" s="23" t="n">
        <x:v>1393.7320533116904</x:v>
      </x:c>
      <x:c r="T328" s="23" t="n">
        <x:v>-0.0041146888334639975</x:v>
      </x:c>
      <x:c r="U328" s="23" t="n">
        <x:v>-1.255495420966021</x:v>
      </x:c>
      <x:c r="V328" s="23" t="n">
        <x:v>-4.556137728356134</x:v>
      </x:c>
    </x:row>
    <x:row r="329">
      <x:c r="A329" s="23" t="n">
        <x:v>328</x:v>
      </x:c>
      <x:c r="B329" s="23" t="str">
        <x:v>Train</x:v>
      </x:c>
      <x:c r="C329" s="23" t="str">
        <x:v>Lightning</x:v>
      </x:c>
      <x:c r="D329" s="23" t="n">
        <x:v>1390.3713879059069</x:v>
      </x:c>
      <x:c r="E329" s="23" t="n">
        <x:v>1119.41186087206</x:v>
      </x:c>
      <x:c r="F329" s="23" t="n">
        <x:v>399.9459988437593</x:v>
      </x:c>
      <x:c r="G329" s="23" t="n">
        <x:v>116.34537348989397</x:v>
      </x:c>
      <x:c r="H329" s="23" t="n">
        <x:v>16.08062278991565</x:v>
      </x:c>
      <x:c r="I329" s="23" t="n">
        <x:v>0.8595000719372183</x:v>
      </x:c>
      <x:c r="J329" s="23" t="n">
        <x:v>9</x:v>
      </x:c>
      <x:c r="K329" s="23" t="n">
        <x:v>179.73903064269587</x:v>
      </x:c>
      <x:c r="L329" s="23" t="n">
        <x:v>45</x:v>
      </x:c>
      <x:c r="M329" s="23" t="n">
        <x:v>25</x:v>
      </x:c>
      <x:c r="N329" s="23" t="n">
        <x:v>1.1863005961163438</x:v>
      </x:c>
      <x:c r="O329" s="23" t="n">
        <x:v>52.2300470266376</x:v>
      </x:c>
      <x:c r="P329" s="23" t="n">
        <x:v>1390.3713879059069</x:v>
      </x:c>
      <x:c r="Q329" s="23" t="n">
        <x:v>1.1894488800612353</x:v>
      </x:c>
      <x:c r="R329" s="23" t="n">
        <x:v>53.642545229277964</x:v>
      </x:c>
      <x:c r="S329" s="23" t="n">
        <x:v>1391.3381815992102</x:v>
      </x:c>
      <x:c r="T329" s="23" t="n">
        <x:v>0.003148283944891528</x:v>
      </x:c>
      <x:c r="U329" s="23" t="n">
        <x:v>1.4124982026403643</x:v>
      </x:c>
      <x:c r="V329" s="23" t="n">
        <x:v>0.9667936933033161</x:v>
      </x:c>
    </x:row>
    <x:row r="330">
      <x:c r="A330" s="23" t="n">
        <x:v>329</x:v>
      </x:c>
      <x:c r="B330" s="23" t="str">
        <x:v>Train</x:v>
      </x:c>
      <x:c r="C330" s="23" t="str">
        <x:v>Lightning</x:v>
      </x:c>
      <x:c r="D330" s="23" t="n">
        <x:v>1420.97833994776</x:v>
      </x:c>
      <x:c r="E330" s="23" t="n">
        <x:v>629.0842123678885</x:v>
      </x:c>
      <x:c r="F330" s="23" t="n">
        <x:v>474.3297489359975</x:v>
      </x:c>
      <x:c r="G330" s="23" t="n">
        <x:v>123.60930022085086</x:v>
      </x:c>
      <x:c r="H330" s="23" t="n">
        <x:v>14.993105238303542</x:v>
      </x:c>
      <x:c r="I330" s="23" t="n">
        <x:v>0.8017418082919904</x:v>
      </x:c>
      <x:c r="J330" s="23" t="n">
        <x:v>9</x:v>
      </x:c>
      <x:c r="K330" s="23" t="n">
        <x:v>196.92933633182358</x:v>
      </x:c>
      <x:c r="L330" s="23" t="n">
        <x:v>60</x:v>
      </x:c>
      <x:c r="M330" s="23" t="n">
        <x:v>25</x:v>
      </x:c>
      <x:c r="N330" s="23" t="n">
        <x:v>1.1630457488319637</x:v>
      </x:c>
      <x:c r="O330" s="23" t="n">
        <x:v>52.16632360205325</x:v>
      </x:c>
      <x:c r="P330" s="23" t="n">
        <x:v>1420.97833994776</x:v>
      </x:c>
      <x:c r="Q330" s="23" t="n">
        <x:v>1.1667850070934915</x:v>
      </x:c>
      <x:c r="R330" s="23" t="n">
        <x:v>52.00776098686089</x:v>
      </x:c>
      <x:c r="S330" s="23" t="n">
        <x:v>1435.3352188273038</x:v>
      </x:c>
      <x:c r="T330" s="23" t="n">
        <x:v>0.003739258261527878</x:v>
      </x:c>
      <x:c r="U330" s="23" t="n">
        <x:v>-0.15856261519235915</x:v>
      </x:c>
      <x:c r="V330" s="23" t="n">
        <x:v>14.356878879543729</x:v>
      </x:c>
    </x:row>
    <x:row r="331">
      <x:c r="A331" s="23" t="n">
        <x:v>330</x:v>
      </x:c>
      <x:c r="B331" s="23" t="str">
        <x:v>Train</x:v>
      </x:c>
      <x:c r="C331" s="23" t="str">
        <x:v>Lightning</x:v>
      </x:c>
      <x:c r="D331" s="23" t="n">
        <x:v>1387.1377327130176</x:v>
      </x:c>
      <x:c r="E331" s="23" t="n">
        <x:v>903.1354367965832</x:v>
      </x:c>
      <x:c r="F331" s="23" t="n">
        <x:v>667.7710861898959</x:v>
      </x:c>
      <x:c r="G331" s="23" t="n">
        <x:v>87.29214097373188</x:v>
      </x:c>
      <x:c r="H331" s="23" t="n">
        <x:v>8.877473894972354</x:v>
      </x:c>
      <x:c r="I331" s="23" t="n">
        <x:v>0.7977271226467565</x:v>
      </x:c>
      <x:c r="J331" s="23" t="n">
        <x:v>9</x:v>
      </x:c>
      <x:c r="K331" s="23" t="n">
        <x:v>193.2069380247711</x:v>
      </x:c>
      <x:c r="L331" s="23" t="n">
        <x:v>45</x:v>
      </x:c>
      <x:c r="M331" s="23" t="n">
        <x:v>25</x:v>
      </x:c>
      <x:c r="N331" s="23" t="n">
        <x:v>1.1663828280493516</x:v>
      </x:c>
      <x:c r="O331" s="23" t="n">
        <x:v>52.233554626678</x:v>
      </x:c>
      <x:c r="P331" s="23" t="n">
        <x:v>1387.1377327130176</x:v>
      </x:c>
      <x:c r="Q331" s="23" t="n">
        <x:v>1.1846896784682246</x:v>
      </x:c>
      <x:c r="R331" s="23" t="n">
        <x:v>53.326475534440156</x:v>
      </x:c>
      <x:c r="S331" s="23" t="n">
        <x:v>1399.2778203972382</x:v>
      </x:c>
      <x:c r="T331" s="23" t="n">
        <x:v>0.018306850418873033</x:v>
      </x:c>
      <x:c r="U331" s="23" t="n">
        <x:v>1.0929209077621564</x:v>
      </x:c>
      <x:c r="V331" s="23" t="n">
        <x:v>12.140087684220589</x:v>
      </x:c>
    </x:row>
    <x:row r="332">
      <x:c r="A332" s="23" t="n">
        <x:v>331</x:v>
      </x:c>
      <x:c r="B332" s="23" t="str">
        <x:v>Train</x:v>
      </x:c>
      <x:c r="C332" s="23" t="str">
        <x:v>Lightning</x:v>
      </x:c>
      <x:c r="D332" s="23" t="n">
        <x:v>1434.6847454784438</x:v>
      </x:c>
      <x:c r="E332" s="23" t="n">
        <x:v>1082.6367112458684</x:v>
      </x:c>
      <x:c r="F332" s="23" t="n">
        <x:v>365.52659161388874</x:v>
      </x:c>
      <x:c r="G332" s="23" t="n">
        <x:v>138.95831080852076</x:v>
      </x:c>
      <x:c r="H332" s="23" t="n">
        <x:v>20.435768068768084</x:v>
      </x:c>
      <x:c r="I332" s="23" t="n">
        <x:v>0.8092123323562556</x:v>
      </x:c>
      <x:c r="J332" s="23" t="n">
        <x:v>9</x:v>
      </x:c>
      <x:c r="K332" s="23" t="n">
        <x:v>196.99331039617866</x:v>
      </x:c>
      <x:c r="L332" s="23" t="n">
        <x:v>45</x:v>
      </x:c>
      <x:c r="M332" s="23" t="n">
        <x:v>25</x:v>
      </x:c>
      <x:c r="N332" s="23" t="n">
        <x:v>1.174066678358236</x:v>
      </x:c>
      <x:c r="O332" s="23" t="n">
        <x:v>52.22247193761122</x:v>
      </x:c>
      <x:c r="P332" s="23" t="n">
        <x:v>1434.6847454784438</x:v>
      </x:c>
      <x:c r="Q332" s="23" t="n">
        <x:v>1.1825392055027135</x:v>
      </x:c>
      <x:c r="R332" s="23" t="n">
        <x:v>51.86017420537494</x:v>
      </x:c>
      <x:c r="S332" s="23" t="n">
        <x:v>1437.2576513331978</x:v>
      </x:c>
      <x:c r="T332" s="23" t="n">
        <x:v>0.008472527144477437</x:v>
      </x:c>
      <x:c r="U332" s="23" t="n">
        <x:v>-0.3622977322362786</x:v>
      </x:c>
      <x:c r="V332" s="23" t="n">
        <x:v>2.5729058547540262</x:v>
      </x:c>
    </x:row>
    <x:row r="333">
      <x:c r="A333" s="23" t="n">
        <x:v>332</x:v>
      </x:c>
      <x:c r="B333" s="23" t="str">
        <x:v>Train</x:v>
      </x:c>
      <x:c r="C333" s="23" t="str">
        <x:v>Lightning</x:v>
      </x:c>
      <x:c r="D333" s="23" t="n">
        <x:v>1372.0211321837269</x:v>
      </x:c>
      <x:c r="E333" s="23" t="n">
        <x:v>645.319360261783</x:v>
      </x:c>
      <x:c r="F333" s="23" t="n">
        <x:v>510.97472412511706</x:v>
      </x:c>
      <x:c r="G333" s="23" t="n">
        <x:v>171.93846851121634</x:v>
      </x:c>
      <x:c r="H333" s="23" t="n">
        <x:v>24.571775052230805</x:v>
      </x:c>
      <x:c r="I333" s="23" t="n">
        <x:v>0.8251982587203384</x:v>
      </x:c>
      <x:c r="J333" s="23" t="n">
        <x:v>9</x:v>
      </x:c>
      <x:c r="K333" s="23" t="n">
        <x:v>184.7395954291793</x:v>
      </x:c>
      <x:c r="L333" s="23" t="n">
        <x:v>55</x:v>
      </x:c>
      <x:c r="M333" s="23" t="n">
        <x:v>25</x:v>
      </x:c>
      <x:c r="N333" s="23" t="n">
        <x:v>1.1971303926956542</x:v>
      </x:c>
      <x:c r="O333" s="23" t="n">
        <x:v>52.18210466081064</x:v>
      </x:c>
      <x:c r="P333" s="23" t="n">
        <x:v>1372.0211321837269</x:v>
      </x:c>
      <x:c r="Q333" s="23" t="n">
        <x:v>1.175980304763721</x:v>
      </x:c>
      <x:c r="R333" s="23" t="n">
        <x:v>51.23245337246947</x:v>
      </x:c>
      <x:c r="S333" s="23" t="n">
        <x:v>1370.9762766760916</x:v>
      </x:c>
      <x:c r="T333" s="23" t="n">
        <x:v>-0.021150087931933292</x:v>
      </x:c>
      <x:c r="U333" s="23" t="n">
        <x:v>-0.9496512883411654</x:v>
      </x:c>
      <x:c r="V333" s="23" t="n">
        <x:v>-1.0448555076352477</x:v>
      </x:c>
    </x:row>
    <x:row r="334">
      <x:c r="A334" s="23" t="n">
        <x:v>333</x:v>
      </x:c>
      <x:c r="B334" s="23" t="str">
        <x:v>Train</x:v>
      </x:c>
      <x:c r="C334" s="23" t="str">
        <x:v>Lightning</x:v>
      </x:c>
      <x:c r="D334" s="23" t="n">
        <x:v>1440.4369512107223</x:v>
      </x:c>
      <x:c r="E334" s="23" t="n">
        <x:v>607.0383018697612</x:v>
      </x:c>
      <x:c r="F334" s="23" t="n">
        <x:v>739.4547363743186</x:v>
      </x:c>
      <x:c r="G334" s="23" t="n">
        <x:v>104.68165737809613</x:v>
      </x:c>
      <x:c r="H334" s="23" t="n">
        <x:v>11.939255643635988</x:v>
      </x:c>
      <x:c r="I334" s="23" t="n">
        <x:v>0.8049345591687598</x:v>
      </x:c>
      <x:c r="J334" s="23" t="n">
        <x:v>9</x:v>
      </x:c>
      <x:c r="K334" s="23" t="n">
        <x:v>198.8342385246867</x:v>
      </x:c>
      <x:c r="L334" s="23" t="n">
        <x:v>55</x:v>
      </x:c>
      <x:c r="M334" s="23" t="n">
        <x:v>25</x:v>
      </x:c>
      <x:c r="N334" s="23" t="n">
        <x:v>1.2489489674084309</x:v>
      </x:c>
      <x:c r="O334" s="23" t="n">
        <x:v>52.20127441441489</x:v>
      </x:c>
      <x:c r="P334" s="23" t="n">
        <x:v>1440.4369512107223</x:v>
      </x:c>
      <x:c r="Q334" s="23" t="n">
        <x:v>1.2394541440848938</x:v>
      </x:c>
      <x:c r="R334" s="23" t="n">
        <x:v>50.65199996687123</x:v>
      </x:c>
      <x:c r="S334" s="23" t="n">
        <x:v>1447.1669927985313</x:v>
      </x:c>
      <x:c r="T334" s="23" t="n">
        <x:v>-0.009494823323537016</x:v>
      </x:c>
      <x:c r="U334" s="23" t="n">
        <x:v>-1.5492744475436595</x:v>
      </x:c>
      <x:c r="V334" s="23" t="n">
        <x:v>6.730041587808955</x:v>
      </x:c>
    </x:row>
    <x:row r="335">
      <x:c r="A335" s="23" t="n">
        <x:v>334</x:v>
      </x:c>
      <x:c r="B335" s="23" t="str">
        <x:v>Train</x:v>
      </x:c>
      <x:c r="C335" s="23" t="str">
        <x:v>Lightning</x:v>
      </x:c>
      <x:c r="D335" s="23" t="n">
        <x:v>1460.00587065937</x:v>
      </x:c>
      <x:c r="E335" s="23" t="n">
        <x:v>631.5010961843655</x:v>
      </x:c>
      <x:c r="F335" s="23" t="n">
        <x:v>544.1972081549466</x:v>
      </x:c>
      <x:c r="G335" s="23" t="n">
        <x:v>206.45706348121166</x:v>
      </x:c>
      <x:c r="H335" s="23" t="n">
        <x:v>8.229509020689875</x:v>
      </x:c>
      <x:c r="I335" s="23" t="n">
        <x:v>0.8558514156891034</x:v>
      </x:c>
      <x:c r="J335" s="23" t="n">
        <x:v>9</x:v>
      </x:c>
      <x:c r="K335" s="23" t="n">
        <x:v>189.54560516452645</x:v>
      </x:c>
      <x:c r="L335" s="23" t="n">
        <x:v>55</x:v>
      </x:c>
      <x:c r="M335" s="23" t="n">
        <x:v>25</x:v>
      </x:c>
      <x:c r="N335" s="23" t="n">
        <x:v>1.1767523281019725</x:v>
      </x:c>
      <x:c r="O335" s="23" t="n">
        <x:v>52.19051257572741</x:v>
      </x:c>
      <x:c r="P335" s="23" t="n">
        <x:v>1460.00587065937</x:v>
      </x:c>
      <x:c r="Q335" s="23" t="n">
        <x:v>1.1733577116636513</x:v>
      </x:c>
      <x:c r="R335" s="23" t="n">
        <x:v>52.07979092380448</x:v>
      </x:c>
      <x:c r="S335" s="23" t="n">
        <x:v>1481.3415884554468</x:v>
      </x:c>
      <x:c r="T335" s="23" t="n">
        <x:v>-0.003394616438321174</x:v>
      </x:c>
      <x:c r="U335" s="23" t="n">
        <x:v>-0.11072165192292971</x:v>
      </x:c>
      <x:c r="V335" s="23" t="n">
        <x:v>21.33571779607678</x:v>
      </x:c>
    </x:row>
    <x:row r="336">
      <x:c r="A336" s="23" t="n">
        <x:v>335</x:v>
      </x:c>
      <x:c r="B336" s="23" t="str">
        <x:v>Validation</x:v>
      </x:c>
      <x:c r="C336" s="23" t="str">
        <x:v>Lightning</x:v>
      </x:c>
      <x:c r="D336" s="23" t="n">
        <x:v>1377.0680433372036</x:v>
      </x:c>
      <x:c r="E336" s="23" t="n">
        <x:v>1121.0662369732745</x:v>
      </x:c>
      <x:c r="F336" s="23" t="n">
        <x:v>615.5643828213215</x:v>
      </x:c>
      <x:c r="G336" s="23" t="n">
        <x:v>235.46428080415353</x:v>
      </x:c>
      <x:c r="H336" s="23" t="n">
        <x:v>29.209982364438474</x:v>
      </x:c>
      <x:c r="I336" s="23" t="n">
        <x:v>0.8125548347621225</x:v>
      </x:c>
      <x:c r="J336" s="23" t="n">
        <x:v>9</x:v>
      </x:c>
      <x:c r="K336" s="23" t="n">
        <x:v>188.30428892296695</x:v>
      </x:c>
      <x:c r="L336" s="23" t="n">
        <x:v>35</x:v>
      </x:c>
      <x:c r="M336" s="23" t="n">
        <x:v>25</x:v>
      </x:c>
      <x:c r="N336" s="23" t="n">
        <x:v>1.215679565718026</x:v>
      </x:c>
      <x:c r="O336" s="23" t="n">
        <x:v>52.28249889737586</x:v>
      </x:c>
      <x:c r="P336" s="23" t="n">
        <x:v>1377.0680433372036</x:v>
      </x:c>
      <x:c r="Q336" s="23" t="n">
        <x:v>1.207031157409372</x:v>
      </x:c>
      <x:c r="R336" s="23" t="n">
        <x:v>53.778754506490365</x:v>
      </x:c>
      <x:c r="S336" s="23" t="n">
        <x:v>1352.924476760803</x:v>
      </x:c>
      <x:c r="T336" s="23" t="n">
        <x:v>-0.008648408308653988</x:v>
      </x:c>
      <x:c r="U336" s="23" t="n">
        <x:v>1.496255609114506</x:v>
      </x:c>
      <x:c r="V336" s="23" t="n">
        <x:v>-24.143566576400644</x:v>
      </x:c>
    </x:row>
    <x:row r="337">
      <x:c r="A337" s="23" t="n">
        <x:v>336</x:v>
      </x:c>
      <x:c r="B337" s="23" t="str">
        <x:v>Validation</x:v>
      </x:c>
      <x:c r="C337" s="23" t="str">
        <x:v>Lightning</x:v>
      </x:c>
      <x:c r="D337" s="23" t="n">
        <x:v>1421.8148127081804</x:v>
      </x:c>
      <x:c r="E337" s="23" t="n">
        <x:v>758.3108795806766</x:v>
      </x:c>
      <x:c r="F337" s="23" t="n">
        <x:v>731.7096664570272</x:v>
      </x:c>
      <x:c r="G337" s="23" t="n">
        <x:v>190.61660770792514</x:v>
      </x:c>
      <x:c r="H337" s="23" t="n">
        <x:v>22.780658402945846</x:v>
      </x:c>
      <x:c r="I337" s="23" t="n">
        <x:v>0.8047052781190723</x:v>
      </x:c>
      <x:c r="J337" s="23" t="n">
        <x:v>9</x:v>
      </x:c>
      <x:c r="K337" s="23" t="n">
        <x:v>196.31960660616673</x:v>
      </x:c>
      <x:c r="L337" s="23" t="n">
        <x:v>45</x:v>
      </x:c>
      <x:c r="M337" s="23" t="n">
        <x:v>25</x:v>
      </x:c>
      <x:c r="N337" s="23" t="n">
        <x:v>1.2486089007328949</x:v>
      </x:c>
      <x:c r="O337" s="23" t="n">
        <x:v>52.23705334819778</x:v>
      </x:c>
      <x:c r="P337" s="23" t="n">
        <x:v>1421.8148127081804</x:v>
      </x:c>
      <x:c r="Q337" s="23" t="n">
        <x:v>1.259369583902922</x:v>
      </x:c>
      <x:c r="R337" s="23" t="n">
        <x:v>51.954001719873645</x:v>
      </x:c>
      <x:c r="S337" s="23" t="n">
        <x:v>1421.4134405829977</x:v>
      </x:c>
      <x:c r="T337" s="23" t="n">
        <x:v>0.010760683170027097</x:v>
      </x:c>
      <x:c r="U337" s="23" t="n">
        <x:v>-0.283051628324138</x:v>
      </x:c>
      <x:c r="V337" s="23" t="n">
        <x:v>-0.40137212518266097</x:v>
      </x:c>
    </x:row>
    <x:row r="338">
      <x:c r="A338" s="23" t="n">
        <x:v>337</x:v>
      </x:c>
      <x:c r="B338" s="23" t="str">
        <x:v>Validation</x:v>
      </x:c>
      <x:c r="C338" s="23" t="str">
        <x:v>Lightning</x:v>
      </x:c>
      <x:c r="D338" s="23" t="n">
        <x:v>1402.2017226554453</x:v>
      </x:c>
      <x:c r="E338" s="23" t="n">
        <x:v>633.8574213325046</x:v>
      </x:c>
      <x:c r="F338" s="23" t="n">
        <x:v>582.4231812730432</x:v>
      </x:c>
      <x:c r="G338" s="23" t="n">
        <x:v>261.39731331029907</x:v>
      </x:c>
      <x:c r="H338" s="23" t="n">
        <x:v>23.132024051621556</x:v>
      </x:c>
      <x:c r="I338" s="23" t="n">
        <x:v>0.8330437024612911</x:v>
      </x:c>
      <x:c r="J338" s="23" t="n">
        <x:v>9</x:v>
      </x:c>
      <x:c r="K338" s="23" t="n">
        <x:v>187.02523162450788</x:v>
      </x:c>
      <x:c r="L338" s="23" t="n">
        <x:v>50</x:v>
      </x:c>
      <x:c r="M338" s="23" t="n">
        <x:v>25</x:v>
      </x:c>
      <x:c r="N338" s="23" t="n">
        <x:v>1.213044866866566</x:v>
      </x:c>
      <x:c r="O338" s="23" t="n">
        <x:v>52.20540692903918</x:v>
      </x:c>
      <x:c r="P338" s="23" t="n">
        <x:v>1402.2017226554453</x:v>
      </x:c>
      <x:c r="Q338" s="23" t="n">
        <x:v>1.2025616787215507</x:v>
      </x:c>
      <x:c r="R338" s="23" t="n">
        <x:v>51.03479908479014</x:v>
      </x:c>
      <x:c r="S338" s="23" t="n">
        <x:v>1392.8330251810735</x:v>
      </x:c>
      <x:c r="T338" s="23" t="n">
        <x:v>-0.010483188145015365</x:v>
      </x:c>
      <x:c r="U338" s="23" t="n">
        <x:v>-1.1706078442490409</x:v>
      </x:c>
      <x:c r="V338" s="23" t="n">
        <x:v>-9.368697474371857</x:v>
      </x:c>
    </x:row>
    <x:row r="339">
      <x:c r="A339" s="23" t="n">
        <x:v>338</x:v>
      </x:c>
      <x:c r="B339" s="23" t="str">
        <x:v>Hidden Test</x:v>
      </x:c>
      <x:c r="C339" s="23" t="str">
        <x:v>Lightning</x:v>
      </x:c>
      <x:c r="D339" s="23" t="n">
        <x:v>1425.8496153750457</x:v>
      </x:c>
      <x:c r="E339" s="23" t="n">
        <x:v>1104.5834900112823</x:v>
      </x:c>
      <x:c r="F339" s="23" t="n">
        <x:v>557.4801304377615</x:v>
      </x:c>
      <x:c r="G339" s="23" t="n">
        <x:v>304.0900651086122</x:v>
      </x:c>
      <x:c r="H339" s="23" t="n">
        <x:v>14.568487719167024</x:v>
      </x:c>
      <x:c r="I339" s="23" t="n">
        <x:v>0.8256816787505523</x:v>
      </x:c>
      <x:c r="J339" s="23" t="n">
        <x:v>9</x:v>
      </x:c>
      <x:c r="K339" s="23" t="n">
        <x:v>191.8750762175196</x:v>
      </x:c>
      <x:c r="L339" s="23" t="n">
        <x:v>40</x:v>
      </x:c>
      <x:c r="M339" s="23" t="n">
        <x:v>25</x:v>
      </x:c>
      <x:c r="N339" s="23" t="n">
        <x:v>1.2637081577464875</x:v>
      </x:c>
      <x:c r="O339" s="23" t="n">
        <x:v>52.28157251342057</x:v>
      </x:c>
      <x:c r="P339" s="23" t="n">
        <x:v>1425.8496153750457</x:v>
      </x:c>
      <x:c r="Q339" s="23" t="n">
        <x:v>1.2719360440940732</x:v>
      </x:c>
      <x:c r="R339" s="23" t="n">
        <x:v>53.74395216792297</x:v>
      </x:c>
      <x:c r="S339" s="23" t="n">
        <x:v>1429.5589969181685</x:v>
      </x:c>
      <x:c r="T339" s="23" t="n">
        <x:v>0.008227886347585756</x:v>
      </x:c>
      <x:c r="U339" s="23" t="n">
        <x:v>1.4623796545023993</x:v>
      </x:c>
      <x:c r="V339" s="23" t="n">
        <x:v>3.709381543122845</x:v>
      </x:c>
    </x:row>
    <x:row r="340">
      <x:c r="A340" s="23" t="n">
        <x:v>339</x:v>
      </x:c>
      <x:c r="B340" s="23" t="str">
        <x:v>Hidden Test</x:v>
      </x:c>
      <x:c r="C340" s="23" t="str">
        <x:v>Lightning</x:v>
      </x:c>
      <x:c r="D340" s="23" t="n">
        <x:v>1460.238125338219</x:v>
      </x:c>
      <x:c r="E340" s="23" t="n">
        <x:v>820.9514453657903</x:v>
      </x:c>
      <x:c r="F340" s="23" t="n">
        <x:v>508.7948765605688</x:v>
      </x:c>
      <x:c r="G340" s="23" t="n">
        <x:v>165.2088562096469</x:v>
      </x:c>
      <x:c r="H340" s="23" t="n">
        <x:v>15.075143304653466</x:v>
      </x:c>
      <x:c r="I340" s="23" t="n">
        <x:v>0.8030539618129843</x:v>
      </x:c>
      <x:c r="J340" s="23" t="n">
        <x:v>10</x:v>
      </x:c>
      <x:c r="K340" s="23" t="n">
        <x:v>181.83561687953917</x:v>
      </x:c>
      <x:c r="L340" s="23" t="n">
        <x:v>45</x:v>
      </x:c>
      <x:c r="M340" s="23" t="n">
        <x:v>25</x:v>
      </x:c>
      <x:c r="N340" s="23" t="n">
        <x:v>1.1913399869371393</x:v>
      </x:c>
      <x:c r="O340" s="23" t="n">
        <x:v>52.23400098461207</x:v>
      </x:c>
      <x:c r="P340" s="23" t="n">
        <x:v>1460.238125338219</x:v>
      </x:c>
      <x:c r="Q340" s="23" t="n">
        <x:v>1.191229108593159</x:v>
      </x:c>
      <x:c r="R340" s="23" t="n">
        <x:v>51.922254374518374</x:v>
      </x:c>
      <x:c r="S340" s="23" t="n">
        <x:v>1468.5060492402356</x:v>
      </x:c>
      <x:c r="T340" s="23" t="n">
        <x:v>-0.00011087834398026963</x:v>
      </x:c>
      <x:c r="U340" s="23" t="n">
        <x:v>-0.3117466100936923</x:v>
      </x:c>
      <x:c r="V340" s="23" t="n">
        <x:v>8.267923902016491</x:v>
      </x:c>
    </x:row>
    <x:row r="341">
      <x:c r="A341" s="23" t="n">
        <x:v>340</x:v>
      </x:c>
      <x:c r="B341" s="23" t="str">
        <x:v>Hidden Test</x:v>
      </x:c>
      <x:c r="C341" s="23" t="str">
        <x:v>Lightning</x:v>
      </x:c>
      <x:c r="D341" s="23" t="n">
        <x:v>1476.4222917496227</x:v>
      </x:c>
      <x:c r="E341" s="23" t="n">
        <x:v>819.2005252931267</x:v>
      </x:c>
      <x:c r="F341" s="23" t="n">
        <x:v>600.9585994295776</x:v>
      </x:c>
      <x:c r="G341" s="23" t="n">
        <x:v>178.21419173385948</x:v>
      </x:c>
      <x:c r="H341" s="23" t="n">
        <x:v>11.213126018177718</x:v>
      </x:c>
      <x:c r="I341" s="23" t="n">
        <x:v>0.795660144854337</x:v>
      </x:c>
      <x:c r="J341" s="23" t="n">
        <x:v>10</x:v>
      </x:c>
      <x:c r="K341" s="23" t="n">
        <x:v>185.55941268365453</x:v>
      </x:c>
      <x:c r="L341" s="23" t="n">
        <x:v>45</x:v>
      </x:c>
      <x:c r="M341" s="23" t="n">
        <x:v>25</x:v>
      </x:c>
      <x:c r="N341" s="23" t="n">
        <x:v>1.2521140017985328</x:v>
      </x:c>
      <x:c r="O341" s="23" t="n">
        <x:v>52.2519181770761</x:v>
      </x:c>
      <x:c r="P341" s="23" t="n">
        <x:v>1476.4222917496227</x:v>
      </x:c>
      <x:c r="Q341" s="23" t="n">
        <x:v>1.255714204146757</x:v>
      </x:c>
      <x:c r="R341" s="23" t="n">
        <x:v>52.519831738663285</x:v>
      </x:c>
      <x:c r="S341" s="23" t="n">
        <x:v>1488.8663252367162</x:v>
      </x:c>
      <x:c r="T341" s="23" t="n">
        <x:v>0.003600202348224224</x:v>
      </x:c>
      <x:c r="U341" s="23" t="n">
        <x:v>0.2679135615871857</x:v>
      </x:c>
      <x:c r="V341" s="23" t="n">
        <x:v>12.44403348709352</x:v>
      </x:c>
    </x:row>
    <x:row r="342">
      <x:c r="A342" s="23" t="n">
        <x:v>341</x:v>
      </x:c>
      <x:c r="B342" s="23" t="str">
        <x:v>Train</x:v>
      </x:c>
      <x:c r="C342" s="23" t="str">
        <x:v>Lightning</x:v>
      </x:c>
      <x:c r="D342" s="23" t="n">
        <x:v>1381.5949842799455</x:v>
      </x:c>
      <x:c r="E342" s="23" t="n">
        <x:v>932.0146795245819</x:v>
      </x:c>
      <x:c r="F342" s="23" t="n">
        <x:v>742.5414381548762</x:v>
      </x:c>
      <x:c r="G342" s="23" t="n">
        <x:v>287.3574590613134</x:v>
      </x:c>
      <x:c r="H342" s="23" t="n">
        <x:v>28.553370282053947</x:v>
      </x:c>
      <x:c r="I342" s="23" t="n">
        <x:v>0.8531980085209944</x:v>
      </x:c>
      <x:c r="J342" s="23" t="n">
        <x:v>9</x:v>
      </x:c>
      <x:c r="K342" s="23" t="n">
        <x:v>179.9237132245433</x:v>
      </x:c>
      <x:c r="L342" s="23" t="n">
        <x:v>35</x:v>
      </x:c>
      <x:c r="M342" s="23" t="n">
        <x:v>25</x:v>
      </x:c>
      <x:c r="N342" s="23" t="n">
        <x:v>1.2065395122914688</x:v>
      </x:c>
      <x:c r="O342" s="23" t="n">
        <x:v>52.280911374453304</x:v>
      </x:c>
      <x:c r="P342" s="23" t="n">
        <x:v>1381.5949842799455</x:v>
      </x:c>
      <x:c r="Q342" s="23" t="n">
        <x:v>1.2007667637518713</x:v>
      </x:c>
      <x:c r="R342" s="23" t="n">
        <x:v>53.332488074459185</x:v>
      </x:c>
      <x:c r="S342" s="23" t="n">
        <x:v>1366.8475616512872</x:v>
      </x:c>
      <x:c r="T342" s="23" t="n">
        <x:v>-0.0057727485395975275</x:v>
      </x:c>
      <x:c r="U342" s="23" t="n">
        <x:v>1.0515767000058815</x:v>
      </x:c>
      <x:c r="V342" s="23" t="n">
        <x:v>-14.747422628658342</x:v>
      </x:c>
    </x:row>
    <x:row r="343">
      <x:c r="A343" s="23" t="n">
        <x:v>342</x:v>
      </x:c>
      <x:c r="B343" s="23" t="str">
        <x:v>Train</x:v>
      </x:c>
      <x:c r="C343" s="23" t="str">
        <x:v>Lightning</x:v>
      </x:c>
      <x:c r="D343" s="23" t="n">
        <x:v>1462.481006712187</x:v>
      </x:c>
      <x:c r="E343" s="23" t="n">
        <x:v>743.4671295573935</x:v>
      </x:c>
      <x:c r="F343" s="23" t="n">
        <x:v>736.0127401538193</x:v>
      </x:c>
      <x:c r="G343" s="23" t="n">
        <x:v>299.20732827857137</x:v>
      </x:c>
      <x:c r="H343" s="23" t="n">
        <x:v>20.066549635026604</x:v>
      </x:c>
      <x:c r="I343" s="23" t="n">
        <x:v>0.7986696211015806</x:v>
      </x:c>
      <x:c r="J343" s="23" t="n">
        <x:v>10</x:v>
      </x:c>
      <x:c r="K343" s="23" t="n">
        <x:v>183.1146406564246</x:v>
      </x:c>
      <x:c r="L343" s="23" t="n">
        <x:v>35</x:v>
      </x:c>
      <x:c r="M343" s="23" t="n">
        <x:v>25</x:v>
      </x:c>
      <x:c r="N343" s="23" t="n">
        <x:v>1.153131052365959</x:v>
      </x:c>
      <x:c r="O343" s="23" t="n">
        <x:v>52.28315755705173</x:v>
      </x:c>
      <x:c r="P343" s="23" t="n">
        <x:v>1462.481006712187</x:v>
      </x:c>
      <x:c r="Q343" s="23" t="n">
        <x:v>1.1573445279047285</x:v>
      </x:c>
      <x:c r="R343" s="23" t="n">
        <x:v>51.21449080519065</x:v>
      </x:c>
      <x:c r="S343" s="23" t="n">
        <x:v>1457.0471192122966</x:v>
      </x:c>
      <x:c r="T343" s="23" t="n">
        <x:v>0.0042134755387694955</x:v>
      </x:c>
      <x:c r="U343" s="23" t="n">
        <x:v>-1.0686667518610804</x:v>
      </x:c>
      <x:c r="V343" s="23" t="n">
        <x:v>-5.4338874998904885</x:v>
      </x:c>
    </x:row>
    <x:row r="344">
      <x:c r="A344" s="23" t="n">
        <x:v>343</x:v>
      </x:c>
      <x:c r="B344" s="23" t="str">
        <x:v>Train</x:v>
      </x:c>
      <x:c r="C344" s="23" t="str">
        <x:v>Lightning</x:v>
      </x:c>
      <x:c r="D344" s="23" t="n">
        <x:v>1371.8650196911767</x:v>
      </x:c>
      <x:c r="E344" s="23" t="n">
        <x:v>1065.017157990951</x:v>
      </x:c>
      <x:c r="F344" s="23" t="n">
        <x:v>650.5225047469139</x:v>
      </x:c>
      <x:c r="G344" s="23" t="n">
        <x:v>152.90065375855193</x:v>
      </x:c>
      <x:c r="H344" s="23" t="n">
        <x:v>9.734871323220432</x:v>
      </x:c>
      <x:c r="I344" s="23" t="n">
        <x:v>0.8596270237467252</x:v>
      </x:c>
      <x:c r="J344" s="23" t="n">
        <x:v>8</x:v>
      </x:c>
      <x:c r="K344" s="23" t="n">
        <x:v>199.48550094898104</x:v>
      </x:c>
      <x:c r="L344" s="23" t="n">
        <x:v>45</x:v>
      </x:c>
      <x:c r="M344" s="23" t="n">
        <x:v>25</x:v>
      </x:c>
      <x:c r="N344" s="23" t="n">
        <x:v>1.1784038024390828</x:v>
      </x:c>
      <x:c r="O344" s="23" t="n">
        <x:v>52.2339658278664</x:v>
      </x:c>
      <x:c r="P344" s="23" t="n">
        <x:v>1371.8650196911767</x:v>
      </x:c>
      <x:c r="Q344" s="23" t="n">
        <x:v>1.184988514913051</x:v>
      </x:c>
      <x:c r="R344" s="23" t="n">
        <x:v>52.53974790739649</x:v>
      </x:c>
      <x:c r="S344" s="23" t="n">
        <x:v>1372.531290331419</x:v>
      </x:c>
      <x:c r="T344" s="23" t="n">
        <x:v>0.006584712473968191</x:v>
      </x:c>
      <x:c r="U344" s="23" t="n">
        <x:v>0.30578207953008985</x:v>
      </x:c>
      <x:c r="V344" s="23" t="n">
        <x:v>0.6662706402423737</x:v>
      </x:c>
    </x:row>
    <x:row r="345">
      <x:c r="A345" s="23" t="n">
        <x:v>344</x:v>
      </x:c>
      <x:c r="B345" s="23" t="str">
        <x:v>Train</x:v>
      </x:c>
      <x:c r="C345" s="23" t="str">
        <x:v>Lightning</x:v>
      </x:c>
      <x:c r="D345" s="23" t="n">
        <x:v>1435.4763450915925</x:v>
      </x:c>
      <x:c r="E345" s="23" t="n">
        <x:v>1244.4697088561952</x:v>
      </x:c>
      <x:c r="F345" s="23" t="n">
        <x:v>439.5864865742624</x:v>
      </x:c>
      <x:c r="G345" s="23" t="n">
        <x:v>230.62013326678425</x:v>
      </x:c>
      <x:c r="H345" s="23" t="n">
        <x:v>11.198174079414457</x:v>
      </x:c>
      <x:c r="I345" s="23" t="n">
        <x:v>0.8469641951192171</x:v>
      </x:c>
      <x:c r="J345" s="23" t="n">
        <x:v>9</x:v>
      </x:c>
      <x:c r="K345" s="23" t="n">
        <x:v>188.31654584216878</x:v>
      </x:c>
      <x:c r="L345" s="23" t="n">
        <x:v>40</x:v>
      </x:c>
      <x:c r="M345" s="23" t="n">
        <x:v>25</x:v>
      </x:c>
      <x:c r="N345" s="23" t="n">
        <x:v>1.214302361536924</x:v>
      </x:c>
      <x:c r="O345" s="23" t="n">
        <x:v>52.273545906552116</x:v>
      </x:c>
      <x:c r="P345" s="23" t="n">
        <x:v>1435.4763450915925</x:v>
      </x:c>
      <x:c r="Q345" s="23" t="n">
        <x:v>1.2342029442188127</x:v>
      </x:c>
      <x:c r="R345" s="23" t="n">
        <x:v>53.193224959024136</x:v>
      </x:c>
      <x:c r="S345" s="23" t="n">
        <x:v>1439.8026609956928</x:v>
      </x:c>
      <x:c r="T345" s="23" t="n">
        <x:v>0.019900582681888768</x:v>
      </x:c>
      <x:c r="U345" s="23" t="n">
        <x:v>0.91967905247202</x:v>
      </x:c>
      <x:c r="V345" s="23" t="n">
        <x:v>4.326315904100284</x:v>
      </x:c>
    </x:row>
    <x:row r="346">
      <x:c r="A346" s="23" t="n">
        <x:v>345</x:v>
      </x:c>
      <x:c r="B346" s="23" t="str">
        <x:v>Train</x:v>
      </x:c>
      <x:c r="C346" s="23" t="str">
        <x:v>Lightning</x:v>
      </x:c>
      <x:c r="D346" s="23" t="n">
        <x:v>1430.7516194880009</x:v>
      </x:c>
      <x:c r="E346" s="23" t="n">
        <x:v>924.2999958223663</x:v>
      </x:c>
      <x:c r="F346" s="23" t="n">
        <x:v>413.99409640580416</x:v>
      </x:c>
      <x:c r="G346" s="23" t="n">
        <x:v>247.3419126891531</x:v>
      </x:c>
      <x:c r="H346" s="23" t="n">
        <x:v>17.34875970892608</x:v>
      </x:c>
      <x:c r="I346" s="23" t="n">
        <x:v>0.826425440509338</x:v>
      </x:c>
      <x:c r="J346" s="23" t="n">
        <x:v>9</x:v>
      </x:c>
      <x:c r="K346" s="23" t="n">
        <x:v>192.3614573957893</x:v>
      </x:c>
      <x:c r="L346" s="23" t="n">
        <x:v>45</x:v>
      </x:c>
      <x:c r="M346" s="23" t="n">
        <x:v>25</x:v>
      </x:c>
      <x:c r="N346" s="23" t="n">
        <x:v>1.1584198054509667</x:v>
      </x:c>
      <x:c r="O346" s="23" t="n">
        <x:v>52.22224029406673</x:v>
      </x:c>
      <x:c r="P346" s="23" t="n">
        <x:v>1430.7516194880009</x:v>
      </x:c>
      <x:c r="Q346" s="23" t="n">
        <x:v>1.151638751120762</x:v>
      </x:c>
      <x:c r="R346" s="23" t="n">
        <x:v>52.23420569541543</x:v>
      </x:c>
      <x:c r="S346" s="23" t="n">
        <x:v>1427.6431303121499</x:v>
      </x:c>
      <x:c r="T346" s="23" t="n">
        <x:v>-0.0067810543302047055</x:v>
      </x:c>
      <x:c r="U346" s="23" t="n">
        <x:v>0.011965401348703608</x:v>
      </x:c>
      <x:c r="V346" s="23" t="n">
        <x:v>-3.108489175850991</x:v>
      </x:c>
    </x:row>
    <x:row r="347">
      <x:c r="A347" s="23" t="n">
        <x:v>346</x:v>
      </x:c>
      <x:c r="B347" s="23" t="str">
        <x:v>Train</x:v>
      </x:c>
      <x:c r="C347" s="23" t="str">
        <x:v>Lightning</x:v>
      </x:c>
      <x:c r="D347" s="23" t="n">
        <x:v>1395.3170268447138</x:v>
      </x:c>
      <x:c r="E347" s="23" t="n">
        <x:v>1074.581870646216</x:v>
      </x:c>
      <x:c r="F347" s="23" t="n">
        <x:v>406.41943076625466</x:v>
      </x:c>
      <x:c r="G347" s="23" t="n">
        <x:v>109.6396182384342</x:v>
      </x:c>
      <x:c r="H347" s="23" t="n">
        <x:v>25.12174841435626</x:v>
      </x:c>
      <x:c r="I347" s="23" t="n">
        <x:v>0.8328683237778023</x:v>
      </x:c>
      <x:c r="J347" s="23" t="n">
        <x:v>9</x:v>
      </x:c>
      <x:c r="K347" s="23" t="n">
        <x:v>186.14614192762775</x:v>
      </x:c>
      <x:c r="L347" s="23" t="n">
        <x:v>45</x:v>
      </x:c>
      <x:c r="M347" s="23" t="n">
        <x:v>25</x:v>
      </x:c>
      <x:c r="N347" s="23" t="n">
        <x:v>1.1983401206039146</x:v>
      </x:c>
      <x:c r="O347" s="23" t="n">
        <x:v>52.22302068539657</x:v>
      </x:c>
      <x:c r="P347" s="23" t="n">
        <x:v>1395.3170268447138</x:v>
      </x:c>
      <x:c r="Q347" s="23" t="n">
        <x:v>1.1815377557413722</x:v>
      </x:c>
      <x:c r="R347" s="23" t="n">
        <x:v>52.77030407364513</x:v>
      </x:c>
      <x:c r="S347" s="23" t="n">
        <x:v>1394.0968753172237</x:v>
      </x:c>
      <x:c r="T347" s="23" t="n">
        <x:v>-0.016802364862542385</x:v>
      </x:c>
      <x:c r="U347" s="23" t="n">
        <x:v>0.5472833882485588</x:v>
      </x:c>
      <x:c r="V347" s="23" t="n">
        <x:v>-1.2201515274900885</x:v>
      </x:c>
    </x:row>
    <x:row r="348">
      <x:c r="A348" s="23" t="n">
        <x:v>347</x:v>
      </x:c>
      <x:c r="B348" s="23" t="str">
        <x:v>Train</x:v>
      </x:c>
      <x:c r="C348" s="23" t="str">
        <x:v>Lightning</x:v>
      </x:c>
      <x:c r="D348" s="23" t="n">
        <x:v>1385.5179168982431</x:v>
      </x:c>
      <x:c r="E348" s="23" t="n">
        <x:v>1016.1527243093587</x:v>
      </x:c>
      <x:c r="F348" s="23" t="n">
        <x:v>483.46167244017124</x:v>
      </x:c>
      <x:c r="G348" s="23" t="n">
        <x:v>320.466040733736</x:v>
      </x:c>
      <x:c r="H348" s="23" t="n">
        <x:v>12.001299732364714</x:v>
      </x:c>
      <x:c r="I348" s="23" t="n">
        <x:v>0.8238243492948824</x:v>
      </x:c>
      <x:c r="J348" s="23" t="n">
        <x:v>9</x:v>
      </x:c>
      <x:c r="K348" s="23" t="n">
        <x:v>186.86803241817248</x:v>
      </x:c>
      <x:c r="L348" s="23" t="n">
        <x:v>40</x:v>
      </x:c>
      <x:c r="M348" s="23" t="n">
        <x:v>25</x:v>
      </x:c>
      <x:c r="N348" s="23" t="n">
        <x:v>1.1617407710649499</x:v>
      </x:c>
      <x:c r="O348" s="23" t="n">
        <x:v>52.25879604221458</x:v>
      </x:c>
      <x:c r="P348" s="23" t="n">
        <x:v>1385.5179168982431</x:v>
      </x:c>
      <x:c r="Q348" s="23" t="n">
        <x:v>1.16072399892019</x:v>
      </x:c>
      <x:c r="R348" s="23" t="n">
        <x:v>52.92790599023586</x:v>
      </x:c>
      <x:c r="S348" s="23" t="n">
        <x:v>1391.8835017268227</x:v>
      </x:c>
      <x:c r="T348" s="23" t="n">
        <x:v>-0.0010167721447598144</x:v>
      </x:c>
      <x:c r="U348" s="23" t="n">
        <x:v>0.6691099480212799</x:v>
      </x:c>
      <x:c r="V348" s="23" t="n">
        <x:v>6.3655848285795855</x:v>
      </x:c>
    </x:row>
    <x:row r="349">
      <x:c r="A349" s="23" t="n">
        <x:v>348</x:v>
      </x:c>
      <x:c r="B349" s="23" t="str">
        <x:v>Train</x:v>
      </x:c>
      <x:c r="C349" s="23" t="str">
        <x:v>Lightning</x:v>
      </x:c>
      <x:c r="D349" s="23" t="n">
        <x:v>1488.9011532417499</x:v>
      </x:c>
      <x:c r="E349" s="23" t="n">
        <x:v>719.2096516024321</x:v>
      </x:c>
      <x:c r="F349" s="23" t="n">
        <x:v>441.55552042648196</x:v>
      </x:c>
      <x:c r="G349" s="23" t="n">
        <x:v>171.91567439120263</x:v>
      </x:c>
      <x:c r="H349" s="23" t="n">
        <x:v>29.730104859452695</x:v>
      </x:c>
      <x:c r="I349" s="23" t="n">
        <x:v>0.8535876051336527</x:v>
      </x:c>
      <x:c r="J349" s="23" t="n">
        <x:v>9</x:v>
      </x:c>
      <x:c r="K349" s="23" t="n">
        <x:v>193.80958729526347</x:v>
      </x:c>
      <x:c r="L349" s="23" t="n">
        <x:v>55</x:v>
      </x:c>
      <x:c r="M349" s="23" t="n">
        <x:v>25</x:v>
      </x:c>
      <x:c r="N349" s="23" t="n">
        <x:v>1.2206153525889718</x:v>
      </x:c>
      <x:c r="O349" s="23" t="n">
        <x:v>52.18279826097805</x:v>
      </x:c>
      <x:c r="P349" s="23" t="n">
        <x:v>1488.9011532417499</x:v>
      </x:c>
      <x:c r="Q349" s="23" t="n">
        <x:v>1.2046471534872625</x:v>
      </x:c>
      <x:c r="R349" s="23" t="n">
        <x:v>52.265566746478605</x:v>
      </x:c>
      <x:c r="S349" s="23" t="n">
        <x:v>1477.939000494885</x:v>
      </x:c>
      <x:c r="T349" s="23" t="n">
        <x:v>-0.015968199101709324</x:v>
      </x:c>
      <x:c r="U349" s="23" t="n">
        <x:v>0.08276848550055149</x:v>
      </x:c>
      <x:c r="V349" s="23" t="n">
        <x:v>-10.962152746864831</x:v>
      </x:c>
    </x:row>
    <x:row r="350">
      <x:c r="A350" s="23" t="n">
        <x:v>349</x:v>
      </x:c>
      <x:c r="B350" s="23" t="str">
        <x:v>Train</x:v>
      </x:c>
      <x:c r="C350" s="23" t="str">
        <x:v>Lightning</x:v>
      </x:c>
      <x:c r="D350" s="23" t="n">
        <x:v>1354.1042945813388</x:v>
      </x:c>
      <x:c r="E350" s="23" t="n">
        <x:v>1190.842194936704</x:v>
      </x:c>
      <x:c r="F350" s="23" t="n">
        <x:v>539.5207380875945</x:v>
      </x:c>
      <x:c r="G350" s="23" t="n">
        <x:v>143.1202764925547</x:v>
      </x:c>
      <x:c r="H350" s="23" t="n">
        <x:v>15.677627127617598</x:v>
      </x:c>
      <x:c r="I350" s="23" t="n">
        <x:v>0.8074621143587866</x:v>
      </x:c>
      <x:c r="J350" s="23" t="n">
        <x:v>9</x:v>
      </x:c>
      <x:c r="K350" s="23" t="n">
        <x:v>186.33200252464903</x:v>
      </x:c>
      <x:c r="L350" s="23" t="n">
        <x:v>40</x:v>
      </x:c>
      <x:c r="M350" s="23" t="n">
        <x:v>25</x:v>
      </x:c>
      <x:c r="N350" s="23" t="n">
        <x:v>1.2138471319363318</x:v>
      </x:c>
      <x:c r="O350" s="23" t="n">
        <x:v>52.26712286944392</x:v>
      </x:c>
      <x:c r="P350" s="23" t="n">
        <x:v>1354.1042945813388</x:v>
      </x:c>
      <x:c r="Q350" s="23" t="n">
        <x:v>1.2262213503770287</x:v>
      </x:c>
      <x:c r="R350" s="23" t="n">
        <x:v>52.49545954705616</x:v>
      </x:c>
      <x:c r="S350" s="23" t="n">
        <x:v>1349.6489196075577</x:v>
      </x:c>
      <x:c r="T350" s="23" t="n">
        <x:v>0.012374218440696971</x:v>
      </x:c>
      <x:c r="U350" s="23" t="n">
        <x:v>0.22833667761224063</x:v>
      </x:c>
      <x:c r="V350" s="23" t="n">
        <x:v>-4.45537497378109</x:v>
      </x:c>
    </x:row>
    <x:row r="351">
      <x:c r="A351" s="23" t="n">
        <x:v>350</x:v>
      </x:c>
      <x:c r="B351" s="23" t="str">
        <x:v>Train</x:v>
      </x:c>
      <x:c r="C351" s="23" t="str">
        <x:v>Lightning</x:v>
      </x:c>
      <x:c r="D351" s="23" t="n">
        <x:v>1350.8555524167605</x:v>
      </x:c>
      <x:c r="E351" s="23" t="n">
        <x:v>703.1190513400361</x:v>
      </x:c>
      <x:c r="F351" s="23" t="n">
        <x:v>468.3852036483586</x:v>
      </x:c>
      <x:c r="G351" s="23" t="n">
        <x:v>95.95623325556517</x:v>
      </x:c>
      <x:c r="H351" s="23" t="n">
        <x:v>17.519550728145987</x:v>
      </x:c>
      <x:c r="I351" s="23" t="n">
        <x:v>0.8325385628221557</x:v>
      </x:c>
      <x:c r="J351" s="23" t="n">
        <x:v>9</x:v>
      </x:c>
      <x:c r="K351" s="23" t="n">
        <x:v>180.28601686730866</x:v>
      </x:c>
      <x:c r="L351" s="23" t="n">
        <x:v>60</x:v>
      </x:c>
      <x:c r="M351" s="23" t="n">
        <x:v>25</x:v>
      </x:c>
      <x:c r="N351" s="23" t="n">
        <x:v>1.2088261765228376</x:v>
      </x:c>
      <x:c r="O351" s="23" t="n">
        <x:v>52.17262877662943</x:v>
      </x:c>
      <x:c r="P351" s="23" t="n">
        <x:v>1350.8555524167605</x:v>
      </x:c>
      <x:c r="Q351" s="23" t="n">
        <x:v>1.2067580337525512</x:v>
      </x:c>
      <x:c r="R351" s="23" t="n">
        <x:v>52.72464511005445</x:v>
      </x:c>
      <x:c r="S351" s="23" t="n">
        <x:v>1368.4038367418225</x:v>
      </x:c>
      <x:c r="T351" s="23" t="n">
        <x:v>-0.0020681427702864408</x:v>
      </x:c>
      <x:c r="U351" s="23" t="n">
        <x:v>0.5520163334250228</x:v>
      </x:c>
      <x:c r="V351" s="23" t="n">
        <x:v>17.548284325062014</x:v>
      </x:c>
    </x:row>
    <x:row r="352">
      <x:c r="A352" s="23" t="n">
        <x:v>351</x:v>
      </x:c>
      <x:c r="B352" s="23" t="str">
        <x:v>Train</x:v>
      </x:c>
      <x:c r="C352" s="23" t="str">
        <x:v>Lightning</x:v>
      </x:c>
      <x:c r="D352" s="23" t="n">
        <x:v>1465.911141433753</x:v>
      </x:c>
      <x:c r="E352" s="23" t="n">
        <x:v>1155.122592963744</x:v>
      </x:c>
      <x:c r="F352" s="23" t="n">
        <x:v>526.9213281571865</x:v>
      </x:c>
      <x:c r="G352" s="23" t="n">
        <x:v>122.6112687564455</x:v>
      </x:c>
      <x:c r="H352" s="23" t="n">
        <x:v>15.140655777417123</x:v>
      </x:c>
      <x:c r="I352" s="23" t="n">
        <x:v>0.8512544565810822</x:v>
      </x:c>
      <x:c r="J352" s="23" t="n">
        <x:v>9</x:v>
      </x:c>
      <x:c r="K352" s="23" t="n">
        <x:v>191.33998589450812</x:v>
      </x:c>
      <x:c r="L352" s="23" t="n">
        <x:v>40</x:v>
      </x:c>
      <x:c r="M352" s="23" t="n">
        <x:v>25</x:v>
      </x:c>
      <x:c r="N352" s="23" t="n">
        <x:v>1.1694626076021009</x:v>
      </x:c>
      <x:c r="O352" s="23" t="n">
        <x:v>52.25639086048163</x:v>
      </x:c>
      <x:c r="P352" s="23" t="n">
        <x:v>1465.911141433753</x:v>
      </x:c>
      <x:c r="Q352" s="23" t="n">
        <x:v>1.1801521331743483</x:v>
      </x:c>
      <x:c r="R352" s="23" t="n">
        <x:v>52.434578736896185</x:v>
      </x:c>
      <x:c r="S352" s="23" t="n">
        <x:v>1466.2148122900285</x:v>
      </x:c>
      <x:c r="T352" s="23" t="n">
        <x:v>0.01068952557224745</x:v>
      </x:c>
      <x:c r="U352" s="23" t="n">
        <x:v>0.17818787641455458</x:v>
      </x:c>
      <x:c r="V352" s="23" t="n">
        <x:v>0.3036708562754029</x:v>
      </x:c>
    </x:row>
    <x:row r="353">
      <x:c r="A353" s="23" t="n">
        <x:v>352</x:v>
      </x:c>
      <x:c r="B353" s="23" t="str">
        <x:v>Train</x:v>
      </x:c>
      <x:c r="C353" s="23" t="str">
        <x:v>Lightning</x:v>
      </x:c>
      <x:c r="D353" s="23" t="n">
        <x:v>1400.2466520178132</x:v>
      </x:c>
      <x:c r="E353" s="23" t="n">
        <x:v>1223.3939677476883</x:v>
      </x:c>
      <x:c r="F353" s="23" t="n">
        <x:v>471.605786588043</x:v>
      </x:c>
      <x:c r="G353" s="23" t="n">
        <x:v>308.96728210616857</x:v>
      </x:c>
      <x:c r="H353" s="23" t="n">
        <x:v>14.535299183335155</x:v>
      </x:c>
      <x:c r="I353" s="23" t="n">
        <x:v>0.8220302065741271</x:v>
      </x:c>
      <x:c r="J353" s="23" t="n">
        <x:v>9</x:v>
      </x:c>
      <x:c r="K353" s="23" t="n">
        <x:v>189.26672048186197</x:v>
      </x:c>
      <x:c r="L353" s="23" t="n">
        <x:v>35</x:v>
      </x:c>
      <x:c r="M353" s="23" t="n">
        <x:v>25</x:v>
      </x:c>
      <x:c r="N353" s="23" t="n">
        <x:v>1.1464726113413608</x:v>
      </x:c>
      <x:c r="O353" s="23" t="n">
        <x:v>52.287468560157194</x:v>
      </x:c>
      <x:c r="P353" s="23" t="n">
        <x:v>1400.2466520178132</x:v>
      </x:c>
      <x:c r="Q353" s="23" t="n">
        <x:v>1.1530525804489595</x:v>
      </x:c>
      <x:c r="R353" s="23" t="n">
        <x:v>52.79159004935934</x:v>
      </x:c>
      <x:c r="S353" s="23" t="n">
        <x:v>1393.2443812277206</x:v>
      </x:c>
      <x:c r="T353" s="23" t="n">
        <x:v>0.0065799691075987266</x:v>
      </x:c>
      <x:c r="U353" s="23" t="n">
        <x:v>0.5041214892021486</x:v>
      </x:c>
      <x:c r="V353" s="23" t="n">
        <x:v>-7.0022707900925525</x:v>
      </x:c>
    </x:row>
    <x:row r="354">
      <x:c r="A354" s="23" t="n">
        <x:v>353</x:v>
      </x:c>
      <x:c r="B354" s="23" t="str">
        <x:v>Train</x:v>
      </x:c>
      <x:c r="C354" s="23" t="str">
        <x:v>Lightning</x:v>
      </x:c>
      <x:c r="D354" s="23" t="n">
        <x:v>1485.3823601268232</x:v>
      </x:c>
      <x:c r="E354" s="23" t="n">
        <x:v>1069.7346172644757</x:v>
      </x:c>
      <x:c r="F354" s="23" t="n">
        <x:v>452.9208207502961</x:v>
      </x:c>
      <x:c r="G354" s="23" t="n">
        <x:v>313.4916098625399</x:v>
      </x:c>
      <x:c r="H354" s="23" t="n">
        <x:v>23.921262497082353</x:v>
      </x:c>
      <x:c r="I354" s="23" t="n">
        <x:v>0.8302546181087382</x:v>
      </x:c>
      <x:c r="J354" s="23" t="n">
        <x:v>9</x:v>
      </x:c>
      <x:c r="K354" s="23" t="n">
        <x:v>198.78538566216122</x:v>
      </x:c>
      <x:c r="L354" s="23" t="n">
        <x:v>40</x:v>
      </x:c>
      <x:c r="M354" s="23" t="n">
        <x:v>25</x:v>
      </x:c>
      <x:c r="N354" s="23" t="n">
        <x:v>1.234835415182287</x:v>
      </x:c>
      <x:c r="O354" s="23" t="n">
        <x:v>52.26130122844026</x:v>
      </x:c>
      <x:c r="P354" s="23" t="n">
        <x:v>1485.3823601268232</x:v>
      </x:c>
      <x:c r="Q354" s="23" t="n">
        <x:v>1.246817119560592</x:v>
      </x:c>
      <x:c r="R354" s="23" t="n">
        <x:v>53.22222997400751</x:v>
      </x:c>
      <x:c r="S354" s="23" t="n">
        <x:v>1470.0326844711071</x:v>
      </x:c>
      <x:c r="T354" s="23" t="n">
        <x:v>0.011981704378305036</x:v>
      </x:c>
      <x:c r="U354" s="23" t="n">
        <x:v>0.9609287455672515</x:v>
      </x:c>
      <x:c r="V354" s="23" t="n">
        <x:v>-15.349675655716055</x:v>
      </x:c>
    </x:row>
    <x:row r="355">
      <x:c r="A355" s="23" t="n">
        <x:v>354</x:v>
      </x:c>
      <x:c r="B355" s="23" t="str">
        <x:v>Train</x:v>
      </x:c>
      <x:c r="C355" s="23" t="str">
        <x:v>Lightning</x:v>
      </x:c>
      <x:c r="D355" s="23" t="n">
        <x:v>1484.5165410661139</x:v>
      </x:c>
      <x:c r="E355" s="23" t="n">
        <x:v>1167.3558327602223</x:v>
      </x:c>
      <x:c r="F355" s="23" t="n">
        <x:v>516.7503946460783</x:v>
      </x:c>
      <x:c r="G355" s="23" t="n">
        <x:v>264.4221579376608</x:v>
      </x:c>
      <x:c r="H355" s="23" t="n">
        <x:v>16.928319670725614</x:v>
      </x:c>
      <x:c r="I355" s="23" t="n">
        <x:v>0.8552063044020907</x:v>
      </x:c>
      <x:c r="J355" s="23" t="n">
        <x:v>9</x:v>
      </x:c>
      <x:c r="K355" s="23" t="n">
        <x:v>192.87308979322825</x:v>
      </x:c>
      <x:c r="L355" s="23" t="n">
        <x:v>40</x:v>
      </x:c>
      <x:c r="M355" s="23" t="n">
        <x:v>25</x:v>
      </x:c>
      <x:c r="N355" s="23" t="n">
        <x:v>1.2658156563642542</x:v>
      </x:c>
      <x:c r="O355" s="23" t="n">
        <x:v>52.278824288484756</x:v>
      </x:c>
      <x:c r="P355" s="23" t="n">
        <x:v>1484.5165410661139</x:v>
      </x:c>
      <x:c r="Q355" s="23" t="n">
        <x:v>1.2707638515839592</x:v>
      </x:c>
      <x:c r="R355" s="23" t="n">
        <x:v>53.73534728374689</x:v>
      </x:c>
      <x:c r="S355" s="23" t="n">
        <x:v>1478.3180652832561</x:v>
      </x:c>
      <x:c r="T355" s="23" t="n">
        <x:v>0.0049481952197050205</x:v>
      </x:c>
      <x:c r="U355" s="23" t="n">
        <x:v>1.4565229952621337</x:v>
      </x:c>
      <x:c r="V355" s="23" t="n">
        <x:v>-6.198475782857713</x:v>
      </x:c>
    </x:row>
    <x:row r="356">
      <x:c r="A356" s="23" t="n">
        <x:v>355</x:v>
      </x:c>
      <x:c r="B356" s="23" t="str">
        <x:v>Validation</x:v>
      </x:c>
      <x:c r="C356" s="23" t="str">
        <x:v>Lightning</x:v>
      </x:c>
      <x:c r="D356" s="23" t="n">
        <x:v>1451.8356702988967</x:v>
      </x:c>
      <x:c r="E356" s="23" t="n">
        <x:v>1052.8960236930288</x:v>
      </x:c>
      <x:c r="F356" s="23" t="n">
        <x:v>692.9426591843367</x:v>
      </x:c>
      <x:c r="G356" s="23" t="n">
        <x:v>282.62874820036814</x:v>
      </x:c>
      <x:c r="H356" s="23" t="n">
        <x:v>23.49813856650144</x:v>
      </x:c>
      <x:c r="I356" s="23" t="n">
        <x:v>0.854561958394479</x:v>
      </x:c>
      <x:c r="J356" s="23" t="n">
        <x:v>9</x:v>
      </x:c>
      <x:c r="K356" s="23" t="n">
        <x:v>188.76931379057442</x:v>
      </x:c>
      <x:c r="L356" s="23" t="n">
        <x:v>35</x:v>
      </x:c>
      <x:c r="M356" s="23" t="n">
        <x:v>25</x:v>
      </x:c>
      <x:c r="N356" s="23" t="n">
        <x:v>1.2128410575660369</x:v>
      </x:c>
      <x:c r="O356" s="23" t="n">
        <x:v>52.29128878419079</x:v>
      </x:c>
      <x:c r="P356" s="23" t="n">
        <x:v>1451.8356702988967</x:v>
      </x:c>
      <x:c r="Q356" s="23" t="n">
        <x:v>1.2167936389974</x:v>
      </x:c>
      <x:c r="R356" s="23" t="n">
        <x:v>53.66382195896482</x:v>
      </x:c>
      <x:c r="S356" s="23" t="n">
        <x:v>1434.941823729831</x:v>
      </x:c>
      <x:c r="T356" s="23" t="n">
        <x:v>0.003952581431363011</x:v>
      </x:c>
      <x:c r="U356" s="23" t="n">
        <x:v>1.372533174774027</x:v>
      </x:c>
      <x:c r="V356" s="23" t="n">
        <x:v>-16.893846569065772</x:v>
      </x:c>
    </x:row>
    <x:row r="357">
      <x:c r="A357" s="23" t="n">
        <x:v>356</x:v>
      </x:c>
      <x:c r="B357" s="23" t="str">
        <x:v>Validation</x:v>
      </x:c>
      <x:c r="C357" s="23" t="str">
        <x:v>Lightning</x:v>
      </x:c>
      <x:c r="D357" s="23" t="n">
        <x:v>1392.122492508497</x:v>
      </x:c>
      <x:c r="E357" s="23" t="n">
        <x:v>934.7625755239278</x:v>
      </x:c>
      <x:c r="F357" s="23" t="n">
        <x:v>675.8265527896583</x:v>
      </x:c>
      <x:c r="G357" s="23" t="n">
        <x:v>165.7558719580993</x:v>
      </x:c>
      <x:c r="H357" s="23" t="n">
        <x:v>16.957348264288157</x:v>
      </x:c>
      <x:c r="I357" s="23" t="n">
        <x:v>0.8069053488783539</x:v>
      </x:c>
      <x:c r="J357" s="23" t="n">
        <x:v>9</x:v>
      </x:c>
      <x:c r="K357" s="23" t="n">
        <x:v>191.69568916652156</x:v>
      </x:c>
      <x:c r="L357" s="23" t="n">
        <x:v>40</x:v>
      </x:c>
      <x:c r="M357" s="23" t="n">
        <x:v>25</x:v>
      </x:c>
      <x:c r="N357" s="23" t="n">
        <x:v>1.1621151840388497</x:v>
      </x:c>
      <x:c r="O357" s="23" t="n">
        <x:v>52.25197659416735</x:v>
      </x:c>
      <x:c r="P357" s="23" t="n">
        <x:v>1392.122492508497</x:v>
      </x:c>
      <x:c r="Q357" s="23" t="n">
        <x:v>1.1639052491749915</x:v>
      </x:c>
      <x:c r="R357" s="23" t="n">
        <x:v>52.66224883190563</x:v>
      </x:c>
      <x:c r="S357" s="23" t="n">
        <x:v>1383.3009386680874</x:v>
      </x:c>
      <x:c r="T357" s="23" t="n">
        <x:v>0.0017900651361417719</x:v>
      </x:c>
      <x:c r="U357" s="23" t="n">
        <x:v>0.41027223773827615</x:v>
      </x:c>
      <x:c r="V357" s="23" t="n">
        <x:v>-8.821553840409706</x:v>
      </x:c>
    </x:row>
    <x:row r="358">
      <x:c r="A358" s="23" t="n">
        <x:v>357</x:v>
      </x:c>
      <x:c r="B358" s="23" t="str">
        <x:v>Validation</x:v>
      </x:c>
      <x:c r="C358" s="23" t="str">
        <x:v>Lightning</x:v>
      </x:c>
      <x:c r="D358" s="23" t="n">
        <x:v>1440.3431741986424</x:v>
      </x:c>
      <x:c r="E358" s="23" t="n">
        <x:v>848.9204948651604</x:v>
      </x:c>
      <x:c r="F358" s="23" t="n">
        <x:v>651.636685244739</x:v>
      </x:c>
      <x:c r="G358" s="23" t="n">
        <x:v>266.20886775897816</x:v>
      </x:c>
      <x:c r="H358" s="23" t="n">
        <x:v>18.966868557035923</x:v>
      </x:c>
      <x:c r="I358" s="23" t="n">
        <x:v>0.7902494406164624</x:v>
      </x:c>
      <x:c r="J358" s="23" t="n">
        <x:v>10</x:v>
      </x:c>
      <x:c r="K358" s="23" t="n">
        <x:v>182.26437124397722</x:v>
      </x:c>
      <x:c r="L358" s="23" t="n">
        <x:v>35</x:v>
      </x:c>
      <x:c r="M358" s="23" t="n">
        <x:v>25</x:v>
      </x:c>
      <x:c r="N358" s="23" t="n">
        <x:v>1.14020058864221</x:v>
      </x:c>
      <x:c r="O358" s="23" t="n">
        <x:v>52.28109221779328</x:v>
      </x:c>
      <x:c r="P358" s="23" t="n">
        <x:v>1440.3431741986424</x:v>
      </x:c>
      <x:c r="Q358" s="23" t="n">
        <x:v>1.14845896518255</x:v>
      </x:c>
      <x:c r="R358" s="23" t="n">
        <x:v>52.19733497375055</x:v>
      </x:c>
      <x:c r="S358" s="23" t="n">
        <x:v>1431.079607180711</x:v>
      </x:c>
      <x:c r="T358" s="23" t="n">
        <x:v>0.008258376540340118</x:v>
      </x:c>
      <x:c r="U358" s="23" t="n">
        <x:v>-0.08375724404272944</x:v>
      </x:c>
      <x:c r="V358" s="23" t="n">
        <x:v>-9.263567017931337</x:v>
      </x:c>
    </x:row>
    <x:row r="359">
      <x:c r="A359" s="23" t="n">
        <x:v>358</x:v>
      </x:c>
      <x:c r="B359" s="23" t="str">
        <x:v>Hidden Test</x:v>
      </x:c>
      <x:c r="C359" s="23" t="str">
        <x:v>Lightning</x:v>
      </x:c>
      <x:c r="D359" s="23" t="n">
        <x:v>1422.6922023226507</x:v>
      </x:c>
      <x:c r="E359" s="23" t="n">
        <x:v>918.4189930325374</x:v>
      </x:c>
      <x:c r="F359" s="23" t="n">
        <x:v>367.1210256405175</x:v>
      </x:c>
      <x:c r="G359" s="23" t="n">
        <x:v>123.5196696780622</x:v>
      </x:c>
      <x:c r="H359" s="23" t="n">
        <x:v>20.07253253320232</x:v>
      </x:c>
      <x:c r="I359" s="23" t="n">
        <x:v>0.8453901218017563</x:v>
      </x:c>
      <x:c r="J359" s="23" t="n">
        <x:v>9</x:v>
      </x:c>
      <x:c r="K359" s="23" t="n">
        <x:v>186.98693927518164</x:v>
      </x:c>
      <x:c r="L359" s="23" t="n">
        <x:v>55</x:v>
      </x:c>
      <x:c r="M359" s="23" t="n">
        <x:v>25</x:v>
      </x:c>
      <x:c r="N359" s="23" t="n">
        <x:v>1.2465777420712183</x:v>
      </x:c>
      <x:c r="O359" s="23" t="n">
        <x:v>52.19470763190614</x:v>
      </x:c>
      <x:c r="P359" s="23" t="n">
        <x:v>1422.6922023226507</x:v>
      </x:c>
      <x:c r="Q359" s="23" t="n">
        <x:v>1.2527204436641186</x:v>
      </x:c>
      <x:c r="R359" s="23" t="n">
        <x:v>52.080439177606756</x:v>
      </x:c>
      <x:c r="S359" s="23" t="n">
        <x:v>1423.880955439759</x:v>
      </x:c>
      <x:c r="T359" s="23" t="n">
        <x:v>0.006142701592900313</x:v>
      </x:c>
      <x:c r="U359" s="23" t="n">
        <x:v>-0.11426845429938481</x:v>
      </x:c>
      <x:c r="V359" s="23" t="n">
        <x:v>1.1887531171082628</x:v>
      </x:c>
    </x:row>
    <x:row r="360">
      <x:c r="A360" s="23" t="n">
        <x:v>359</x:v>
      </x:c>
      <x:c r="B360" s="23" t="str">
        <x:v>Hidden Test</x:v>
      </x:c>
      <x:c r="C360" s="23" t="str">
        <x:v>Lightning</x:v>
      </x:c>
      <x:c r="D360" s="23" t="n">
        <x:v>1409.7449484514073</x:v>
      </x:c>
      <x:c r="E360" s="23" t="n">
        <x:v>1231.5021898713894</x:v>
      </x:c>
      <x:c r="F360" s="23" t="n">
        <x:v>710.6399118900299</x:v>
      </x:c>
      <x:c r="G360" s="23" t="n">
        <x:v>232.35371323069558</x:v>
      </x:c>
      <x:c r="H360" s="23" t="n">
        <x:v>18.870843875221908</x:v>
      </x:c>
      <x:c r="I360" s="23" t="n">
        <x:v>0.8428019518381916</x:v>
      </x:c>
      <x:c r="J360" s="23" t="n">
        <x:v>9</x:v>
      </x:c>
      <x:c r="K360" s="23" t="n">
        <x:v>185.8542534981987</x:v>
      </x:c>
      <x:c r="L360" s="23" t="n">
        <x:v>35</x:v>
      </x:c>
      <x:c r="M360" s="23" t="n">
        <x:v>25</x:v>
      </x:c>
      <x:c r="N360" s="23" t="n">
        <x:v>1.2627730124332928</x:v>
      </x:c>
      <x:c r="O360" s="23" t="n">
        <x:v>52.314058259952645</x:v>
      </x:c>
      <x:c r="P360" s="23" t="n">
        <x:v>1409.7449484514073</x:v>
      </x:c>
      <x:c r="Q360" s="23" t="n">
        <x:v>1.2643414268361424</x:v>
      </x:c>
      <x:c r="R360" s="23" t="n">
        <x:v>52.04316167035199</x:v>
      </x:c>
      <x:c r="S360" s="23" t="n">
        <x:v>1390.1574435465761</x:v>
      </x:c>
      <x:c r="T360" s="23" t="n">
        <x:v>0.001568414402849605</x:v>
      </x:c>
      <x:c r="U360" s="23" t="n">
        <x:v>-0.2708965896006532</x:v>
      </x:c>
      <x:c r="V360" s="23" t="n">
        <x:v>-19.58750490483112</x:v>
      </x:c>
    </x:row>
    <x:row r="361">
      <x:c r="A361" s="23" t="n">
        <x:v>360</x:v>
      </x:c>
      <x:c r="B361" s="23" t="str">
        <x:v>Hidden Test</x:v>
      </x:c>
      <x:c r="C361" s="23" t="str">
        <x:v>Lightning</x:v>
      </x:c>
      <x:c r="D361" s="23" t="n">
        <x:v>1467.3253604094498</x:v>
      </x:c>
      <x:c r="E361" s="23" t="n">
        <x:v>734.0981864370406</x:v>
      </x:c>
      <x:c r="F361" s="23" t="n">
        <x:v>711.3681829534471</x:v>
      </x:c>
      <x:c r="G361" s="23" t="n">
        <x:v>123.22360979858786</x:v>
      </x:c>
      <x:c r="H361" s="23" t="n">
        <x:v>15.754294914659113</x:v>
      </x:c>
      <x:c r="I361" s="23" t="n">
        <x:v>0.8566155584249646</x:v>
      </x:c>
      <x:c r="J361" s="23" t="n">
        <x:v>9</x:v>
      </x:c>
      <x:c r="K361" s="23" t="n">
        <x:v>190.32592807020177</x:v>
      </x:c>
      <x:c r="L361" s="23" t="n">
        <x:v>50</x:v>
      </x:c>
      <x:c r="M361" s="23" t="n">
        <x:v>25</x:v>
      </x:c>
      <x:c r="N361" s="23" t="n">
        <x:v>1.2498180390855398</x:v>
      </x:c>
      <x:c r="O361" s="23" t="n">
        <x:v>52.21959798500505</x:v>
      </x:c>
      <x:c r="P361" s="23" t="n">
        <x:v>1467.3253604094498</x:v>
      </x:c>
      <x:c r="Q361" s="23" t="n">
        <x:v>1.260513273115996</x:v>
      </x:c>
      <x:c r="R361" s="23" t="n">
        <x:v>51.09642203776518</x:v>
      </x:c>
      <x:c r="S361" s="23" t="n">
        <x:v>1480.9976503437547</x:v>
      </x:c>
      <x:c r="T361" s="23" t="n">
        <x:v>0.010695234030456247</x:v>
      </x:c>
      <x:c r="U361" s="23" t="n">
        <x:v>-1.1231759472398721</x:v>
      </x:c>
      <x:c r="V361" s="23" t="n">
        <x:v>13.6722899343049</x:v>
      </x:c>
    </x:row>
    <x:row r="362">
      <x:c r="A362" s="23" t="n">
        <x:v>361</x:v>
      </x:c>
      <x:c r="B362" s="23" t="str">
        <x:v>Train</x:v>
      </x:c>
      <x:c r="C362" s="23" t="str">
        <x:v>Lightning</x:v>
      </x:c>
      <x:c r="D362" s="23" t="n">
        <x:v>1356.9545974954963</x:v>
      </x:c>
      <x:c r="E362" s="23" t="n">
        <x:v>759.4943430623971</x:v>
      </x:c>
      <x:c r="F362" s="23" t="n">
        <x:v>580.6646885350347</x:v>
      </x:c>
      <x:c r="G362" s="23" t="n">
        <x:v>101.94435481214896</x:v>
      </x:c>
      <x:c r="H362" s="23" t="n">
        <x:v>28.786540320143104</x:v>
      </x:c>
      <x:c r="I362" s="23" t="n">
        <x:v>0.832063259643037</x:v>
      </x:c>
      <x:c r="J362" s="23" t="n">
        <x:v>9</x:v>
      </x:c>
      <x:c r="K362" s="23" t="n">
        <x:v>181.2034497470037</x:v>
      </x:c>
      <x:c r="L362" s="23" t="n">
        <x:v>50</x:v>
      </x:c>
      <x:c r="M362" s="23" t="n">
        <x:v>25</x:v>
      </x:c>
      <x:c r="N362" s="23" t="n">
        <x:v>1.2099314337236635</x:v>
      </x:c>
      <x:c r="O362" s="23" t="n">
        <x:v>52.199859970525914</x:v>
      </x:c>
      <x:c r="P362" s="23" t="n">
        <x:v>1356.9545974954963</x:v>
      </x:c>
      <x:c r="Q362" s="23" t="n">
        <x:v>1.1995256029469186</x:v>
      </x:c>
      <x:c r="R362" s="23" t="n">
        <x:v>52.915727385323954</x:v>
      </x:c>
      <x:c r="S362" s="23" t="n">
        <x:v>1352.4691251227016</x:v>
      </x:c>
      <x:c r="T362" s="23" t="n">
        <x:v>-0.010405830776744951</x:v>
      </x:c>
      <x:c r="U362" s="23" t="n">
        <x:v>0.7158674147980406</x:v>
      </x:c>
      <x:c r="V362" s="23" t="n">
        <x:v>-4.485472372794675</x:v>
      </x:c>
    </x:row>
    <x:row r="363">
      <x:c r="A363" s="23" t="n">
        <x:v>362</x:v>
      </x:c>
      <x:c r="B363" s="23" t="str">
        <x:v>Train</x:v>
      </x:c>
      <x:c r="C363" s="23" t="str">
        <x:v>Lightning</x:v>
      </x:c>
      <x:c r="D363" s="23" t="n">
        <x:v>1446.349902881775</x:v>
      </x:c>
      <x:c r="E363" s="23" t="n">
        <x:v>632.5194243574515</x:v>
      </x:c>
      <x:c r="F363" s="23" t="n">
        <x:v>441.2447811104357</x:v>
      </x:c>
      <x:c r="G363" s="23" t="n">
        <x:v>151.06564822606742</x:v>
      </x:c>
      <x:c r="H363" s="23" t="n">
        <x:v>17.427482951898128</x:v>
      </x:c>
      <x:c r="I363" s="23" t="n">
        <x:v>0.8417172842891887</x:v>
      </x:c>
      <x:c r="J363" s="23" t="n">
        <x:v>9</x:v>
      </x:c>
      <x:c r="K363" s="23" t="n">
        <x:v>190.9257986787736</x:v>
      </x:c>
      <x:c r="L363" s="23" t="n">
        <x:v>60</x:v>
      </x:c>
      <x:c r="M363" s="23" t="n">
        <x:v>25</x:v>
      </x:c>
      <x:c r="N363" s="23" t="n">
        <x:v>1.1699836408248434</x:v>
      </x:c>
      <x:c r="O363" s="23" t="n">
        <x:v>52.16598159493723</x:v>
      </x:c>
      <x:c r="P363" s="23" t="n">
        <x:v>1446.349902881775</x:v>
      </x:c>
      <x:c r="Q363" s="23" t="n">
        <x:v>1.171201067144839</x:v>
      </x:c>
      <x:c r="R363" s="23" t="n">
        <x:v>52.06069614368379</x:v>
      </x:c>
      <x:c r="S363" s="23" t="n">
        <x:v>1461.1547042455686</x:v>
      </x:c>
      <x:c r="T363" s="23" t="n">
        <x:v>0.0012174263199955515</x:v>
      </x:c>
      <x:c r="U363" s="23" t="n">
        <x:v>-0.10528545125343669</x:v>
      </x:c>
      <x:c r="V363" s="23" t="n">
        <x:v>14.804801363793558</x:v>
      </x:c>
    </x:row>
    <x:row r="364">
      <x:c r="A364" s="23" t="n">
        <x:v>363</x:v>
      </x:c>
      <x:c r="B364" s="23" t="str">
        <x:v>Train</x:v>
      </x:c>
      <x:c r="C364" s="23" t="str">
        <x:v>Lightning</x:v>
      </x:c>
      <x:c r="D364" s="23" t="n">
        <x:v>1438.4637511102483</x:v>
      </x:c>
      <x:c r="E364" s="23" t="n">
        <x:v>1079.8169216723181</x:v>
      </x:c>
      <x:c r="F364" s="23" t="n">
        <x:v>389.9943370372057</x:v>
      </x:c>
      <x:c r="G364" s="23" t="n">
        <x:v>122.67752746818587</x:v>
      </x:c>
      <x:c r="H364" s="23" t="n">
        <x:v>18.59748582635075</x:v>
      </x:c>
      <x:c r="I364" s="23" t="n">
        <x:v>0.8195546423527412</x:v>
      </x:c>
      <x:c r="J364" s="23" t="n">
        <x:v>9</x:v>
      </x:c>
      <x:c r="K364" s="23" t="n">
        <x:v>195.019706337195</x:v>
      </x:c>
      <x:c r="L364" s="23" t="n">
        <x:v>45</x:v>
      </x:c>
      <x:c r="M364" s="23" t="n">
        <x:v>25</x:v>
      </x:c>
      <x:c r="N364" s="23" t="n">
        <x:v>1.169013702484343</x:v>
      </x:c>
      <x:c r="O364" s="23" t="n">
        <x:v>52.22330881398476</x:v>
      </x:c>
      <x:c r="P364" s="23" t="n">
        <x:v>1438.4637511102483</x:v>
      </x:c>
      <x:c r="Q364" s="23" t="n">
        <x:v>1.1807107584449361</x:v>
      </x:c>
      <x:c r="R364" s="23" t="n">
        <x:v>52.93362378136117</x:v>
      </x:c>
      <x:c r="S364" s="23" t="n">
        <x:v>1444.539005767834</x:v>
      </x:c>
      <x:c r="T364" s="23" t="n">
        <x:v>0.011697055960593117</x:v>
      </x:c>
      <x:c r="U364" s="23" t="n">
        <x:v>0.7103149673764122</x:v>
      </x:c>
      <x:c r="V364" s="23" t="n">
        <x:v>6.075254657585674</x:v>
      </x:c>
    </x:row>
    <x:row r="365">
      <x:c r="A365" s="23" t="n">
        <x:v>364</x:v>
      </x:c>
      <x:c r="B365" s="23" t="str">
        <x:v>Train</x:v>
      </x:c>
      <x:c r="C365" s="23" t="str">
        <x:v>Lightning</x:v>
      </x:c>
      <x:c r="D365" s="23" t="n">
        <x:v>1436.7534047341906</x:v>
      </x:c>
      <x:c r="E365" s="23" t="n">
        <x:v>801.1766226496547</x:v>
      </x:c>
      <x:c r="F365" s="23" t="n">
        <x:v>701.5446762554348</x:v>
      </x:c>
      <x:c r="G365" s="23" t="n">
        <x:v>202.91954166721553</x:v>
      </x:c>
      <x:c r="H365" s="23" t="n">
        <x:v>26.401734131854028</x:v>
      </x:c>
      <x:c r="I365" s="23" t="n">
        <x:v>0.8335887445881963</x:v>
      </x:c>
      <x:c r="J365" s="23" t="n">
        <x:v>9</x:v>
      </x:c>
      <x:c r="K365" s="23" t="n">
        <x:v>191.50842454279024</x:v>
      </x:c>
      <x:c r="L365" s="23" t="n">
        <x:v>40</x:v>
      </x:c>
      <x:c r="M365" s="23" t="n">
        <x:v>25</x:v>
      </x:c>
      <x:c r="N365" s="23" t="n">
        <x:v>1.1685387429563807</x:v>
      </x:c>
      <x:c r="O365" s="23" t="n">
        <x:v>52.240952048066234</x:v>
      </x:c>
      <x:c r="P365" s="23" t="n">
        <x:v>1436.7534047341906</x:v>
      </x:c>
      <x:c r="Q365" s="23" t="n">
        <x:v>1.1750283630732958</x:v>
      </x:c>
      <x:c r="R365" s="23" t="n">
        <x:v>51.18345195869391</x:v>
      </x:c>
      <x:c r="S365" s="23" t="n">
        <x:v>1424.6139673461755</x:v>
      </x:c>
      <x:c r="T365" s="23" t="n">
        <x:v>0.006489620116915118</x:v>
      </x:c>
      <x:c r="U365" s="23" t="n">
        <x:v>-1.0575000893723256</x:v>
      </x:c>
      <x:c r="V365" s="23" t="n">
        <x:v>-12.13943738801504</x:v>
      </x:c>
    </x:row>
    <x:row r="366">
      <x:c r="A366" s="23" t="n">
        <x:v>365</x:v>
      </x:c>
      <x:c r="B366" s="23" t="str">
        <x:v>Train</x:v>
      </x:c>
      <x:c r="C366" s="23" t="str">
        <x:v>Lightning</x:v>
      </x:c>
      <x:c r="D366" s="23" t="n">
        <x:v>1472.247410332784</x:v>
      </x:c>
      <x:c r="E366" s="23" t="n">
        <x:v>843.0756176705472</x:v>
      </x:c>
      <x:c r="F366" s="23" t="n">
        <x:v>409.0444615110755</x:v>
      </x:c>
      <x:c r="G366" s="23" t="n">
        <x:v>252.95244504930452</x:v>
      </x:c>
      <x:c r="H366" s="23" t="n">
        <x:v>28.029916439205408</x:v>
      </x:c>
      <x:c r="I366" s="23" t="n">
        <x:v>0.8086278393142857</x:v>
      </x:c>
      <x:c r="J366" s="23" t="n">
        <x:v>10</x:v>
      </x:c>
      <x:c r="K366" s="23" t="n">
        <x:v>182.06736631541725</x:v>
      </x:c>
      <x:c r="L366" s="23" t="n">
        <x:v>45</x:v>
      </x:c>
      <x:c r="M366" s="23" t="n">
        <x:v>25</x:v>
      </x:c>
      <x:c r="N366" s="23" t="n">
        <x:v>1.2543683514289017</x:v>
      </x:c>
      <x:c r="O366" s="23" t="n">
        <x:v>52.23575381482301</x:v>
      </x:c>
      <x:c r="P366" s="23" t="n">
        <x:v>1472.247410332784</x:v>
      </x:c>
      <x:c r="Q366" s="23" t="n">
        <x:v>1.2408612515784274</x:v>
      </x:c>
      <x:c r="R366" s="23" t="n">
        <x:v>52.73558457353765</x:v>
      </x:c>
      <x:c r="S366" s="23" t="n">
        <x:v>1454.529895358815</x:v>
      </x:c>
      <x:c r="T366" s="23" t="n">
        <x:v>-0.013507099850474269</x:v>
      </x:c>
      <x:c r="U366" s="23" t="n">
        <x:v>0.4998307587146371</x:v>
      </x:c>
      <x:c r="V366" s="23" t="n">
        <x:v>-17.717514973968946</x:v>
      </x:c>
    </x:row>
    <x:row r="367">
      <x:c r="A367" s="23" t="n">
        <x:v>366</x:v>
      </x:c>
      <x:c r="B367" s="23" t="str">
        <x:v>Train</x:v>
      </x:c>
      <x:c r="C367" s="23" t="str">
        <x:v>Lightning</x:v>
      </x:c>
      <x:c r="D367" s="23" t="n">
        <x:v>1481.0315562528558</x:v>
      </x:c>
      <x:c r="E367" s="23" t="n">
        <x:v>975.188583205454</x:v>
      </x:c>
      <x:c r="F367" s="23" t="n">
        <x:v>368.4026096947491</x:v>
      </x:c>
      <x:c r="G367" s="23" t="n">
        <x:v>141.4558383822441</x:v>
      </x:c>
      <x:c r="H367" s="23" t="n">
        <x:v>15.779217431787401</x:v>
      </x:c>
      <x:c r="I367" s="23" t="n">
        <x:v>0.8316472678584979</x:v>
      </x:c>
      <x:c r="J367" s="23" t="n">
        <x:v>9</x:v>
      </x:c>
      <x:c r="K367" s="23" t="n">
        <x:v>197.87122277166196</x:v>
      </x:c>
      <x:c r="L367" s="23" t="n">
        <x:v>50</x:v>
      </x:c>
      <x:c r="M367" s="23" t="n">
        <x:v>25</x:v>
      </x:c>
      <x:c r="N367" s="23" t="n">
        <x:v>1.1869560082807145</x:v>
      </x:c>
      <x:c r="O367" s="23" t="n">
        <x:v>52.206555958352716</x:v>
      </x:c>
      <x:c r="P367" s="23" t="n">
        <x:v>1481.0315562528558</x:v>
      </x:c>
      <x:c r="Q367" s="23" t="n">
        <x:v>1.1905562034767334</x:v>
      </x:c>
      <x:c r="R367" s="23" t="n">
        <x:v>52.672931817454604</x:v>
      </x:c>
      <x:c r="S367" s="23" t="n">
        <x:v>1493.9366425163048</x:v>
      </x:c>
      <x:c r="T367" s="23" t="n">
        <x:v>0.0036001951960189515</x:v>
      </x:c>
      <x:c r="U367" s="23" t="n">
        <x:v>0.4663758591018876</x:v>
      </x:c>
      <x:c r="V367" s="23" t="n">
        <x:v>12.905086263448993</x:v>
      </x:c>
    </x:row>
    <x:row r="368">
      <x:c r="A368" s="23" t="n">
        <x:v>367</x:v>
      </x:c>
      <x:c r="B368" s="23" t="str">
        <x:v>Train</x:v>
      </x:c>
      <x:c r="C368" s="23" t="str">
        <x:v>Lightning</x:v>
      </x:c>
      <x:c r="D368" s="23" t="n">
        <x:v>1442.9888429353014</x:v>
      </x:c>
      <x:c r="E368" s="23" t="n">
        <x:v>1203.1873398576863</x:v>
      </x:c>
      <x:c r="F368" s="23" t="n">
        <x:v>356.35126009583473</x:v>
      </x:c>
      <x:c r="G368" s="23" t="n">
        <x:v>283.523880278226</x:v>
      </x:c>
      <x:c r="H368" s="23" t="n">
        <x:v>20.833665444515646</x:v>
      </x:c>
      <x:c r="I368" s="23" t="n">
        <x:v>0.809623952114489</x:v>
      </x:c>
      <x:c r="J368" s="23" t="n">
        <x:v>9</x:v>
      </x:c>
      <x:c r="K368" s="23" t="n">
        <x:v>198.03279441120753</x:v>
      </x:c>
      <x:c r="L368" s="23" t="n">
        <x:v>40</x:v>
      </x:c>
      <x:c r="M368" s="23" t="n">
        <x:v>25</x:v>
      </x:c>
      <x:c r="N368" s="23" t="n">
        <x:v>1.2229029561432019</x:v>
      </x:c>
      <x:c r="O368" s="23" t="n">
        <x:v>52.26237951723013</x:v>
      </x:c>
      <x:c r="P368" s="23" t="n">
        <x:v>1442.9888429353014</x:v>
      </x:c>
      <x:c r="Q368" s="23" t="n">
        <x:v>1.2342575332164476</x:v>
      </x:c>
      <x:c r="R368" s="23" t="n">
        <x:v>53.9846573369434</x:v>
      </x:c>
      <x:c r="S368" s="23" t="n">
        <x:v>1436.158320726362</x:v>
      </x:c>
      <x:c r="T368" s="23" t="n">
        <x:v>0.01135457707324572</x:v>
      </x:c>
      <x:c r="U368" s="23" t="n">
        <x:v>1.7222778197132698</x:v>
      </x:c>
      <x:c r="V368" s="23" t="n">
        <x:v>-6.830522208939328</x:v>
      </x:c>
    </x:row>
    <x:row r="369">
      <x:c r="A369" s="23" t="n">
        <x:v>368</x:v>
      </x:c>
      <x:c r="B369" s="23" t="str">
        <x:v>Train</x:v>
      </x:c>
      <x:c r="C369" s="23" t="str">
        <x:v>Lightning</x:v>
      </x:c>
      <x:c r="D369" s="23" t="n">
        <x:v>1412.7015259000473</x:v>
      </x:c>
      <x:c r="E369" s="23" t="n">
        <x:v>1002.1722124889493</x:v>
      </x:c>
      <x:c r="F369" s="23" t="n">
        <x:v>722.5768311880529</x:v>
      </x:c>
      <x:c r="G369" s="23" t="n">
        <x:v>295.2253017993644</x:v>
      </x:c>
      <x:c r="H369" s="23" t="n">
        <x:v>25.995523059275</x:v>
      </x:c>
      <x:c r="I369" s="23" t="n">
        <x:v>0.8320437026675791</x:v>
      </x:c>
      <x:c r="J369" s="23" t="n">
        <x:v>9</x:v>
      </x:c>
      <x:c r="K369" s="23" t="n">
        <x:v>188.65215337592463</x:v>
      </x:c>
      <x:c r="L369" s="23" t="n">
        <x:v>35</x:v>
      </x:c>
      <x:c r="M369" s="23" t="n">
        <x:v>25</x:v>
      </x:c>
      <x:c r="N369" s="23" t="n">
        <x:v>1.2228039808930569</x:v>
      </x:c>
      <x:c r="O369" s="23" t="n">
        <x:v>52.2899644998184</x:v>
      </x:c>
      <x:c r="P369" s="23" t="n">
        <x:v>1412.7015259000473</x:v>
      </x:c>
      <x:c r="Q369" s="23" t="n">
        <x:v>1.2253649427784659</x:v>
      </x:c>
      <x:c r="R369" s="23" t="n">
        <x:v>53.50920975316114</x:v>
      </x:c>
      <x:c r="S369" s="23" t="n">
        <x:v>1388.4918365464857</x:v>
      </x:c>
      <x:c r="T369" s="23" t="n">
        <x:v>0.0025609618854089966</x:v>
      </x:c>
      <x:c r="U369" s="23" t="n">
        <x:v>1.2192452533427343</x:v>
      </x:c>
      <x:c r="V369" s="23" t="n">
        <x:v>-24.209689353561544</x:v>
      </x:c>
    </x:row>
    <x:row r="370">
      <x:c r="A370" s="23" t="n">
        <x:v>369</x:v>
      </x:c>
      <x:c r="B370" s="23" t="str">
        <x:v>Train</x:v>
      </x:c>
      <x:c r="C370" s="23" t="str">
        <x:v>Lightning</x:v>
      </x:c>
      <x:c r="D370" s="23" t="n">
        <x:v>1472.5564015097916</x:v>
      </x:c>
      <x:c r="E370" s="23" t="n">
        <x:v>728.4108878462575</x:v>
      </x:c>
      <x:c r="F370" s="23" t="n">
        <x:v>680.1762918010354</x:v>
      </x:c>
      <x:c r="G370" s="23" t="n">
        <x:v>321.5858172462322</x:v>
      </x:c>
      <x:c r="H370" s="23" t="n">
        <x:v>24.84925244934857</x:v>
      </x:c>
      <x:c r="I370" s="23" t="n">
        <x:v>0.8254032869567164</x:v>
      </x:c>
      <x:c r="J370" s="23" t="n">
        <x:v>9</x:v>
      </x:c>
      <x:c r="K370" s="23" t="n">
        <x:v>198.22719454970184</x:v>
      </x:c>
      <x:c r="L370" s="23" t="n">
        <x:v>40</x:v>
      </x:c>
      <x:c r="M370" s="23" t="n">
        <x:v>25</x:v>
      </x:c>
      <x:c r="N370" s="23" t="n">
        <x:v>1.1754726341397883</x:v>
      </x:c>
      <x:c r="O370" s="23" t="n">
        <x:v>52.24477722454062</x:v>
      </x:c>
      <x:c r="P370" s="23" t="n">
        <x:v>1472.5564015097916</x:v>
      </x:c>
      <x:c r="Q370" s="23" t="n">
        <x:v>1.1729283570679059</x:v>
      </x:c>
      <x:c r="R370" s="23" t="n">
        <x:v>51.16187818100913</x:v>
      </x:c>
      <x:c r="S370" s="23" t="n">
        <x:v>1458.7614755586358</x:v>
      </x:c>
      <x:c r="T370" s="23" t="n">
        <x:v>-0.002544277071882428</x:v>
      </x:c>
      <x:c r="U370" s="23" t="n">
        <x:v>-1.0828990435314907</x:v>
      </x:c>
      <x:c r="V370" s="23" t="n">
        <x:v>-13.794925951155847</x:v>
      </x:c>
    </x:row>
    <x:row r="371">
      <x:c r="A371" s="23" t="n">
        <x:v>370</x:v>
      </x:c>
      <x:c r="B371" s="23" t="str">
        <x:v>Train</x:v>
      </x:c>
      <x:c r="C371" s="23" t="str">
        <x:v>Lightning</x:v>
      </x:c>
      <x:c r="D371" s="23" t="n">
        <x:v>1495.5932467826642</x:v>
      </x:c>
      <x:c r="E371" s="23" t="n">
        <x:v>749.5481436373666</x:v>
      </x:c>
      <x:c r="F371" s="23" t="n">
        <x:v>459.0659507550299</x:v>
      </x:c>
      <x:c r="G371" s="23" t="n">
        <x:v>265.0673158187419</x:v>
      </x:c>
      <x:c r="H371" s="23" t="n">
        <x:v>28.49345624493435</x:v>
      </x:c>
      <x:c r="I371" s="23" t="n">
        <x:v>0.8455214378470556</x:v>
      </x:c>
      <x:c r="J371" s="23" t="n">
        <x:v>9</x:v>
      </x:c>
      <x:c r="K371" s="23" t="n">
        <x:v>196.53792320562712</x:v>
      </x:c>
      <x:c r="L371" s="23" t="n">
        <x:v>50</x:v>
      </x:c>
      <x:c r="M371" s="23" t="n">
        <x:v>25</x:v>
      </x:c>
      <x:c r="N371" s="23" t="n">
        <x:v>1.2325826573871186</x:v>
      </x:c>
      <x:c r="O371" s="23" t="n">
        <x:v>52.20478377388717</x:v>
      </x:c>
      <x:c r="P371" s="23" t="n">
        <x:v>1495.5932467826642</x:v>
      </x:c>
      <x:c r="Q371" s="23" t="n">
        <x:v>1.2243936735788665</x:v>
      </x:c>
      <x:c r="R371" s="23" t="n">
        <x:v>51.09659489516818</x:v>
      </x:c>
      <x:c r="S371" s="23" t="n">
        <x:v>1481.4358012812097</x:v>
      </x:c>
      <x:c r="T371" s="23" t="n">
        <x:v>-0.00818898380825206</x:v>
      </x:c>
      <x:c r="U371" s="23" t="n">
        <x:v>-1.108188878718991</x:v>
      </x:c>
      <x:c r="V371" s="23" t="n">
        <x:v>-14.157445501454504</x:v>
      </x:c>
    </x:row>
    <x:row r="372">
      <x:c r="A372" s="23" t="n">
        <x:v>371</x:v>
      </x:c>
      <x:c r="B372" s="23" t="str">
        <x:v>Train</x:v>
      </x:c>
      <x:c r="C372" s="23" t="str">
        <x:v>Lightning</x:v>
      </x:c>
      <x:c r="D372" s="23" t="n">
        <x:v>1432.8501840820536</x:v>
      </x:c>
      <x:c r="E372" s="23" t="n">
        <x:v>1198.3006301918067</x:v>
      </x:c>
      <x:c r="F372" s="23" t="n">
        <x:v>386.87027655541897</x:v>
      </x:c>
      <x:c r="G372" s="23" t="n">
        <x:v>324.6941236848943</x:v>
      </x:c>
      <x:c r="H372" s="23" t="n">
        <x:v>11.981436085887253</x:v>
      </x:c>
      <x:c r="I372" s="23" t="n">
        <x:v>0.8316638628090732</x:v>
      </x:c>
      <x:c r="J372" s="23" t="n">
        <x:v>9</x:v>
      </x:c>
      <x:c r="K372" s="23" t="n">
        <x:v>191.43019569393775</x:v>
      </x:c>
      <x:c r="L372" s="23" t="n">
        <x:v>40</x:v>
      </x:c>
      <x:c r="M372" s="23" t="n">
        <x:v>25</x:v>
      </x:c>
      <x:c r="N372" s="23" t="n">
        <x:v>1.215702944755939</x:v>
      </x:c>
      <x:c r="O372" s="23" t="n">
        <x:v>52.27279570487013</x:v>
      </x:c>
      <x:c r="P372" s="23" t="n">
        <x:v>1432.8501840820536</x:v>
      </x:c>
      <x:c r="Q372" s="23" t="n">
        <x:v>1.2224971049339142</x:v>
      </x:c>
      <x:c r="R372" s="23" t="n">
        <x:v>52.335840865833404</x:v>
      </x:c>
      <x:c r="S372" s="23" t="n">
        <x:v>1426.458219756549</x:v>
      </x:c>
      <x:c r="T372" s="23" t="n">
        <x:v>0.006794160177975073</x:v>
      </x:c>
      <x:c r="U372" s="23" t="n">
        <x:v>0.06304516096327717</x:v>
      </x:c>
      <x:c r="V372" s="23" t="n">
        <x:v>-6.391964325504659</x:v>
      </x:c>
    </x:row>
    <x:row r="373">
      <x:c r="A373" s="23" t="n">
        <x:v>372</x:v>
      </x:c>
      <x:c r="B373" s="23" t="str">
        <x:v>Train</x:v>
      </x:c>
      <x:c r="C373" s="23" t="str">
        <x:v>Lightning</x:v>
      </x:c>
      <x:c r="D373" s="23" t="n">
        <x:v>1363.631273189094</x:v>
      </x:c>
      <x:c r="E373" s="23" t="n">
        <x:v>731.7995140794665</x:v>
      </x:c>
      <x:c r="F373" s="23" t="n">
        <x:v>528.2260346226394</x:v>
      </x:c>
      <x:c r="G373" s="23" t="n">
        <x:v>195.4421487590298</x:v>
      </x:c>
      <x:c r="H373" s="23" t="n">
        <x:v>21.347850322257727</x:v>
      </x:c>
      <x:c r="I373" s="23" t="n">
        <x:v>0.8337536636926234</x:v>
      </x:c>
      <x:c r="J373" s="23" t="n">
        <x:v>9</x:v>
      </x:c>
      <x:c r="K373" s="23" t="n">
        <x:v>181.72584122611735</x:v>
      </x:c>
      <x:c r="L373" s="23" t="n">
        <x:v>50</x:v>
      </x:c>
      <x:c r="M373" s="23" t="n">
        <x:v>25</x:v>
      </x:c>
      <x:c r="N373" s="23" t="n">
        <x:v>1.1886963051414074</x:v>
      </x:c>
      <x:c r="O373" s="23" t="n">
        <x:v>52.20194380072663</x:v>
      </x:c>
      <x:c r="P373" s="23" t="n">
        <x:v>1363.631273189094</x:v>
      </x:c>
      <x:c r="Q373" s="23" t="n">
        <x:v>1.1820987908971998</x:v>
      </x:c>
      <x:c r="R373" s="23" t="n">
        <x:v>51.49353906813343</x:v>
      </x:c>
      <x:c r="S373" s="23" t="n">
        <x:v>1372.3216700704475</x:v>
      </x:c>
      <x:c r="T373" s="23" t="n">
        <x:v>-0.006597514244207625</x:v>
      </x:c>
      <x:c r="U373" s="23" t="n">
        <x:v>-0.7084047325932019</x:v>
      </x:c>
      <x:c r="V373" s="23" t="n">
        <x:v>8.690396881353536</x:v>
      </x:c>
    </x:row>
    <x:row r="374">
      <x:c r="A374" s="23" t="n">
        <x:v>373</x:v>
      </x:c>
      <x:c r="B374" s="23" t="str">
        <x:v>Train</x:v>
      </x:c>
      <x:c r="C374" s="23" t="str">
        <x:v>Lightning</x:v>
      </x:c>
      <x:c r="D374" s="23" t="n">
        <x:v>1391.368879051879</x:v>
      </x:c>
      <x:c r="E374" s="23" t="n">
        <x:v>1114.8607745650224</x:v>
      </x:c>
      <x:c r="F374" s="23" t="n">
        <x:v>617.2166315838695</x:v>
      </x:c>
      <x:c r="G374" s="23" t="n">
        <x:v>116.32145590381697</x:v>
      </x:c>
      <x:c r="H374" s="23" t="n">
        <x:v>10.675665885210037</x:v>
      </x:c>
      <x:c r="I374" s="23" t="n">
        <x:v>0.8407534193084576</x:v>
      </x:c>
      <x:c r="J374" s="23" t="n">
        <x:v>9</x:v>
      </x:c>
      <x:c r="K374" s="23" t="n">
        <x:v>183.87857672233469</x:v>
      </x:c>
      <x:c r="L374" s="23" t="n">
        <x:v>40</x:v>
      </x:c>
      <x:c r="M374" s="23" t="n">
        <x:v>25</x:v>
      </x:c>
      <x:c r="N374" s="23" t="n">
        <x:v>1.1715270517250214</x:v>
      </x:c>
      <x:c r="O374" s="23" t="n">
        <x:v>52.26321159256556</x:v>
      </x:c>
      <x:c r="P374" s="23" t="n">
        <x:v>1391.368879051879</x:v>
      </x:c>
      <x:c r="Q374" s="23" t="n">
        <x:v>1.175243261657524</x:v>
      </x:c>
      <x:c r="R374" s="23" t="n">
        <x:v>53.5292059881244</x:v>
      </x:c>
      <x:c r="S374" s="23" t="n">
        <x:v>1394.8908282141053</x:v>
      </x:c>
      <x:c r="T374" s="23" t="n">
        <x:v>0.0037162099325025455</x:v>
      </x:c>
      <x:c r="U374" s="23" t="n">
        <x:v>1.2659943955588417</x:v>
      </x:c>
      <x:c r="V374" s="23" t="n">
        <x:v>3.521949162226292</x:v>
      </x:c>
    </x:row>
    <x:row r="375">
      <x:c r="A375" s="23" t="n">
        <x:v>374</x:v>
      </x:c>
      <x:c r="B375" s="23" t="str">
        <x:v>Train</x:v>
      </x:c>
      <x:c r="C375" s="23" t="str">
        <x:v>Lightning</x:v>
      </x:c>
      <x:c r="D375" s="23" t="n">
        <x:v>1399.5288380538113</x:v>
      </x:c>
      <x:c r="E375" s="23" t="n">
        <x:v>923.1441037496552</x:v>
      </x:c>
      <x:c r="F375" s="23" t="n">
        <x:v>407.06958593800664</x:v>
      </x:c>
      <x:c r="G375" s="23" t="n">
        <x:v>234.35040602460504</x:v>
      </x:c>
      <x:c r="H375" s="23" t="n">
        <x:v>22.837248703930527</x:v>
      </x:c>
      <x:c r="I375" s="23" t="n">
        <x:v>0.8491576534276829</x:v>
      </x:c>
      <x:c r="J375" s="23" t="n">
        <x:v>9</x:v>
      </x:c>
      <x:c r="K375" s="23" t="n">
        <x:v>183.1264236982402</x:v>
      </x:c>
      <x:c r="L375" s="23" t="n">
        <x:v>45</x:v>
      </x:c>
      <x:c r="M375" s="23" t="n">
        <x:v>25</x:v>
      </x:c>
      <x:c r="N375" s="23" t="n">
        <x:v>1.1699970630620613</x:v>
      </x:c>
      <x:c r="O375" s="23" t="n">
        <x:v>52.21895465662393</x:v>
      </x:c>
      <x:c r="P375" s="23" t="n">
        <x:v>1399.5288380538113</x:v>
      </x:c>
      <x:c r="Q375" s="23" t="n">
        <x:v>1.1741705469646464</x:v>
      </x:c>
      <x:c r="R375" s="23" t="n">
        <x:v>52.24644759524939</x:v>
      </x:c>
      <x:c r="S375" s="23" t="n">
        <x:v>1395.734795468264</x:v>
      </x:c>
      <x:c r="T375" s="23" t="n">
        <x:v>0.004173483902585096</x:v>
      </x:c>
      <x:c r="U375" s="23" t="n">
        <x:v>0.02749293862546409</x:v>
      </x:c>
      <x:c r="V375" s="23" t="n">
        <x:v>-3.7940425855472313</x:v>
      </x:c>
    </x:row>
    <x:row r="376">
      <x:c r="A376" s="23" t="n">
        <x:v>375</x:v>
      </x:c>
      <x:c r="B376" s="23" t="str">
        <x:v>Validation</x:v>
      </x:c>
      <x:c r="C376" s="23" t="str">
        <x:v>Lightning</x:v>
      </x:c>
      <x:c r="D376" s="23" t="n">
        <x:v>1438.001433131285</x:v>
      </x:c>
      <x:c r="E376" s="23" t="n">
        <x:v>907.203208480496</x:v>
      </x:c>
      <x:c r="F376" s="23" t="n">
        <x:v>580.1785722374916</x:v>
      </x:c>
      <x:c r="G376" s="23" t="n">
        <x:v>131.48799991002306</x:v>
      </x:c>
      <x:c r="H376" s="23" t="n">
        <x:v>18.741915742866695</x:v>
      </x:c>
      <x:c r="I376" s="23" t="n">
        <x:v>0.7915762427798473</x:v>
      </x:c>
      <x:c r="J376" s="23" t="n">
        <x:v>10</x:v>
      </x:c>
      <x:c r="K376" s="23" t="n">
        <x:v>181.66303577799783</x:v>
      </x:c>
      <x:c r="L376" s="23" t="n">
        <x:v>40</x:v>
      </x:c>
      <x:c r="M376" s="23" t="n">
        <x:v>25</x:v>
      </x:c>
      <x:c r="N376" s="23" t="n">
        <x:v>1.1751510095801658</x:v>
      </x:c>
      <x:c r="O376" s="23" t="n">
        <x:v>52.2554691894938</x:v>
      </x:c>
      <x:c r="P376" s="23" t="n">
        <x:v>1438.001433131285</x:v>
      </x:c>
      <x:c r="Q376" s="23" t="n">
        <x:v>1.1782572791733001</x:v>
      </x:c>
      <x:c r="R376" s="23" t="n">
        <x:v>51.30930722808064</x:v>
      </x:c>
      <x:c r="S376" s="23" t="n">
        <x:v>1441.100160498132</x:v>
      </x:c>
      <x:c r="T376" s="23" t="n">
        <x:v>0.0031062695931343143</x:v>
      </x:c>
      <x:c r="U376" s="23" t="n">
        <x:v>-0.9461619614131607</x:v>
      </x:c>
      <x:c r="V376" s="23" t="n">
        <x:v>3.098727366847015</x:v>
      </x:c>
    </x:row>
    <x:row r="377">
      <x:c r="A377" s="23" t="n">
        <x:v>376</x:v>
      </x:c>
      <x:c r="B377" s="23" t="str">
        <x:v>Validation</x:v>
      </x:c>
      <x:c r="C377" s="23" t="str">
        <x:v>Lightning</x:v>
      </x:c>
      <x:c r="D377" s="23" t="n">
        <x:v>1364.009101584088</x:v>
      </x:c>
      <x:c r="E377" s="23" t="n">
        <x:v>1185.9726171009243</x:v>
      </x:c>
      <x:c r="F377" s="23" t="n">
        <x:v>518.5686758719385</x:v>
      </x:c>
      <x:c r="G377" s="23" t="n">
        <x:v>123.52057969663292</x:v>
      </x:c>
      <x:c r="H377" s="23" t="n">
        <x:v>21.370414739008993</x:v>
      </x:c>
      <x:c r="I377" s="23" t="n">
        <x:v>0.8497766411025077</x:v>
      </x:c>
      <x:c r="J377" s="23" t="n">
        <x:v>9</x:v>
      </x:c>
      <x:c r="K377" s="23" t="n">
        <x:v>178.34870895726863</x:v>
      </x:c>
      <x:c r="L377" s="23" t="n">
        <x:v>40</x:v>
      </x:c>
      <x:c r="M377" s="23" t="n">
        <x:v>25</x:v>
      </x:c>
      <x:c r="N377" s="23" t="n">
        <x:v>1.2166551210644097</x:v>
      </x:c>
      <x:c r="O377" s="23" t="n">
        <x:v>52.26004054749599</x:v>
      </x:c>
      <x:c r="P377" s="23" t="n">
        <x:v>1364.009101584088</x:v>
      </x:c>
      <x:c r="Q377" s="23" t="n">
        <x:v>1.2252502816237976</x:v>
      </x:c>
      <x:c r="R377" s="23" t="n">
        <x:v>52.18822543726484</x:v>
      </x:c>
      <x:c r="S377" s="23" t="n">
        <x:v>1359.5751200757672</x:v>
      </x:c>
      <x:c r="T377" s="23" t="n">
        <x:v>0.008595160559387915</x:v>
      </x:c>
      <x:c r="U377" s="23" t="n">
        <x:v>-0.0718151102311495</x:v>
      </x:c>
      <x:c r="V377" s="23" t="n">
        <x:v>-4.433981508320812</x:v>
      </x:c>
    </x:row>
    <x:row r="378">
      <x:c r="A378" s="23" t="n">
        <x:v>377</x:v>
      </x:c>
      <x:c r="B378" s="23" t="str">
        <x:v>Validation</x:v>
      </x:c>
      <x:c r="C378" s="23" t="str">
        <x:v>Lightning</x:v>
      </x:c>
      <x:c r="D378" s="23" t="n">
        <x:v>1366.4993528276682</x:v>
      </x:c>
      <x:c r="E378" s="23" t="n">
        <x:v>1122.9279047227465</x:v>
      </x:c>
      <x:c r="F378" s="23" t="n">
        <x:v>364.801730401814</x:v>
      </x:c>
      <x:c r="G378" s="23" t="n">
        <x:v>295.45266784960404</x:v>
      </x:c>
      <x:c r="H378" s="23" t="n">
        <x:v>22.165303273126483</x:v>
      </x:c>
      <x:c r="I378" s="23" t="n">
        <x:v>0.8110769881051966</x:v>
      </x:c>
      <x:c r="J378" s="23" t="n">
        <x:v>9</x:v>
      </x:c>
      <x:c r="K378" s="23" t="n">
        <x:v>187.1995675527706</x:v>
      </x:c>
      <x:c r="L378" s="23" t="n">
        <x:v>40</x:v>
      </x:c>
      <x:c r="M378" s="23" t="n">
        <x:v>25</x:v>
      </x:c>
      <x:c r="N378" s="23" t="n">
        <x:v>1.1936775576359466</x:v>
      </x:c>
      <x:c r="O378" s="23" t="n">
        <x:v>52.253042700591244</x:v>
      </x:c>
      <x:c r="P378" s="23" t="n">
        <x:v>1366.4993528276682</x:v>
      </x:c>
      <x:c r="Q378" s="23" t="n">
        <x:v>1.1934018207714832</x:v>
      </x:c>
      <x:c r="R378" s="23" t="n">
        <x:v>52.30242540794874</x:v>
      </x:c>
      <x:c r="S378" s="23" t="n">
        <x:v>1362.8290841023334</x:v>
      </x:c>
      <x:c r="T378" s="23" t="n">
        <x:v>-0.0002757368644634717</x:v>
      </x:c>
      <x:c r="U378" s="23" t="n">
        <x:v>0.04938270735749484</x:v>
      </x:c>
      <x:c r="V378" s="23" t="n">
        <x:v>-3.670268725334836</x:v>
      </x:c>
    </x:row>
    <x:row r="379">
      <x:c r="A379" s="23" t="n">
        <x:v>378</x:v>
      </x:c>
      <x:c r="B379" s="23" t="str">
        <x:v>Hidden Test</x:v>
      </x:c>
      <x:c r="C379" s="23" t="str">
        <x:v>Lightning</x:v>
      </x:c>
      <x:c r="D379" s="23" t="n">
        <x:v>1416.2213156581856</x:v>
      </x:c>
      <x:c r="E379" s="23" t="n">
        <x:v>690.3765952447429</x:v>
      </x:c>
      <x:c r="F379" s="23" t="n">
        <x:v>476.55011573806405</x:v>
      </x:c>
      <x:c r="G379" s="23" t="n">
        <x:v>283.6413063760847</x:v>
      </x:c>
      <x:c r="H379" s="23" t="n">
        <x:v>17.197112810332328</x:v>
      </x:c>
      <x:c r="I379" s="23" t="n">
        <x:v>0.8517085439758376</x:v>
      </x:c>
      <x:c r="J379" s="23" t="n">
        <x:v>9</x:v>
      </x:c>
      <x:c r="K379" s="23" t="n">
        <x:v>184.75560105040435</x:v>
      </x:c>
      <x:c r="L379" s="23" t="n">
        <x:v>50</x:v>
      </x:c>
      <x:c r="M379" s="23" t="n">
        <x:v>25</x:v>
      </x:c>
      <x:c r="N379" s="23" t="n">
        <x:v>1.1671541925188047</x:v>
      </x:c>
      <x:c r="O379" s="23" t="n">
        <x:v>52.20117981810668</x:v>
      </x:c>
      <x:c r="P379" s="23" t="n">
        <x:v>1416.2213156581856</x:v>
      </x:c>
      <x:c r="Q379" s="23" t="n">
        <x:v>1.1598885204516804</x:v>
      </x:c>
      <x:c r="R379" s="23" t="n">
        <x:v>51.55667610922567</x:v>
      </x:c>
      <x:c r="S379" s="23" t="n">
        <x:v>1421.6373594597646</x:v>
      </x:c>
      <x:c r="T379" s="23" t="n">
        <x:v>-0.007265672067124251</x:v>
      </x:c>
      <x:c r="U379" s="23" t="n">
        <x:v>-0.644503708881011</x:v>
      </x:c>
      <x:c r="V379" s="23" t="n">
        <x:v>5.416043801579008</x:v>
      </x:c>
    </x:row>
    <x:row r="380">
      <x:c r="A380" s="23" t="n">
        <x:v>379</x:v>
      </x:c>
      <x:c r="B380" s="23" t="str">
        <x:v>Hidden Test</x:v>
      </x:c>
      <x:c r="C380" s="23" t="str">
        <x:v>Lightning</x:v>
      </x:c>
      <x:c r="D380" s="23" t="n">
        <x:v>1372.708496893756</x:v>
      </x:c>
      <x:c r="E380" s="23" t="n">
        <x:v>1016.8765262351371</x:v>
      </x:c>
      <x:c r="F380" s="23" t="n">
        <x:v>690.4773686081171</x:v>
      </x:c>
      <x:c r="G380" s="23" t="n">
        <x:v>321.506009537261</x:v>
      </x:c>
      <x:c r="H380" s="23" t="n">
        <x:v>16.759696223773062</x:v>
      </x:c>
      <x:c r="I380" s="23" t="n">
        <x:v>0.8490239085513167</x:v>
      </x:c>
      <x:c r="J380" s="23" t="n">
        <x:v>9</x:v>
      </x:c>
      <x:c r="K380" s="23" t="n">
        <x:v>179.64531361876206</x:v>
      </x:c>
      <x:c r="L380" s="23" t="n">
        <x:v>35</x:v>
      </x:c>
      <x:c r="M380" s="23" t="n">
        <x:v>25</x:v>
      </x:c>
      <x:c r="N380" s="23" t="n">
        <x:v>1.1731019921733359</x:v>
      </x:c>
      <x:c r="O380" s="23" t="n">
        <x:v>52.29134998059053</x:v>
      </x:c>
      <x:c r="P380" s="23" t="n">
        <x:v>1372.708496893756</x:v>
      </x:c>
      <x:c r="Q380" s="23" t="n">
        <x:v>1.18601566231151</x:v>
      </x:c>
      <x:c r="R380" s="23" t="n">
        <x:v>52.82595475267806</x:v>
      </x:c>
      <x:c r="S380" s="23" t="n">
        <x:v>1371.6064246102665</x:v>
      </x:c>
      <x:c r="T380" s="23" t="n">
        <x:v>0.012913670138174016</x:v>
      </x:c>
      <x:c r="U380" s="23" t="n">
        <x:v>0.5346047720875262</x:v>
      </x:c>
      <x:c r="V380" s="23" t="n">
        <x:v>-1.1020722834896333</x:v>
      </x:c>
    </x:row>
    <x:row r="381">
      <x:c r="A381" s="23" t="n">
        <x:v>380</x:v>
      </x:c>
      <x:c r="B381" s="23" t="str">
        <x:v>Hidden Test</x:v>
      </x:c>
      <x:c r="C381" s="23" t="str">
        <x:v>Lightning</x:v>
      </x:c>
      <x:c r="D381" s="23" t="n">
        <x:v>1360.3067379794084</x:v>
      </x:c>
      <x:c r="E381" s="23" t="n">
        <x:v>853.263272671029</x:v>
      </x:c>
      <x:c r="F381" s="23" t="n">
        <x:v>659.1611857526004</x:v>
      </x:c>
      <x:c r="G381" s="23" t="n">
        <x:v>215.71377273183316</x:v>
      </x:c>
      <x:c r="H381" s="23" t="n">
        <x:v>10.338463406544179</x:v>
      </x:c>
      <x:c r="I381" s="23" t="n">
        <x:v>0.853621324300766</x:v>
      </x:c>
      <x:c r="J381" s="23" t="n">
        <x:v>8</x:v>
      </x:c>
      <x:c r="K381" s="23" t="n">
        <x:v>199.19645562593107</x:v>
      </x:c>
      <x:c r="L381" s="23" t="n">
        <x:v>50</x:v>
      </x:c>
      <x:c r="M381" s="23" t="n">
        <x:v>25</x:v>
      </x:c>
      <x:c r="N381" s="23" t="n">
        <x:v>1.20714505074316</x:v>
      </x:c>
      <x:c r="O381" s="23" t="n">
        <x:v>52.21451995883815</x:v>
      </x:c>
      <x:c r="P381" s="23" t="n">
        <x:v>1360.3067379794084</x:v>
      </x:c>
      <x:c r="Q381" s="23" t="n">
        <x:v>1.2078901720918689</x:v>
      </x:c>
      <x:c r="R381" s="23" t="n">
        <x:v>51.89730161730612</x:v>
      </x:c>
      <x:c r="S381" s="23" t="n">
        <x:v>1362.3643283015533</x:v>
      </x:c>
      <x:c r="T381" s="23" t="n">
        <x:v>0.0007451213487088548</x:v>
      </x:c>
      <x:c r="U381" s="23" t="n">
        <x:v>-0.3172183415320333</x:v>
      </x:c>
      <x:c r="V381" s="23" t="n">
        <x:v>2.0575903221449607</x:v>
      </x:c>
    </x:row>
    <x:row r="382">
      <x:c r="A382" s="23" t="n">
        <x:v>381</x:v>
      </x:c>
      <x:c r="B382" s="23" t="str">
        <x:v>Train</x:v>
      </x:c>
      <x:c r="C382" s="23" t="str">
        <x:v>Lightning</x:v>
      </x:c>
      <x:c r="D382" s="23" t="n">
        <x:v>1355.80913904123</x:v>
      </x:c>
      <x:c r="E382" s="23" t="n">
        <x:v>784.4821308623068</x:v>
      </x:c>
      <x:c r="F382" s="23" t="n">
        <x:v>548.3493929728866</x:v>
      </x:c>
      <x:c r="G382" s="23" t="n">
        <x:v>91.10336446436122</x:v>
      </x:c>
      <x:c r="H382" s="23" t="n">
        <x:v>20.034178998321295</x:v>
      </x:c>
      <x:c r="I382" s="23" t="n">
        <x:v>0.8567885150411166</x:v>
      </x:c>
      <x:c r="J382" s="23" t="n">
        <x:v>8</x:v>
      </x:c>
      <x:c r="K382" s="23" t="n">
        <x:v>197.8039380838581</x:v>
      </x:c>
      <x:c r="L382" s="23" t="n">
        <x:v>60</x:v>
      </x:c>
      <x:c r="M382" s="23" t="n">
        <x:v>25</x:v>
      </x:c>
      <x:c r="N382" s="23" t="n">
        <x:v>1.2254606135719994</x:v>
      </x:c>
      <x:c r="O382" s="23" t="n">
        <x:v>52.17235737551831</x:v>
      </x:c>
      <x:c r="P382" s="23" t="n">
        <x:v>1355.80913904123</x:v>
      </x:c>
      <x:c r="Q382" s="23" t="n">
        <x:v>1.2214649615995492</x:v>
      </x:c>
      <x:c r="R382" s="23" t="n">
        <x:v>51.74314505486754</x:v>
      </x:c>
      <x:c r="S382" s="23" t="n">
        <x:v>1361.3601136505422</x:v>
      </x:c>
      <x:c r="T382" s="23" t="n">
        <x:v>-0.00399565197245022</x:v>
      </x:c>
      <x:c r="U382" s="23" t="n">
        <x:v>-0.42921232065076964</x:v>
      </x:c>
      <x:c r="V382" s="23" t="n">
        <x:v>5.550974609312107</x:v>
      </x:c>
    </x:row>
    <x:row r="383">
      <x:c r="A383" s="23" t="n">
        <x:v>382</x:v>
      </x:c>
      <x:c r="B383" s="23" t="str">
        <x:v>Train</x:v>
      </x:c>
      <x:c r="C383" s="23" t="str">
        <x:v>Lightning</x:v>
      </x:c>
      <x:c r="D383" s="23" t="n">
        <x:v>1396.9656143453903</x:v>
      </x:c>
      <x:c r="E383" s="23" t="n">
        <x:v>1140.0566461263224</x:v>
      </x:c>
      <x:c r="F383" s="23" t="n">
        <x:v>529.9000610597432</x:v>
      </x:c>
      <x:c r="G383" s="23" t="n">
        <x:v>232.22666133195162</x:v>
      </x:c>
      <x:c r="H383" s="23" t="n">
        <x:v>20.537409278098494</x:v>
      </x:c>
      <x:c r="I383" s="23" t="n">
        <x:v>0.8230022073118016</x:v>
      </x:c>
      <x:c r="J383" s="23" t="n">
        <x:v>9</x:v>
      </x:c>
      <x:c r="K383" s="23" t="n">
        <x:v>188.60022514511485</x:v>
      </x:c>
      <x:c r="L383" s="23" t="n">
        <x:v>40</x:v>
      </x:c>
      <x:c r="M383" s="23" t="n">
        <x:v>25</x:v>
      </x:c>
      <x:c r="N383" s="23" t="n">
        <x:v>1.2570526950743028</x:v>
      </x:c>
      <x:c r="O383" s="23" t="n">
        <x:v>52.27159794173617</x:v>
      </x:c>
      <x:c r="P383" s="23" t="n">
        <x:v>1396.9656143453903</x:v>
      </x:c>
      <x:c r="Q383" s="23" t="n">
        <x:v>1.2593690810999756</x:v>
      </x:c>
      <x:c r="R383" s="23" t="n">
        <x:v>51.99468855233996</x:v>
      </x:c>
      <x:c r="S383" s="23" t="n">
        <x:v>1393.609779546044</x:v>
      </x:c>
      <x:c r="T383" s="23" t="n">
        <x:v>0.0023163860256727453</x:v>
      </x:c>
      <x:c r="U383" s="23" t="n">
        <x:v>-0.27690938939620935</x:v>
      </x:c>
      <x:c r="V383" s="23" t="n">
        <x:v>-3.3558347993464395</x:v>
      </x:c>
    </x:row>
    <x:row r="384">
      <x:c r="A384" s="23" t="n">
        <x:v>383</x:v>
      </x:c>
      <x:c r="B384" s="23" t="str">
        <x:v>Train</x:v>
      </x:c>
      <x:c r="C384" s="23" t="str">
        <x:v>Lightning</x:v>
      </x:c>
      <x:c r="D384" s="23" t="n">
        <x:v>1365.4048770898953</x:v>
      </x:c>
      <x:c r="E384" s="23" t="n">
        <x:v>983.2757669617422</x:v>
      </x:c>
      <x:c r="F384" s="23" t="n">
        <x:v>657.3514930903912</x:v>
      </x:c>
      <x:c r="G384" s="23" t="n">
        <x:v>291.53967030113563</x:v>
      </x:c>
      <x:c r="H384" s="23" t="n">
        <x:v>19.327799207530916</x:v>
      </x:c>
      <x:c r="I384" s="23" t="n">
        <x:v>0.7969026707275771</x:v>
      </x:c>
      <x:c r="J384" s="23" t="n">
        <x:v>9</x:v>
      </x:c>
      <x:c r="K384" s="23" t="n">
        <x:v>190.37664018803537</x:v>
      </x:c>
      <x:c r="L384" s="23" t="n">
        <x:v>35</x:v>
      </x:c>
      <x:c r="M384" s="23" t="n">
        <x:v>25</x:v>
      </x:c>
      <x:c r="N384" s="23" t="n">
        <x:v>1.1373116356080828</x:v>
      </x:c>
      <x:c r="O384" s="23" t="n">
        <x:v>52.27627312861533</x:v>
      </x:c>
      <x:c r="P384" s="23" t="n">
        <x:v>1365.4048770898953</x:v>
      </x:c>
      <x:c r="Q384" s="23" t="n">
        <x:v>1.1410434318063034</x:v>
      </x:c>
      <x:c r="R384" s="23" t="n">
        <x:v>53.5618676521688</x:v>
      </x:c>
      <x:c r="S384" s="23" t="n">
        <x:v>1353.2113929716381</x:v>
      </x:c>
      <x:c r="T384" s="23" t="n">
        <x:v>0.003731796198220616</x:v>
      </x:c>
      <x:c r="U384" s="23" t="n">
        <x:v>1.2855945235534705</x:v>
      </x:c>
      <x:c r="V384" s="23" t="n">
        <x:v>-12.193484118257174</x:v>
      </x:c>
    </x:row>
    <x:row r="385">
      <x:c r="A385" s="23" t="n">
        <x:v>384</x:v>
      </x:c>
      <x:c r="B385" s="23" t="str">
        <x:v>Train</x:v>
      </x:c>
      <x:c r="C385" s="23" t="str">
        <x:v>Lightning</x:v>
      </x:c>
      <x:c r="D385" s="23" t="n">
        <x:v>1411.757406766992</x:v>
      </x:c>
      <x:c r="E385" s="23" t="n">
        <x:v>1175.9391013532877</x:v>
      </x:c>
      <x:c r="F385" s="23" t="n">
        <x:v>556.845700647682</x:v>
      </x:c>
      <x:c r="G385" s="23" t="n">
        <x:v>288.9361074613407</x:v>
      </x:c>
      <x:c r="H385" s="23" t="n">
        <x:v>24.12943916162476</x:v>
      </x:c>
      <x:c r="I385" s="23" t="n">
        <x:v>0.8088172690849752</x:v>
      </x:c>
      <x:c r="J385" s="23" t="n">
        <x:v>9</x:v>
      </x:c>
      <x:c r="K385" s="23" t="n">
        <x:v>193.93989233523803</x:v>
      </x:c>
      <x:c r="L385" s="23" t="n">
        <x:v>35</x:v>
      </x:c>
      <x:c r="M385" s="23" t="n">
        <x:v>25</x:v>
      </x:c>
      <x:c r="N385" s="23" t="n">
        <x:v>1.212936672479288</x:v>
      </x:c>
      <x:c r="O385" s="23" t="n">
        <x:v>52.290236832807906</x:v>
      </x:c>
      <x:c r="P385" s="23" t="n">
        <x:v>1411.757406766992</x:v>
      </x:c>
      <x:c r="Q385" s="23" t="n">
        <x:v>1.2238493766166958</x:v>
      </x:c>
      <x:c r="R385" s="23" t="n">
        <x:v>53.647875979262786</x:v>
      </x:c>
      <x:c r="S385" s="23" t="n">
        <x:v>1390.6008208297155</x:v>
      </x:c>
      <x:c r="T385" s="23" t="n">
        <x:v>0.010912704137407747</x:v>
      </x:c>
      <x:c r="U385" s="23" t="n">
        <x:v>1.3576391464548792</x:v>
      </x:c>
      <x:c r="V385" s="23" t="n">
        <x:v>-21.15658593727653</x:v>
      </x:c>
    </x:row>
    <x:row r="386">
      <x:c r="A386" s="23" t="n">
        <x:v>385</x:v>
      </x:c>
      <x:c r="B386" s="23" t="str">
        <x:v>Train</x:v>
      </x:c>
      <x:c r="C386" s="23" t="str">
        <x:v>Lightning</x:v>
      </x:c>
      <x:c r="D386" s="23" t="n">
        <x:v>1498.1896365992725</x:v>
      </x:c>
      <x:c r="E386" s="23" t="n">
        <x:v>1207.8392665251158</x:v>
      </x:c>
      <x:c r="F386" s="23" t="n">
        <x:v>632.188862003386</x:v>
      </x:c>
      <x:c r="G386" s="23" t="n">
        <x:v>148.7208595336415</x:v>
      </x:c>
      <x:c r="H386" s="23" t="n">
        <x:v>21.00043604709208</x:v>
      </x:c>
      <x:c r="I386" s="23" t="n">
        <x:v>0.8027424861048349</x:v>
      </x:c>
      <x:c r="J386" s="23" t="n">
        <x:v>10</x:v>
      </x:c>
      <x:c r="K386" s="23" t="n">
        <x:v>186.63390346622504</x:v>
      </x:c>
      <x:c r="L386" s="23" t="n">
        <x:v>30</x:v>
      </x:c>
      <x:c r="M386" s="23" t="n">
        <x:v>25</x:v>
      </x:c>
      <x:c r="N386" s="23" t="n">
        <x:v>1.1331076365751693</x:v>
      </x:c>
      <x:c r="O386" s="23" t="n">
        <x:v>52.31955076218176</x:v>
      </x:c>
      <x:c r="P386" s="23" t="n">
        <x:v>1498.1896365992725</x:v>
      </x:c>
      <x:c r="Q386" s="23" t="n">
        <x:v>1.1501583820944887</x:v>
      </x:c>
      <x:c r="R386" s="23" t="n">
        <x:v>53.00289225732451</x:v>
      </x:c>
      <x:c r="S386" s="23" t="n">
        <x:v>1486.2015613875067</x:v>
      </x:c>
      <x:c r="T386" s="23" t="n">
        <x:v>0.0170507455193194</x:v>
      </x:c>
      <x:c r="U386" s="23" t="n">
        <x:v>0.6833414951427486</x:v>
      </x:c>
      <x:c r="V386" s="23" t="n">
        <x:v>-11.988075211765818</x:v>
      </x:c>
    </x:row>
    <x:row r="387">
      <x:c r="A387" s="23" t="n">
        <x:v>386</x:v>
      </x:c>
      <x:c r="B387" s="23" t="str">
        <x:v>Train</x:v>
      </x:c>
      <x:c r="C387" s="23" t="str">
        <x:v>Lightning</x:v>
      </x:c>
      <x:c r="D387" s="23" t="n">
        <x:v>1478.106679546181</x:v>
      </x:c>
      <x:c r="E387" s="23" t="n">
        <x:v>1060.1211465196684</x:v>
      </x:c>
      <x:c r="F387" s="23" t="n">
        <x:v>352.98758978024125</x:v>
      </x:c>
      <x:c r="G387" s="23" t="n">
        <x:v>212.69134075380862</x:v>
      </x:c>
      <x:c r="H387" s="23" t="n">
        <x:v>17.942699932027608</x:v>
      </x:c>
      <x:c r="I387" s="23" t="n">
        <x:v>0.8020840798178688</x:v>
      </x:c>
      <x:c r="J387" s="23" t="n">
        <x:v>10</x:v>
      </x:c>
      <x:c r="K387" s="23" t="n">
        <x:v>184.2832586680711</x:v>
      </x:c>
      <x:c r="L387" s="23" t="n">
        <x:v>40</x:v>
      </x:c>
      <x:c r="M387" s="23" t="n">
        <x:v>25</x:v>
      </x:c>
      <x:c r="N387" s="23" t="n">
        <x:v>1.1759506912778133</x:v>
      </x:c>
      <x:c r="O387" s="23" t="n">
        <x:v>52.25666986334955</x:v>
      </x:c>
      <x:c r="P387" s="23" t="n">
        <x:v>1478.106679546181</x:v>
      </x:c>
      <x:c r="Q387" s="23" t="n">
        <x:v>1.1826899416891257</x:v>
      </x:c>
      <x:c r="R387" s="23" t="n">
        <x:v>51.88393199169695</x:v>
      </x:c>
      <x:c r="S387" s="23" t="n">
        <x:v>1476.426292134315</x:v>
      </x:c>
      <x:c r="T387" s="23" t="n">
        <x:v>0.006739250411312403</x:v>
      </x:c>
      <x:c r="U387" s="23" t="n">
        <x:v>-0.3727378716526033</x:v>
      </x:c>
      <x:c r="V387" s="23" t="n">
        <x:v>-1.6803874118661497</x:v>
      </x:c>
    </x:row>
    <x:row r="388">
      <x:c r="A388" s="23" t="n">
        <x:v>387</x:v>
      </x:c>
      <x:c r="B388" s="23" t="str">
        <x:v>Train</x:v>
      </x:c>
      <x:c r="C388" s="23" t="str">
        <x:v>Lightning</x:v>
      </x:c>
      <x:c r="D388" s="23" t="n">
        <x:v>1459.9825639044866</x:v>
      </x:c>
      <x:c r="E388" s="23" t="n">
        <x:v>871.2376830750145</x:v>
      </x:c>
      <x:c r="F388" s="23" t="n">
        <x:v>662.5320743769407</x:v>
      </x:c>
      <x:c r="G388" s="23" t="n">
        <x:v>295.955916501116</x:v>
      </x:c>
      <x:c r="H388" s="23" t="n">
        <x:v>15.121929173357785</x:v>
      </x:c>
      <x:c r="I388" s="23" t="n">
        <x:v>0.7911161142657511</x:v>
      </x:c>
      <x:c r="J388" s="23" t="n">
        <x:v>10</x:v>
      </x:c>
      <x:c r="K388" s="23" t="n">
        <x:v>184.54719068129742</x:v>
      </x:c>
      <x:c r="L388" s="23" t="n">
        <x:v>35</x:v>
      </x:c>
      <x:c r="M388" s="23" t="n">
        <x:v>25</x:v>
      </x:c>
      <x:c r="N388" s="23" t="n">
        <x:v>1.1561535801190526</x:v>
      </x:c>
      <x:c r="O388" s="23" t="n">
        <x:v>52.291999973012366</x:v>
      </x:c>
      <x:c r="P388" s="23" t="n">
        <x:v>1459.9825639044866</x:v>
      </x:c>
      <x:c r="Q388" s="23" t="n">
        <x:v>1.1587866791058148</x:v>
      </x:c>
      <x:c r="R388" s="23" t="n">
        <x:v>51.88955681772109</x:v>
      </x:c>
      <x:c r="S388" s="23" t="n">
        <x:v>1464.424497374363</x:v>
      </x:c>
      <x:c r="T388" s="23" t="n">
        <x:v>0.002633098986762228</x:v>
      </x:c>
      <x:c r="U388" s="23" t="n">
        <x:v>-0.40244315529127306</x:v>
      </x:c>
      <x:c r="V388" s="23" t="n">
        <x:v>4.441933469876403</x:v>
      </x:c>
    </x:row>
    <x:row r="389">
      <x:c r="A389" s="23" t="n">
        <x:v>388</x:v>
      </x:c>
      <x:c r="B389" s="23" t="str">
        <x:v>Train</x:v>
      </x:c>
      <x:c r="C389" s="23" t="str">
        <x:v>Lightning</x:v>
      </x:c>
      <x:c r="D389" s="23" t="n">
        <x:v>1451.9616647972725</x:v>
      </x:c>
      <x:c r="E389" s="23" t="n">
        <x:v>1143.8631292898208</x:v>
      </x:c>
      <x:c r="F389" s="23" t="n">
        <x:v>398.4463515691459</x:v>
      </x:c>
      <x:c r="G389" s="23" t="n">
        <x:v>241.1080135917291</x:v>
      </x:c>
      <x:c r="H389" s="23" t="n">
        <x:v>19.029987416695803</x:v>
      </x:c>
      <x:c r="I389" s="23" t="n">
        <x:v>0.8313581349514425</x:v>
      </x:c>
      <x:c r="J389" s="23" t="n">
        <x:v>9</x:v>
      </x:c>
      <x:c r="K389" s="23" t="n">
        <x:v>194.05484481821594</x:v>
      </x:c>
      <x:c r="L389" s="23" t="n">
        <x:v>40</x:v>
      </x:c>
      <x:c r="M389" s="23" t="n">
        <x:v>25</x:v>
      </x:c>
      <x:c r="N389" s="23" t="n">
        <x:v>1.1773783479065185</x:v>
      </x:c>
      <x:c r="O389" s="23" t="n">
        <x:v>52.25307937282222</x:v>
      </x:c>
      <x:c r="P389" s="23" t="n">
        <x:v>1451.9616647972725</x:v>
      </x:c>
      <x:c r="Q389" s="23" t="n">
        <x:v>1.1786324840576317</x:v>
      </x:c>
      <x:c r="R389" s="23" t="n">
        <x:v>53.10278618582802</x:v>
      </x:c>
      <x:c r="S389" s="23" t="n">
        <x:v>1451.4656703669232</x:v>
      </x:c>
      <x:c r="T389" s="23" t="n">
        <x:v>0.0012541361511131388</x:v>
      </x:c>
      <x:c r="U389" s="23" t="n">
        <x:v>0.8497068130058025</x:v>
      </x:c>
      <x:c r="V389" s="23" t="n">
        <x:v>-0.49599443034935575</x:v>
      </x:c>
    </x:row>
    <x:row r="390">
      <x:c r="A390" s="23" t="n">
        <x:v>389</x:v>
      </x:c>
      <x:c r="B390" s="23" t="str">
        <x:v>Train</x:v>
      </x:c>
      <x:c r="C390" s="23" t="str">
        <x:v>Lightning</x:v>
      </x:c>
      <x:c r="D390" s="23" t="n">
        <x:v>1444.0280253533274</x:v>
      </x:c>
      <x:c r="E390" s="23" t="n">
        <x:v>965.3495872276835</x:v>
      </x:c>
      <x:c r="F390" s="23" t="n">
        <x:v>457.76882600039244</x:v>
      </x:c>
      <x:c r="G390" s="23" t="n">
        <x:v>329.7034327243455</x:v>
      </x:c>
      <x:c r="H390" s="23" t="n">
        <x:v>22.552778623998165</x:v>
      </x:c>
      <x:c r="I390" s="23" t="n">
        <x:v>0.8441946552903392</x:v>
      </x:c>
      <x:c r="J390" s="23" t="n">
        <x:v>9</x:v>
      </x:c>
      <x:c r="K390" s="23" t="n">
        <x:v>190.05990782707585</x:v>
      </x:c>
      <x:c r="L390" s="23" t="n">
        <x:v>40</x:v>
      </x:c>
      <x:c r="M390" s="23" t="n">
        <x:v>25</x:v>
      </x:c>
      <x:c r="N390" s="23" t="n">
        <x:v>1.1773304915764065</x:v>
      </x:c>
      <x:c r="O390" s="23" t="n">
        <x:v>52.24830874633013</x:v>
      </x:c>
      <x:c r="P390" s="23" t="n">
        <x:v>1444.0280253533274</x:v>
      </x:c>
      <x:c r="Q390" s="23" t="n">
        <x:v>1.1670556418947</x:v>
      </x:c>
      <x:c r="R390" s="23" t="n">
        <x:v>53.012743385007205</x:v>
      </x:c>
      <x:c r="S390" s="23" t="n">
        <x:v>1434.5410252677443</x:v>
      </x:c>
      <x:c r="T390" s="23" t="n">
        <x:v>-0.010274849681706444</x:v>
      </x:c>
      <x:c r="U390" s="23" t="n">
        <x:v>0.7644346386770735</x:v>
      </x:c>
      <x:c r="V390" s="23" t="n">
        <x:v>-9.487000085583077</x:v>
      </x:c>
    </x:row>
    <x:row r="391">
      <x:c r="A391" s="23" t="n">
        <x:v>390</x:v>
      </x:c>
      <x:c r="B391" s="23" t="str">
        <x:v>Train</x:v>
      </x:c>
      <x:c r="C391" s="23" t="str">
        <x:v>Lightning</x:v>
      </x:c>
      <x:c r="D391" s="23" t="n">
        <x:v>1421.1365132709034</x:v>
      </x:c>
      <x:c r="E391" s="23" t="n">
        <x:v>774.03726761695</x:v>
      </x:c>
      <x:c r="F391" s="23" t="n">
        <x:v>433.8918683119118</x:v>
      </x:c>
      <x:c r="G391" s="23" t="n">
        <x:v>209.080671351403</x:v>
      </x:c>
      <x:c r="H391" s="23" t="n">
        <x:v>13.587840481195599</x:v>
      </x:c>
      <x:c r="I391" s="23" t="n">
        <x:v>0.826178728430532</x:v>
      </x:c>
      <x:c r="J391" s="23" t="n">
        <x:v>9</x:v>
      </x:c>
      <x:c r="K391" s="23" t="n">
        <x:v>191.12578379991237</x:v>
      </x:c>
      <x:c r="L391" s="23" t="n">
        <x:v>55</x:v>
      </x:c>
      <x:c r="M391" s="23" t="n">
        <x:v>25</x:v>
      </x:c>
      <x:c r="N391" s="23" t="n">
        <x:v>1.2273364693837598</x:v>
      </x:c>
      <x:c r="O391" s="23" t="n">
        <x:v>52.19594725420018</x:v>
      </x:c>
      <x:c r="P391" s="23" t="n">
        <x:v>1421.1365132709034</x:v>
      </x:c>
      <x:c r="Q391" s="23" t="n">
        <x:v>1.230728672191736</x:v>
      </x:c>
      <x:c r="R391" s="23" t="n">
        <x:v>51.424894884298276</x:v>
      </x:c>
      <x:c r="S391" s="23" t="n">
        <x:v>1433.8911512738255</x:v>
      </x:c>
      <x:c r="T391" s="23" t="n">
        <x:v>0.0033922028079762523</x:v>
      </x:c>
      <x:c r="U391" s="23" t="n">
        <x:v>-0.7710523699019021</x:v>
      </x:c>
      <x:c r="V391" s="23" t="n">
        <x:v>12.754638002922093</x:v>
      </x:c>
    </x:row>
    <x:row r="392">
      <x:c r="A392" s="23" t="n">
        <x:v>391</x:v>
      </x:c>
      <x:c r="B392" s="23" t="str">
        <x:v>Train</x:v>
      </x:c>
      <x:c r="C392" s="23" t="str">
        <x:v>Lightning</x:v>
      </x:c>
      <x:c r="D392" s="23" t="n">
        <x:v>1431.4872264163569</x:v>
      </x:c>
      <x:c r="E392" s="23" t="n">
        <x:v>864.1638234374113</x:v>
      </x:c>
      <x:c r="F392" s="23" t="n">
        <x:v>744.862362742424</x:v>
      </x:c>
      <x:c r="G392" s="23" t="n">
        <x:v>310.481889040675</x:v>
      </x:c>
      <x:c r="H392" s="23" t="n">
        <x:v>23.432773205451667</x:v>
      </x:c>
      <x:c r="I392" s="23" t="n">
        <x:v>0.8154968631244265</x:v>
      </x:c>
      <x:c r="J392" s="23" t="n">
        <x:v>9</x:v>
      </x:c>
      <x:c r="K392" s="23" t="n">
        <x:v>195.03954394023955</x:v>
      </x:c>
      <x:c r="L392" s="23" t="n">
        <x:v>35</x:v>
      </x:c>
      <x:c r="M392" s="23" t="n">
        <x:v>25</x:v>
      </x:c>
      <x:c r="N392" s="23" t="n">
        <x:v>1.154650272944436</x:v>
      </x:c>
      <x:c r="O392" s="23" t="n">
        <x:v>52.274299296628755</x:v>
      </x:c>
      <x:c r="P392" s="23" t="n">
        <x:v>1431.4872264163569</x:v>
      </x:c>
      <x:c r="Q392" s="23" t="n">
        <x:v>1.1537666371078552</x:v>
      </x:c>
      <x:c r="R392" s="23" t="n">
        <x:v>53.12666270141238</x:v>
      </x:c>
      <x:c r="S392" s="23" t="n">
        <x:v>1417.5641421034152</x:v>
      </x:c>
      <x:c r="T392" s="23" t="n">
        <x:v>-0.0008836358365806873</x:v>
      </x:c>
      <x:c r="U392" s="23" t="n">
        <x:v>0.8523634047836239</x:v>
      </x:c>
      <x:c r="V392" s="23" t="n">
        <x:v>-13.923084312941683</x:v>
      </x:c>
    </x:row>
    <x:row r="393">
      <x:c r="A393" s="23" t="n">
        <x:v>392</x:v>
      </x:c>
      <x:c r="B393" s="23" t="str">
        <x:v>Train</x:v>
      </x:c>
      <x:c r="C393" s="23" t="str">
        <x:v>Lightning</x:v>
      </x:c>
      <x:c r="D393" s="23" t="n">
        <x:v>1454.9365957151167</x:v>
      </x:c>
      <x:c r="E393" s="23" t="n">
        <x:v>697.0359024591744</x:v>
      </x:c>
      <x:c r="F393" s="23" t="n">
        <x:v>558.6061782203615</x:v>
      </x:c>
      <x:c r="G393" s="23" t="n">
        <x:v>263.26839769724756</x:v>
      </x:c>
      <x:c r="H393" s="23" t="n">
        <x:v>20.205072370823473</x:v>
      </x:c>
      <x:c r="I393" s="23" t="n">
        <x:v>0.8449867192748934</x:v>
      </x:c>
      <x:c r="J393" s="23" t="n">
        <x:v>9</x:v>
      </x:c>
      <x:c r="K393" s="23" t="n">
        <x:v>191.3161687142831</x:v>
      </x:c>
      <x:c r="L393" s="23" t="n">
        <x:v>50</x:v>
      </x:c>
      <x:c r="M393" s="23" t="n">
        <x:v>25</x:v>
      </x:c>
      <x:c r="N393" s="23" t="n">
        <x:v>1.2316289867294967</x:v>
      </x:c>
      <x:c r="O393" s="23" t="n">
        <x:v>52.2118361163409</x:v>
      </x:c>
      <x:c r="P393" s="23" t="n">
        <x:v>1454.9365957151167</x:v>
      </x:c>
      <x:c r="Q393" s="23" t="n">
        <x:v>1.2283611614421575</x:v>
      </x:c>
      <x:c r="R393" s="23" t="n">
        <x:v>52.3434363340069</x:v>
      </x:c>
      <x:c r="S393" s="23" t="n">
        <x:v>1463.6890726642891</x:v>
      </x:c>
      <x:c r="T393" s="23" t="n">
        <x:v>-0.0032678252873392655</x:v>
      </x:c>
      <x:c r="U393" s="23" t="n">
        <x:v>0.13160021766600494</x:v>
      </x:c>
      <x:c r="V393" s="23" t="n">
        <x:v>8.752476949172433</x:v>
      </x:c>
    </x:row>
    <x:row r="394">
      <x:c r="A394" s="23" t="n">
        <x:v>393</x:v>
      </x:c>
      <x:c r="B394" s="23" t="str">
        <x:v>Train</x:v>
      </x:c>
      <x:c r="C394" s="23" t="str">
        <x:v>Lightning</x:v>
      </x:c>
      <x:c r="D394" s="23" t="n">
        <x:v>1366.8741362169385</x:v>
      </x:c>
      <x:c r="E394" s="23" t="n">
        <x:v>1063.65234706318</x:v>
      </x:c>
      <x:c r="F394" s="23" t="n">
        <x:v>643.1935520842671</x:v>
      </x:c>
      <x:c r="G394" s="23" t="n">
        <x:v>137.31890868628398</x:v>
      </x:c>
      <x:c r="H394" s="23" t="n">
        <x:v>13.763826644048095</x:v>
      </x:c>
      <x:c r="I394" s="23" t="n">
        <x:v>0.8368942076829262</x:v>
      </x:c>
      <x:c r="J394" s="23" t="n">
        <x:v>9</x:v>
      </x:c>
      <x:c r="K394" s="23" t="n">
        <x:v>181.47443563338064</x:v>
      </x:c>
      <x:c r="L394" s="23" t="n">
        <x:v>40</x:v>
      </x:c>
      <x:c r="M394" s="23" t="n">
        <x:v>25</x:v>
      </x:c>
      <x:c r="N394" s="23" t="n">
        <x:v>1.1858402167387425</x:v>
      </x:c>
      <x:c r="O394" s="23" t="n">
        <x:v>52.262551397661476</x:v>
      </x:c>
      <x:c r="P394" s="23" t="n">
        <x:v>1366.8741362169385</x:v>
      </x:c>
      <x:c r="Q394" s="23" t="n">
        <x:v>1.190148524103056</x:v>
      </x:c>
      <x:c r="R394" s="23" t="n">
        <x:v>53.26281778384269</x:v>
      </x:c>
      <x:c r="S394" s="23" t="n">
        <x:v>1360.8303759243183</x:v>
      </x:c>
      <x:c r="T394" s="23" t="n">
        <x:v>0.004308307364313535</x:v>
      </x:c>
      <x:c r="U394" s="23" t="n">
        <x:v>1.0002663861812167</x:v>
      </x:c>
      <x:c r="V394" s="23" t="n">
        <x:v>-6.0437602926201635</x:v>
      </x:c>
    </x:row>
    <x:row r="395">
      <x:c r="A395" s="23" t="n">
        <x:v>394</x:v>
      </x:c>
      <x:c r="B395" s="23" t="str">
        <x:v>Train</x:v>
      </x:c>
      <x:c r="C395" s="23" t="str">
        <x:v>Lightning</x:v>
      </x:c>
      <x:c r="D395" s="23" t="n">
        <x:v>1413.09395438293</x:v>
      </x:c>
      <x:c r="E395" s="23" t="n">
        <x:v>815.9275837475434</x:v>
      </x:c>
      <x:c r="F395" s="23" t="n">
        <x:v>451.40403816476464</x:v>
      </x:c>
      <x:c r="G395" s="23" t="n">
        <x:v>111.9083712529391</x:v>
      </x:c>
      <x:c r="H395" s="23" t="n">
        <x:v>15.979557667393237</x:v>
      </x:c>
      <x:c r="I395" s="23" t="n">
        <x:v>0.8167903145076707</x:v>
      </x:c>
      <x:c r="J395" s="23" t="n">
        <x:v>9</x:v>
      </x:c>
      <x:c r="K395" s="23" t="n">
        <x:v>192.22857640093451</x:v>
      </x:c>
      <x:c r="L395" s="23" t="n">
        <x:v>55</x:v>
      </x:c>
      <x:c r="M395" s="23" t="n">
        <x:v>25</x:v>
      </x:c>
      <x:c r="N395" s="23" t="n">
        <x:v>1.2056554503789845</x:v>
      </x:c>
      <x:c r="O395" s="23" t="n">
        <x:v>52.19005799593429</x:v>
      </x:c>
      <x:c r="P395" s="23" t="n">
        <x:v>1413.09395438293</x:v>
      </x:c>
      <x:c r="Q395" s="23" t="n">
        <x:v>1.1957003656418745</x:v>
      </x:c>
      <x:c r="R395" s="23" t="n">
        <x:v>53.02888310074024</x:v>
      </x:c>
      <x:c r="S395" s="23" t="n">
        <x:v>1421.0156054080262</x:v>
      </x:c>
      <x:c r="T395" s="23" t="n">
        <x:v>-0.009955084737109932</x:v>
      </x:c>
      <x:c r="U395" s="23" t="n">
        <x:v>0.8388251048059487</x:v>
      </x:c>
      <x:c r="V395" s="23" t="n">
        <x:v>7.921651025096253</x:v>
      </x:c>
    </x:row>
    <x:row r="396">
      <x:c r="A396" s="23" t="n">
        <x:v>395</x:v>
      </x:c>
      <x:c r="B396" s="23" t="str">
        <x:v>Validation</x:v>
      </x:c>
      <x:c r="C396" s="23" t="str">
        <x:v>Lightning</x:v>
      </x:c>
      <x:c r="D396" s="23" t="n">
        <x:v>1496.6864499030635</x:v>
      </x:c>
      <x:c r="E396" s="23" t="n">
        <x:v>809.8854015232064</x:v>
      </x:c>
      <x:c r="F396" s="23" t="n">
        <x:v>504.71667535603046</x:v>
      </x:c>
      <x:c r="G396" s="23" t="n">
        <x:v>247.79636609135196</x:v>
      </x:c>
      <x:c r="H396" s="23" t="n">
        <x:v>12.86509767267853</x:v>
      </x:c>
      <x:c r="I396" s="23" t="n">
        <x:v>0.8342180792870931</x:v>
      </x:c>
      <x:c r="J396" s="23" t="n">
        <x:v>9</x:v>
      </x:c>
      <x:c r="K396" s="23" t="n">
        <x:v>199.34654805825983</x:v>
      </x:c>
      <x:c r="L396" s="23" t="n">
        <x:v>50</x:v>
      </x:c>
      <x:c r="M396" s="23" t="n">
        <x:v>25</x:v>
      </x:c>
      <x:c r="N396" s="23" t="n">
        <x:v>1.2323779936946861</x:v>
      </x:c>
      <x:c r="O396" s="23" t="n">
        <x:v>52.21861697722018</x:v>
      </x:c>
      <x:c r="P396" s="23" t="n">
        <x:v>1496.6864499030635</x:v>
      </x:c>
      <x:c r="Q396" s="23" t="n">
        <x:v>1.2435774753017916</x:v>
      </x:c>
      <x:c r="R396" s="23" t="n">
        <x:v>52.850223994342265</x:v>
      </x:c>
      <x:c r="S396" s="23" t="n">
        <x:v>1498.1045474626073</x:v>
      </x:c>
      <x:c r="T396" s="23" t="n">
        <x:v>0.011199481607105488</x:v>
      </x:c>
      <x:c r="U396" s="23" t="n">
        <x:v>0.6316070171220858</x:v>
      </x:c>
      <x:c r="V396" s="23" t="n">
        <x:v>1.4180975595438667</x:v>
      </x:c>
    </x:row>
    <x:row r="397">
      <x:c r="A397" s="23" t="n">
        <x:v>396</x:v>
      </x:c>
      <x:c r="B397" s="23" t="str">
        <x:v>Validation</x:v>
      </x:c>
      <x:c r="C397" s="23" t="str">
        <x:v>Lightning</x:v>
      </x:c>
      <x:c r="D397" s="23" t="n">
        <x:v>1426.7021136707626</x:v>
      </x:c>
      <x:c r="E397" s="23" t="n">
        <x:v>1125.061429059133</x:v>
      </x:c>
      <x:c r="F397" s="23" t="n">
        <x:v>583.014668058604</x:v>
      </x:c>
      <x:c r="G397" s="23" t="n">
        <x:v>101.73589810263366</x:v>
      </x:c>
      <x:c r="H397" s="23" t="n">
        <x:v>8.422952595632523</x:v>
      </x:c>
      <x:c r="I397" s="23" t="n">
        <x:v>0.8547905383631588</x:v>
      </x:c>
      <x:c r="J397" s="23" t="n">
        <x:v>9</x:v>
      </x:c>
      <x:c r="K397" s="23" t="n">
        <x:v>185.45181533956185</x:v>
      </x:c>
      <x:c r="L397" s="23" t="n">
        <x:v>40</x:v>
      </x:c>
      <x:c r="M397" s="23" t="n">
        <x:v>25</x:v>
      </x:c>
      <x:c r="N397" s="23" t="n">
        <x:v>1.1358507957080797</x:v>
      </x:c>
      <x:c r="O397" s="23" t="n">
        <x:v>52.257194935354725</x:v>
      </x:c>
      <x:c r="P397" s="23" t="n">
        <x:v>1426.7021136707626</x:v>
      </x:c>
      <x:c r="Q397" s="23" t="n">
        <x:v>1.1550043026914518</x:v>
      </x:c>
      <x:c r="R397" s="23" t="n">
        <x:v>53.52140242271657</x:v>
      </x:c>
      <x:c r="S397" s="23" t="n">
        <x:v>1425.8667396355129</x:v>
      </x:c>
      <x:c r="T397" s="23" t="n">
        <x:v>0.01915350698337215</x:v>
      </x:c>
      <x:c r="U397" s="23" t="n">
        <x:v>1.264207487361844</x:v>
      </x:c>
      <x:c r="V397" s="23" t="n">
        <x:v>-0.8353740352497425</x:v>
      </x:c>
    </x:row>
    <x:row r="398">
      <x:c r="A398" s="23" t="n">
        <x:v>397</x:v>
      </x:c>
      <x:c r="B398" s="23" t="str">
        <x:v>Validation</x:v>
      </x:c>
      <x:c r="C398" s="23" t="str">
        <x:v>Lightning</x:v>
      </x:c>
      <x:c r="D398" s="23" t="n">
        <x:v>1405.5272431578487</x:v>
      </x:c>
      <x:c r="E398" s="23" t="n">
        <x:v>1119.2525609279983</x:v>
      </x:c>
      <x:c r="F398" s="23" t="n">
        <x:v>425.3371438011527</x:v>
      </x:c>
      <x:c r="G398" s="23" t="n">
        <x:v>238.57050177874044</x:v>
      </x:c>
      <x:c r="H398" s="23" t="n">
        <x:v>18.867142099887133</x:v>
      </x:c>
      <x:c r="I398" s="23" t="n">
        <x:v>0.8374005319201387</x:v>
      </x:c>
      <x:c r="J398" s="23" t="n">
        <x:v>9</x:v>
      </x:c>
      <x:c r="K398" s="23" t="n">
        <x:v>186.4934254652456</x:v>
      </x:c>
      <x:c r="L398" s="23" t="n">
        <x:v>40</x:v>
      </x:c>
      <x:c r="M398" s="23" t="n">
        <x:v>25</x:v>
      </x:c>
      <x:c r="N398" s="23" t="n">
        <x:v>1.176362770360627</x:v>
      </x:c>
      <x:c r="O398" s="23" t="n">
        <x:v>52.25303925519974</x:v>
      </x:c>
      <x:c r="P398" s="23" t="n">
        <x:v>1405.5272431578487</x:v>
      </x:c>
      <x:c r="Q398" s="23" t="n">
        <x:v>1.1709215134524684</x:v>
      </x:c>
      <x:c r="R398" s="23" t="n">
        <x:v>53.190929673686014</x:v>
      </x:c>
      <x:c r="S398" s="23" t="n">
        <x:v>1393.7626735178808</x:v>
      </x:c>
      <x:c r="T398" s="23" t="n">
        <x:v>-0.005441256908158554</x:v>
      </x:c>
      <x:c r="U398" s="23" t="n">
        <x:v>0.9378904184862762</x:v>
      </x:c>
      <x:c r="V398" s="23" t="n">
        <x:v>-11.764569639967931</x:v>
      </x:c>
    </x:row>
    <x:row r="399">
      <x:c r="A399" s="23" t="n">
        <x:v>398</x:v>
      </x:c>
      <x:c r="B399" s="23" t="str">
        <x:v>Hidden Test</x:v>
      </x:c>
      <x:c r="C399" s="23" t="str">
        <x:v>Lightning</x:v>
      </x:c>
      <x:c r="D399" s="23" t="n">
        <x:v>1442.1109432470985</x:v>
      </x:c>
      <x:c r="E399" s="23" t="n">
        <x:v>613.9471475733444</x:v>
      </x:c>
      <x:c r="F399" s="23" t="n">
        <x:v>429.54381750896573</x:v>
      </x:c>
      <x:c r="G399" s="23" t="n">
        <x:v>309.5414377003908</x:v>
      </x:c>
      <x:c r="H399" s="23" t="n">
        <x:v>9.813260788563639</x:v>
      </x:c>
      <x:c r="I399" s="23" t="n">
        <x:v>0.857160479570739</x:v>
      </x:c>
      <x:c r="J399" s="23" t="n">
        <x:v>9</x:v>
      </x:c>
      <x:c r="K399" s="23" t="n">
        <x:v>186.93646413787314</x:v>
      </x:c>
      <x:c r="L399" s="23" t="n">
        <x:v>55</x:v>
      </x:c>
      <x:c r="M399" s="23" t="n">
        <x:v>25</x:v>
      </x:c>
      <x:c r="N399" s="23" t="n">
        <x:v>1.159129910472255</x:v>
      </x:c>
      <x:c r="O399" s="23" t="n">
        <x:v>52.18597157740388</x:v>
      </x:c>
      <x:c r="P399" s="23" t="n">
        <x:v>1442.1109432470985</x:v>
      </x:c>
      <x:c r="Q399" s="23" t="n">
        <x:v>1.1585828369929054</x:v>
      </x:c>
      <x:c r="R399" s="23" t="n">
        <x:v>52.04470850488786</x:v>
      </x:c>
      <x:c r="S399" s="23" t="n">
        <x:v>1464.3162615002825</x:v>
      </x:c>
      <x:c r="T399" s="23" t="n">
        <x:v>-0.0005470734793495691</x:v>
      </x:c>
      <x:c r="U399" s="23" t="n">
        <x:v>-0.14126307251602555</x:v>
      </x:c>
      <x:c r="V399" s="23" t="n">
        <x:v>22.205318253184032</x:v>
      </x:c>
    </x:row>
    <x:row r="400">
      <x:c r="A400" s="23" t="n">
        <x:v>399</x:v>
      </x:c>
      <x:c r="B400" s="23" t="str">
        <x:v>Hidden Test</x:v>
      </x:c>
      <x:c r="C400" s="23" t="str">
        <x:v>Lightning</x:v>
      </x:c>
      <x:c r="D400" s="23" t="n">
        <x:v>1437.4797700205818</x:v>
      </x:c>
      <x:c r="E400" s="23" t="n">
        <x:v>1031.6160542075522</x:v>
      </x:c>
      <x:c r="F400" s="23" t="n">
        <x:v>729.1224665939808</x:v>
      </x:c>
      <x:c r="G400" s="23" t="n">
        <x:v>153.83408438181505</x:v>
      </x:c>
      <x:c r="H400" s="23" t="n">
        <x:v>28.97239178325981</x:v>
      </x:c>
      <x:c r="I400" s="23" t="n">
        <x:v>0.801538946160581</x:v>
      </x:c>
      <x:c r="J400" s="23" t="n">
        <x:v>9</x:v>
      </x:c>
      <x:c r="K400" s="23" t="n">
        <x:v>199.26664226585552</x:v>
      </x:c>
      <x:c r="L400" s="23" t="n">
        <x:v>35</x:v>
      </x:c>
      <x:c r="M400" s="23" t="n">
        <x:v>25</x:v>
      </x:c>
      <x:c r="N400" s="23" t="n">
        <x:v>1.183690020436715</x:v>
      </x:c>
      <x:c r="O400" s="23" t="n">
        <x:v>52.27352973346321</x:v>
      </x:c>
      <x:c r="P400" s="23" t="n">
        <x:v>1437.4797700205818</x:v>
      </x:c>
      <x:c r="Q400" s="23" t="n">
        <x:v>1.173130977260179</x:v>
      </x:c>
      <x:c r="R400" s="23" t="n">
        <x:v>53.45996950429638</x:v>
      </x:c>
      <x:c r="S400" s="23" t="n">
        <x:v>1413.7124816826142</x:v>
      </x:c>
      <x:c r="T400" s="23" t="n">
        <x:v>-0.010559043176535887</x:v>
      </x:c>
      <x:c r="U400" s="23" t="n">
        <x:v>1.186439770833175</x:v>
      </x:c>
      <x:c r="V400" s="23" t="n">
        <x:v>-23.767288337967557</x:v>
      </x:c>
    </x:row>
    <x:row r="401">
      <x:c r="A401" s="23" t="n">
        <x:v>400</x:v>
      </x:c>
      <x:c r="B401" s="23" t="str">
        <x:v>Hidden Test</x:v>
      </x:c>
      <x:c r="C401" s="23" t="str">
        <x:v>Lightning</x:v>
      </x:c>
      <x:c r="D401" s="23" t="n">
        <x:v>1430.998126405757</x:v>
      </x:c>
      <x:c r="E401" s="23" t="n">
        <x:v>1214.3182000145316</x:v>
      </x:c>
      <x:c r="F401" s="23" t="n">
        <x:v>353.27592035755515</x:v>
      </x:c>
      <x:c r="G401" s="23" t="n">
        <x:v>171.1002178909257</x:v>
      </x:c>
      <x:c r="H401" s="23" t="n">
        <x:v>21.129765996243805</x:v>
      </x:c>
      <x:c r="I401" s="23" t="n">
        <x:v>0.8120767053868622</x:v>
      </x:c>
      <x:c r="J401" s="23" t="n">
        <x:v>9</x:v>
      </x:c>
      <x:c r="K401" s="23" t="n">
        <x:v>195.79405586707054</x:v>
      </x:c>
      <x:c r="L401" s="23" t="n">
        <x:v>40</x:v>
      </x:c>
      <x:c r="M401" s="23" t="n">
        <x:v>25</x:v>
      </x:c>
      <x:c r="N401" s="23" t="n">
        <x:v>1.1613812396381655</x:v>
      </x:c>
      <x:c r="O401" s="23" t="n">
        <x:v>52.24610591469366</x:v>
      </x:c>
      <x:c r="P401" s="23" t="n">
        <x:v>1430.998126405757</x:v>
      </x:c>
      <x:c r="Q401" s="23" t="n">
        <x:v>1.1660898654546539</x:v>
      </x:c>
      <x:c r="R401" s="23" t="n">
        <x:v>52.69391018628747</x:v>
      </x:c>
      <x:c r="S401" s="23" t="n">
        <x:v>1429.8953637226066</x:v>
      </x:c>
      <x:c r="T401" s="23" t="n">
        <x:v>0.004708625816488343</x:v>
      </x:c>
      <x:c r="U401" s="23" t="n">
        <x:v>0.4478042715938102</x:v>
      </x:c>
      <x:c r="V401" s="23" t="n">
        <x:v>-1.1027626831503312</x:v>
      </x:c>
    </x:row>
    <x:row r="402">
      <x:c r="A402" s="23" t="n">
        <x:v>401</x:v>
      </x:c>
      <x:c r="B402" s="23" t="str">
        <x:v>Train</x:v>
      </x:c>
      <x:c r="C402" s="23" t="str">
        <x:v>Lightning</x:v>
      </x:c>
      <x:c r="D402" s="23" t="n">
        <x:v>1423.2615270651877</x:v>
      </x:c>
      <x:c r="E402" s="23" t="n">
        <x:v>724.5763023733161</x:v>
      </x:c>
      <x:c r="F402" s="23" t="n">
        <x:v>425.78592393547297</x:v>
      </x:c>
      <x:c r="G402" s="23" t="n">
        <x:v>117.16617642203346</x:v>
      </x:c>
      <x:c r="H402" s="23" t="n">
        <x:v>15.816677303984761</x:v>
      </x:c>
      <x:c r="I402" s="23" t="n">
        <x:v>0.8472183520277031</x:v>
      </x:c>
      <x:c r="J402" s="23" t="n">
        <x:v>9</x:v>
      </x:c>
      <x:c r="K402" s="23" t="n">
        <x:v>186.65810212375894</x:v>
      </x:c>
      <x:c r="L402" s="23" t="n">
        <x:v>60</x:v>
      </x:c>
      <x:c r="M402" s="23" t="n">
        <x:v>25</x:v>
      </x:c>
      <x:c r="N402" s="23" t="n">
        <x:v>1.2026470157594427</x:v>
      </x:c>
      <x:c r="O402" s="23" t="n">
        <x:v>52.172639366195796</x:v>
      </x:c>
      <x:c r="P402" s="23" t="n">
        <x:v>1423.2615270651877</x:v>
      </x:c>
      <x:c r="Q402" s="23" t="n">
        <x:v>1.1936405599701165</x:v>
      </x:c>
      <x:c r="R402" s="23" t="n">
        <x:v>51.21408850711343</x:v>
      </x:c>
      <x:c r="S402" s="23" t="n">
        <x:v>1435.6768669117985</x:v>
      </x:c>
      <x:c r="T402" s="23" t="n">
        <x:v>-0.009006455789326129</x:v>
      </x:c>
      <x:c r="U402" s="23" t="n">
        <x:v>-0.958550859082365</x:v>
      </x:c>
      <x:c r="V402" s="23" t="n">
        <x:v>12.415339846610777</x:v>
      </x:c>
    </x:row>
    <x:row r="403">
      <x:c r="A403" s="23" t="n">
        <x:v>402</x:v>
      </x:c>
      <x:c r="B403" s="23" t="str">
        <x:v>Train</x:v>
      </x:c>
      <x:c r="C403" s="23" t="str">
        <x:v>Lightning</x:v>
      </x:c>
      <x:c r="D403" s="23" t="n">
        <x:v>1350.449020753149</x:v>
      </x:c>
      <x:c r="E403" s="23" t="n">
        <x:v>1213.9437684090808</x:v>
      </x:c>
      <x:c r="F403" s="23" t="n">
        <x:v>414.34172773733735</x:v>
      </x:c>
      <x:c r="G403" s="23" t="n">
        <x:v>147.99323786981404</x:v>
      </x:c>
      <x:c r="H403" s="23" t="n">
        <x:v>8.288837597239763</x:v>
      </x:c>
      <x:c r="I403" s="23" t="n">
        <x:v>0.8428024029219523</x:v>
      </x:c>
      <x:c r="J403" s="23" t="n">
        <x:v>9</x:v>
      </x:c>
      <x:c r="K403" s="23" t="n">
        <x:v>178.03685736369417</x:v>
      </x:c>
      <x:c r="L403" s="23" t="n">
        <x:v>45</x:v>
      </x:c>
      <x:c r="M403" s="23" t="n">
        <x:v>25</x:v>
      </x:c>
      <x:c r="N403" s="23" t="n">
        <x:v>1.2433756648851717</x:v>
      </x:c>
      <x:c r="O403" s="23" t="n">
        <x:v>52.25196626160149</x:v>
      </x:c>
      <x:c r="P403" s="23" t="n">
        <x:v>1350.449020753149</x:v>
      </x:c>
      <x:c r="Q403" s="23" t="n">
        <x:v>1.2612966087289836</x:v>
      </x:c>
      <x:c r="R403" s="23" t="n">
        <x:v>52.845639391016825</x:v>
      </x:c>
      <x:c r="S403" s="23" t="n">
        <x:v>1356.5394665851795</x:v>
      </x:c>
      <x:c r="T403" s="23" t="n">
        <x:v>0.01792094384381193</x:v>
      </x:c>
      <x:c r="U403" s="23" t="n">
        <x:v>0.5936731294153361</x:v>
      </x:c>
      <x:c r="V403" s="23" t="n">
        <x:v>6.090445832030582</x:v>
      </x:c>
    </x:row>
    <x:row r="404">
      <x:c r="A404" s="23" t="n">
        <x:v>403</x:v>
      </x:c>
      <x:c r="B404" s="23" t="str">
        <x:v>Train</x:v>
      </x:c>
      <x:c r="C404" s="23" t="str">
        <x:v>Lightning</x:v>
      </x:c>
      <x:c r="D404" s="23" t="n">
        <x:v>1392.6192538579926</x:v>
      </x:c>
      <x:c r="E404" s="23" t="n">
        <x:v>1245.3987411805429</x:v>
      </x:c>
      <x:c r="F404" s="23" t="n">
        <x:v>468.83552335202694</x:v>
      </x:c>
      <x:c r="G404" s="23" t="n">
        <x:v>326.2092011119239</x:v>
      </x:c>
      <x:c r="H404" s="23" t="n">
        <x:v>23.795808014459908</x:v>
      </x:c>
      <x:c r="I404" s="23" t="n">
        <x:v>0.8362278863484972</x:v>
      </x:c>
      <x:c r="J404" s="23" t="n">
        <x:v>9</x:v>
      </x:c>
      <x:c r="K404" s="23" t="n">
        <x:v>185.03983803573158</x:v>
      </x:c>
      <x:c r="L404" s="23" t="n">
        <x:v>35</x:v>
      </x:c>
      <x:c r="M404" s="23" t="n">
        <x:v>25</x:v>
      </x:c>
      <x:c r="N404" s="23" t="n">
        <x:v>1.2209279814760847</x:v>
      </x:c>
      <x:c r="O404" s="23" t="n">
        <x:v>52.29315614738062</x:v>
      </x:c>
      <x:c r="P404" s="23" t="n">
        <x:v>1392.6192538579926</x:v>
      </x:c>
      <x:c r="Q404" s="23" t="n">
        <x:v>1.2351472452604508</x:v>
      </x:c>
      <x:c r="R404" s="23" t="n">
        <x:v>54.13856094353722</x:v>
      </x:c>
      <x:c r="S404" s="23" t="n">
        <x:v>1373.9027980577862</x:v>
      </x:c>
      <x:c r="T404" s="23" t="n">
        <x:v>0.01421926378436611</x:v>
      </x:c>
      <x:c r="U404" s="23" t="n">
        <x:v>1.8454047961566005</x:v>
      </x:c>
      <x:c r="V404" s="23" t="n">
        <x:v>-18.716455800206404</x:v>
      </x:c>
    </x:row>
    <x:row r="405">
      <x:c r="A405" s="23" t="n">
        <x:v>404</x:v>
      </x:c>
      <x:c r="B405" s="23" t="str">
        <x:v>Train</x:v>
      </x:c>
      <x:c r="C405" s="23" t="str">
        <x:v>Lightning</x:v>
      </x:c>
      <x:c r="D405" s="23" t="n">
        <x:v>1445.2263077138923</x:v>
      </x:c>
      <x:c r="E405" s="23" t="n">
        <x:v>1056.116537610069</x:v>
      </x:c>
      <x:c r="F405" s="23" t="n">
        <x:v>739.6674352698028</x:v>
      </x:c>
      <x:c r="G405" s="23" t="n">
        <x:v>131.32478603627533</x:v>
      </x:c>
      <x:c r="H405" s="23" t="n">
        <x:v>25.46747414721176</x:v>
      </x:c>
      <x:c r="I405" s="23" t="n">
        <x:v>0.8109948551841081</x:v>
      </x:c>
      <x:c r="J405" s="23" t="n">
        <x:v>9</x:v>
      </x:c>
      <x:c r="K405" s="23" t="n">
        <x:v>198.00458638007623</x:v>
      </x:c>
      <x:c r="L405" s="23" t="n">
        <x:v>35</x:v>
      </x:c>
      <x:c r="M405" s="23" t="n">
        <x:v>25</x:v>
      </x:c>
      <x:c r="N405" s="23" t="n">
        <x:v>1.1704223841387535</x:v>
      </x:c>
      <x:c r="O405" s="23" t="n">
        <x:v>52.275484433234006</x:v>
      </x:c>
      <x:c r="P405" s="23" t="n">
        <x:v>1445.2263077138923</x:v>
      </x:c>
      <x:c r="Q405" s="23" t="n">
        <x:v>1.1703617428117135</x:v>
      </x:c>
      <x:c r="R405" s="23" t="n">
        <x:v>52.54463576702762</x:v>
      </x:c>
      <x:c r="S405" s="23" t="n">
        <x:v>1433.6188072149218</x:v>
      </x:c>
      <x:c r="T405" s="23" t="n">
        <x:v>-0.00006064132704008962</x:v>
      </x:c>
      <x:c r="U405" s="23" t="n">
        <x:v>0.2691513337936158</x:v>
      </x:c>
      <x:c r="V405" s="23" t="n">
        <x:v>-11.607500498970467</x:v>
      </x:c>
    </x:row>
    <x:row r="406">
      <x:c r="A406" s="23" t="n">
        <x:v>405</x:v>
      </x:c>
      <x:c r="B406" s="23" t="str">
        <x:v>Train</x:v>
      </x:c>
      <x:c r="C406" s="23" t="str">
        <x:v>Lightning</x:v>
      </x:c>
      <x:c r="D406" s="23" t="n">
        <x:v>1358.4089614916593</x:v>
      </x:c>
      <x:c r="E406" s="23" t="n">
        <x:v>652.1607670816593</x:v>
      </x:c>
      <x:c r="F406" s="23" t="n">
        <x:v>721.858942322433</x:v>
      </x:c>
      <x:c r="G406" s="23" t="n">
        <x:v>205.2477730740793</x:v>
      </x:c>
      <x:c r="H406" s="23" t="n">
        <x:v>17.54739500582218</x:v>
      </x:c>
      <x:c r="I406" s="23" t="n">
        <x:v>0.8118449686304666</x:v>
      </x:c>
      <x:c r="J406" s="23" t="n">
        <x:v>9</x:v>
      </x:c>
      <x:c r="K406" s="23" t="n">
        <x:v>185.91521150798766</x:v>
      </x:c>
      <x:c r="L406" s="23" t="n">
        <x:v>45</x:v>
      </x:c>
      <x:c r="M406" s="23" t="n">
        <x:v>25</x:v>
      </x:c>
      <x:c r="N406" s="23" t="n">
        <x:v>1.1550467758386298</x:v>
      </x:c>
      <x:c r="O406" s="23" t="n">
        <x:v>52.221247282205404</x:v>
      </x:c>
      <x:c r="P406" s="23" t="n">
        <x:v>1358.4089614916593</x:v>
      </x:c>
      <x:c r="Q406" s="23" t="n">
        <x:v>1.1479251960577896</x:v>
      </x:c>
      <x:c r="R406" s="23" t="n">
        <x:v>50.62377363399181</x:v>
      </x:c>
      <x:c r="S406" s="23" t="n">
        <x:v>1367.3569818293101</x:v>
      </x:c>
      <x:c r="T406" s="23" t="n">
        <x:v>-0.007121579780840159</x:v>
      </x:c>
      <x:c r="U406" s="23" t="n">
        <x:v>-1.5974736482135938</x:v>
      </x:c>
      <x:c r="V406" s="23" t="n">
        <x:v>8.94802033765086</x:v>
      </x:c>
    </x:row>
    <x:row r="407">
      <x:c r="A407" s="23" t="n">
        <x:v>406</x:v>
      </x:c>
      <x:c r="B407" s="23" t="str">
        <x:v>Train</x:v>
      </x:c>
      <x:c r="C407" s="23" t="str">
        <x:v>Lightning</x:v>
      </x:c>
      <x:c r="D407" s="23" t="n">
        <x:v>1454.8698117141612</x:v>
      </x:c>
      <x:c r="E407" s="23" t="n">
        <x:v>637.9327436676249</x:v>
      </x:c>
      <x:c r="F407" s="23" t="n">
        <x:v>629.136945027858</x:v>
      </x:c>
      <x:c r="G407" s="23" t="n">
        <x:v>153.6560528166592</x:v>
      </x:c>
      <x:c r="H407" s="23" t="n">
        <x:v>21.22918457398191</x:v>
      </x:c>
      <x:c r="I407" s="23" t="n">
        <x:v>0.8143297811364756</x:v>
      </x:c>
      <x:c r="J407" s="23" t="n">
        <x:v>9</x:v>
      </x:c>
      <x:c r="K407" s="23" t="n">
        <x:v>198.50950443685392</x:v>
      </x:c>
      <x:c r="L407" s="23" t="n">
        <x:v>50</x:v>
      </x:c>
      <x:c r="M407" s="23" t="n">
        <x:v>25</x:v>
      </x:c>
      <x:c r="N407" s="23" t="n">
        <x:v>1.1619895558722464</x:v>
      </x:c>
      <x:c r="O407" s="23" t="n">
        <x:v>52.19652666124527</x:v>
      </x:c>
      <x:c r="P407" s="23" t="n">
        <x:v>1454.8698117141612</x:v>
      </x:c>
      <x:c r="Q407" s="23" t="n">
        <x:v>1.1517568934251083</x:v>
      </x:c>
      <x:c r="R407" s="23" t="n">
        <x:v>50.723462643152445</x:v>
      </x:c>
      <x:c r="S407" s="23" t="n">
        <x:v>1450.4414862746266</x:v>
      </x:c>
      <x:c r="T407" s="23" t="n">
        <x:v>-0.010232662447138052</x:v>
      </x:c>
      <x:c r="U407" s="23" t="n">
        <x:v>-1.4730640180928276</x:v>
      </x:c>
      <x:c r="V407" s="23" t="n">
        <x:v>-4.428325439534547</x:v>
      </x:c>
    </x:row>
    <x:row r="408">
      <x:c r="A408" s="23" t="n">
        <x:v>407</x:v>
      </x:c>
      <x:c r="B408" s="23" t="str">
        <x:v>Train</x:v>
      </x:c>
      <x:c r="C408" s="23" t="str">
        <x:v>Lightning</x:v>
      </x:c>
      <x:c r="D408" s="23" t="n">
        <x:v>1460.7093778671697</x:v>
      </x:c>
      <x:c r="E408" s="23" t="n">
        <x:v>1087.9530349862762</x:v>
      </x:c>
      <x:c r="F408" s="23" t="n">
        <x:v>398.6182853579521</x:v>
      </x:c>
      <x:c r="G408" s="23" t="n">
        <x:v>108.66414649179205</x:v>
      </x:c>
      <x:c r="H408" s="23" t="n">
        <x:v>29.7761494172737</x:v>
      </x:c>
      <x:c r="I408" s="23" t="n">
        <x:v>0.8355072637996637</x:v>
      </x:c>
      <x:c r="J408" s="23" t="n">
        <x:v>9</x:v>
      </x:c>
      <x:c r="K408" s="23" t="n">
        <x:v>194.2544954631984</x:v>
      </x:c>
      <x:c r="L408" s="23" t="n">
        <x:v>45</x:v>
      </x:c>
      <x:c r="M408" s="23" t="n">
        <x:v>25</x:v>
      </x:c>
      <x:c r="N408" s="23" t="n">
        <x:v>1.2228196143807673</x:v>
      </x:c>
      <x:c r="O408" s="23" t="n">
        <x:v>52.2237370901664</x:v>
      </x:c>
      <x:c r="P408" s="23" t="n">
        <x:v>1460.7093778671697</x:v>
      </x:c>
      <x:c r="Q408" s="23" t="n">
        <x:v>1.2096701079006307</x:v>
      </x:c>
      <x:c r="R408" s="23" t="n">
        <x:v>52.987142876765596</x:v>
      </x:c>
      <x:c r="S408" s="23" t="n">
        <x:v>1445.9345521361397</x:v>
      </x:c>
      <x:c r="T408" s="23" t="n">
        <x:v>-0.013149506480136575</x:v>
      </x:c>
      <x:c r="U408" s="23" t="n">
        <x:v>0.7634057865991934</x:v>
      </x:c>
      <x:c r="V408" s="23" t="n">
        <x:v>-14.774825731029978</x:v>
      </x:c>
    </x:row>
    <x:row r="409">
      <x:c r="A409" s="23" t="n">
        <x:v>408</x:v>
      </x:c>
      <x:c r="B409" s="23" t="str">
        <x:v>Train</x:v>
      </x:c>
      <x:c r="C409" s="23" t="str">
        <x:v>Lightning</x:v>
      </x:c>
      <x:c r="D409" s="23" t="n">
        <x:v>1480.2102292771451</x:v>
      </x:c>
      <x:c r="E409" s="23" t="n">
        <x:v>891.6235222481191</x:v>
      </x:c>
      <x:c r="F409" s="23" t="n">
        <x:v>748.0395278893411</x:v>
      </x:c>
      <x:c r="G409" s="23" t="n">
        <x:v>104.74199666175991</x:v>
      </x:c>
      <x:c r="H409" s="23" t="n">
        <x:v>28.328916003461927</x:v>
      </x:c>
      <x:c r="I409" s="23" t="n">
        <x:v>0.8348768659401685</x:v>
      </x:c>
      <x:c r="J409" s="23" t="n">
        <x:v>9</x:v>
      </x:c>
      <x:c r="K409" s="23" t="n">
        <x:v>196.99647931651123</x:v>
      </x:c>
      <x:c r="L409" s="23" t="n">
        <x:v>40</x:v>
      </x:c>
      <x:c r="M409" s="23" t="n">
        <x:v>25</x:v>
      </x:c>
      <x:c r="N409" s="23" t="n">
        <x:v>1.2018303791621958</x:v>
      </x:c>
      <x:c r="O409" s="23" t="n">
        <x:v>52.24699635692217</x:v>
      </x:c>
      <x:c r="P409" s="23" t="n">
        <x:v>1480.2102292771451</x:v>
      </x:c>
      <x:c r="Q409" s="23" t="n">
        <x:v>1.187636326965651</x:v>
      </x:c>
      <x:c r="R409" s="23" t="n">
        <x:v>51.284951303218726</x:v>
      </x:c>
      <x:c r="S409" s="23" t="n">
        <x:v>1455.1105789222881</x:v>
      </x:c>
      <x:c r="T409" s="23" t="n">
        <x:v>-0.014194052196544904</x:v>
      </x:c>
      <x:c r="U409" s="23" t="n">
        <x:v>-0.9620450537034415</x:v>
      </x:c>
      <x:c r="V409" s="23" t="n">
        <x:v>-25.099650354856976</x:v>
      </x:c>
    </x:row>
    <x:row r="410">
      <x:c r="A410" s="23" t="n">
        <x:v>409</x:v>
      </x:c>
      <x:c r="B410" s="23" t="str">
        <x:v>Train</x:v>
      </x:c>
      <x:c r="C410" s="23" t="str">
        <x:v>Lightning</x:v>
      </x:c>
      <x:c r="D410" s="23" t="n">
        <x:v>1428.018370270729</x:v>
      </x:c>
      <x:c r="E410" s="23" t="n">
        <x:v>657.1353519684635</x:v>
      </x:c>
      <x:c r="F410" s="23" t="n">
        <x:v>703.9566086605191</x:v>
      </x:c>
      <x:c r="G410" s="23" t="n">
        <x:v>154.0361498319544</x:v>
      </x:c>
      <x:c r="H410" s="23" t="n">
        <x:v>15.155810384079814</x:v>
      </x:c>
      <x:c r="I410" s="23" t="n">
        <x:v>0.8233233595383354</x:v>
      </x:c>
      <x:c r="J410" s="23" t="n">
        <x:v>9</x:v>
      </x:c>
      <x:c r="K410" s="23" t="n">
        <x:v>192.71736428908028</x:v>
      </x:c>
      <x:c r="L410" s="23" t="n">
        <x:v>50</x:v>
      </x:c>
      <x:c r="M410" s="23" t="n">
        <x:v>25</x:v>
      </x:c>
      <x:c r="N410" s="23" t="n">
        <x:v>1.2068788059135798</x:v>
      </x:c>
      <x:c r="O410" s="23" t="n">
        <x:v>52.21124635062362</x:v>
      </x:c>
      <x:c r="P410" s="23" t="n">
        <x:v>1428.018370270729</x:v>
      </x:c>
      <x:c r="Q410" s="23" t="n">
        <x:v>1.1962290793647736</x:v>
      </x:c>
      <x:c r="R410" s="23" t="n">
        <x:v>51.87734700313895</x:v>
      </x:c>
      <x:c r="S410" s="23" t="n">
        <x:v>1428.7537226557472</x:v>
      </x:c>
      <x:c r="T410" s="23" t="n">
        <x:v>-0.010649726548806138</x:v>
      </x:c>
      <x:c r="U410" s="23" t="n">
        <x:v>-0.33389934748466743</x:v>
      </x:c>
      <x:c r="V410" s="23" t="n">
        <x:v>0.7353523850181318</x:v>
      </x:c>
    </x:row>
    <x:row r="411">
      <x:c r="A411" s="23" t="n">
        <x:v>410</x:v>
      </x:c>
      <x:c r="B411" s="23" t="str">
        <x:v>Train</x:v>
      </x:c>
      <x:c r="C411" s="23" t="str">
        <x:v>Lightning</x:v>
      </x:c>
      <x:c r="D411" s="23" t="n">
        <x:v>1411.6832426399924</x:v>
      </x:c>
      <x:c r="E411" s="23" t="n">
        <x:v>1184.417293430306</x:v>
      </x:c>
      <x:c r="F411" s="23" t="n">
        <x:v>564.6407769061625</x:v>
      </x:c>
      <x:c r="G411" s="23" t="n">
        <x:v>226.0043245460838</x:v>
      </x:c>
      <x:c r="H411" s="23" t="n">
        <x:v>21.84522157581523</x:v>
      </x:c>
      <x:c r="I411" s="23" t="n">
        <x:v>0.8492994794296101</x:v>
      </x:c>
      <x:c r="J411" s="23" t="n">
        <x:v>9</x:v>
      </x:c>
      <x:c r="K411" s="23" t="n">
        <x:v>184.68596463995107</x:v>
      </x:c>
      <x:c r="L411" s="23" t="n">
        <x:v>35</x:v>
      </x:c>
      <x:c r="M411" s="23" t="n">
        <x:v>25</x:v>
      </x:c>
      <x:c r="N411" s="23" t="n">
        <x:v>1.1748638838916148</x:v>
      </x:c>
      <x:c r="O411" s="23" t="n">
        <x:v>52.28296160392206</x:v>
      </x:c>
      <x:c r="P411" s="23" t="n">
        <x:v>1411.6832426399924</x:v>
      </x:c>
      <x:c r="Q411" s="23" t="n">
        <x:v>1.1763513097912601</x:v>
      </x:c>
      <x:c r="R411" s="23" t="n">
        <x:v>52.140439721561975</x:v>
      </x:c>
      <x:c r="S411" s="23" t="n">
        <x:v>1401.5914529949039</x:v>
      </x:c>
      <x:c r="T411" s="23" t="n">
        <x:v>0.0014874258996453449</x:v>
      </x:c>
      <x:c r="U411" s="23" t="n">
        <x:v>-0.14252188236008578</x:v>
      </x:c>
      <x:c r="V411" s="23" t="n">
        <x:v>-10.091789645088511</x:v>
      </x:c>
    </x:row>
    <x:row r="412">
      <x:c r="A412" s="23" t="n">
        <x:v>411</x:v>
      </x:c>
      <x:c r="B412" s="23" t="str">
        <x:v>Train</x:v>
      </x:c>
      <x:c r="C412" s="23" t="str">
        <x:v>Lightning</x:v>
      </x:c>
      <x:c r="D412" s="23" t="n">
        <x:v>1494.9549526674673</x:v>
      </x:c>
      <x:c r="E412" s="23" t="n">
        <x:v>721.3290516869165</x:v>
      </x:c>
      <x:c r="F412" s="23" t="n">
        <x:v>591.9712904840708</x:v>
      </x:c>
      <x:c r="G412" s="23" t="n">
        <x:v>177.95011690584943</x:v>
      </x:c>
      <x:c r="H412" s="23" t="n">
        <x:v>28.007653796114028</x:v>
      </x:c>
      <x:c r="I412" s="23" t="n">
        <x:v>0.8508633203315549</x:v>
      </x:c>
      <x:c r="J412" s="23" t="n">
        <x:v>9</x:v>
      </x:c>
      <x:c r="K412" s="23" t="n">
        <x:v>195.2206680941593</x:v>
      </x:c>
      <x:c r="L412" s="23" t="n">
        <x:v>50</x:v>
      </x:c>
      <x:c r="M412" s="23" t="n">
        <x:v>25</x:v>
      </x:c>
      <x:c r="N412" s="23" t="n">
        <x:v>1.243831900125122</x:v>
      </x:c>
      <x:c r="O412" s="23" t="n">
        <x:v>52.20752322783156</x:v>
      </x:c>
      <x:c r="P412" s="23" t="n">
        <x:v>1494.9549526674673</x:v>
      </x:c>
      <x:c r="Q412" s="23" t="n">
        <x:v>1.2421349913794397</x:v>
      </x:c>
      <x:c r="R412" s="23" t="n">
        <x:v>52.713859125019646</x:v>
      </x:c>
      <x:c r="S412" s="23" t="n">
        <x:v>1493.8827278861513</x:v>
      </x:c>
      <x:c r="T412" s="23" t="n">
        <x:v>-0.0016969087456821796</x:v>
      </x:c>
      <x:c r="U412" s="23" t="n">
        <x:v>0.5063358971880874</x:v>
      </x:c>
      <x:c r="V412" s="23" t="n">
        <x:v>-1.072224781315981</x:v>
      </x:c>
    </x:row>
    <x:row r="413">
      <x:c r="A413" s="23" t="n">
        <x:v>412</x:v>
      </x:c>
      <x:c r="B413" s="23" t="str">
        <x:v>Train</x:v>
      </x:c>
      <x:c r="C413" s="23" t="str">
        <x:v>Lightning</x:v>
      </x:c>
      <x:c r="D413" s="23" t="n">
        <x:v>1384.8676018766128</x:v>
      </x:c>
      <x:c r="E413" s="23" t="n">
        <x:v>731.8367473315448</x:v>
      </x:c>
      <x:c r="F413" s="23" t="n">
        <x:v>667.1053673140705</x:v>
      </x:c>
      <x:c r="G413" s="23" t="n">
        <x:v>271.22227642219514</x:v>
      </x:c>
      <x:c r="H413" s="23" t="n">
        <x:v>14.043720986228436</x:v>
      </x:c>
      <x:c r="I413" s="23" t="n">
        <x:v>0.8277621277421713</x:v>
      </x:c>
      <x:c r="J413" s="23" t="n">
        <x:v>9</x:v>
      </x:c>
      <x:c r="K413" s="23" t="n">
        <x:v>185.89178319380486</x:v>
      </x:c>
      <x:c r="L413" s="23" t="n">
        <x:v>45</x:v>
      </x:c>
      <x:c r="M413" s="23" t="n">
        <x:v>25</x:v>
      </x:c>
      <x:c r="N413" s="23" t="n">
        <x:v>1.199819974657978</x:v>
      </x:c>
      <x:c r="O413" s="23" t="n">
        <x:v>52.23542038267725</x:v>
      </x:c>
      <x:c r="P413" s="23" t="n">
        <x:v>1384.8676018766128</x:v>
      </x:c>
      <x:c r="Q413" s="23" t="n">
        <x:v>1.19778523904747</x:v>
      </x:c>
      <x:c r="R413" s="23" t="n">
        <x:v>51.127509899361826</x:v>
      </x:c>
      <x:c r="S413" s="23" t="n">
        <x:v>1387.0519341593408</x:v>
      </x:c>
      <x:c r="T413" s="23" t="n">
        <x:v>-0.0020347356105081538</x:v>
      </x:c>
      <x:c r="U413" s="23" t="n">
        <x:v>-1.1079104833154219</x:v>
      </x:c>
      <x:c r="V413" s="23" t="n">
        <x:v>2.1843322827280645</x:v>
      </x:c>
    </x:row>
    <x:row r="414">
      <x:c r="A414" s="23" t="n">
        <x:v>413</x:v>
      </x:c>
      <x:c r="B414" s="23" t="str">
        <x:v>Train</x:v>
      </x:c>
      <x:c r="C414" s="23" t="str">
        <x:v>Lightning</x:v>
      </x:c>
      <x:c r="D414" s="23" t="n">
        <x:v>1483.8094070088118</x:v>
      </x:c>
      <x:c r="E414" s="23" t="n">
        <x:v>1200.6499999086373</x:v>
      </x:c>
      <x:c r="F414" s="23" t="n">
        <x:v>500.4874503239989</x:v>
      </x:c>
      <x:c r="G414" s="23" t="n">
        <x:v>216.0485896584578</x:v>
      </x:c>
      <x:c r="H414" s="23" t="n">
        <x:v>15.719204913824797</x:v>
      </x:c>
      <x:c r="I414" s="23" t="n">
        <x:v>0.7923948897072114</x:v>
      </x:c>
      <x:c r="J414" s="23" t="n">
        <x:v>10</x:v>
      </x:c>
      <x:c r="K414" s="23" t="n">
        <x:v>187.25630696041932</x:v>
      </x:c>
      <x:c r="L414" s="23" t="n">
        <x:v>35</x:v>
      </x:c>
      <x:c r="M414" s="23" t="n">
        <x:v>25</x:v>
      </x:c>
      <x:c r="N414" s="23" t="n">
        <x:v>1.2107245278701408</x:v>
      </x:c>
      <x:c r="O414" s="23" t="n">
        <x:v>52.30715248141113</x:v>
      </x:c>
      <x:c r="P414" s="23" t="n">
        <x:v>1483.8094070088118</x:v>
      </x:c>
      <x:c r="Q414" s="23" t="n">
        <x:v>1.2125389199690841</x:v>
      </x:c>
      <x:c r="R414" s="23" t="n">
        <x:v>53.413748149022815</x:v>
      </x:c>
      <x:c r="S414" s="23" t="n">
        <x:v>1476.216499978652</x:v>
      </x:c>
      <x:c r="T414" s="23" t="n">
        <x:v>0.001814392098943296</x:v>
      </x:c>
      <x:c r="U414" s="23" t="n">
        <x:v>1.1065956676116855</x:v>
      </x:c>
      <x:c r="V414" s="23" t="n">
        <x:v>-7.592907030159722</x:v>
      </x:c>
    </x:row>
    <x:row r="415">
      <x:c r="A415" s="23" t="n">
        <x:v>414</x:v>
      </x:c>
      <x:c r="B415" s="23" t="str">
        <x:v>Train</x:v>
      </x:c>
      <x:c r="C415" s="23" t="str">
        <x:v>Lightning</x:v>
      </x:c>
      <x:c r="D415" s="23" t="n">
        <x:v>1491.3172438857146</x:v>
      </x:c>
      <x:c r="E415" s="23" t="n">
        <x:v>690.0859481422231</x:v>
      </x:c>
      <x:c r="F415" s="23" t="n">
        <x:v>360.0157638080418</x:v>
      </x:c>
      <x:c r="G415" s="23" t="n">
        <x:v>319.7998562082648</x:v>
      </x:c>
      <x:c r="H415" s="23" t="n">
        <x:v>22.49114085966721</x:v>
      </x:c>
      <x:c r="I415" s="23" t="n">
        <x:v>0.8072866048989817</x:v>
      </x:c>
      <x:c r="J415" s="23" t="n">
        <x:v>10</x:v>
      </x:c>
      <x:c r="K415" s="23" t="n">
        <x:v>184.73206849162668</x:v>
      </x:c>
      <x:c r="L415" s="23" t="n">
        <x:v>50</x:v>
      </x:c>
      <x:c r="M415" s="23" t="n">
        <x:v>25</x:v>
      </x:c>
      <x:c r="N415" s="23" t="n">
        <x:v>1.2342014073196226</x:v>
      </x:c>
      <x:c r="O415" s="23" t="n">
        <x:v>52.21233544668347</x:v>
      </x:c>
      <x:c r="P415" s="23" t="n">
        <x:v>1491.3172438857146</x:v>
      </x:c>
      <x:c r="Q415" s="23" t="n">
        <x:v>1.2170468624443944</x:v>
      </x:c>
      <x:c r="R415" s="23" t="n">
        <x:v>52.14233029804958</x:v>
      </x:c>
      <x:c r="S415" s="23" t="n">
        <x:v>1488.211384341225</x:v>
      </x:c>
      <x:c r="T415" s="23" t="n">
        <x:v>-0.01715454487522816</x:v>
      </x:c>
      <x:c r="U415" s="23" t="n">
        <x:v>-0.07000514863388929</x:v>
      </x:c>
      <x:c r="V415" s="23" t="n">
        <x:v>-3.1058595444894763</x:v>
      </x:c>
    </x:row>
    <x:row r="416">
      <x:c r="A416" s="23" t="n">
        <x:v>415</x:v>
      </x:c>
      <x:c r="B416" s="23" t="str">
        <x:v>Validation</x:v>
      </x:c>
      <x:c r="C416" s="23" t="str">
        <x:v>Lightning</x:v>
      </x:c>
      <x:c r="D416" s="23" t="n">
        <x:v>1457.6258447254077</x:v>
      </x:c>
      <x:c r="E416" s="23" t="n">
        <x:v>793.274272151757</x:v>
      </x:c>
      <x:c r="F416" s="23" t="n">
        <x:v>541.5677450597286</x:v>
      </x:c>
      <x:c r="G416" s="23" t="n">
        <x:v>202.04545870190486</x:v>
      </x:c>
      <x:c r="H416" s="23" t="n">
        <x:v>10.3023247634992</x:v>
      </x:c>
      <x:c r="I416" s="23" t="n">
        <x:v>0.835565096528735</x:v>
      </x:c>
      <x:c r="J416" s="23" t="n">
        <x:v>9</x:v>
      </x:c>
      <x:c r="K416" s="23" t="n">
        <x:v>193.831010731002</x:v>
      </x:c>
      <x:c r="L416" s="23" t="n">
        <x:v>50</x:v>
      </x:c>
      <x:c r="M416" s="23" t="n">
        <x:v>25</x:v>
      </x:c>
      <x:c r="N416" s="23" t="n">
        <x:v>1.2018124168398763</x:v>
      </x:c>
      <x:c r="O416" s="23" t="n">
        <x:v>52.21463917968179</x:v>
      </x:c>
      <x:c r="P416" s="23" t="n">
        <x:v>1457.6258447254077</x:v>
      </x:c>
      <x:c r="Q416" s="23" t="n">
        <x:v>1.2039242221397572</x:v>
      </x:c>
      <x:c r="R416" s="23" t="n">
        <x:v>50.89869453697583</x:v>
      </x:c>
      <x:c r="S416" s="23" t="n">
        <x:v>1471.5044064656718</x:v>
      </x:c>
      <x:c r="T416" s="23" t="n">
        <x:v>0.0021118052998809755</x:v>
      </x:c>
      <x:c r="U416" s="23" t="n">
        <x:v>-1.3159446427059578</x:v>
      </x:c>
      <x:c r="V416" s="23" t="n">
        <x:v>13.878561740264104</x:v>
      </x:c>
    </x:row>
    <x:row r="417">
      <x:c r="A417" s="23" t="n">
        <x:v>416</x:v>
      </x:c>
      <x:c r="B417" s="23" t="str">
        <x:v>Validation</x:v>
      </x:c>
      <x:c r="C417" s="23" t="str">
        <x:v>Lightning</x:v>
      </x:c>
      <x:c r="D417" s="23" t="n">
        <x:v>1444.3883759784512</x:v>
      </x:c>
      <x:c r="E417" s="23" t="n">
        <x:v>803.3881522715092</x:v>
      </x:c>
      <x:c r="F417" s="23" t="n">
        <x:v>422.3716407082975</x:v>
      </x:c>
      <x:c r="G417" s="23" t="n">
        <x:v>142.29823001194745</x:v>
      </x:c>
      <x:c r="H417" s="23" t="n">
        <x:v>9.788831443991512</x:v>
      </x:c>
      <x:c r="I417" s="23" t="n">
        <x:v>0.8340771080087871</x:v>
      </x:c>
      <x:c r="J417" s="23" t="n">
        <x:v>9</x:v>
      </x:c>
      <x:c r="K417" s="23" t="n">
        <x:v>192.4133821560875</x:v>
      </x:c>
      <x:c r="L417" s="23" t="n">
        <x:v>55</x:v>
      </x:c>
      <x:c r="M417" s="23" t="n">
        <x:v>25</x:v>
      </x:c>
      <x:c r="N417" s="23" t="n">
        <x:v>1.1714592173554426</x:v>
      </x:c>
      <x:c r="O417" s="23" t="n">
        <x:v>52.18831444723499</x:v>
      </x:c>
      <x:c r="P417" s="23" t="n">
        <x:v>1444.3883759784512</x:v>
      </x:c>
      <x:c r="Q417" s="23" t="n">
        <x:v>1.175169148284939</x:v>
      </x:c>
      <x:c r="R417" s="23" t="n">
        <x:v>50.938535039003625</x:v>
      </x:c>
      <x:c r="S417" s="23" t="n">
        <x:v>1468.5934534064668</x:v>
      </x:c>
      <x:c r="T417" s="23" t="n">
        <x:v>0.003709930929496341</x:v>
      </x:c>
      <x:c r="U417" s="23" t="n">
        <x:v>-1.2497794082313618</x:v>
      </x:c>
      <x:c r="V417" s="23" t="n">
        <x:v>24.205077428015557</x:v>
      </x:c>
    </x:row>
    <x:row r="418">
      <x:c r="A418" s="23" t="n">
        <x:v>417</x:v>
      </x:c>
      <x:c r="B418" s="23" t="str">
        <x:v>Validation</x:v>
      </x:c>
      <x:c r="C418" s="23" t="str">
        <x:v>Lightning</x:v>
      </x:c>
      <x:c r="D418" s="23" t="n">
        <x:v>1407.140206452459</x:v>
      </x:c>
      <x:c r="E418" s="23" t="n">
        <x:v>979.4070600881241</x:v>
      </x:c>
      <x:c r="F418" s="23" t="n">
        <x:v>651.6229951754212</x:v>
      </x:c>
      <x:c r="G418" s="23" t="n">
        <x:v>274.0447232336737</x:v>
      </x:c>
      <x:c r="H418" s="23" t="n">
        <x:v>16.972262108698487</x:v>
      </x:c>
      <x:c r="I418" s="23" t="n">
        <x:v>0.8338453805749305</x:v>
      </x:c>
      <x:c r="J418" s="23" t="n">
        <x:v>9</x:v>
      </x:c>
      <x:c r="K418" s="23" t="n">
        <x:v>187.5034814251169</x:v>
      </x:c>
      <x:c r="L418" s="23" t="n">
        <x:v>40</x:v>
      </x:c>
      <x:c r="M418" s="23" t="n">
        <x:v>25</x:v>
      </x:c>
      <x:c r="N418" s="23" t="n">
        <x:v>1.239846662849865</x:v>
      </x:c>
      <x:c r="O418" s="23" t="n">
        <x:v>52.272048784837175</x:v>
      </x:c>
      <x:c r="P418" s="23" t="n">
        <x:v>1407.140206452459</x:v>
      </x:c>
      <x:c r="Q418" s="23" t="n">
        <x:v>1.24680027781984</x:v>
      </x:c>
      <x:c r="R418" s="23" t="n">
        <x:v>52.828448808252084</x:v>
      </x:c>
      <x:c r="S418" s="23" t="n">
        <x:v>1405.4203860919024</x:v>
      </x:c>
      <x:c r="T418" s="23" t="n">
        <x:v>0.0069536149699749306</x:v>
      </x:c>
      <x:c r="U418" s="23" t="n">
        <x:v>0.5564000234149091</x:v>
      </x:c>
      <x:c r="V418" s="23" t="n">
        <x:v>-1.719820360556696</x:v>
      </x:c>
    </x:row>
    <x:row r="419">
      <x:c r="A419" s="23" t="n">
        <x:v>418</x:v>
      </x:c>
      <x:c r="B419" s="23" t="str">
        <x:v>Hidden Test</x:v>
      </x:c>
      <x:c r="C419" s="23" t="str">
        <x:v>Lightning</x:v>
      </x:c>
      <x:c r="D419" s="23" t="n">
        <x:v>1464.752686175052</x:v>
      </x:c>
      <x:c r="E419" s="23" t="n">
        <x:v>1034.918139432557</x:v>
      </x:c>
      <x:c r="F419" s="23" t="n">
        <x:v>731.2204056419432</x:v>
      </x:c>
      <x:c r="G419" s="23" t="n">
        <x:v>198.8302154187113</x:v>
      </x:c>
      <x:c r="H419" s="23" t="n">
        <x:v>23.25364048080519</x:v>
      </x:c>
      <x:c r="I419" s="23" t="n">
        <x:v>0.799910751641728</x:v>
      </x:c>
      <x:c r="J419" s="23" t="n">
        <x:v>10</x:v>
      </x:c>
      <x:c r="K419" s="23" t="n">
        <x:v>183.1145141090815</x:v>
      </x:c>
      <x:c r="L419" s="23" t="n">
        <x:v>30</x:v>
      </x:c>
      <x:c r="M419" s="23" t="n">
        <x:v>25</x:v>
      </x:c>
      <x:c r="N419" s="23" t="n">
        <x:v>1.1347780790790267</x:v>
      </x:c>
      <x:c r="O419" s="23" t="n">
        <x:v>52.31543083775544</x:v>
      </x:c>
      <x:c r="P419" s="23" t="n">
        <x:v>1464.752686175052</x:v>
      </x:c>
      <x:c r="Q419" s="23" t="n">
        <x:v>1.1341629050005613</x:v>
      </x:c>
      <x:c r="R419" s="23" t="n">
        <x:v>51.67530694672903</x:v>
      </x:c>
      <x:c r="S419" s="23" t="n">
        <x:v>1442.0067229640842</x:v>
      </x:c>
      <x:c r="T419" s="23" t="n">
        <x:v>-0.0006151740784654525</x:v>
      </x:c>
      <x:c r="U419" s="23" t="n">
        <x:v>-0.6401238910264127</x:v>
      </x:c>
      <x:c r="V419" s="23" t="n">
        <x:v>-22.74596321096783</x:v>
      </x:c>
    </x:row>
    <x:row r="420">
      <x:c r="A420" s="23" t="n">
        <x:v>419</x:v>
      </x:c>
      <x:c r="B420" s="23" t="str">
        <x:v>Hidden Test</x:v>
      </x:c>
      <x:c r="C420" s="23" t="str">
        <x:v>Lightning</x:v>
      </x:c>
      <x:c r="D420" s="23" t="n">
        <x:v>1389.7072449093685</x:v>
      </x:c>
      <x:c r="E420" s="23" t="n">
        <x:v>1194.7195039712824</x:v>
      </x:c>
      <x:c r="F420" s="23" t="n">
        <x:v>556.6412191838026</x:v>
      </x:c>
      <x:c r="G420" s="23" t="n">
        <x:v>311.1181926052086</x:v>
      </x:c>
      <x:c r="H420" s="23" t="n">
        <x:v>14.033559669740498</x:v>
      </x:c>
      <x:c r="I420" s="23" t="n">
        <x:v>0.8412360870162957</x:v>
      </x:c>
      <x:c r="J420" s="23" t="n">
        <x:v>9</x:v>
      </x:c>
      <x:c r="K420" s="23" t="n">
        <x:v>183.55360461141248</x:v>
      </x:c>
      <x:c r="L420" s="23" t="n">
        <x:v>35</x:v>
      </x:c>
      <x:c r="M420" s="23" t="n">
        <x:v>25</x:v>
      </x:c>
      <x:c r="N420" s="23" t="n">
        <x:v>1.1742903034572505</x:v>
      </x:c>
      <x:c r="O420" s="23" t="n">
        <x:v>52.296592024939926</x:v>
      </x:c>
      <x:c r="P420" s="23" t="n">
        <x:v>1389.7072449093685</x:v>
      </x:c>
      <x:c r="Q420" s="23" t="n">
        <x:v>1.188762002289224</x:v>
      </x:c>
      <x:c r="R420" s="23" t="n">
        <x:v>52.99992477909814</x:v>
      </x:c>
      <x:c r="S420" s="23" t="n">
        <x:v>1377.7634352716152</x:v>
      </x:c>
      <x:c r="T420" s="23" t="n">
        <x:v>0.014471698831973523</x:v>
      </x:c>
      <x:c r="U420" s="23" t="n">
        <x:v>0.7033327541582111</x:v>
      </x:c>
      <x:c r="V420" s="23" t="n">
        <x:v>-11.943809637753247</x:v>
      </x:c>
    </x:row>
    <x:row r="421">
      <x:c r="A421" s="23" t="n">
        <x:v>420</x:v>
      </x:c>
      <x:c r="B421" s="23" t="str">
        <x:v>Hidden Test</x:v>
      </x:c>
      <x:c r="C421" s="23" t="str">
        <x:v>Lightning</x:v>
      </x:c>
      <x:c r="D421" s="23" t="n">
        <x:v>1468.0124516948126</x:v>
      </x:c>
      <x:c r="E421" s="23" t="n">
        <x:v>1083.459183620289</x:v>
      </x:c>
      <x:c r="F421" s="23" t="n">
        <x:v>442.9598423652351</x:v>
      </x:c>
      <x:c r="G421" s="23" t="n">
        <x:v>127.5251137977466</x:v>
      </x:c>
      <x:c r="H421" s="23" t="n">
        <x:v>12.317384488414973</x:v>
      </x:c>
      <x:c r="I421" s="23" t="n">
        <x:v>0.8269379637949169</x:v>
      </x:c>
      <x:c r="J421" s="23" t="n">
        <x:v>9</x:v>
      </x:c>
      <x:c r="K421" s="23" t="n">
        <x:v>197.24876807471057</x:v>
      </x:c>
      <x:c r="L421" s="23" t="n">
        <x:v>45</x:v>
      </x:c>
      <x:c r="M421" s="23" t="n">
        <x:v>25</x:v>
      </x:c>
      <x:c r="N421" s="23" t="n">
        <x:v>1.1804268012035664</x:v>
      </x:c>
      <x:c r="O421" s="23" t="n">
        <x:v>52.23289123999571</x:v>
      </x:c>
      <x:c r="P421" s="23" t="n">
        <x:v>1468.0124516948126</x:v>
      </x:c>
      <x:c r="Q421" s="23" t="n">
        <x:v>1.1855953660552605</x:v>
      </x:c>
      <x:c r="R421" s="23" t="n">
        <x:v>53.4596944745603</x:v>
      </x:c>
      <x:c r="S421" s="23" t="n">
        <x:v>1480.0557984778225</x:v>
      </x:c>
      <x:c r="T421" s="23" t="n">
        <x:v>0.005168564851694146</x:v>
      </x:c>
      <x:c r="U421" s="23" t="n">
        <x:v>1.226803234564592</x:v>
      </x:c>
      <x:c r="V421" s="23" t="n">
        <x:v>12.043346783009838</x:v>
      </x:c>
    </x:row>
    <x:row r="422">
      <x:c r="A422" s="23" t="n">
        <x:v>421</x:v>
      </x:c>
      <x:c r="B422" s="23" t="str">
        <x:v>Train</x:v>
      </x:c>
      <x:c r="C422" s="23" t="str">
        <x:v>Lightning</x:v>
      </x:c>
      <x:c r="D422" s="23" t="n">
        <x:v>1467.2074577305466</x:v>
      </x:c>
      <x:c r="E422" s="23" t="n">
        <x:v>1158.9529139804654</x:v>
      </x:c>
      <x:c r="F422" s="23" t="n">
        <x:v>413.13077937811613</x:v>
      </x:c>
      <x:c r="G422" s="23" t="n">
        <x:v>114.35721743153408</x:v>
      </x:c>
      <x:c r="H422" s="23" t="n">
        <x:v>8.559875138103962</x:v>
      </x:c>
      <x:c r="I422" s="23" t="n">
        <x:v>0.8261382887721993</x:v>
      </x:c>
      <x:c r="J422" s="23" t="n">
        <x:v>9</x:v>
      </x:c>
      <x:c r="K422" s="23" t="n">
        <x:v>197.33143115934413</x:v>
      </x:c>
      <x:c r="L422" s="23" t="n">
        <x:v>45</x:v>
      </x:c>
      <x:c r="M422" s="23" t="n">
        <x:v>25</x:v>
      </x:c>
      <x:c r="N422" s="23" t="n">
        <x:v>1.1839228398130084</x:v>
      </x:c>
      <x:c r="O422" s="23" t="n">
        <x:v>52.23795829901495</x:v>
      </x:c>
      <x:c r="P422" s="23" t="n">
        <x:v>1467.2074577305466</x:v>
      </x:c>
      <x:c r="Q422" s="23" t="n">
        <x:v>1.1801590400067432</x:v>
      </x:c>
      <x:c r="R422" s="23" t="n">
        <x:v>52.29759313814181</x:v>
      </x:c>
      <x:c r="S422" s="23" t="n">
        <x:v>1478.597717898191</x:v>
      </x:c>
      <x:c r="T422" s="23" t="n">
        <x:v>-0.003763799806265178</x:v>
      </x:c>
      <x:c r="U422" s="23" t="n">
        <x:v>0.05963483912686485</x:v>
      </x:c>
      <x:c r="V422" s="23" t="n">
        <x:v>11.390260167644328</x:v>
      </x:c>
    </x:row>
    <x:row r="423">
      <x:c r="A423" s="23" t="n">
        <x:v>422</x:v>
      </x:c>
      <x:c r="B423" s="23" t="str">
        <x:v>Train</x:v>
      </x:c>
      <x:c r="C423" s="23" t="str">
        <x:v>Lightning</x:v>
      </x:c>
      <x:c r="D423" s="23" t="n">
        <x:v>1491.6673014988191</x:v>
      </x:c>
      <x:c r="E423" s="23" t="n">
        <x:v>1035.229244059883</x:v>
      </x:c>
      <x:c r="F423" s="23" t="n">
        <x:v>602.8695133514702</x:v>
      </x:c>
      <x:c r="G423" s="23" t="n">
        <x:v>155.7115907035768</x:v>
      </x:c>
      <x:c r="H423" s="23" t="n">
        <x:v>20.71889206627384</x:v>
      </x:c>
      <x:c r="I423" s="23" t="n">
        <x:v>0.8250321677466855</x:v>
      </x:c>
      <x:c r="J423" s="23" t="n">
        <x:v>10</x:v>
      </x:c>
      <x:c r="K423" s="23" t="n">
        <x:v>180.80110810380117</x:v>
      </x:c>
      <x:c r="L423" s="23" t="n">
        <x:v>35</x:v>
      </x:c>
      <x:c r="M423" s="23" t="n">
        <x:v>25</x:v>
      </x:c>
      <x:c r="N423" s="23" t="n">
        <x:v>1.165522975609518</x:v>
      </x:c>
      <x:c r="O423" s="23" t="n">
        <x:v>52.285777642810906</x:v>
      </x:c>
      <x:c r="P423" s="23" t="n">
        <x:v>1491.6673014988191</x:v>
      </x:c>
      <x:c r="Q423" s="23" t="n">
        <x:v>1.1723093378573255</x:v>
      </x:c>
      <x:c r="R423" s="23" t="n">
        <x:v>52.312452242005726</x:v>
      </x:c>
      <x:c r="S423" s="23" t="n">
        <x:v>1478.0276520072277</x:v>
      </x:c>
      <x:c r="T423" s="23" t="n">
        <x:v>0.006786362247807487</x:v>
      </x:c>
      <x:c r="U423" s="23" t="n">
        <x:v>0.026674599194819848</x:v>
      </x:c>
      <x:c r="V423" s="23" t="n">
        <x:v>-13.639649491591399</x:v>
      </x:c>
    </x:row>
    <x:row r="424">
      <x:c r="A424" s="23" t="n">
        <x:v>423</x:v>
      </x:c>
      <x:c r="B424" s="23" t="str">
        <x:v>Train</x:v>
      </x:c>
      <x:c r="C424" s="23" t="str">
        <x:v>Lightning</x:v>
      </x:c>
      <x:c r="D424" s="23" t="n">
        <x:v>1438.7042339192703</x:v>
      </x:c>
      <x:c r="E424" s="23" t="n">
        <x:v>818.2902339962311</x:v>
      </x:c>
      <x:c r="F424" s="23" t="n">
        <x:v>568.5764670372009</x:v>
      </x:c>
      <x:c r="G424" s="23" t="n">
        <x:v>135.1389287575148</x:v>
      </x:c>
      <x:c r="H424" s="23" t="n">
        <x:v>24.22782440762967</x:v>
      </x:c>
      <x:c r="I424" s="23" t="n">
        <x:v>0.7983223801082932</x:v>
      </x:c>
      <x:c r="J424" s="23" t="n">
        <x:v>10</x:v>
      </x:c>
      <x:c r="K424" s="23" t="n">
        <x:v>180.21594656085037</x:v>
      </x:c>
      <x:c r="L424" s="23" t="n">
        <x:v>45</x:v>
      </x:c>
      <x:c r="M424" s="23" t="n">
        <x:v>25</x:v>
      </x:c>
      <x:c r="N424" s="23" t="n">
        <x:v>1.2511395394889555</x:v>
      </x:c>
      <x:c r="O424" s="23" t="n">
        <x:v>52.23868747536128</x:v>
      </x:c>
      <x:c r="P424" s="23" t="n">
        <x:v>1438.7042339192703</x:v>
      </x:c>
      <x:c r="Q424" s="23" t="n">
        <x:v>1.2449109900704691</x:v>
      </x:c>
      <x:c r="R424" s="23" t="n">
        <x:v>51.64059651742541</x:v>
      </x:c>
      <x:c r="S424" s="23" t="n">
        <x:v>1427.917804997512</x:v>
      </x:c>
      <x:c r="T424" s="23" t="n">
        <x:v>-0.006228549418486384</x:v>
      </x:c>
      <x:c r="U424" s="23" t="n">
        <x:v>-0.5980909579358737</x:v>
      </x:c>
      <x:c r="V424" s="23" t="n">
        <x:v>-10.786428921758443</x:v>
      </x:c>
    </x:row>
    <x:row r="425">
      <x:c r="A425" s="23" t="n">
        <x:v>424</x:v>
      </x:c>
      <x:c r="B425" s="23" t="str">
        <x:v>Train</x:v>
      </x:c>
      <x:c r="C425" s="23" t="str">
        <x:v>Lightning</x:v>
      </x:c>
      <x:c r="D425" s="23" t="n">
        <x:v>1350.0007481197827</x:v>
      </x:c>
      <x:c r="E425" s="23" t="n">
        <x:v>949.5885343290865</x:v>
      </x:c>
      <x:c r="F425" s="23" t="n">
        <x:v>447.5681877695024</x:v>
      </x:c>
      <x:c r="G425" s="23" t="n">
        <x:v>318.8588875764981</x:v>
      </x:c>
      <x:c r="H425" s="23" t="n">
        <x:v>21.09970320528373</x:v>
      </x:c>
      <x:c r="I425" s="23" t="n">
        <x:v>0.8430449509713799</x:v>
      </x:c>
      <x:c r="J425" s="23" t="n">
        <x:v>9</x:v>
      </x:c>
      <x:c r="K425" s="23" t="n">
        <x:v>177.9265541553698</x:v>
      </x:c>
      <x:c r="L425" s="23" t="n">
        <x:v>40</x:v>
      </x:c>
      <x:c r="M425" s="23" t="n">
        <x:v>25</x:v>
      </x:c>
      <x:c r="N425" s="23" t="n">
        <x:v>1.1475135087796002</x:v>
      </x:c>
      <x:c r="O425" s="23" t="n">
        <x:v>52.24256973393859</x:v>
      </x:c>
      <x:c r="P425" s="23" t="n">
        <x:v>1350.0007481197827</x:v>
      </x:c>
      <x:c r="Q425" s="23" t="n">
        <x:v>1.1441792602281298</x:v>
      </x:c>
      <x:c r="R425" s="23" t="n">
        <x:v>52.574551771818115</x:v>
      </x:c>
      <x:c r="S425" s="23" t="n">
        <x:v>1345.8184854572282</x:v>
      </x:c>
      <x:c r="T425" s="23" t="n">
        <x:v>-0.0033342485514704645</x:v>
      </x:c>
      <x:c r="U425" s="23" t="n">
        <x:v>0.33198203787952707</x:v>
      </x:c>
      <x:c r="V425" s="23" t="n">
        <x:v>-4.182262662554422</x:v>
      </x:c>
    </x:row>
    <x:row r="426">
      <x:c r="A426" s="23" t="n">
        <x:v>425</x:v>
      </x:c>
      <x:c r="B426" s="23" t="str">
        <x:v>Train</x:v>
      </x:c>
      <x:c r="C426" s="23" t="str">
        <x:v>Lightning</x:v>
      </x:c>
      <x:c r="D426" s="23" t="n">
        <x:v>1454.1976494714618</x:v>
      </x:c>
      <x:c r="E426" s="23" t="n">
        <x:v>720.8856169483624</x:v>
      </x:c>
      <x:c r="F426" s="23" t="n">
        <x:v>371.53548020869493</x:v>
      </x:c>
      <x:c r="G426" s="23" t="n">
        <x:v>104.76347942138091</x:v>
      </x:c>
      <x:c r="H426" s="23" t="n">
        <x:v>29.084876319393516</x:v>
      </x:c>
      <x:c r="I426" s="23" t="n">
        <x:v>0.8439287442085334</x:v>
      </x:c>
      <x:c r="J426" s="23" t="n">
        <x:v>9</x:v>
      </x:c>
      <x:c r="K426" s="23" t="n">
        <x:v>191.45871937265673</x:v>
      </x:c>
      <x:c r="L426" s="23" t="n">
        <x:v>60</x:v>
      </x:c>
      <x:c r="M426" s="23" t="n">
        <x:v>25</x:v>
      </x:c>
      <x:c r="N426" s="23" t="n">
        <x:v>1.1867413860884395</x:v>
      </x:c>
      <x:c r="O426" s="23" t="n">
        <x:v>52.16167100510299</x:v>
      </x:c>
      <x:c r="P426" s="23" t="n">
        <x:v>1454.1976494714618</x:v>
      </x:c>
      <x:c r="Q426" s="23" t="n">
        <x:v>1.1837614717816949</x:v>
      </x:c>
      <x:c r="R426" s="23" t="n">
        <x:v>52.20976584466767</x:v>
      </x:c>
      <x:c r="S426" s="23" t="n">
        <x:v>1452.4612025958775</x:v>
      </x:c>
      <x:c r="T426" s="23" t="n">
        <x:v>-0.002979914306744602</x:v>
      </x:c>
      <x:c r="U426" s="23" t="n">
        <x:v>0.04809483956468341</x:v>
      </x:c>
      <x:c r="V426" s="23" t="n">
        <x:v>-1.7364468755843063</x:v>
      </x:c>
    </x:row>
    <x:row r="427">
      <x:c r="A427" s="23" t="n">
        <x:v>426</x:v>
      </x:c>
      <x:c r="B427" s="23" t="str">
        <x:v>Train</x:v>
      </x:c>
      <x:c r="C427" s="23" t="str">
        <x:v>Lightning</x:v>
      </x:c>
      <x:c r="D427" s="23" t="n">
        <x:v>1487.6323383883573</x:v>
      </x:c>
      <x:c r="E427" s="23" t="n">
        <x:v>831.6863309824839</x:v>
      </x:c>
      <x:c r="F427" s="23" t="n">
        <x:v>499.8601854778826</x:v>
      </x:c>
      <x:c r="G427" s="23" t="n">
        <x:v>154.78735106997192</x:v>
      </x:c>
      <x:c r="H427" s="23" t="n">
        <x:v>27.760992963332683</x:v>
      </x:c>
      <x:c r="I427" s="23" t="n">
        <x:v>0.8218365941615775</x:v>
      </x:c>
      <x:c r="J427" s="23" t="n">
        <x:v>10</x:v>
      </x:c>
      <x:c r="K427" s="23" t="n">
        <x:v>181.0131538260367</x:v>
      </x:c>
      <x:c r="L427" s="23" t="n">
        <x:v>45</x:v>
      </x:c>
      <x:c r="M427" s="23" t="n">
        <x:v>25</x:v>
      </x:c>
      <x:c r="N427" s="23" t="n">
        <x:v>1.2390858747955251</x:v>
      </x:c>
      <x:c r="O427" s="23" t="n">
        <x:v>52.23250734254963</x:v>
      </x:c>
      <x:c r="P427" s="23" t="n">
        <x:v>1487.6323383883573</x:v>
      </x:c>
      <x:c r="Q427" s="23" t="n">
        <x:v>1.226075241128489</x:v>
      </x:c>
      <x:c r="R427" s="23" t="n">
        <x:v>52.67821552287856</x:v>
      </x:c>
      <x:c r="S427" s="23" t="n">
        <x:v>1475.79643003591</x:v>
      </x:c>
      <x:c r="T427" s="23" t="n">
        <x:v>-0.013010633667036142</x:v>
      </x:c>
      <x:c r="U427" s="23" t="n">
        <x:v>0.44570818032892845</x:v>
      </x:c>
      <x:c r="V427" s="23" t="n">
        <x:v>-11.835908352447404</x:v>
      </x:c>
    </x:row>
    <x:row r="428">
      <x:c r="A428" s="23" t="n">
        <x:v>427</x:v>
      </x:c>
      <x:c r="B428" s="23" t="str">
        <x:v>Train</x:v>
      </x:c>
      <x:c r="C428" s="23" t="str">
        <x:v>Lightning</x:v>
      </x:c>
      <x:c r="D428" s="23" t="n">
        <x:v>1375.0693945912644</x:v>
      </x:c>
      <x:c r="E428" s="23" t="n">
        <x:v>684.2496215016581</x:v>
      </x:c>
      <x:c r="F428" s="23" t="n">
        <x:v>475.95337219536304</x:v>
      </x:c>
      <x:c r="G428" s="23" t="n">
        <x:v>224.55042238114402</x:v>
      </x:c>
      <x:c r="H428" s="23" t="n">
        <x:v>16.87312509212643</x:v>
      </x:c>
      <x:c r="I428" s="23" t="n">
        <x:v>0.8528010318311863</x:v>
      </x:c>
      <x:c r="J428" s="23" t="n">
        <x:v>9</x:v>
      </x:c>
      <x:c r="K428" s="23" t="n">
        <x:v>179.1572507362567</x:v>
      </x:c>
      <x:c r="L428" s="23" t="n">
        <x:v>55</x:v>
      </x:c>
      <x:c r="M428" s="23" t="n">
        <x:v>25</x:v>
      </x:c>
      <x:c r="N428" s="23" t="n">
        <x:v>1.2137793084278263</x:v>
      </x:c>
      <x:c r="O428" s="23" t="n">
        <x:v>52.19091767640198</x:v>
      </x:c>
      <x:c r="P428" s="23" t="n">
        <x:v>1375.0693945912644</x:v>
      </x:c>
      <x:c r="Q428" s="23" t="n">
        <x:v>1.2100082149053595</x:v>
      </x:c>
      <x:c r="R428" s="23" t="n">
        <x:v>52.52278671842073</x:v>
      </x:c>
      <x:c r="S428" s="23" t="n">
        <x:v>1380.002704397634</x:v>
      </x:c>
      <x:c r="T428" s="23" t="n">
        <x:v>-0.0037710935224668507</x:v>
      </x:c>
      <x:c r="U428" s="23" t="n">
        <x:v>0.3318690420187522</x:v>
      </x:c>
      <x:c r="V428" s="23" t="n">
        <x:v>4.933309806369607</x:v>
      </x:c>
    </x:row>
    <x:row r="429">
      <x:c r="A429" s="23" t="n">
        <x:v>428</x:v>
      </x:c>
      <x:c r="B429" s="23" t="str">
        <x:v>Train</x:v>
      </x:c>
      <x:c r="C429" s="23" t="str">
        <x:v>Lightning</x:v>
      </x:c>
      <x:c r="D429" s="23" t="n">
        <x:v>1474.893382040318</x:v>
      </x:c>
      <x:c r="E429" s="23" t="n">
        <x:v>782.6537111308426</x:v>
      </x:c>
      <x:c r="F429" s="23" t="n">
        <x:v>455.8241526596248</x:v>
      </x:c>
      <x:c r="G429" s="23" t="n">
        <x:v>231.33309445809573</x:v>
      </x:c>
      <x:c r="H429" s="23" t="n">
        <x:v>10.470147240441293</x:v>
      </x:c>
      <x:c r="I429" s="23" t="n">
        <x:v>0.7996373802796006</x:v>
      </x:c>
      <x:c r="J429" s="23" t="n">
        <x:v>10</x:v>
      </x:c>
      <x:c r="K429" s="23" t="n">
        <x:v>184.44527712356418</x:v>
      </x:c>
      <x:c r="L429" s="23" t="n">
        <x:v>45</x:v>
      </x:c>
      <x:c r="M429" s="23" t="n">
        <x:v>25</x:v>
      </x:c>
      <x:c r="N429" s="23" t="n">
        <x:v>1.1521094518893413</x:v>
      </x:c>
      <x:c r="O429" s="23" t="n">
        <x:v>52.229644748516556</x:v>
      </x:c>
      <x:c r="P429" s="23" t="n">
        <x:v>1474.893382040318</x:v>
      </x:c>
      <x:c r="Q429" s="23" t="n">
        <x:v>1.1625427773486758</x:v>
      </x:c>
      <x:c r="R429" s="23" t="n">
        <x:v>51.812582480238035</x:v>
      </x:c>
      <x:c r="S429" s="23" t="n">
        <x:v>1480.1381507471117</x:v>
      </x:c>
      <x:c r="T429" s="23" t="n">
        <x:v>0.010433325459334508</x:v>
      </x:c>
      <x:c r="U429" s="23" t="n">
        <x:v>-0.4170622682785208</x:v>
      </x:c>
      <x:c r="V429" s="23" t="n">
        <x:v>5.244768706793593</x:v>
      </x:c>
    </x:row>
    <x:row r="430">
      <x:c r="A430" s="23" t="n">
        <x:v>429</x:v>
      </x:c>
      <x:c r="B430" s="23" t="str">
        <x:v>Train</x:v>
      </x:c>
      <x:c r="C430" s="23" t="str">
        <x:v>Lightning</x:v>
      </x:c>
      <x:c r="D430" s="23" t="n">
        <x:v>1486.6082367952913</x:v>
      </x:c>
      <x:c r="E430" s="23" t="n">
        <x:v>646.6348054702394</x:v>
      </x:c>
      <x:c r="F430" s="23" t="n">
        <x:v>351.8581738695502</x:v>
      </x:c>
      <x:c r="G430" s="23" t="n">
        <x:v>249.5546263945289</x:v>
      </x:c>
      <x:c r="H430" s="23" t="n">
        <x:v>27.669438485056162</x:v>
      </x:c>
      <x:c r="I430" s="23" t="n">
        <x:v>0.819552197533194</x:v>
      </x:c>
      <x:c r="J430" s="23" t="n">
        <x:v>10</x:v>
      </x:c>
      <x:c r="K430" s="23" t="n">
        <x:v>181.3927460959654</x:v>
      </x:c>
      <x:c r="L430" s="23" t="n">
        <x:v>55</x:v>
      </x:c>
      <x:c r="M430" s="23" t="n">
        <x:v>25</x:v>
      </x:c>
      <x:c r="N430" s="23" t="n">
        <x:v>1.246935273522881</x:v>
      </x:c>
      <x:c r="O430" s="23" t="n">
        <x:v>52.19122424769347</x:v>
      </x:c>
      <x:c r="P430" s="23" t="n">
        <x:v>1486.6082367952913</x:v>
      </x:c>
      <x:c r="Q430" s="23" t="n">
        <x:v>1.2408666616836506</x:v>
      </x:c>
      <x:c r="R430" s="23" t="n">
        <x:v>51.52454632639562</x:v>
      </x:c>
      <x:c r="S430" s="23" t="n">
        <x:v>1483.7324072435297</x:v>
      </x:c>
      <x:c r="T430" s="23" t="n">
        <x:v>-0.006068611839230353</x:v>
      </x:c>
      <x:c r="U430" s="23" t="n">
        <x:v>-0.6666779212978469</x:v>
      </x:c>
      <x:c r="V430" s="23" t="n">
        <x:v>-2.875829551761626</x:v>
      </x:c>
    </x:row>
    <x:row r="431">
      <x:c r="A431" s="23" t="n">
        <x:v>430</x:v>
      </x:c>
      <x:c r="B431" s="23" t="str">
        <x:v>Train</x:v>
      </x:c>
      <x:c r="C431" s="23" t="str">
        <x:v>Lightning</x:v>
      </x:c>
      <x:c r="D431" s="23" t="n">
        <x:v>1485.205701563973</x:v>
      </x:c>
      <x:c r="E431" s="23" t="n">
        <x:v>841.8258615536615</x:v>
      </x:c>
      <x:c r="F431" s="23" t="n">
        <x:v>655.0134097225964</x:v>
      </x:c>
      <x:c r="G431" s="23" t="n">
        <x:v>167.65355870127678</x:v>
      </x:c>
      <x:c r="H431" s="23" t="n">
        <x:v>16.695652762893587</x:v>
      </x:c>
      <x:c r="I431" s="23" t="n">
        <x:v>0.8110275254352018</x:v>
      </x:c>
      <x:c r="J431" s="23" t="n">
        <x:v>10</x:v>
      </x:c>
      <x:c r="K431" s="23" t="n">
        <x:v>183.12642357816443</x:v>
      </x:c>
      <x:c r="L431" s="23" t="n">
        <x:v>40</x:v>
      </x:c>
      <x:c r="M431" s="23" t="n">
        <x:v>25</x:v>
      </x:c>
      <x:c r="N431" s="23" t="n">
        <x:v>1.1958416364691882</x:v>
      </x:c>
      <x:c r="O431" s="23" t="n">
        <x:v>52.26337338279361</x:v>
      </x:c>
      <x:c r="P431" s="23" t="n">
        <x:v>1485.205701563973</x:v>
      </x:c>
      <x:c r="Q431" s="23" t="n">
        <x:v>1.193638923699671</x:v>
      </x:c>
      <x:c r="R431" s="23" t="n">
        <x:v>52.26374198282723</x:v>
      </x:c>
      <x:c r="S431" s="23" t="n">
        <x:v>1490.287072451815</x:v>
      </x:c>
      <x:c r="T431" s="23" t="n">
        <x:v>-0.0022027127695172233</x:v>
      </x:c>
      <x:c r="U431" s="23" t="n">
        <x:v>0.00036860003361738336</x:v>
      </x:c>
      <x:c r="V431" s="23" t="n">
        <x:v>5.081370887842013</x:v>
      </x:c>
    </x:row>
    <x:row r="432">
      <x:c r="A432" s="23" t="n">
        <x:v>431</x:v>
      </x:c>
      <x:c r="B432" s="23" t="str">
        <x:v>Train</x:v>
      </x:c>
      <x:c r="C432" s="23" t="str">
        <x:v>Lightning</x:v>
      </x:c>
      <x:c r="D432" s="23" t="n">
        <x:v>1465.2222210774198</x:v>
      </x:c>
      <x:c r="E432" s="23" t="n">
        <x:v>612.7793819759972</x:v>
      </x:c>
      <x:c r="F432" s="23" t="n">
        <x:v>660.2940179407597</x:v>
      </x:c>
      <x:c r="G432" s="23" t="n">
        <x:v>232.9000200680457</x:v>
      </x:c>
      <x:c r="H432" s="23" t="n">
        <x:v>26.913026615045965</x:v>
      </x:c>
      <x:c r="I432" s="23" t="n">
        <x:v>0.7989724243222737</x:v>
      </x:c>
      <x:c r="J432" s="23" t="n">
        <x:v>10</x:v>
      </x:c>
      <x:c r="K432" s="23" t="n">
        <x:v>183.38833437465516</x:v>
      </x:c>
      <x:c r="L432" s="23" t="n">
        <x:v>45</x:v>
      </x:c>
      <x:c r="M432" s="23" t="n">
        <x:v>25</x:v>
      </x:c>
      <x:c r="N432" s="23" t="n">
        <x:v>1.2503681954571275</x:v>
      </x:c>
      <x:c r="O432" s="23" t="n">
        <x:v>52.23590989501236</x:v>
      </x:c>
      <x:c r="P432" s="23" t="n">
        <x:v>1465.2222210774198</x:v>
      </x:c>
      <x:c r="Q432" s="23" t="n">
        <x:v>1.2514470715059238</x:v>
      </x:c>
      <x:c r="R432" s="23" t="n">
        <x:v>51.22267648217078</x:v>
      </x:c>
      <x:c r="S432" s="23" t="n">
        <x:v>1463.0521653352134</x:v>
      </x:c>
      <x:c r="T432" s="23" t="n">
        <x:v>0.0010788760487963067</x:v>
      </x:c>
      <x:c r="U432" s="23" t="n">
        <x:v>-1.0132334128415792</x:v>
      </x:c>
      <x:c r="V432" s="23" t="n">
        <x:v>-2.1700557422063866</x:v>
      </x:c>
    </x:row>
    <x:row r="433">
      <x:c r="A433" s="23" t="n">
        <x:v>432</x:v>
      </x:c>
      <x:c r="B433" s="23" t="str">
        <x:v>Train</x:v>
      </x:c>
      <x:c r="C433" s="23" t="str">
        <x:v>Lightning</x:v>
      </x:c>
      <x:c r="D433" s="23" t="n">
        <x:v>1375.6487060221843</x:v>
      </x:c>
      <x:c r="E433" s="23" t="n">
        <x:v>1023.8076800480485</x:v>
      </x:c>
      <x:c r="F433" s="23" t="n">
        <x:v>431.277637090534</x:v>
      </x:c>
      <x:c r="G433" s="23" t="n">
        <x:v>300.8158188732341</x:v>
      </x:c>
      <x:c r="H433" s="23" t="n">
        <x:v>8.873572760727257</x:v>
      </x:c>
      <x:c r="I433" s="23" t="n">
        <x:v>0.8564778702612966</x:v>
      </x:c>
      <x:c r="J433" s="23" t="n">
        <x:v>9</x:v>
      </x:c>
      <x:c r="K433" s="23" t="n">
        <x:v>178.46328729784378</x:v>
      </x:c>
      <x:c r="L433" s="23" t="n">
        <x:v>45</x:v>
      </x:c>
      <x:c r="M433" s="23" t="n">
        <x:v>25</x:v>
      </x:c>
      <x:c r="N433" s="23" t="n">
        <x:v>1.2324926234674072</x:v>
      </x:c>
      <x:c r="O433" s="23" t="n">
        <x:v>52.24878888463264</x:v>
      </x:c>
      <x:c r="P433" s="23" t="n">
        <x:v>1375.6487060221843</x:v>
      </x:c>
      <x:c r="Q433" s="23" t="n">
        <x:v>1.2490260155317159</x:v>
      </x:c>
      <x:c r="R433" s="23" t="n">
        <x:v>53.255489608095715</x:v>
      </x:c>
      <x:c r="S433" s="23" t="n">
        <x:v>1372.6711491946294</x:v>
      </x:c>
      <x:c r="T433" s="23" t="n">
        <x:v>0.016533392064308705</x:v>
      </x:c>
      <x:c r="U433" s="23" t="n">
        <x:v>1.0067007234630765</x:v>
      </x:c>
      <x:c r="V433" s="23" t="n">
        <x:v>-2.977556827554963</x:v>
      </x:c>
    </x:row>
    <x:row r="434">
      <x:c r="A434" s="23" t="n">
        <x:v>433</x:v>
      </x:c>
      <x:c r="B434" s="23" t="str">
        <x:v>Train</x:v>
      </x:c>
      <x:c r="C434" s="23" t="str">
        <x:v>Lightning</x:v>
      </x:c>
      <x:c r="D434" s="23" t="n">
        <x:v>1429.4574801810086</x:v>
      </x:c>
      <x:c r="E434" s="23" t="n">
        <x:v>1022.9701199918054</x:v>
      </x:c>
      <x:c r="F434" s="23" t="n">
        <x:v>499.18371830135584</x:v>
      </x:c>
      <x:c r="G434" s="23" t="n">
        <x:v>156.9579709158279</x:v>
      </x:c>
      <x:c r="H434" s="23" t="n">
        <x:v>10.248898224905133</x:v>
      </x:c>
      <x:c r="I434" s="23" t="n">
        <x:v>0.8170814269711264</x:v>
      </x:c>
      <x:c r="J434" s="23" t="n">
        <x:v>9</x:v>
      </x:c>
      <x:c r="K434" s="23" t="n">
        <x:v>194.3852884990538</x:v>
      </x:c>
      <x:c r="L434" s="23" t="n">
        <x:v>45</x:v>
      </x:c>
      <x:c r="M434" s="23" t="n">
        <x:v>25</x:v>
      </x:c>
      <x:c r="N434" s="23" t="n">
        <x:v>1.1873187964106482</x:v>
      </x:c>
      <x:c r="O434" s="23" t="n">
        <x:v>52.23681550885091</x:v>
      </x:c>
      <x:c r="P434" s="23" t="n">
        <x:v>1429.4574801810086</x:v>
      </x:c>
      <x:c r="Q434" s="23" t="n">
        <x:v>1.1966286425509107</x:v>
      </x:c>
      <x:c r="R434" s="23" t="n">
        <x:v>53.222423912674216</x:v>
      </x:c>
      <x:c r="S434" s="23" t="n">
        <x:v>1429.8926449744781</x:v>
      </x:c>
      <x:c r="T434" s="23" t="n">
        <x:v>0.009309846140262534</x:v>
      </x:c>
      <x:c r="U434" s="23" t="n">
        <x:v>0.9856084038233064</x:v>
      </x:c>
      <x:c r="V434" s="23" t="n">
        <x:v>0.4351647934695393</x:v>
      </x:c>
    </x:row>
    <x:row r="435">
      <x:c r="A435" s="23" t="n">
        <x:v>434</x:v>
      </x:c>
      <x:c r="B435" s="23" t="str">
        <x:v>Train</x:v>
      </x:c>
      <x:c r="C435" s="23" t="str">
        <x:v>Lightning</x:v>
      </x:c>
      <x:c r="D435" s="23" t="n">
        <x:v>1491.265325958375</x:v>
      </x:c>
      <x:c r="E435" s="23" t="n">
        <x:v>609.1045928420499</x:v>
      </x:c>
      <x:c r="F435" s="23" t="n">
        <x:v>488.98128950968385</x:v>
      </x:c>
      <x:c r="G435" s="23" t="n">
        <x:v>283.34268477745354</x:v>
      </x:c>
      <x:c r="H435" s="23" t="n">
        <x:v>11.64286419795826</x:v>
      </x:c>
      <x:c r="I435" s="23" t="n">
        <x:v>0.8018446423346177</x:v>
      </x:c>
      <x:c r="J435" s="23" t="n">
        <x:v>10</x:v>
      </x:c>
      <x:c r="K435" s="23" t="n">
        <x:v>185.97933405359777</x:v>
      </x:c>
      <x:c r="L435" s="23" t="n">
        <x:v>50</x:v>
      </x:c>
      <x:c r="M435" s="23" t="n">
        <x:v>25</x:v>
      </x:c>
      <x:c r="N435" s="23" t="n">
        <x:v>1.2011186180398372</x:v>
      </x:c>
      <x:c r="O435" s="23" t="n">
        <x:v>52.21433249925513</x:v>
      </x:c>
      <x:c r="P435" s="23" t="n">
        <x:v>1491.265325958375</x:v>
      </x:c>
      <x:c r="Q435" s="23" t="n">
        <x:v>1.1922710941777879</x:v>
      </x:c>
      <x:c r="R435" s="23" t="n">
        <x:v>50.68334957663065</x:v>
      </x:c>
      <x:c r="S435" s="23" t="n">
        <x:v>1512.3107478134361</x:v>
      </x:c>
      <x:c r="T435" s="23" t="n">
        <x:v>-0.008847523862049345</x:v>
      </x:c>
      <x:c r="U435" s="23" t="n">
        <x:v>-1.5309829226244815</x:v>
      </x:c>
      <x:c r="V435" s="23" t="n">
        <x:v>21.04542185506125</x:v>
      </x:c>
    </x:row>
    <x:row r="436">
      <x:c r="A436" s="23" t="n">
        <x:v>435</x:v>
      </x:c>
      <x:c r="B436" s="23" t="str">
        <x:v>Validation</x:v>
      </x:c>
      <x:c r="C436" s="23" t="str">
        <x:v>Lightning</x:v>
      </x:c>
      <x:c r="D436" s="23" t="n">
        <x:v>1356.629074900411</x:v>
      </x:c>
      <x:c r="E436" s="23" t="n">
        <x:v>1234.0048115351237</x:v>
      </x:c>
      <x:c r="F436" s="23" t="n">
        <x:v>603.7628825753927</x:v>
      </x:c>
      <x:c r="G436" s="23" t="n">
        <x:v>302.84124669386074</x:v>
      </x:c>
      <x:c r="H436" s="23" t="n">
        <x:v>19.89496807474643</x:v>
      </x:c>
      <x:c r="I436" s="23" t="n">
        <x:v>0.805680358603131</x:v>
      </x:c>
      <x:c r="J436" s="23" t="n">
        <x:v>9</x:v>
      </x:c>
      <x:c r="K436" s="23" t="n">
        <x:v>187.0922658945873</x:v>
      </x:c>
      <x:c r="L436" s="23" t="n">
        <x:v>35</x:v>
      </x:c>
      <x:c r="M436" s="23" t="n">
        <x:v>25</x:v>
      </x:c>
      <x:c r="N436" s="23" t="n">
        <x:v>1.2509825202801719</x:v>
      </x:c>
      <x:c r="O436" s="23" t="n">
        <x:v>52.30877444909492</x:v>
      </x:c>
      <x:c r="P436" s="23" t="n">
        <x:v>1356.629074900411</x:v>
      </x:c>
      <x:c r="Q436" s="23" t="n">
        <x:v>1.2581927966845279</x:v>
      </x:c>
      <x:c r="R436" s="23" t="n">
        <x:v>54.062974446584576</x:v>
      </x:c>
      <x:c r="S436" s="23" t="n">
        <x:v>1350.694715721008</x:v>
      </x:c>
      <x:c r="T436" s="23" t="n">
        <x:v>0.007210276404356009</x:v>
      </x:c>
      <x:c r="U436" s="23" t="n">
        <x:v>1.754199997489657</x:v>
      </x:c>
      <x:c r="V436" s="23" t="n">
        <x:v>-5.934359179403145</x:v>
      </x:c>
    </x:row>
    <x:row r="437">
      <x:c r="A437" s="23" t="n">
        <x:v>436</x:v>
      </x:c>
      <x:c r="B437" s="23" t="str">
        <x:v>Validation</x:v>
      </x:c>
      <x:c r="C437" s="23" t="str">
        <x:v>Lightning</x:v>
      </x:c>
      <x:c r="D437" s="23" t="n">
        <x:v>1390.7569558708929</x:v>
      </x:c>
      <x:c r="E437" s="23" t="n">
        <x:v>848.6518400255591</x:v>
      </x:c>
      <x:c r="F437" s="23" t="n">
        <x:v>662.2847544960678</x:v>
      </x:c>
      <x:c r="G437" s="23" t="n">
        <x:v>252.12797270622104</x:v>
      </x:c>
      <x:c r="H437" s="23" t="n">
        <x:v>18.805151789914817</x:v>
      </x:c>
      <x:c r="I437" s="23" t="n">
        <x:v>0.823334647063166</x:v>
      </x:c>
      <x:c r="J437" s="23" t="n">
        <x:v>9</x:v>
      </x:c>
      <x:c r="K437" s="23" t="n">
        <x:v>187.68619929153311</x:v>
      </x:c>
      <x:c r="L437" s="23" t="n">
        <x:v>40</x:v>
      </x:c>
      <x:c r="M437" s="23" t="n">
        <x:v>25</x:v>
      </x:c>
      <x:c r="N437" s="23" t="n">
        <x:v>1.1639012856034257</x:v>
      </x:c>
      <x:c r="O437" s="23" t="n">
        <x:v>52.24990584264499</x:v>
      </x:c>
      <x:c r="P437" s="23" t="n">
        <x:v>1390.7569558708929</x:v>
      </x:c>
      <x:c r="Q437" s="23" t="n">
        <x:v>1.1662529619893487</x:v>
      </x:c>
      <x:c r="R437" s="23" t="n">
        <x:v>52.96074788264623</x:v>
      </x:c>
      <x:c r="S437" s="23" t="n">
        <x:v>1379.4152111720655</x:v>
      </x:c>
      <x:c r="T437" s="23" t="n">
        <x:v>0.0023516763859230405</x:v>
      </x:c>
      <x:c r="U437" s="23" t="n">
        <x:v>0.7108420400012392</x:v>
      </x:c>
      <x:c r="V437" s="23" t="n">
        <x:v>-11.34174469882737</x:v>
      </x:c>
    </x:row>
    <x:row r="438">
      <x:c r="A438" s="23" t="n">
        <x:v>437</x:v>
      </x:c>
      <x:c r="B438" s="23" t="str">
        <x:v>Validation</x:v>
      </x:c>
      <x:c r="C438" s="23" t="str">
        <x:v>Lightning</x:v>
      </x:c>
      <x:c r="D438" s="23" t="n">
        <x:v>1447.6017062086612</x:v>
      </x:c>
      <x:c r="E438" s="23" t="n">
        <x:v>666.8943934026174</x:v>
      </x:c>
      <x:c r="F438" s="23" t="n">
        <x:v>715.3062609955668</x:v>
      </x:c>
      <x:c r="G438" s="23" t="n">
        <x:v>266.56927190022543</x:v>
      </x:c>
      <x:c r="H438" s="23" t="n">
        <x:v>10.31675100326538</x:v>
      </x:c>
      <x:c r="I438" s="23" t="n">
        <x:v>0.8000456545338966</x:v>
      </x:c>
      <x:c r="J438" s="23" t="n">
        <x:v>10</x:v>
      </x:c>
      <x:c r="K438" s="23" t="n">
        <x:v>180.93988736830624</x:v>
      </x:c>
      <x:c r="L438" s="23" t="n">
        <x:v>40</x:v>
      </x:c>
      <x:c r="M438" s="23" t="n">
        <x:v>25</x:v>
      </x:c>
      <x:c r="N438" s="23" t="n">
        <x:v>1.1539635171394311</x:v>
      </x:c>
      <x:c r="O438" s="23" t="n">
        <x:v>52.26064938973119</x:v>
      </x:c>
      <x:c r="P438" s="23" t="n">
        <x:v>1447.6017062086612</x:v>
      </x:c>
      <x:c r="Q438" s="23" t="n">
        <x:v>1.1520914651248477</x:v>
      </x:c>
      <x:c r="R438" s="23" t="n">
        <x:v>51.896659288927204</x:v>
      </x:c>
      <x:c r="S438" s="23" t="n">
        <x:v>1456.590380769658</x:v>
      </x:c>
      <x:c r="T438" s="23" t="n">
        <x:v>-0.001872052014583403</x:v>
      </x:c>
      <x:c r="U438" s="23" t="n">
        <x:v>-0.3639901008039885</x:v>
      </x:c>
      <x:c r="V438" s="23" t="n">
        <x:v>8.988674560996742</x:v>
      </x:c>
    </x:row>
    <x:row r="439">
      <x:c r="A439" s="23" t="n">
        <x:v>438</x:v>
      </x:c>
      <x:c r="B439" s="23" t="str">
        <x:v>Hidden Test</x:v>
      </x:c>
      <x:c r="C439" s="23" t="str">
        <x:v>Lightning</x:v>
      </x:c>
      <x:c r="D439" s="23" t="n">
        <x:v>1480.4265351151116</x:v>
      </x:c>
      <x:c r="E439" s="23" t="n">
        <x:v>1093.0149340769276</x:v>
      </x:c>
      <x:c r="F439" s="23" t="n">
        <x:v>618.6698955483735</x:v>
      </x:c>
      <x:c r="G439" s="23" t="n">
        <x:v>237.6967784203589</x:v>
      </x:c>
      <x:c r="H439" s="23" t="n">
        <x:v>11.442308417055756</x:v>
      </x:c>
      <x:c r="I439" s="23" t="n">
        <x:v>0.7951271663373336</x:v>
      </x:c>
      <x:c r="J439" s="23" t="n">
        <x:v>10</x:v>
      </x:c>
      <x:c r="K439" s="23" t="n">
        <x:v>186.18739212930362</x:v>
      </x:c>
      <x:c r="L439" s="23" t="n">
        <x:v>35</x:v>
      </x:c>
      <x:c r="M439" s="23" t="n">
        <x:v>25</x:v>
      </x:c>
      <x:c r="N439" s="23" t="n">
        <x:v>1.2057289252624375</x:v>
      </x:c>
      <x:c r="O439" s="23" t="n">
        <x:v>52.31273036359391</x:v>
      </x:c>
      <x:c r="P439" s="23" t="n">
        <x:v>1480.4265351151116</x:v>
      </x:c>
      <x:c r="Q439" s="23" t="n">
        <x:v>1.2261529364489332</x:v>
      </x:c>
      <x:c r="R439" s="23" t="n">
        <x:v>52.262771382949424</x:v>
      </x:c>
      <x:c r="S439" s="23" t="n">
        <x:v>1480.2073389015304</x:v>
      </x:c>
      <x:c r="T439" s="23" t="n">
        <x:v>0.020424011186495727</x:v>
      </x:c>
      <x:c r="U439" s="23" t="n">
        <x:v>-0.04995898064448312</x:v>
      </x:c>
      <x:c r="V439" s="23" t="n">
        <x:v>-0.21919621358119912</x:v>
      </x:c>
    </x:row>
    <x:row r="440">
      <x:c r="A440" s="23" t="n">
        <x:v>439</x:v>
      </x:c>
      <x:c r="B440" s="23" t="str">
        <x:v>Hidden Test</x:v>
      </x:c>
      <x:c r="C440" s="23" t="str">
        <x:v>Lightning</x:v>
      </x:c>
      <x:c r="D440" s="23" t="n">
        <x:v>1467.9124378832057</x:v>
      </x:c>
      <x:c r="E440" s="23" t="n">
        <x:v>1189.6702019614168</x:v>
      </x:c>
      <x:c r="F440" s="23" t="n">
        <x:v>440.07015973329544</x:v>
      </x:c>
      <x:c r="G440" s="23" t="n">
        <x:v>159.4107829569839</x:v>
      </x:c>
      <x:c r="H440" s="23" t="n">
        <x:v>11.741625080816448</x:v>
      </x:c>
      <x:c r="I440" s="23" t="n">
        <x:v>0.8208036317280494</x:v>
      </x:c>
      <x:c r="J440" s="23" t="n">
        <x:v>9</x:v>
      </x:c>
      <x:c r="K440" s="23" t="n">
        <x:v>198.70938149194495</x:v>
      </x:c>
      <x:c r="L440" s="23" t="n">
        <x:v>40</x:v>
      </x:c>
      <x:c r="M440" s="23" t="n">
        <x:v>25</x:v>
      </x:c>
      <x:c r="N440" s="23" t="n">
        <x:v>1.1416944545539611</x:v>
      </x:c>
      <x:c r="O440" s="23" t="n">
        <x:v>52.25397339222981</x:v>
      </x:c>
      <x:c r="P440" s="23" t="n">
        <x:v>1467.9124378832057</x:v>
      </x:c>
      <x:c r="Q440" s="23" t="n">
        <x:v>1.154368279571267</x:v>
      </x:c>
      <x:c r="R440" s="23" t="n">
        <x:v>52.03351837910629</x:v>
      </x:c>
      <x:c r="S440" s="23" t="n">
        <x:v>1464.5198012946557</x:v>
      </x:c>
      <x:c r="T440" s="23" t="n">
        <x:v>0.012673825017305962</x:v>
      </x:c>
      <x:c r="U440" s="23" t="n">
        <x:v>-0.22045501312351945</x:v>
      </x:c>
      <x:c r="V440" s="23" t="n">
        <x:v>-3.3926365885499763</x:v>
      </x:c>
    </x:row>
    <x:row r="441">
      <x:c r="A441" s="23" t="n">
        <x:v>440</x:v>
      </x:c>
      <x:c r="B441" s="23" t="str">
        <x:v>Hidden Test</x:v>
      </x:c>
      <x:c r="C441" s="23" t="str">
        <x:v>Lightning</x:v>
      </x:c>
      <x:c r="D441" s="23" t="n">
        <x:v>1453.9222574676387</x:v>
      </x:c>
      <x:c r="E441" s="23" t="n">
        <x:v>734.4265746884048</x:v>
      </x:c>
      <x:c r="F441" s="23" t="n">
        <x:v>687.0322457514703</x:v>
      </x:c>
      <x:c r="G441" s="23" t="n">
        <x:v>263.3041595527902</x:v>
      </x:c>
      <x:c r="H441" s="23" t="n">
        <x:v>22.53730091964826</x:v>
      </x:c>
      <x:c r="I441" s="23" t="n">
        <x:v>0.8409306411165745</x:v>
      </x:c>
      <x:c r="J441" s="23" t="n">
        <x:v>9</x:v>
      </x:c>
      <x:c r="K441" s="23" t="n">
        <x:v>192.10492470806494</x:v>
      </x:c>
      <x:c r="L441" s="23" t="n">
        <x:v>45</x:v>
      </x:c>
      <x:c r="M441" s="23" t="n">
        <x:v>25</x:v>
      </x:c>
      <x:c r="N441" s="23" t="n">
        <x:v>1.250269007595993</x:v>
      </x:c>
      <x:c r="O441" s="23" t="n">
        <x:v>52.23769666765536</x:v>
      </x:c>
      <x:c r="P441" s="23" t="n">
        <x:v>1453.9222574676387</x:v>
      </x:c>
      <x:c r="Q441" s="23" t="n">
        <x:v>1.2443100285053939</x:v>
      </x:c>
      <x:c r="R441" s="23" t="n">
        <x:v>50.83943656622114</x:v>
      </x:c>
      <x:c r="S441" s="23" t="n">
        <x:v>1439.6409229816798</x:v>
      </x:c>
      <x:c r="T441" s="23" t="n">
        <x:v>-0.00595897909059917</x:v>
      </x:c>
      <x:c r="U441" s="23" t="n">
        <x:v>-1.398260101434218</x:v>
      </x:c>
      <x:c r="V441" s="23" t="n">
        <x:v>-14.28133448595895</x:v>
      </x:c>
    </x:row>
    <x:row r="442">
      <x:c r="A442" s="23" t="n">
        <x:v>441</x:v>
      </x:c>
      <x:c r="B442" s="23" t="str">
        <x:v>Train</x:v>
      </x:c>
      <x:c r="C442" s="23" t="str">
        <x:v>Lightning</x:v>
      </x:c>
      <x:c r="D442" s="23" t="n">
        <x:v>1455.8787401765585</x:v>
      </x:c>
      <x:c r="E442" s="23" t="n">
        <x:v>1230.0778551376425</x:v>
      </x:c>
      <x:c r="F442" s="23" t="n">
        <x:v>531.7028718069196</x:v>
      </x:c>
      <x:c r="G442" s="23" t="n">
        <x:v>246.95100121432915</x:v>
      </x:c>
      <x:c r="H442" s="23" t="n">
        <x:v>23.339568151161075</x:v>
      </x:c>
      <x:c r="I442" s="23" t="n">
        <x:v>0.8214055216056295</x:v>
      </x:c>
      <x:c r="J442" s="23" t="n">
        <x:v>9</x:v>
      </x:c>
      <x:c r="K442" s="23" t="n">
        <x:v>196.93598376092703</x:v>
      </x:c>
      <x:c r="L442" s="23" t="n">
        <x:v>35</x:v>
      </x:c>
      <x:c r="M442" s="23" t="n">
        <x:v>25</x:v>
      </x:c>
      <x:c r="N442" s="23" t="n">
        <x:v>1.20144925006992</x:v>
      </x:c>
      <x:c r="O442" s="23" t="n">
        <x:v>52.28821149471317</x:v>
      </x:c>
      <x:c r="P442" s="23" t="n">
        <x:v>1455.8787401765585</x:v>
      </x:c>
      <x:c r="Q442" s="23" t="n">
        <x:v>1.216602577108503</x:v>
      </x:c>
      <x:c r="R442" s="23" t="n">
        <x:v>53.468164548668085</x:v>
      </x:c>
      <x:c r="S442" s="23" t="n">
        <x:v>1441.4137531618592</x:v>
      </x:c>
      <x:c r="T442" s="23" t="n">
        <x:v>0.015153327038582853</x:v>
      </x:c>
      <x:c r="U442" s="23" t="n">
        <x:v>1.1799530539549181</x:v>
      </x:c>
      <x:c r="V442" s="23" t="n">
        <x:v>-14.464987014699318</x:v>
      </x:c>
    </x:row>
    <x:row r="443">
      <x:c r="A443" s="23" t="n">
        <x:v>442</x:v>
      </x:c>
      <x:c r="B443" s="23" t="str">
        <x:v>Train</x:v>
      </x:c>
      <x:c r="C443" s="23" t="str">
        <x:v>Lightning</x:v>
      </x:c>
      <x:c r="D443" s="23" t="n">
        <x:v>1451.887133962009</x:v>
      </x:c>
      <x:c r="E443" s="23" t="n">
        <x:v>1107.2960062185302</x:v>
      </x:c>
      <x:c r="F443" s="23" t="n">
        <x:v>650.42774239555</x:v>
      </x:c>
      <x:c r="G443" s="23" t="n">
        <x:v>318.96133876405656</x:v>
      </x:c>
      <x:c r="H443" s="23" t="n">
        <x:v>23.96524463267997</x:v>
      </x:c>
      <x:c r="I443" s="23" t="n">
        <x:v>0.809140885998495</x:v>
      </x:c>
      <x:c r="J443" s="23" t="n">
        <x:v>9</x:v>
      </x:c>
      <x:c r="K443" s="23" t="n">
        <x:v>199.37293424911113</x:v>
      </x:c>
      <x:c r="L443" s="23" t="n">
        <x:v>35</x:v>
      </x:c>
      <x:c r="M443" s="23" t="n">
        <x:v>25</x:v>
      </x:c>
      <x:c r="N443" s="23" t="n">
        <x:v>1.2411375277625214</x:v>
      </x:c>
      <x:c r="O443" s="23" t="n">
        <x:v>52.298807122249436</x:v>
      </x:c>
      <x:c r="P443" s="23" t="n">
        <x:v>1451.887133962009</x:v>
      </x:c>
      <x:c r="Q443" s="23" t="n">
        <x:v>1.2597038025703884</x:v>
      </x:c>
      <x:c r="R443" s="23" t="n">
        <x:v>51.79123716457544</x:v>
      </x:c>
      <x:c r="S443" s="23" t="n">
        <x:v>1432.17007190227</x:v>
      </x:c>
      <x:c r="T443" s="23" t="n">
        <x:v>0.01856627480786699</x:v>
      </x:c>
      <x:c r="U443" s="23" t="n">
        <x:v>-0.5075699576739936</x:v>
      </x:c>
      <x:c r="V443" s="23" t="n">
        <x:v>-19.71706205973919</x:v>
      </x:c>
    </x:row>
    <x:row r="444">
      <x:c r="A444" s="23" t="n">
        <x:v>443</x:v>
      </x:c>
      <x:c r="B444" s="23" t="str">
        <x:v>Train</x:v>
      </x:c>
      <x:c r="C444" s="23" t="str">
        <x:v>Lightning</x:v>
      </x:c>
      <x:c r="D444" s="23" t="n">
        <x:v>1364.4582119537517</x:v>
      </x:c>
      <x:c r="E444" s="23" t="n">
        <x:v>992.8708963678218</x:v>
      </x:c>
      <x:c r="F444" s="23" t="n">
        <x:v>369.82820369303226</x:v>
      </x:c>
      <x:c r="G444" s="23" t="n">
        <x:v>226.98708354262635</x:v>
      </x:c>
      <x:c r="H444" s="23" t="n">
        <x:v>28.61406893376261</x:v>
      </x:c>
      <x:c r="I444" s="23" t="n">
        <x:v>0.8163628483074717</x:v>
      </x:c>
      <x:c r="J444" s="23" t="n">
        <x:v>9</x:v>
      </x:c>
      <x:c r="K444" s="23" t="n">
        <x:v>185.70966122378076</x:v>
      </x:c>
      <x:c r="L444" s="23" t="n">
        <x:v>45</x:v>
      </x:c>
      <x:c r="M444" s="23" t="n">
        <x:v>25</x:v>
      </x:c>
      <x:c r="N444" s="23" t="n">
        <x:v>1.213742405645348</x:v>
      </x:c>
      <x:c r="O444" s="23" t="n">
        <x:v>52.22287181817837</x:v>
      </x:c>
      <x:c r="P444" s="23" t="n">
        <x:v>1364.4582119537517</x:v>
      </x:c>
      <x:c r="Q444" s="23" t="n">
        <x:v>1.2080595969082568</x:v>
      </x:c>
      <x:c r="R444" s="23" t="n">
        <x:v>51.93314089674888</x:v>
      </x:c>
      <x:c r="S444" s="23" t="n">
        <x:v>1356.4328422961587</x:v>
      </x:c>
      <x:c r="T444" s="23" t="n">
        <x:v>-0.0056828087370912606</x:v>
      </x:c>
      <x:c r="U444" s="23" t="n">
        <x:v>-0.28973092142948786</x:v>
      </x:c>
      <x:c r="V444" s="23" t="n">
        <x:v>-8.025369657593046</x:v>
      </x:c>
    </x:row>
    <x:row r="445">
      <x:c r="A445" s="23" t="n">
        <x:v>444</x:v>
      </x:c>
      <x:c r="B445" s="23" t="str">
        <x:v>Train</x:v>
      </x:c>
      <x:c r="C445" s="23" t="str">
        <x:v>Lightning</x:v>
      </x:c>
      <x:c r="D445" s="23" t="n">
        <x:v>1387.406742980238</x:v>
      </x:c>
      <x:c r="E445" s="23" t="n">
        <x:v>1008.5006322246045</x:v>
      </x:c>
      <x:c r="F445" s="23" t="n">
        <x:v>668.9525182358921</x:v>
      </x:c>
      <x:c r="G445" s="23" t="n">
        <x:v>164.27736710291356</x:v>
      </x:c>
      <x:c r="H445" s="23" t="n">
        <x:v>16.227469395380467</x:v>
      </x:c>
      <x:c r="I445" s="23" t="n">
        <x:v>0.8208281306922436</x:v>
      </x:c>
      <x:c r="J445" s="23" t="n">
        <x:v>9</x:v>
      </x:c>
      <x:c r="K445" s="23" t="n">
        <x:v>187.80582561854285</x:v>
      </x:c>
      <x:c r="L445" s="23" t="n">
        <x:v>40</x:v>
      </x:c>
      <x:c r="M445" s="23" t="n">
        <x:v>25</x:v>
      </x:c>
      <x:c r="N445" s="23" t="n">
        <x:v>1.1976543809730487</x:v>
      </x:c>
      <x:c r="O445" s="23" t="n">
        <x:v>52.26217183095107</x:v>
      </x:c>
      <x:c r="P445" s="23" t="n">
        <x:v>1387.406742980238</x:v>
      </x:c>
      <x:c r="Q445" s="23" t="n">
        <x:v>1.1975186198722103</x:v>
      </x:c>
      <x:c r="R445" s="23" t="n">
        <x:v>53.000616119709896</x:v>
      </x:c>
      <x:c r="S445" s="23" t="n">
        <x:v>1385.8426882071233</x:v>
      </x:c>
      <x:c r="T445" s="23" t="n">
        <x:v>-0.0001357611008383497</x:v>
      </x:c>
      <x:c r="U445" s="23" t="n">
        <x:v>0.7384442887588278</x:v>
      </x:c>
      <x:c r="V445" s="23" t="n">
        <x:v>-1.5640547731147763</x:v>
      </x:c>
    </x:row>
    <x:row r="446">
      <x:c r="A446" s="23" t="n">
        <x:v>445</x:v>
      </x:c>
      <x:c r="B446" s="23" t="str">
        <x:v>Train</x:v>
      </x:c>
      <x:c r="C446" s="23" t="str">
        <x:v>Lightning</x:v>
      </x:c>
      <x:c r="D446" s="23" t="n">
        <x:v>1465.296260593459</x:v>
      </x:c>
      <x:c r="E446" s="23" t="n">
        <x:v>1005.4896009038202</x:v>
      </x:c>
      <x:c r="F446" s="23" t="n">
        <x:v>400.0853007659316</x:v>
      </x:c>
      <x:c r="G446" s="23" t="n">
        <x:v>286.0528759029694</x:v>
      </x:c>
      <x:c r="H446" s="23" t="n">
        <x:v>27.560585733503103</x:v>
      </x:c>
      <x:c r="I446" s="23" t="n">
        <x:v>0.8318776739039458</x:v>
      </x:c>
      <x:c r="J446" s="23" t="n">
        <x:v>9</x:v>
      </x:c>
      <x:c r="K446" s="23" t="n">
        <x:v>195.71470749712014</x:v>
      </x:c>
      <x:c r="L446" s="23" t="n">
        <x:v>40</x:v>
      </x:c>
      <x:c r="M446" s="23" t="n">
        <x:v>25</x:v>
      </x:c>
      <x:c r="N446" s="23" t="n">
        <x:v>1.1659178633677179</x:v>
      </x:c>
      <x:c r="O446" s="23" t="n">
        <x:v>52.23876706121803</x:v>
      </x:c>
      <x:c r="P446" s="23" t="n">
        <x:v>1465.296260593459</x:v>
      </x:c>
      <x:c r="Q446" s="23" t="n">
        <x:v>1.1611172310840503</x:v>
      </x:c>
      <x:c r="R446" s="23" t="n">
        <x:v>51.69213680648757</x:v>
      </x:c>
      <x:c r="S446" s="23" t="n">
        <x:v>1452.6060571047565</x:v>
      </x:c>
      <x:c r="T446" s="23" t="n">
        <x:v>-0.004800632283667561</x:v>
      </x:c>
      <x:c r="U446" s="23" t="n">
        <x:v>-0.5466302547304593</x:v>
      </x:c>
      <x:c r="V446" s="23" t="n">
        <x:v>-12.690203488702537</x:v>
      </x:c>
    </x:row>
    <x:row r="447">
      <x:c r="A447" s="23" t="n">
        <x:v>446</x:v>
      </x:c>
      <x:c r="B447" s="23" t="str">
        <x:v>Train</x:v>
      </x:c>
      <x:c r="C447" s="23" t="str">
        <x:v>Lightning</x:v>
      </x:c>
      <x:c r="D447" s="23" t="n">
        <x:v>1364.543985959608</x:v>
      </x:c>
      <x:c r="E447" s="23" t="n">
        <x:v>875.7716546533629</x:v>
      </x:c>
      <x:c r="F447" s="23" t="n">
        <x:v>514.2498900182545</x:v>
      </x:c>
      <x:c r="G447" s="23" t="n">
        <x:v>169.1311401501298</x:v>
      </x:c>
      <x:c r="H447" s="23" t="n">
        <x:v>14.16663414472714</x:v>
      </x:c>
      <x:c r="I447" s="23" t="n">
        <x:v>0.8023876051930711</x:v>
      </x:c>
      <x:c r="J447" s="23" t="n">
        <x:v>9</x:v>
      </x:c>
      <x:c r="K447" s="23" t="n">
        <x:v>188.95605746984901</x:v>
      </x:c>
      <x:c r="L447" s="23" t="n">
        <x:v>50</x:v>
      </x:c>
      <x:c r="M447" s="23" t="n">
        <x:v>25</x:v>
      </x:c>
      <x:c r="N447" s="23" t="n">
        <x:v>1.235674377803778</x:v>
      </x:c>
      <x:c r="O447" s="23" t="n">
        <x:v>52.218110882380834</x:v>
      </x:c>
      <x:c r="P447" s="23" t="n">
        <x:v>1364.543985959608</x:v>
      </x:c>
      <x:c r="Q447" s="23" t="n">
        <x:v>1.2317250886753959</x:v>
      </x:c>
      <x:c r="R447" s="23" t="n">
        <x:v>51.685836907447616</x:v>
      </x:c>
      <x:c r="S447" s="23" t="n">
        <x:v>1369.6107343467404</x:v>
      </x:c>
      <x:c r="T447" s="23" t="n">
        <x:v>-0.003949289128382105</x:v>
      </x:c>
      <x:c r="U447" s="23" t="n">
        <x:v>-0.5322739749332186</x:v>
      </x:c>
      <x:c r="V447" s="23" t="n">
        <x:v>5.066748387132293</x:v>
      </x:c>
    </x:row>
    <x:row r="448">
      <x:c r="A448" s="23" t="n">
        <x:v>447</x:v>
      </x:c>
      <x:c r="B448" s="23" t="str">
        <x:v>Train</x:v>
      </x:c>
      <x:c r="C448" s="23" t="str">
        <x:v>Lightning</x:v>
      </x:c>
      <x:c r="D448" s="23" t="n">
        <x:v>1487.4898158246651</x:v>
      </x:c>
      <x:c r="E448" s="23" t="n">
        <x:v>1124.7482354869135</x:v>
      </x:c>
      <x:c r="F448" s="23" t="n">
        <x:v>571.6110996901989</x:v>
      </x:c>
      <x:c r="G448" s="23" t="n">
        <x:v>148.8368859118782</x:v>
      </x:c>
      <x:c r="H448" s="23" t="n">
        <x:v>10.335472679696977</x:v>
      </x:c>
      <x:c r="I448" s="23" t="n">
        <x:v>0.8340862164064311</x:v>
      </x:c>
      <x:c r="J448" s="23" t="n">
        <x:v>9</x:v>
      </x:c>
      <x:c r="K448" s="23" t="n">
        <x:v>198.1529522389386</x:v>
      </x:c>
      <x:c r="L448" s="23" t="n">
        <x:v>40</x:v>
      </x:c>
      <x:c r="M448" s="23" t="n">
        <x:v>25</x:v>
      </x:c>
      <x:c r="N448" s="23" t="n">
        <x:v>1.1677264327968355</x:v>
      </x:c>
      <x:c r="O448" s="23" t="n">
        <x:v>52.2627122207733</x:v>
      </x:c>
      <x:c r="P448" s="23" t="n">
        <x:v>1487.4898158246651</x:v>
      </x:c>
      <x:c r="Q448" s="23" t="n">
        <x:v>1.1728912117705108</x:v>
      </x:c>
      <x:c r="R448" s="23" t="n">
        <x:v>53.623394278785675</x:v>
      </x:c>
      <x:c r="S448" s="23" t="n">
        <x:v>1492.8123169717262</x:v>
      </x:c>
      <x:c r="T448" s="23" t="n">
        <x:v>0.005164778973675288</x:v>
      </x:c>
      <x:c r="U448" s="23" t="n">
        <x:v>1.3606820580123724</x:v>
      </x:c>
      <x:c r="V448" s="23" t="n">
        <x:v>5.322501147061075</x:v>
      </x:c>
    </x:row>
    <x:row r="449">
      <x:c r="A449" s="23" t="n">
        <x:v>448</x:v>
      </x:c>
      <x:c r="B449" s="23" t="str">
        <x:v>Train</x:v>
      </x:c>
      <x:c r="C449" s="23" t="str">
        <x:v>Lightning</x:v>
      </x:c>
      <x:c r="D449" s="23" t="n">
        <x:v>1407.6305264490657</x:v>
      </x:c>
      <x:c r="E449" s="23" t="n">
        <x:v>978.9405833929777</x:v>
      </x:c>
      <x:c r="F449" s="23" t="n">
        <x:v>428.7793098948896</x:v>
      </x:c>
      <x:c r="G449" s="23" t="n">
        <x:v>220.76873764861375</x:v>
      </x:c>
      <x:c r="H449" s="23" t="n">
        <x:v>20.500536577310413</x:v>
      </x:c>
      <x:c r="I449" s="23" t="n">
        <x:v>0.8372176823299379</x:v>
      </x:c>
      <x:c r="J449" s="23" t="n">
        <x:v>9</x:v>
      </x:c>
      <x:c r="K449" s="23" t="n">
        <x:v>186.8132925625873</x:v>
      </x:c>
      <x:c r="L449" s="23" t="n">
        <x:v>45</x:v>
      </x:c>
      <x:c r="M449" s="23" t="n">
        <x:v>25</x:v>
      </x:c>
      <x:c r="N449" s="23" t="n">
        <x:v>1.20246084038762</x:v>
      </x:c>
      <x:c r="O449" s="23" t="n">
        <x:v>52.22892208977877</x:v>
      </x:c>
      <x:c r="P449" s="23" t="n">
        <x:v>1407.6305264490657</x:v>
      </x:c>
      <x:c r="Q449" s="23" t="n">
        <x:v>1.1923502748157662</x:v>
      </x:c>
      <x:c r="R449" s="23" t="n">
        <x:v>51.837080129279535</x:v>
      </x:c>
      <x:c r="S449" s="23" t="n">
        <x:v>1405.5484432669389</x:v>
      </x:c>
      <x:c r="T449" s="23" t="n">
        <x:v>-0.010110565571853858</x:v>
      </x:c>
      <x:c r="U449" s="23" t="n">
        <x:v>-0.39184196049923514</x:v>
      </x:c>
      <x:c r="V449" s="23" t="n">
        <x:v>-2.0820831821267802</x:v>
      </x:c>
    </x:row>
    <x:row r="450">
      <x:c r="A450" s="23" t="n">
        <x:v>449</x:v>
      </x:c>
      <x:c r="B450" s="23" t="str">
        <x:v>Train</x:v>
      </x:c>
      <x:c r="C450" s="23" t="str">
        <x:v>Lightning</x:v>
      </x:c>
      <x:c r="D450" s="23" t="n">
        <x:v>1411.983825545758</x:v>
      </x:c>
      <x:c r="E450" s="23" t="n">
        <x:v>871.3825780316256</x:v>
      </x:c>
      <x:c r="F450" s="23" t="n">
        <x:v>681.7798608914018</x:v>
      </x:c>
      <x:c r="G450" s="23" t="n">
        <x:v>309.6109060407616</x:v>
      </x:c>
      <x:c r="H450" s="23" t="n">
        <x:v>21.410715291276574</x:v>
      </x:c>
      <x:c r="I450" s="23" t="n">
        <x:v>0.7902027058159001</x:v>
      </x:c>
      <x:c r="J450" s="23" t="n">
        <x:v>9</x:v>
      </x:c>
      <x:c r="K450" s="23" t="n">
        <x:v>198.54031196377312</x:v>
      </x:c>
      <x:c r="L450" s="23" t="n">
        <x:v>40</x:v>
      </x:c>
      <x:c r="M450" s="23" t="n">
        <x:v>25</x:v>
      </x:c>
      <x:c r="N450" s="23" t="n">
        <x:v>1.237841236532016</x:v>
      </x:c>
      <x:c r="O450" s="23" t="n">
        <x:v>52.26545293381348</x:v>
      </x:c>
      <x:c r="P450" s="23" t="n">
        <x:v>1411.983825545758</x:v>
      </x:c>
      <x:c r="Q450" s="23" t="n">
        <x:v>1.2383933399158866</x:v>
      </x:c>
      <x:c r="R450" s="23" t="n">
        <x:v>51.538035653967555</x:v>
      </x:c>
      <x:c r="S450" s="23" t="n">
        <x:v>1405.0734569693373</x:v>
      </x:c>
      <x:c r="T450" s="23" t="n">
        <x:v>0.0005521033838706835</x:v>
      </x:c>
      <x:c r="U450" s="23" t="n">
        <x:v>-0.7274172798459233</x:v>
      </x:c>
      <x:c r="V450" s="23" t="n">
        <x:v>-6.910368576420751</x:v>
      </x:c>
    </x:row>
    <x:row r="451">
      <x:c r="A451" s="23" t="n">
        <x:v>450</x:v>
      </x:c>
      <x:c r="B451" s="23" t="str">
        <x:v>Train</x:v>
      </x:c>
      <x:c r="C451" s="23" t="str">
        <x:v>Lightning</x:v>
      </x:c>
      <x:c r="D451" s="23" t="n">
        <x:v>1402.7248246246018</x:v>
      </x:c>
      <x:c r="E451" s="23" t="n">
        <x:v>1137.8466650145128</x:v>
      </x:c>
      <x:c r="F451" s="23" t="n">
        <x:v>395.24767035618424</x:v>
      </x:c>
      <x:c r="G451" s="23" t="n">
        <x:v>313.0792604479939</x:v>
      </x:c>
      <x:c r="H451" s="23" t="n">
        <x:v>13.721248738933355</x:v>
      </x:c>
      <x:c r="I451" s="23" t="n">
        <x:v>0.8051157632330432</x:v>
      </x:c>
      <x:c r="J451" s="23" t="n">
        <x:v>9</x:v>
      </x:c>
      <x:c r="K451" s="23" t="n">
        <x:v>193.5849736953471</x:v>
      </x:c>
      <x:c r="L451" s="23" t="n">
        <x:v>40</x:v>
      </x:c>
      <x:c r="M451" s="23" t="n">
        <x:v>25</x:v>
      </x:c>
      <x:c r="N451" s="23" t="n">
        <x:v>1.18681975665056</x:v>
      </x:c>
      <x:c r="O451" s="23" t="n">
        <x:v>52.262864617928024</x:v>
      </x:c>
      <x:c r="P451" s="23" t="n">
        <x:v>1402.7248246246018</x:v>
      </x:c>
      <x:c r="Q451" s="23" t="n">
        <x:v>1.2071848077239955</x:v>
      </x:c>
      <x:c r="R451" s="23" t="n">
        <x:v>53.44993368299305</x:v>
      </x:c>
      <x:c r="S451" s="23" t="n">
        <x:v>1407.8841418404645</x:v>
      </x:c>
      <x:c r="T451" s="23" t="n">
        <x:v>0.020365051073435447</x:v>
      </x:c>
      <x:c r="U451" s="23" t="n">
        <x:v>1.1870690650650246</x:v>
      </x:c>
      <x:c r="V451" s="23" t="n">
        <x:v>5.159317215862757</x:v>
      </x:c>
    </x:row>
    <x:row r="452">
      <x:c r="A452" s="23" t="n">
        <x:v>451</x:v>
      </x:c>
      <x:c r="B452" s="23" t="str">
        <x:v>Train</x:v>
      </x:c>
      <x:c r="C452" s="23" t="str">
        <x:v>Lightning</x:v>
      </x:c>
      <x:c r="D452" s="23" t="n">
        <x:v>1442.0778285479173</x:v>
      </x:c>
      <x:c r="E452" s="23" t="n">
        <x:v>959.5536445849575</x:v>
      </x:c>
      <x:c r="F452" s="23" t="n">
        <x:v>739.9673592299223</x:v>
      </x:c>
      <x:c r="G452" s="23" t="n">
        <x:v>150.65585971577093</x:v>
      </x:c>
      <x:c r="H452" s="23" t="n">
        <x:v>8.344114040024579</x:v>
      </x:c>
      <x:c r="I452" s="23" t="n">
        <x:v>0.8587780778179877</x:v>
      </x:c>
      <x:c r="J452" s="23" t="n">
        <x:v>9</x:v>
      </x:c>
      <x:c r="K452" s="23" t="n">
        <x:v>186.5800653013611</x:v>
      </x:c>
      <x:c r="L452" s="23" t="n">
        <x:v>40</x:v>
      </x:c>
      <x:c r="M452" s="23" t="n">
        <x:v>25</x:v>
      </x:c>
      <x:c r="N452" s="23" t="n">
        <x:v>1.1597017140185928</x:v>
      </x:c>
      <x:c r="O452" s="23" t="n">
        <x:v>52.26348882744601</x:v>
      </x:c>
      <x:c r="P452" s="23" t="n">
        <x:v>1442.0778285479173</x:v>
      </x:c>
      <x:c r="Q452" s="23" t="n">
        <x:v>1.165171730494313</x:v>
      </x:c>
      <x:c r="R452" s="23" t="n">
        <x:v>52.13151763015353</x:v>
      </x:c>
      <x:c r="S452" s="23" t="n">
        <x:v>1445.338036271596</x:v>
      </x:c>
      <x:c r="T452" s="23" t="n">
        <x:v>0.0054700164757202074</x:v>
      </x:c>
      <x:c r="U452" s="23" t="n">
        <x:v>-0.1319711972924793</x:v>
      </x:c>
      <x:c r="V452" s="23" t="n">
        <x:v>3.2602077236786045</x:v>
      </x:c>
    </x:row>
    <x:row r="453">
      <x:c r="A453" s="23" t="n">
        <x:v>452</x:v>
      </x:c>
      <x:c r="B453" s="23" t="str">
        <x:v>Train</x:v>
      </x:c>
      <x:c r="C453" s="23" t="str">
        <x:v>Lightning</x:v>
      </x:c>
      <x:c r="D453" s="23" t="n">
        <x:v>1439.1212887479924</x:v>
      </x:c>
      <x:c r="E453" s="23" t="n">
        <x:v>810.4416076559573</x:v>
      </x:c>
      <x:c r="F453" s="23" t="n">
        <x:v>639.4939783029258</x:v>
      </x:c>
      <x:c r="G453" s="23" t="n">
        <x:v>116.66366671677679</x:v>
      </x:c>
      <x:c r="H453" s="23" t="n">
        <x:v>21.099568776320666</x:v>
      </x:c>
      <x:c r="I453" s="23" t="n">
        <x:v>0.8310801381431521</x:v>
      </x:c>
      <x:c r="J453" s="23" t="n">
        <x:v>9</x:v>
      </x:c>
      <x:c r="K453" s="23" t="n">
        <x:v>192.40306449111733</x:v>
      </x:c>
      <x:c r="L453" s="23" t="n">
        <x:v>45</x:v>
      </x:c>
      <x:c r="M453" s="23" t="n">
        <x:v>25</x:v>
      </x:c>
      <x:c r="N453" s="23" t="n">
        <x:v>1.1632506348629383</x:v>
      </x:c>
      <x:c r="O453" s="23" t="n">
        <x:v>52.21927198847345</x:v>
      </x:c>
      <x:c r="P453" s="23" t="n">
        <x:v>1439.1212887479924</x:v>
      </x:c>
      <x:c r="Q453" s="23" t="n">
        <x:v>1.1703617226552092</x:v>
      </x:c>
      <x:c r="R453" s="23" t="n">
        <x:v>51.10016542039791</x:v>
      </x:c>
      <x:c r="S453" s="23" t="n">
        <x:v>1431.4401821664605</x:v>
      </x:c>
      <x:c r="T453" s="23" t="n">
        <x:v>0.007111087792270876</x:v>
      </x:c>
      <x:c r="U453" s="23" t="n">
        <x:v>-1.1191065680755443</x:v>
      </x:c>
      <x:c r="V453" s="23" t="n">
        <x:v>-7.681106581531822</x:v>
      </x:c>
    </x:row>
    <x:row r="454">
      <x:c r="A454" s="23" t="n">
        <x:v>453</x:v>
      </x:c>
      <x:c r="B454" s="23" t="str">
        <x:v>Train</x:v>
      </x:c>
      <x:c r="C454" s="23" t="str">
        <x:v>Lightning</x:v>
      </x:c>
      <x:c r="D454" s="23" t="n">
        <x:v>1493.127320939675</x:v>
      </x:c>
      <x:c r="E454" s="23" t="n">
        <x:v>770.288336451631</x:v>
      </x:c>
      <x:c r="F454" s="23" t="n">
        <x:v>717.1854360029101</x:v>
      </x:c>
      <x:c r="G454" s="23" t="n">
        <x:v>225.18120820866898</x:v>
      </x:c>
      <x:c r="H454" s="23" t="n">
        <x:v>13.245726458728313</x:v>
      </x:c>
      <x:c r="I454" s="23" t="n">
        <x:v>0.7964502141089179</x:v>
      </x:c>
      <x:c r="J454" s="23" t="n">
        <x:v>10</x:v>
      </x:c>
      <x:c r="K454" s="23" t="n">
        <x:v>187.47277538373334</x:v>
      </x:c>
      <x:c r="L454" s="23" t="n">
        <x:v>40</x:v>
      </x:c>
      <x:c r="M454" s="23" t="n">
        <x:v>25</x:v>
      </x:c>
      <x:c r="N454" s="23" t="n">
        <x:v>1.2112086813808278</x:v>
      </x:c>
      <x:c r="O454" s="23" t="n">
        <x:v>52.2717174753999</x:v>
      </x:c>
      <x:c r="P454" s="23" t="n">
        <x:v>1493.127320939675</x:v>
      </x:c>
      <x:c r="Q454" s="23" t="n">
        <x:v>1.2168205569898995</x:v>
      </x:c>
      <x:c r="R454" s="23" t="n">
        <x:v>51.982385212988184</x:v>
      </x:c>
      <x:c r="S454" s="23" t="n">
        <x:v>1500.6654730078037</x:v>
      </x:c>
      <x:c r="T454" s="23" t="n">
        <x:v>0.005611875609071726</x:v>
      </x:c>
      <x:c r="U454" s="23" t="n">
        <x:v>-0.28933226241171894</x:v>
      </x:c>
      <x:c r="V454" s="23" t="n">
        <x:v>7.538152068128738</x:v>
      </x:c>
    </x:row>
    <x:row r="455">
      <x:c r="A455" s="23" t="n">
        <x:v>454</x:v>
      </x:c>
      <x:c r="B455" s="23" t="str">
        <x:v>Train</x:v>
      </x:c>
      <x:c r="C455" s="23" t="str">
        <x:v>Lightning</x:v>
      </x:c>
      <x:c r="D455" s="23" t="n">
        <x:v>1412.379049428273</x:v>
      </x:c>
      <x:c r="E455" s="23" t="n">
        <x:v>698.1924321269616</x:v>
      </x:c>
      <x:c r="F455" s="23" t="n">
        <x:v>418.6340388841927</x:v>
      </x:c>
      <x:c r="G455" s="23" t="n">
        <x:v>310.0005625002086</x:v>
      </x:c>
      <x:c r="H455" s="23" t="n">
        <x:v>29.58751346031204</x:v>
      </x:c>
      <x:c r="I455" s="23" t="n">
        <x:v>0.818750976859592</x:v>
      </x:c>
      <x:c r="J455" s="23" t="n">
        <x:v>9</x:v>
      </x:c>
      <x:c r="K455" s="23" t="n">
        <x:v>191.6712284044609</x:v>
      </x:c>
      <x:c r="L455" s="23" t="n">
        <x:v>50</x:v>
      </x:c>
      <x:c r="M455" s="23" t="n">
        <x:v>25</x:v>
      </x:c>
      <x:c r="N455" s="23" t="n">
        <x:v>1.201700861522407</x:v>
      </x:c>
      <x:c r="O455" s="23" t="n">
        <x:v>52.19747800520026</x:v>
      </x:c>
      <x:c r="P455" s="23" t="n">
        <x:v>1412.379049428273</x:v>
      </x:c>
      <x:c r="Q455" s="23" t="n">
        <x:v>1.195508922234918</x:v>
      </x:c>
      <x:c r="R455" s="23" t="n">
        <x:v>52.546024858227675</x:v>
      </x:c>
      <x:c r="S455" s="23" t="n">
        <x:v>1403.3614881516107</x:v>
      </x:c>
      <x:c r="T455" s="23" t="n">
        <x:v>-0.006191939287488957</x:v>
      </x:c>
      <x:c r="U455" s="23" t="n">
        <x:v>0.3485468530274147</x:v>
      </x:c>
      <x:c r="V455" s="23" t="n">
        <x:v>-9.017561276662263</x:v>
      </x:c>
    </x:row>
    <x:row r="456">
      <x:c r="A456" s="23" t="n">
        <x:v>455</x:v>
      </x:c>
      <x:c r="B456" s="23" t="str">
        <x:v>Validation</x:v>
      </x:c>
      <x:c r="C456" s="23" t="str">
        <x:v>Lightning</x:v>
      </x:c>
      <x:c r="D456" s="23" t="n">
        <x:v>1437.0539299445227</x:v>
      </x:c>
      <x:c r="E456" s="23" t="n">
        <x:v>721.9881110009737</x:v>
      </x:c>
      <x:c r="F456" s="23" t="n">
        <x:v>481.63574039936066</x:v>
      </x:c>
      <x:c r="G456" s="23" t="n">
        <x:v>252.00964683433995</x:v>
      </x:c>
      <x:c r="H456" s="23" t="n">
        <x:v>22.644425216130912</x:v>
      </x:c>
      <x:c r="I456" s="23" t="n">
        <x:v>0.8443339227116667</x:v>
      </x:c>
      <x:c r="J456" s="23" t="n">
        <x:v>9</x:v>
      </x:c>
      <x:c r="K456" s="23" t="n">
        <x:v>189.11079442351348</x:v>
      </x:c>
      <x:c r="L456" s="23" t="n">
        <x:v>50</x:v>
      </x:c>
      <x:c r="M456" s="23" t="n">
        <x:v>25</x:v>
      </x:c>
      <x:c r="N456" s="23" t="n">
        <x:v>1.1943429826896867</x:v>
      </x:c>
      <x:c r="O456" s="23" t="n">
        <x:v>52.20196965321224</x:v>
      </x:c>
      <x:c r="P456" s="23" t="n">
        <x:v>1437.0539299445227</x:v>
      </x:c>
      <x:c r="Q456" s="23" t="n">
        <x:v>1.1922164365932182</x:v>
      </x:c>
      <x:c r="R456" s="23" t="n">
        <x:v>50.993697646662525</x:v>
      </x:c>
      <x:c r="S456" s="23" t="n">
        <x:v>1429.9321504500188</x:v>
      </x:c>
      <x:c r="T456" s="23" t="n">
        <x:v>-0.0021265460964685623</x:v>
      </x:c>
      <x:c r="U456" s="23" t="n">
        <x:v>-1.2082720065497128</x:v>
      </x:c>
      <x:c r="V456" s="23" t="n">
        <x:v>-7.121779494503926</x:v>
      </x:c>
    </x:row>
    <x:row r="457">
      <x:c r="A457" s="23" t="n">
        <x:v>456</x:v>
      </x:c>
      <x:c r="B457" s="23" t="str">
        <x:v>Validation</x:v>
      </x:c>
      <x:c r="C457" s="23" t="str">
        <x:v>Lightning</x:v>
      </x:c>
      <x:c r="D457" s="23" t="n">
        <x:v>1470.4072219203226</x:v>
      </x:c>
      <x:c r="E457" s="23" t="n">
        <x:v>671.400857437402</x:v>
      </x:c>
      <x:c r="F457" s="23" t="n">
        <x:v>390.4124147258699</x:v>
      </x:c>
      <x:c r="G457" s="23" t="n">
        <x:v>310.65547982696444</x:v>
      </x:c>
      <x:c r="H457" s="23" t="n">
        <x:v>18.698685464914888</x:v>
      </x:c>
      <x:c r="I457" s="23" t="n">
        <x:v>0.804690399998799</x:v>
      </x:c>
      <x:c r="J457" s="23" t="n">
        <x:v>10</x:v>
      </x:c>
      <x:c r="K457" s="23" t="n">
        <x:v>182.72955933393976</x:v>
      </x:c>
      <x:c r="L457" s="23" t="n">
        <x:v>50</x:v>
      </x:c>
      <x:c r="M457" s="23" t="n">
        <x:v>25</x:v>
      </x:c>
      <x:c r="N457" s="23" t="n">
        <x:v>1.2215864763943605</x:v>
      </x:c>
      <x:c r="O457" s="23" t="n">
        <x:v>52.2127802112823</x:v>
      </x:c>
      <x:c r="P457" s="23" t="n">
        <x:v>1470.4072219203226</x:v>
      </x:c>
      <x:c r="Q457" s="23" t="n">
        <x:v>1.2087923582169406</x:v>
      </x:c>
      <x:c r="R457" s="23" t="n">
        <x:v>51.876725229291516</x:v>
      </x:c>
      <x:c r="S457" s="23" t="n">
        <x:v>1486.5315247961191</x:v>
      </x:c>
      <x:c r="T457" s="23" t="n">
        <x:v>-0.012794118177419822</x:v>
      </x:c>
      <x:c r="U457" s="23" t="n">
        <x:v>-0.33605498199078454</x:v>
      </x:c>
      <x:c r="V457" s="23" t="n">
        <x:v>16.124302875796502</x:v>
      </x:c>
    </x:row>
    <x:row r="458">
      <x:c r="A458" s="23" t="n">
        <x:v>457</x:v>
      </x:c>
      <x:c r="B458" s="23" t="str">
        <x:v>Validation</x:v>
      </x:c>
      <x:c r="C458" s="23" t="str">
        <x:v>Lightning</x:v>
      </x:c>
      <x:c r="D458" s="23" t="n">
        <x:v>1371.604580618441</x:v>
      </x:c>
      <x:c r="E458" s="23" t="n">
        <x:v>1033.1777952960692</x:v>
      </x:c>
      <x:c r="F458" s="23" t="n">
        <x:v>456.55961353331804</x:v>
      </x:c>
      <x:c r="G458" s="23" t="n">
        <x:v>101.96483459556475</x:v>
      </x:c>
      <x:c r="H458" s="23" t="n">
        <x:v>14.628351455554366</x:v>
      </x:c>
      <x:c r="I458" s="23" t="n">
        <x:v>0.8469547110167333</x:v>
      </x:c>
      <x:c r="J458" s="23" t="n">
        <x:v>9</x:v>
      </x:c>
      <x:c r="K458" s="23" t="n">
        <x:v>179.9393839779865</x:v>
      </x:c>
      <x:c r="L458" s="23" t="n">
        <x:v>45</x:v>
      </x:c>
      <x:c r="M458" s="23" t="n">
        <x:v>25</x:v>
      </x:c>
      <x:c r="N458" s="23" t="n">
        <x:v>1.1494768029937266</x:v>
      </x:c>
      <x:c r="O458" s="23" t="n">
        <x:v>52.223186172306036</x:v>
      </x:c>
      <x:c r="P458" s="23" t="n">
        <x:v>1371.604580618441</x:v>
      </x:c>
      <x:c r="Q458" s="23" t="n">
        <x:v>1.1466734728138626</x:v>
      </x:c>
      <x:c r="R458" s="23" t="n">
        <x:v>53.330753236738204</x:v>
      </x:c>
      <x:c r="S458" s="23" t="n">
        <x:v>1372.6285602253122</x:v>
      </x:c>
      <x:c r="T458" s="23" t="n">
        <x:v>-0.0028033301798640053</x:v>
      </x:c>
      <x:c r="U458" s="23" t="n">
        <x:v>1.1075670644321676</x:v>
      </x:c>
      <x:c r="V458" s="23" t="n">
        <x:v>1.0239796068710803</x:v>
      </x:c>
    </x:row>
    <x:row r="459">
      <x:c r="A459" s="23" t="n">
        <x:v>458</x:v>
      </x:c>
      <x:c r="B459" s="23" t="str">
        <x:v>Hidden Test</x:v>
      </x:c>
      <x:c r="C459" s="23" t="str">
        <x:v>Lightning</x:v>
      </x:c>
      <x:c r="D459" s="23" t="n">
        <x:v>1385.0712560699321</x:v>
      </x:c>
      <x:c r="E459" s="23" t="n">
        <x:v>677.6533320778981</x:v>
      </x:c>
      <x:c r="F459" s="23" t="n">
        <x:v>544.4745511747897</x:v>
      </x:c>
      <x:c r="G459" s="23" t="n">
        <x:v>234.20087869279087</x:v>
      </x:c>
      <x:c r="H459" s="23" t="n">
        <x:v>10.342833761591464</x:v>
      </x:c>
      <x:c r="I459" s="23" t="n">
        <x:v>0.8299652541102842</x:v>
      </x:c>
      <x:c r="J459" s="23" t="n">
        <x:v>9</x:v>
      </x:c>
      <x:c r="K459" s="23" t="n">
        <x:v>185.4256012138346</x:v>
      </x:c>
      <x:c r="L459" s="23" t="n">
        <x:v>55</x:v>
      </x:c>
      <x:c r="M459" s="23" t="n">
        <x:v>25</x:v>
      </x:c>
      <x:c r="N459" s="23" t="n">
        <x:v>1.2467289190299111</x:v>
      </x:c>
      <x:c r="O459" s="23" t="n">
        <x:v>52.20207806220635</x:v>
      </x:c>
      <x:c r="P459" s="23" t="n">
        <x:v>1385.0712560699321</x:v>
      </x:c>
      <x:c r="Q459" s="23" t="n">
        <x:v>1.240487818997639</x:v>
      </x:c>
      <x:c r="R459" s="23" t="n">
        <x:v>51.88446656075752</x:v>
      </x:c>
      <x:c r="S459" s="23" t="n">
        <x:v>1405.1810268193904</x:v>
      </x:c>
      <x:c r="T459" s="23" t="n">
        <x:v>-0.006241100032272184</x:v>
      </x:c>
      <x:c r="U459" s="23" t="n">
        <x:v>-0.3176115014488303</x:v>
      </x:c>
      <x:c r="V459" s="23" t="n">
        <x:v>20.10977074945822</x:v>
      </x:c>
    </x:row>
    <x:row r="460">
      <x:c r="A460" s="23" t="n">
        <x:v>459</x:v>
      </x:c>
      <x:c r="B460" s="23" t="str">
        <x:v>Hidden Test</x:v>
      </x:c>
      <x:c r="C460" s="23" t="str">
        <x:v>Lightning</x:v>
      </x:c>
      <x:c r="D460" s="23" t="n">
        <x:v>1357.2978879092261</x:v>
      </x:c>
      <x:c r="E460" s="23" t="n">
        <x:v>1043.2233023107983</x:v>
      </x:c>
      <x:c r="F460" s="23" t="n">
        <x:v>701.2141931802034</x:v>
      </x:c>
      <x:c r="G460" s="23" t="n">
        <x:v>142.08154204068705</x:v>
      </x:c>
      <x:c r="H460" s="23" t="n">
        <x:v>15.724839569069445</x:v>
      </x:c>
      <x:c r="I460" s="23" t="n">
        <x:v>0.8147456386568956</x:v>
      </x:c>
      <x:c r="J460" s="23" t="n">
        <x:v>9</x:v>
      </x:c>
      <x:c r="K460" s="23" t="n">
        <x:v>185.10179039800627</x:v>
      </x:c>
      <x:c r="L460" s="23" t="n">
        <x:v>40</x:v>
      </x:c>
      <x:c r="M460" s="23" t="n">
        <x:v>25</x:v>
      </x:c>
      <x:c r="N460" s="23" t="n">
        <x:v>1.221960204796097</x:v>
      </x:c>
      <x:c r="O460" s="23" t="n">
        <x:v>52.269155480927125</x:v>
      </x:c>
      <x:c r="P460" s="23" t="n">
        <x:v>1357.2978879092261</x:v>
      </x:c>
      <x:c r="Q460" s="23" t="n">
        <x:v>1.2196811987652434</x:v>
      </x:c>
      <x:c r="R460" s="23" t="n">
        <x:v>52.222801219570684</x:v>
      </x:c>
      <x:c r="S460" s="23" t="n">
        <x:v>1352.9221976960337</x:v>
      </x:c>
      <x:c r="T460" s="23" t="n">
        <x:v>-0.0022790060308535143</x:v>
      </x:c>
      <x:c r="U460" s="23" t="n">
        <x:v>-0.046354261356441384</x:v>
      </x:c>
      <x:c r="V460" s="23" t="n">
        <x:v>-4.375690213192456</x:v>
      </x:c>
    </x:row>
    <x:row r="461">
      <x:c r="A461" s="23" t="n">
        <x:v>460</x:v>
      </x:c>
      <x:c r="B461" s="23" t="str">
        <x:v>Hidden Test</x:v>
      </x:c>
      <x:c r="C461" s="23" t="str">
        <x:v>Lightning</x:v>
      </x:c>
      <x:c r="D461" s="23" t="n">
        <x:v>1472.947082889732</x:v>
      </x:c>
      <x:c r="E461" s="23" t="n">
        <x:v>940.4146505054086</x:v>
      </x:c>
      <x:c r="F461" s="23" t="n">
        <x:v>626.6625831834972</x:v>
      </x:c>
      <x:c r="G461" s="23" t="n">
        <x:v>255.43793737422675</x:v>
      </x:c>
      <x:c r="H461" s="23" t="n">
        <x:v>20.471784863155335</x:v>
      </x:c>
      <x:c r="I461" s="23" t="n">
        <x:v>0.8119317605718971</x:v>
      </x:c>
      <x:c r="J461" s="23" t="n">
        <x:v>10</x:v>
      </x:c>
      <x:c r="K461" s="23" t="n">
        <x:v>181.41266968694984</x:v>
      </x:c>
      <x:c r="L461" s="23" t="n">
        <x:v>35</x:v>
      </x:c>
      <x:c r="M461" s="23" t="n">
        <x:v>25</x:v>
      </x:c>
      <x:c r="N461" s="23" t="n">
        <x:v>1.1810650833069616</x:v>
      </x:c>
      <x:c r="O461" s="23" t="n">
        <x:v>52.29075075338669</x:v>
      </x:c>
      <x:c r="P461" s="23" t="n">
        <x:v>1472.947082889732</x:v>
      </x:c>
      <x:c r="Q461" s="23" t="n">
        <x:v>1.172602944451122</x:v>
      </x:c>
      <x:c r="R461" s="23" t="n">
        <x:v>52.73757068741333</x:v>
      </x:c>
      <x:c r="S461" s="23" t="n">
        <x:v>1470.635661120749</x:v>
      </x:c>
      <x:c r="T461" s="23" t="n">
        <x:v>-0.008462138855839685</x:v>
      </x:c>
      <x:c r="U461" s="23" t="n">
        <x:v>0.44681993402664233</x:v>
      </x:c>
      <x:c r="V461" s="23" t="n">
        <x:v>-2.311421768982882</x:v>
      </x:c>
    </x:row>
    <x:row r="462">
      <x:c r="A462" s="23" t="n">
        <x:v>461</x:v>
      </x:c>
      <x:c r="B462" s="23" t="str">
        <x:v>Train</x:v>
      </x:c>
      <x:c r="C462" s="23" t="str">
        <x:v>Lightning</x:v>
      </x:c>
      <x:c r="D462" s="23" t="n">
        <x:v>1448.5409283544868</x:v>
      </x:c>
      <x:c r="E462" s="23" t="n">
        <x:v>921.4442751253955</x:v>
      </x:c>
      <x:c r="F462" s="23" t="n">
        <x:v>433.38294234126806</x:v>
      </x:c>
      <x:c r="G462" s="23" t="n">
        <x:v>259.0798677247949</x:v>
      </x:c>
      <x:c r="H462" s="23" t="n">
        <x:v>27.874061454087496</x:v>
      </x:c>
      <x:c r="I462" s="23" t="n">
        <x:v>0.8069761467003264</x:v>
      </x:c>
      <x:c r="J462" s="23" t="n">
        <x:v>9</x:v>
      </x:c>
      <x:c r="K462" s="23" t="n">
        <x:v>199.44702541394503</x:v>
      </x:c>
      <x:c r="L462" s="23" t="n">
        <x:v>45</x:v>
      </x:c>
      <x:c r="M462" s="23" t="n">
        <x:v>25</x:v>
      </x:c>
      <x:c r="N462" s="23" t="n">
        <x:v>1.2268541512058566</x:v>
      </x:c>
      <x:c r="O462" s="23" t="n">
        <x:v>52.226648462258474</x:v>
      </x:c>
      <x:c r="P462" s="23" t="n">
        <x:v>1448.5409283544868</x:v>
      </x:c>
      <x:c r="Q462" s="23" t="n">
        <x:v>1.2291218896259541</x:v>
      </x:c>
      <x:c r="R462" s="23" t="n">
        <x:v>52.179249898691374</x:v>
      </x:c>
      <x:c r="S462" s="23" t="n">
        <x:v>1432.830332988353</x:v>
      </x:c>
      <x:c r="T462" s="23" t="n">
        <x:v>0.0022677384200975315</x:v>
      </x:c>
      <x:c r="U462" s="23" t="n">
        <x:v>-0.04739856356709993</x:v>
      </x:c>
      <x:c r="V462" s="23" t="n">
        <x:v>-15.71059536613393</x:v>
      </x:c>
    </x:row>
    <x:row r="463">
      <x:c r="A463" s="23" t="n">
        <x:v>462</x:v>
      </x:c>
      <x:c r="B463" s="23" t="str">
        <x:v>Train</x:v>
      </x:c>
      <x:c r="C463" s="23" t="str">
        <x:v>Lightning</x:v>
      </x:c>
      <x:c r="D463" s="23" t="n">
        <x:v>1454.6212511253543</x:v>
      </x:c>
      <x:c r="E463" s="23" t="n">
        <x:v>1134.9050474120304</x:v>
      </x:c>
      <x:c r="F463" s="23" t="n">
        <x:v>428.45396446064115</x:v>
      </x:c>
      <x:c r="G463" s="23" t="n">
        <x:v>254.763148650527</x:v>
      </x:c>
      <x:c r="H463" s="23" t="n">
        <x:v>24.634157026652247</x:v>
      </x:c>
      <x:c r="I463" s="23" t="n">
        <x:v>0.8136036300612614</x:v>
      </x:c>
      <x:c r="J463" s="23" t="n">
        <x:v>9</x:v>
      </x:c>
      <x:c r="K463" s="23" t="n">
        <x:v>198.65273148572723</x:v>
      </x:c>
      <x:c r="L463" s="23" t="n">
        <x:v>40</x:v>
      </x:c>
      <x:c r="M463" s="23" t="n">
        <x:v>25</x:v>
      </x:c>
      <x:c r="N463" s="23" t="n">
        <x:v>1.2276163122008432</x:v>
      </x:c>
      <x:c r="O463" s="23" t="n">
        <x:v>52.25849069787957</x:v>
      </x:c>
      <x:c r="P463" s="23" t="n">
        <x:v>1454.6212511253543</x:v>
      </x:c>
      <x:c r="Q463" s="23" t="n">
        <x:v>1.2223542292633565</x:v>
      </x:c>
      <x:c r="R463" s="23" t="n">
        <x:v>53.95272182297517</x:v>
      </x:c>
      <x:c r="S463" s="23" t="n">
        <x:v>1445.0255148863587</x:v>
      </x:c>
      <x:c r="T463" s="23" t="n">
        <x:v>-0.005262082937486756</x:v>
      </x:c>
      <x:c r="U463" s="23" t="n">
        <x:v>1.6942311250955981</x:v>
      </x:c>
      <x:c r="V463" s="23" t="n">
        <x:v>-9.595736238995642</x:v>
      </x:c>
    </x:row>
    <x:row r="464">
      <x:c r="A464" s="23" t="n">
        <x:v>463</x:v>
      </x:c>
      <x:c r="B464" s="23" t="str">
        <x:v>Train</x:v>
      </x:c>
      <x:c r="C464" s="23" t="str">
        <x:v>Lightning</x:v>
      </x:c>
      <x:c r="D464" s="23" t="n">
        <x:v>1436.3663425901905</x:v>
      </x:c>
      <x:c r="E464" s="23" t="n">
        <x:v>694.5105751161464</x:v>
      </x:c>
      <x:c r="F464" s="23" t="n">
        <x:v>607.5319297611713</x:v>
      </x:c>
      <x:c r="G464" s="23" t="n">
        <x:v>98.63306429004297</x:v>
      </x:c>
      <x:c r="H464" s="23" t="n">
        <x:v>8.911185174249113</x:v>
      </x:c>
      <x:c r="I464" s="23" t="n">
        <x:v>0.8399407440214418</x:v>
      </x:c>
      <x:c r="J464" s="23" t="n">
        <x:v>9</x:v>
      </x:c>
      <x:c r="K464" s="23" t="n">
        <x:v>190.00895173115308</x:v>
      </x:c>
      <x:c r="L464" s="23" t="n">
        <x:v>55</x:v>
      </x:c>
      <x:c r="M464" s="23" t="n">
        <x:v>25</x:v>
      </x:c>
      <x:c r="N464" s="23" t="n">
        <x:v>1.1948576308037442</x:v>
      </x:c>
      <x:c r="O464" s="23" t="n">
        <x:v>52.193400338122416</x:v>
      </x:c>
      <x:c r="P464" s="23" t="n">
        <x:v>1436.3663425901905</x:v>
      </x:c>
      <x:c r="Q464" s="23" t="n">
        <x:v>1.198868301548328</x:v>
      </x:c>
      <x:c r="R464" s="23" t="n">
        <x:v>50.71850692757416</x:v>
      </x:c>
      <x:c r="S464" s="23" t="n">
        <x:v>1443.6834549581931</x:v>
      </x:c>
      <x:c r="T464" s="23" t="n">
        <x:v>0.004010670744583722</x:v>
      </x:c>
      <x:c r="U464" s="23" t="n">
        <x:v>-1.4748934105482547</x:v>
      </x:c>
      <x:c r="V464" s="23" t="n">
        <x:v>7.317112368002654</x:v>
      </x:c>
    </x:row>
    <x:row r="465">
      <x:c r="A465" s="23" t="n">
        <x:v>464</x:v>
      </x:c>
      <x:c r="B465" s="23" t="str">
        <x:v>Train</x:v>
      </x:c>
      <x:c r="C465" s="23" t="str">
        <x:v>Lightning</x:v>
      </x:c>
      <x:c r="D465" s="23" t="n">
        <x:v>1391.6911065462045</x:v>
      </x:c>
      <x:c r="E465" s="23" t="n">
        <x:v>922.980740480125</x:v>
      </x:c>
      <x:c r="F465" s="23" t="n">
        <x:v>670.3026845119894</x:v>
      </x:c>
      <x:c r="G465" s="23" t="n">
        <x:v>280.22781763691455</x:v>
      </x:c>
      <x:c r="H465" s="23" t="n">
        <x:v>9.510878899600357</x:v>
      </x:c>
      <x:c r="I465" s="23" t="n">
        <x:v>0.8373895312752575</x:v>
      </x:c>
      <x:c r="J465" s="23" t="n">
        <x:v>9</x:v>
      </x:c>
      <x:c r="K465" s="23" t="n">
        <x:v>184.65999322479163</x:v>
      </x:c>
      <x:c r="L465" s="23" t="n">
        <x:v>40</x:v>
      </x:c>
      <x:c r="M465" s="23" t="n">
        <x:v>25</x:v>
      </x:c>
      <x:c r="N465" s="23" t="n">
        <x:v>1.1802170112498434</x:v>
      </x:c>
      <x:c r="O465" s="23" t="n">
        <x:v>52.26712724050693</x:v>
      </x:c>
      <x:c r="P465" s="23" t="n">
        <x:v>1391.6911065462045</x:v>
      </x:c>
      <x:c r="Q465" s="23" t="n">
        <x:v>1.1932946027812388</x:v>
      </x:c>
      <x:c r="R465" s="23" t="n">
        <x:v>53.3839711918875</x:v>
      </x:c>
      <x:c r="S465" s="23" t="n">
        <x:v>1387.902275294169</x:v>
      </x:c>
      <x:c r="T465" s="23" t="n">
        <x:v>0.013077591531395427</x:v>
      </x:c>
      <x:c r="U465" s="23" t="n">
        <x:v>1.1168439513805666</x:v>
      </x:c>
      <x:c r="V465" s="23" t="n">
        <x:v>-3.7888312520356067</x:v>
      </x:c>
    </x:row>
    <x:row r="466">
      <x:c r="A466" s="23" t="n">
        <x:v>465</x:v>
      </x:c>
      <x:c r="B466" s="23" t="str">
        <x:v>Train</x:v>
      </x:c>
      <x:c r="C466" s="23" t="str">
        <x:v>Lightning</x:v>
      </x:c>
      <x:c r="D466" s="23" t="n">
        <x:v>1490.5033917166293</x:v>
      </x:c>
      <x:c r="E466" s="23" t="n">
        <x:v>1221.8650457798503</x:v>
      </x:c>
      <x:c r="F466" s="23" t="n">
        <x:v>361.551315523684</x:v>
      </x:c>
      <x:c r="G466" s="23" t="n">
        <x:v>297.4370308057405</x:v>
      </x:c>
      <x:c r="H466" s="23" t="n">
        <x:v>24.079264821484685</x:v>
      </x:c>
      <x:c r="I466" s="23" t="n">
        <x:v>0.7946787910838612</x:v>
      </x:c>
      <x:c r="J466" s="23" t="n">
        <x:v>10</x:v>
      </x:c>
      <x:c r="K466" s="23" t="n">
        <x:v>187.56048461841218</x:v>
      </x:c>
      <x:c r="L466" s="23" t="n">
        <x:v>35</x:v>
      </x:c>
      <x:c r="M466" s="23" t="n">
        <x:v>25</x:v>
      </x:c>
      <x:c r="N466" s="23" t="n">
        <x:v>1.2346497361566982</x:v>
      </x:c>
      <x:c r="O466" s="23" t="n">
        <x:v>52.30085785018293</x:v>
      </x:c>
      <x:c r="P466" s="23" t="n">
        <x:v>1490.5033917166293</x:v>
      </x:c>
      <x:c r="Q466" s="23" t="n">
        <x:v>1.2462916506510127</x:v>
      </x:c>
      <x:c r="R466" s="23" t="n">
        <x:v>53.623142818612976</x:v>
      </x:c>
      <x:c r="S466" s="23" t="n">
        <x:v>1483.6416838762068</x:v>
      </x:c>
      <x:c r="T466" s="23" t="n">
        <x:v>0.01164191449431451</x:v>
      </x:c>
      <x:c r="U466" s="23" t="n">
        <x:v>1.322284968430047</x:v>
      </x:c>
      <x:c r="V466" s="23" t="n">
        <x:v>-6.8617078404224685</x:v>
      </x:c>
    </x:row>
    <x:row r="467">
      <x:c r="A467" s="23" t="n">
        <x:v>466</x:v>
      </x:c>
      <x:c r="B467" s="23" t="str">
        <x:v>Train</x:v>
      </x:c>
      <x:c r="C467" s="23" t="str">
        <x:v>Lightning</x:v>
      </x:c>
      <x:c r="D467" s="23" t="n">
        <x:v>1408.734301070217</x:v>
      </x:c>
      <x:c r="E467" s="23" t="n">
        <x:v>1240.8960954518989</x:v>
      </x:c>
      <x:c r="F467" s="23" t="n">
        <x:v>704.9084641970694</x:v>
      </x:c>
      <x:c r="G467" s="23" t="n">
        <x:v>146.12176005728543</x:v>
      </x:c>
      <x:c r="H467" s="23" t="n">
        <x:v>19.587518468964845</x:v>
      </x:c>
      <x:c r="I467" s="23" t="n">
        <x:v>0.8261869744444267</x:v>
      </x:c>
      <x:c r="J467" s="23" t="n">
        <x:v>9</x:v>
      </x:c>
      <x:c r="K467" s="23" t="n">
        <x:v>189.45594434904157</x:v>
      </x:c>
      <x:c r="L467" s="23" t="n">
        <x:v>35</x:v>
      </x:c>
      <x:c r="M467" s="23" t="n">
        <x:v>25</x:v>
      </x:c>
      <x:c r="N467" s="23" t="n">
        <x:v>1.2233968703889115</x:v>
      </x:c>
      <x:c r="O467" s="23" t="n">
        <x:v>52.3011836114002</x:v>
      </x:c>
      <x:c r="P467" s="23" t="n">
        <x:v>1408.734301070217</x:v>
      </x:c>
      <x:c r="Q467" s="23" t="n">
        <x:v>1.2389857284723187</x:v>
      </x:c>
      <x:c r="R467" s="23" t="n">
        <x:v>53.560175641624106</x:v>
      </x:c>
      <x:c r="S467" s="23" t="n">
        <x:v>1392.3902783120766</x:v>
      </x:c>
      <x:c r="T467" s="23" t="n">
        <x:v>0.015588858083407153</x:v>
      </x:c>
      <x:c r="U467" s="23" t="n">
        <x:v>1.258992030223908</x:v>
      </x:c>
      <x:c r="V467" s="23" t="n">
        <x:v>-16.344022758140454</x:v>
      </x:c>
    </x:row>
    <x:row r="468">
      <x:c r="A468" s="23" t="n">
        <x:v>467</x:v>
      </x:c>
      <x:c r="B468" s="23" t="str">
        <x:v>Train</x:v>
      </x:c>
      <x:c r="C468" s="23" t="str">
        <x:v>Lightning</x:v>
      </x:c>
      <x:c r="D468" s="23" t="n">
        <x:v>1484.932137443684</x:v>
      </x:c>
      <x:c r="E468" s="23" t="n">
        <x:v>1039.7841244586743</x:v>
      </x:c>
      <x:c r="F468" s="23" t="n">
        <x:v>671.9746198505163</x:v>
      </x:c>
      <x:c r="G468" s="23" t="n">
        <x:v>141.5836686338298</x:v>
      </x:c>
      <x:c r="H468" s="23" t="n">
        <x:v>18.12437525112182</x:v>
      </x:c>
      <x:c r="I468" s="23" t="n">
        <x:v>0.84379935574485</x:v>
      </x:c>
      <x:c r="J468" s="23" t="n">
        <x:v>9</x:v>
      </x:c>
      <x:c r="K468" s="23" t="n">
        <x:v>195.5351809558097</x:v>
      </x:c>
      <x:c r="L468" s="23" t="n">
        <x:v>40</x:v>
      </x:c>
      <x:c r="M468" s="23" t="n">
        <x:v>25</x:v>
      </x:c>
      <x:c r="N468" s="23" t="n">
        <x:v>1.2147879892763083</x:v>
      </x:c>
      <x:c r="O468" s="23" t="n">
        <x:v>52.263982415738134</x:v>
      </x:c>
      <x:c r="P468" s="23" t="n">
        <x:v>1484.932137443684</x:v>
      </x:c>
      <x:c r="Q468" s="23" t="n">
        <x:v>1.2160934844150768</x:v>
      </x:c>
      <x:c r="R468" s="23" t="n">
        <x:v>52.68354722236042</x:v>
      </x:c>
      <x:c r="S468" s="23" t="n">
        <x:v>1487.1123166976658</x:v>
      </x:c>
      <x:c r="T468" s="23" t="n">
        <x:v>0.001305495138768542</x:v>
      </x:c>
      <x:c r="U468" s="23" t="n">
        <x:v>0.419564806622283</x:v>
      </x:c>
      <x:c r="V468" s="23" t="n">
        <x:v>2.1801792539818052</x:v>
      </x:c>
    </x:row>
    <x:row r="469">
      <x:c r="A469" s="23" t="n">
        <x:v>468</x:v>
      </x:c>
      <x:c r="B469" s="23" t="str">
        <x:v>Train</x:v>
      </x:c>
      <x:c r="C469" s="23" t="str">
        <x:v>Lightning</x:v>
      </x:c>
      <x:c r="D469" s="23" t="n">
        <x:v>1453.3665282069705</x:v>
      </x:c>
      <x:c r="E469" s="23" t="n">
        <x:v>841.6869154665619</x:v>
      </x:c>
      <x:c r="F469" s="23" t="n">
        <x:v>729.3299454264343</x:v>
      </x:c>
      <x:c r="G469" s="23" t="n">
        <x:v>249.89882790949196</x:v>
      </x:c>
      <x:c r="H469" s="23" t="n">
        <x:v>21.687787547241896</x:v>
      </x:c>
      <x:c r="I469" s="23" t="n">
        <x:v>0.814692717064172</x:v>
      </x:c>
      <x:c r="J469" s="23" t="n">
        <x:v>9</x:v>
      </x:c>
      <x:c r="K469" s="23" t="n">
        <x:v>198.21604688293115</x:v>
      </x:c>
      <x:c r="L469" s="23" t="n">
        <x:v>40</x:v>
      </x:c>
      <x:c r="M469" s="23" t="n">
        <x:v>25</x:v>
      </x:c>
      <x:c r="N469" s="23" t="n">
        <x:v>1.213997194147138</x:v>
      </x:c>
      <x:c r="O469" s="23" t="n">
        <x:v>52.25892627877652</x:v>
      </x:c>
      <x:c r="P469" s="23" t="n">
        <x:v>1453.3665282069705</x:v>
      </x:c>
      <x:c r="Q469" s="23" t="n">
        <x:v>1.21904723344198</x:v>
      </x:c>
      <x:c r="R469" s="23" t="n">
        <x:v>52.62556911215022</x:v>
      </x:c>
      <x:c r="S469" s="23" t="n">
        <x:v>1451.6854025138523</x:v>
      </x:c>
      <x:c r="T469" s="23" t="n">
        <x:v>0.005050039294842046</x:v>
      </x:c>
      <x:c r="U469" s="23" t="n">
        <x:v>0.36664283337369596</x:v>
      </x:c>
      <x:c r="V469" s="23" t="n">
        <x:v>-1.681125693118247</x:v>
      </x:c>
    </x:row>
    <x:row r="470">
      <x:c r="A470" s="23" t="n">
        <x:v>469</x:v>
      </x:c>
      <x:c r="B470" s="23" t="str">
        <x:v>Train</x:v>
      </x:c>
      <x:c r="C470" s="23" t="str">
        <x:v>Lightning</x:v>
      </x:c>
      <x:c r="D470" s="23" t="n">
        <x:v>1385.5523378122598</x:v>
      </x:c>
      <x:c r="E470" s="23" t="n">
        <x:v>992.1976398560219</x:v>
      </x:c>
      <x:c r="F470" s="23" t="n">
        <x:v>737.646478228271</x:v>
      </x:c>
      <x:c r="G470" s="23" t="n">
        <x:v>172.87506371038035</x:v>
      </x:c>
      <x:c r="H470" s="23" t="n">
        <x:v>23.350677236914635</x:v>
      </x:c>
      <x:c r="I470" s="23" t="n">
        <x:v>0.8575222250656225</x:v>
      </x:c>
      <x:c r="J470" s="23" t="n">
        <x:v>9</x:v>
      </x:c>
      <x:c r="K470" s="23" t="n">
        <x:v>179.52917750340129</x:v>
      </x:c>
      <x:c r="L470" s="23" t="n">
        <x:v>35</x:v>
      </x:c>
      <x:c r="M470" s="23" t="n">
        <x:v>25</x:v>
      </x:c>
      <x:c r="N470" s="23" t="n">
        <x:v>1.1452629617465366</x:v>
      </x:c>
      <x:c r="O470" s="23" t="n">
        <x:v>52.27168148842133</x:v>
      </x:c>
      <x:c r="P470" s="23" t="n">
        <x:v>1385.5523378122598</x:v>
      </x:c>
      <x:c r="Q470" s="23" t="n">
        <x:v>1.1460771837682793</x:v>
      </x:c>
      <x:c r="R470" s="23" t="n">
        <x:v>52.03219460169741</x:v>
      </x:c>
      <x:c r="S470" s="23" t="n">
        <x:v>1380.0829042208197</x:v>
      </x:c>
      <x:c r="T470" s="23" t="n">
        <x:v>0.0008142220217426388</x:v>
      </x:c>
      <x:c r="U470" s="23" t="n">
        <x:v>-0.23948688672391683</x:v>
      </x:c>
      <x:c r="V470" s="23" t="n">
        <x:v>-5.469433591440065</x:v>
      </x:c>
    </x:row>
    <x:row r="471">
      <x:c r="A471" s="23" t="n">
        <x:v>470</x:v>
      </x:c>
      <x:c r="B471" s="23" t="str">
        <x:v>Train</x:v>
      </x:c>
      <x:c r="C471" s="23" t="str">
        <x:v>Lightning</x:v>
      </x:c>
      <x:c r="D471" s="23" t="n">
        <x:v>1405.4653656785376</x:v>
      </x:c>
      <x:c r="E471" s="23" t="n">
        <x:v>700.6038097431883</x:v>
      </x:c>
      <x:c r="F471" s="23" t="n">
        <x:v>448.37351562455297</x:v>
      </x:c>
      <x:c r="G471" s="23" t="n">
        <x:v>124.07634260132909</x:v>
      </x:c>
      <x:c r="H471" s="23" t="n">
        <x:v>28.52032140502706</x:v>
      </x:c>
      <x:c r="I471" s="23" t="n">
        <x:v>0.8192097211396322</x:v>
      </x:c>
      <x:c r="J471" s="23" t="n">
        <x:v>9</x:v>
      </x:c>
      <x:c r="K471" s="23" t="n">
        <x:v>190.62617835086562</x:v>
      </x:c>
      <x:c r="L471" s="23" t="n">
        <x:v>55</x:v>
      </x:c>
      <x:c r="M471" s="23" t="n">
        <x:v>25</x:v>
      </x:c>
      <x:c r="N471" s="23" t="n">
        <x:v>1.166460449802214</x:v>
      </x:c>
      <x:c r="O471" s="23" t="n">
        <x:v>52.17350089317808</x:v>
      </x:c>
      <x:c r="P471" s="23" t="n">
        <x:v>1405.4653656785376</x:v>
      </x:c>
      <x:c r="Q471" s="23" t="n">
        <x:v>1.1428365929198252</x:v>
      </x:c>
      <x:c r="R471" s="23" t="n">
        <x:v>52.64868518427974</x:v>
      </x:c>
      <x:c r="S471" s="23" t="n">
        <x:v>1405.0307720404949</x:v>
      </x:c>
      <x:c r="T471" s="23" t="n">
        <x:v>-0.023623856882388772</x:v>
      </x:c>
      <x:c r="U471" s="23" t="n">
        <x:v>0.4751842911016624</x:v>
      </x:c>
      <x:c r="V471" s="23" t="n">
        <x:v>-0.4345936380427702</x:v>
      </x:c>
    </x:row>
    <x:row r="472">
      <x:c r="A472" s="23" t="n">
        <x:v>471</x:v>
      </x:c>
      <x:c r="B472" s="23" t="str">
        <x:v>Train</x:v>
      </x:c>
      <x:c r="C472" s="23" t="str">
        <x:v>Lightning</x:v>
      </x:c>
      <x:c r="D472" s="23" t="n">
        <x:v>1368.002947163768</x:v>
      </x:c>
      <x:c r="E472" s="23" t="n">
        <x:v>1211.1645238590427</x:v>
      </x:c>
      <x:c r="F472" s="23" t="n">
        <x:v>370.0127109885216</x:v>
      </x:c>
      <x:c r="G472" s="23" t="n">
        <x:v>175.1158487587236</x:v>
      </x:c>
      <x:c r="H472" s="23" t="n">
        <x:v>9.511145467869937</x:v>
      </x:c>
      <x:c r="I472" s="23" t="n">
        <x:v>0.8491926414868795</x:v>
      </x:c>
      <x:c r="J472" s="23" t="n">
        <x:v>9</x:v>
      </x:c>
      <x:c r="K472" s="23" t="n">
        <x:v>178.99392910011386</x:v>
      </x:c>
      <x:c r="L472" s="23" t="n">
        <x:v>45</x:v>
      </x:c>
      <x:c r="M472" s="23" t="n">
        <x:v>25</x:v>
      </x:c>
      <x:c r="N472" s="23" t="n">
        <x:v>1.235920433297996</x:v>
      </x:c>
      <x:c r="O472" s="23" t="n">
        <x:v>52.2488499990613</x:v>
      </x:c>
      <x:c r="P472" s="23" t="n">
        <x:v>1368.002947163768</x:v>
      </x:c>
      <x:c r="Q472" s="23" t="n">
        <x:v>1.2541217639551654</x:v>
      </x:c>
      <x:c r="R472" s="23" t="n">
        <x:v>53.86228157422282</x:v>
      </x:c>
      <x:c r="S472" s="23" t="n">
        <x:v>1373.4300517985907</x:v>
      </x:c>
      <x:c r="T472" s="23" t="n">
        <x:v>0.018201330657169335</x:v>
      </x:c>
      <x:c r="U472" s="23" t="n">
        <x:v>1.6134315751615205</x:v>
      </x:c>
      <x:c r="V472" s="23" t="n">
        <x:v>5.427104634822626</x:v>
      </x:c>
    </x:row>
    <x:row r="473">
      <x:c r="A473" s="23" t="n">
        <x:v>472</x:v>
      </x:c>
      <x:c r="B473" s="23" t="str">
        <x:v>Train</x:v>
      </x:c>
      <x:c r="C473" s="23" t="str">
        <x:v>Lightning</x:v>
      </x:c>
      <x:c r="D473" s="23" t="n">
        <x:v>1426.0814654524438</x:v>
      </x:c>
      <x:c r="E473" s="23" t="n">
        <x:v>975.6671748124063</x:v>
      </x:c>
      <x:c r="F473" s="23" t="n">
        <x:v>600.8300325833261</x:v>
      </x:c>
      <x:c r="G473" s="23" t="n">
        <x:v>176.50809376034886</x:v>
      </x:c>
      <x:c r="H473" s="23" t="n">
        <x:v>25.05294253444299</x:v>
      </x:c>
      <x:c r="I473" s="23" t="n">
        <x:v>0.8420724881161005</x:v>
      </x:c>
      <x:c r="J473" s="23" t="n">
        <x:v>9</x:v>
      </x:c>
      <x:c r="K473" s="23" t="n">
        <x:v>188.1708503692807</x:v>
      </x:c>
      <x:c r="L473" s="23" t="n">
        <x:v>40</x:v>
      </x:c>
      <x:c r="M473" s="23" t="n">
        <x:v>25</x:v>
      </x:c>
      <x:c r="N473" s="23" t="n">
        <x:v>1.1903471680324902</x:v>
      </x:c>
      <x:c r="O473" s="23" t="n">
        <x:v>52.248337351582755</x:v>
      </x:c>
      <x:c r="P473" s="23" t="n">
        <x:v>1426.0814654524438</x:v>
      </x:c>
      <x:c r="Q473" s="23" t="n">
        <x:v>1.181852244282559</x:v>
      </x:c>
      <x:c r="R473" s="23" t="n">
        <x:v>51.46875778503699</x:v>
      </x:c>
      <x:c r="S473" s="23" t="n">
        <x:v>1418.7406370437386</x:v>
      </x:c>
      <x:c r="T473" s="23" t="n">
        <x:v>-0.008494923749931216</x:v>
      </x:c>
      <x:c r="U473" s="23" t="n">
        <x:v>-0.7795795665457632</x:v>
      </x:c>
      <x:c r="V473" s="23" t="n">
        <x:v>-7.3408284087051925</x:v>
      </x:c>
    </x:row>
    <x:row r="474">
      <x:c r="A474" s="23" t="n">
        <x:v>473</x:v>
      </x:c>
      <x:c r="B474" s="23" t="str">
        <x:v>Train</x:v>
      </x:c>
      <x:c r="C474" s="23" t="str">
        <x:v>Lightning</x:v>
      </x:c>
      <x:c r="D474" s="23" t="n">
        <x:v>1489.8692809045315</x:v>
      </x:c>
      <x:c r="E474" s="23" t="n">
        <x:v>817.5671818084083</x:v>
      </x:c>
      <x:c r="F474" s="23" t="n">
        <x:v>729.5346604660153</x:v>
      </x:c>
      <x:c r="G474" s="23" t="n">
        <x:v>220.71211457485333</x:v>
      </x:c>
      <x:c r="H474" s="23" t="n">
        <x:v>20.454613683745265</x:v>
      </x:c>
      <x:c r="I474" s="23" t="n">
        <x:v>0.7996581911039539</x:v>
      </x:c>
      <x:c r="J474" s="23" t="n">
        <x:v>10</x:v>
      </x:c>
      <x:c r="K474" s="23" t="n">
        <x:v>186.3132645271499</x:v>
      </x:c>
      <x:c r="L474" s="23" t="n">
        <x:v>35</x:v>
      </x:c>
      <x:c r="M474" s="23" t="n">
        <x:v>25</x:v>
      </x:c>
      <x:c r="N474" s="23" t="n">
        <x:v>1.148824955898955</x:v>
      </x:c>
      <x:c r="O474" s="23" t="n">
        <x:v>52.281273768024136</x:v>
      </x:c>
      <x:c r="P474" s="23" t="n">
        <x:v>1489.8692809045315</x:v>
      </x:c>
      <x:c r="Q474" s="23" t="n">
        <x:v>1.1557848301416522</x:v>
      </x:c>
      <x:c r="R474" s="23" t="n">
        <x:v>52.16883568144483</x:v>
      </x:c>
      <x:c r="S474" s="23" t="n">
        <x:v>1482.5184975846944</x:v>
      </x:c>
      <x:c r="T474" s="23" t="n">
        <x:v>0.006959874242697284</x:v>
      </x:c>
      <x:c r="U474" s="23" t="n">
        <x:v>-0.11243808657930288</x:v>
      </x:c>
      <x:c r="V474" s="23" t="n">
        <x:v>-7.350783319837092</x:v>
      </x:c>
    </x:row>
    <x:row r="475">
      <x:c r="A475" s="23" t="n">
        <x:v>474</x:v>
      </x:c>
      <x:c r="B475" s="23" t="str">
        <x:v>Train</x:v>
      </x:c>
      <x:c r="C475" s="23" t="str">
        <x:v>Lightning</x:v>
      </x:c>
      <x:c r="D475" s="23" t="n">
        <x:v>1421.8610657961108</x:v>
      </x:c>
      <x:c r="E475" s="23" t="n">
        <x:v>929.1360246250406</x:v>
      </x:c>
      <x:c r="F475" s="23" t="n">
        <x:v>469.8973403312266</x:v>
      </x:c>
      <x:c r="G475" s="23" t="n">
        <x:v>214.27626504562795</x:v>
      </x:c>
      <x:c r="H475" s="23" t="n">
        <x:v>8.800101902801543</x:v>
      </x:c>
      <x:c r="I475" s="23" t="n">
        <x:v>0.7989512695418671</x:v>
      </x:c>
      <x:c r="J475" s="23" t="n">
        <x:v>9</x:v>
      </x:c>
      <x:c r="K475" s="23" t="n">
        <x:v>197.73992343341</x:v>
      </x:c>
      <x:c r="L475" s="23" t="n">
        <x:v>50</x:v>
      </x:c>
      <x:c r="M475" s="23" t="n">
        <x:v>25</x:v>
      </x:c>
      <x:c r="N475" s="23" t="n">
        <x:v>1.2525598237817699</x:v>
      </x:c>
      <x:c r="O475" s="23" t="n">
        <x:v>52.226555304058046</x:v>
      </x:c>
      <x:c r="P475" s="23" t="n">
        <x:v>1421.8610657961108</x:v>
      </x:c>
      <x:c r="Q475" s="23" t="n">
        <x:v>1.2672477320433113</x:v>
      </x:c>
      <x:c r="R475" s="23" t="n">
        <x:v>51.34319706383747</x:v>
      </x:c>
      <x:c r="S475" s="23" t="n">
        <x:v>1427.0763198972943</x:v>
      </x:c>
      <x:c r="T475" s="23" t="n">
        <x:v>0.014687908261541427</x:v>
      </x:c>
      <x:c r="U475" s="23" t="n">
        <x:v>-0.8833582402205735</x:v>
      </x:c>
      <x:c r="V475" s="23" t="n">
        <x:v>5.215254101183518</x:v>
      </x:c>
    </x:row>
    <x:row r="476">
      <x:c r="A476" s="23" t="n">
        <x:v>475</x:v>
      </x:c>
      <x:c r="B476" s="23" t="str">
        <x:v>Validation</x:v>
      </x:c>
      <x:c r="C476" s="23" t="str">
        <x:v>Lightning</x:v>
      </x:c>
      <x:c r="D476" s="23" t="n">
        <x:v>1411.3879524869844</x:v>
      </x:c>
      <x:c r="E476" s="23" t="n">
        <x:v>673.7689059809782</x:v>
      </x:c>
      <x:c r="F476" s="23" t="n">
        <x:v>437.18287386000156</x:v>
      </x:c>
      <x:c r="G476" s="23" t="n">
        <x:v>184.71188015071675</x:v>
      </x:c>
      <x:c r="H476" s="23" t="n">
        <x:v>16.91658812109381</x:v>
      </x:c>
      <x:c r="I476" s="23" t="n">
        <x:v>0.8123865061509423</x:v>
      </x:c>
      <x:c r="J476" s="23" t="n">
        <x:v>9</x:v>
      </x:c>
      <x:c r="K476" s="23" t="n">
        <x:v>193.0372826509349</x:v>
      </x:c>
      <x:c r="L476" s="23" t="n">
        <x:v>60</x:v>
      </x:c>
      <x:c r="M476" s="23" t="n">
        <x:v>25</x:v>
      </x:c>
      <x:c r="N476" s="23" t="n">
        <x:v>1.2320903777142518</x:v>
      </x:c>
      <x:c r="O476" s="23" t="n">
        <x:v>52.1770263561842</x:v>
      </x:c>
      <x:c r="P476" s="23" t="n">
        <x:v>1411.3879524869844</x:v>
      </x:c>
      <x:c r="Q476" s="23" t="n">
        <x:v>1.2232926169862632</x:v>
      </x:c>
      <x:c r="R476" s="23" t="n">
        <x:v>52.265630209419086</x:v>
      </x:c>
      <x:c r="S476" s="23" t="n">
        <x:v>1431.2163266254645</x:v>
      </x:c>
      <x:c r="T476" s="23" t="n">
        <x:v>-0.008797760727988546</x:v>
      </x:c>
      <x:c r="U476" s="23" t="n">
        <x:v>0.08860385323488629</x:v>
      </x:c>
      <x:c r="V476" s="23" t="n">
        <x:v>19.828374138480058</x:v>
      </x:c>
    </x:row>
    <x:row r="477">
      <x:c r="A477" s="23" t="n">
        <x:v>476</x:v>
      </x:c>
      <x:c r="B477" s="23" t="str">
        <x:v>Validation</x:v>
      </x:c>
      <x:c r="C477" s="23" t="str">
        <x:v>Lightning</x:v>
      </x:c>
      <x:c r="D477" s="23" t="n">
        <x:v>1401.3409093371592</x:v>
      </x:c>
      <x:c r="E477" s="23" t="n">
        <x:v>1087.6067339908332</x:v>
      </x:c>
      <x:c r="F477" s="23" t="n">
        <x:v>474.5170916430652</x:v>
      </x:c>
      <x:c r="G477" s="23" t="n">
        <x:v>271.4964764146134</x:v>
      </x:c>
      <x:c r="H477" s="23" t="n">
        <x:v>28.36505043087527</x:v>
      </x:c>
      <x:c r="I477" s="23" t="n">
        <x:v>0.8306061983853579</x:v>
      </x:c>
      <x:c r="J477" s="23" t="n">
        <x:v>9</x:v>
      </x:c>
      <x:c r="K477" s="23" t="n">
        <x:v>187.45892552281174</x:v>
      </x:c>
      <x:c r="L477" s="23" t="n">
        <x:v>40</x:v>
      </x:c>
      <x:c r="M477" s="23" t="n">
        <x:v>25</x:v>
      </x:c>
      <x:c r="N477" s="23" t="n">
        <x:v>1.2561277855885151</x:v>
      </x:c>
      <x:c r="O477" s="23" t="n">
        <x:v>52.26090724559691</x:v>
      </x:c>
      <x:c r="P477" s="23" t="n">
        <x:v>1401.3409093371592</x:v>
      </x:c>
      <x:c r="Q477" s="23" t="n">
        <x:v>1.246598082562262</x:v>
      </x:c>
      <x:c r="R477" s="23" t="n">
        <x:v>53.72631155068735</x:v>
      </x:c>
      <x:c r="S477" s="23" t="n">
        <x:v>1378.6881954174316</x:v>
      </x:c>
      <x:c r="T477" s="23" t="n">
        <x:v>-0.009529703026253111</x:v>
      </x:c>
      <x:c r="U477" s="23" t="n">
        <x:v>1.4654043050904377</x:v>
      </x:c>
      <x:c r="V477" s="23" t="n">
        <x:v>-22.652713919727603</x:v>
      </x:c>
    </x:row>
    <x:row r="478">
      <x:c r="A478" s="23" t="n">
        <x:v>477</x:v>
      </x:c>
      <x:c r="B478" s="23" t="str">
        <x:v>Validation</x:v>
      </x:c>
      <x:c r="C478" s="23" t="str">
        <x:v>Lightning</x:v>
      </x:c>
      <x:c r="D478" s="23" t="n">
        <x:v>1414.1796119045466</x:v>
      </x:c>
      <x:c r="E478" s="23" t="n">
        <x:v>1050.3009826759808</x:v>
      </x:c>
      <x:c r="F478" s="23" t="n">
        <x:v>532.5433349236846</x:v>
      </x:c>
      <x:c r="G478" s="23" t="n">
        <x:v>104.36939702602103</x:v>
      </x:c>
      <x:c r="H478" s="23" t="n">
        <x:v>10.604952316731215</x:v>
      </x:c>
      <x:c r="I478" s="23" t="n">
        <x:v>0.826427053178195</x:v>
      </x:c>
      <x:c r="J478" s="23" t="n">
        <x:v>9</x:v>
      </x:c>
      <x:c r="K478" s="23" t="n">
        <x:v>190.13301583620026</x:v>
      </x:c>
      <x:c r="L478" s="23" t="n">
        <x:v>45</x:v>
      </x:c>
      <x:c r="M478" s="23" t="n">
        <x:v>25</x:v>
      </x:c>
      <x:c r="N478" s="23" t="n">
        <x:v>1.1945583649959408</x:v>
      </x:c>
      <x:c r="O478" s="23" t="n">
        <x:v>52.238078798453</x:v>
      </x:c>
      <x:c r="P478" s="23" t="n">
        <x:v>1414.1796119045466</x:v>
      </x:c>
      <x:c r="Q478" s="23" t="n">
        <x:v>1.2034652744726175</x:v>
      </x:c>
      <x:c r="R478" s="23" t="n">
        <x:v>52.494208295200465</x:v>
      </x:c>
      <x:c r="S478" s="23" t="n">
        <x:v>1421.026782282342</x:v>
      </x:c>
      <x:c r="T478" s="23" t="n">
        <x:v>0.008906909476676717</x:v>
      </x:c>
      <x:c r="U478" s="23" t="n">
        <x:v>0.2561294967474623</x:v>
      </x:c>
      <x:c r="V478" s="23" t="n">
        <x:v>6.8471703777954644</x:v>
      </x:c>
    </x:row>
    <x:row r="479">
      <x:c r="A479" s="23" t="n">
        <x:v>478</x:v>
      </x:c>
      <x:c r="B479" s="23" t="str">
        <x:v>Hidden Test</x:v>
      </x:c>
      <x:c r="C479" s="23" t="str">
        <x:v>Lightning</x:v>
      </x:c>
      <x:c r="D479" s="23" t="n">
        <x:v>1499.623135488946</x:v>
      </x:c>
      <x:c r="E479" s="23" t="n">
        <x:v>751.7097129253671</x:v>
      </x:c>
      <x:c r="F479" s="23" t="n">
        <x:v>604.3700178153813</x:v>
      </x:c>
      <x:c r="G479" s="23" t="n">
        <x:v>172.70708542317152</x:v>
      </x:c>
      <x:c r="H479" s="23" t="n">
        <x:v>14.19352780515328</x:v>
      </x:c>
      <x:c r="I479" s="23" t="n">
        <x:v>0.8570198078034446</x:v>
      </x:c>
      <x:c r="J479" s="23" t="n">
        <x:v>9</x:v>
      </x:c>
      <x:c r="K479" s="23" t="n">
        <x:v>194.42350260161092</x:v>
      </x:c>
      <x:c r="L479" s="23" t="n">
        <x:v>50</x:v>
      </x:c>
      <x:c r="M479" s="23" t="n">
        <x:v>25</x:v>
      </x:c>
      <x:c r="N479" s="23" t="n">
        <x:v>1.2129397441128478</x:v>
      </x:c>
      <x:c r="O479" s="23" t="n">
        <x:v>52.213376084310354</x:v>
      </x:c>
      <x:c r="P479" s="23" t="n">
        <x:v>1499.623135488946</x:v>
      </x:c>
      <x:c r="Q479" s="23" t="n">
        <x:v>1.2142848640662227</x:v>
      </x:c>
      <x:c r="R479" s="23" t="n">
        <x:v>52.42731539153834</x:v>
      </x:c>
      <x:c r="S479" s="23" t="n">
        <x:v>1512.6444294911846</x:v>
      </x:c>
      <x:c r="T479" s="23" t="n">
        <x:v>0.0013451199533749403</x:v>
      </x:c>
      <x:c r="U479" s="23" t="n">
        <x:v>0.2139393072279887</x:v>
      </x:c>
      <x:c r="V479" s="23" t="n">
        <x:v>13.02129400223862</x:v>
      </x:c>
    </x:row>
    <x:row r="480">
      <x:c r="A480" s="23" t="n">
        <x:v>479</x:v>
      </x:c>
      <x:c r="B480" s="23" t="str">
        <x:v>Hidden Test</x:v>
      </x:c>
      <x:c r="C480" s="23" t="str">
        <x:v>Lightning</x:v>
      </x:c>
      <x:c r="D480" s="23" t="n">
        <x:v>1455.3813118720427</x:v>
      </x:c>
      <x:c r="E480" s="23" t="n">
        <x:v>658.7340339203365</x:v>
      </x:c>
      <x:c r="F480" s="23" t="n">
        <x:v>670.772572606802</x:v>
      </x:c>
      <x:c r="G480" s="23" t="n">
        <x:v>118.02845388418064</x:v>
      </x:c>
      <x:c r="H480" s="23" t="n">
        <x:v>18.667233190499246</x:v>
      </x:c>
      <x:c r="I480" s="23" t="n">
        <x:v>0.8266542627825402</x:v>
      </x:c>
      <x:c r="J480" s="23" t="n">
        <x:v>9</x:v>
      </x:c>
      <x:c r="K480" s="23" t="n">
        <x:v>195.61870292440312</x:v>
      </x:c>
      <x:c r="L480" s="23" t="n">
        <x:v>50</x:v>
      </x:c>
      <x:c r="M480" s="23" t="n">
        <x:v>25</x:v>
      </x:c>
      <x:c r="N480" s="23" t="n">
        <x:v>1.171220935712288</x:v>
      </x:c>
      <x:c r="O480" s="23" t="n">
        <x:v>52.20070690429463</x:v>
      </x:c>
      <x:c r="P480" s="23" t="n">
        <x:v>1455.3813118720427</x:v>
      </x:c>
      <x:c r="Q480" s="23" t="n">
        <x:v>1.1633588547834595</x:v>
      </x:c>
      <x:c r="R480" s="23" t="n">
        <x:v>52.31755797975356</x:v>
      </x:c>
      <x:c r="S480" s="23" t="n">
        <x:v>1461.8622439175356</x:v>
      </x:c>
      <x:c r="T480" s="23" t="n">
        <x:v>-0.007862080928828563</x:v>
      </x:c>
      <x:c r="U480" s="23" t="n">
        <x:v>0.11685107545893203</x:v>
      </x:c>
      <x:c r="V480" s="23" t="n">
        <x:v>6.480932045492864</x:v>
      </x:c>
    </x:row>
    <x:row r="481">
      <x:c r="A481" s="23" t="n">
        <x:v>480</x:v>
      </x:c>
      <x:c r="B481" s="23" t="str">
        <x:v>Hidden Test</x:v>
      </x:c>
      <x:c r="C481" s="23" t="str">
        <x:v>Lightning</x:v>
      </x:c>
      <x:c r="D481" s="23" t="n">
        <x:v>1457.0685749757104</x:v>
      </x:c>
      <x:c r="E481" s="23" t="n">
        <x:v>839.0771076083183</x:v>
      </x:c>
      <x:c r="F481" s="23" t="n">
        <x:v>642.9144113324583</x:v>
      </x:c>
      <x:c r="G481" s="23" t="n">
        <x:v>239.34396826196462</x:v>
      </x:c>
      <x:c r="H481" s="23" t="n">
        <x:v>14.845365108456463</x:v>
      </x:c>
      <x:c r="I481" s="23" t="n">
        <x:v>0.7981157010328025</x:v>
      </x:c>
      <x:c r="J481" s="23" t="n">
        <x:v>10</x:v>
      </x:c>
      <x:c r="K481" s="23" t="n">
        <x:v>182.56357732220894</x:v>
      </x:c>
      <x:c r="L481" s="23" t="n">
        <x:v>40</x:v>
      </x:c>
      <x:c r="M481" s="23" t="n">
        <x:v>25</x:v>
      </x:c>
      <x:c r="N481" s="23" t="n">
        <x:v>1.2248786558024105</x:v>
      </x:c>
      <x:c r="O481" s="23" t="n">
        <x:v>52.27322137315787</x:v>
      </x:c>
      <x:c r="P481" s="23" t="n">
        <x:v>1457.0685749757104</x:v>
      </x:c>
      <x:c r="Q481" s="23" t="n">
        <x:v>1.241962197044612</x:v>
      </x:c>
      <x:c r="R481" s="23" t="n">
        <x:v>51.21457384020668</x:v>
      </x:c>
      <x:c r="S481" s="23" t="n">
        <x:v>1468.3306762887692</x:v>
      </x:c>
      <x:c r="T481" s="23" t="n">
        <x:v>0.01708354124220146</x:v>
      </x:c>
      <x:c r="U481" s="23" t="n">
        <x:v>-1.0586475329511842</x:v>
      </x:c>
      <x:c r="V481" s="23" t="n">
        <x:v>11.262101313058793</x:v>
      </x:c>
    </x:row>
    <x:row r="482">
      <x:c r="A482" s="23" t="n">
        <x:v>481</x:v>
      </x:c>
      <x:c r="B482" s="23" t="str">
        <x:v>Train</x:v>
      </x:c>
      <x:c r="C482" s="23" t="str">
        <x:v>Lightning</x:v>
      </x:c>
      <x:c r="D482" s="23" t="n">
        <x:v>1386.6889997385442</x:v>
      </x:c>
      <x:c r="E482" s="23" t="n">
        <x:v>1218.3666504337452</x:v>
      </x:c>
      <x:c r="F482" s="23" t="n">
        <x:v>474.4660997763276</x:v>
      </x:c>
      <x:c r="G482" s="23" t="n">
        <x:v>223.22336303303018</x:v>
      </x:c>
      <x:c r="H482" s="23" t="n">
        <x:v>23.60852020420134</x:v>
      </x:c>
      <x:c r="I482" s="23" t="n">
        <x:v>0.8195476161246188</x:v>
      </x:c>
      <x:c r="J482" s="23" t="n">
        <x:v>9</x:v>
      </x:c>
      <x:c r="K482" s="23" t="n">
        <x:v>188.00195680524843</x:v>
      </x:c>
      <x:c r="L482" s="23" t="n">
        <x:v>35</x:v>
      </x:c>
      <x:c r="M482" s="23" t="n">
        <x:v>25</x:v>
      </x:c>
      <x:c r="N482" s="23" t="n">
        <x:v>1.1538358502582429</x:v>
      </x:c>
      <x:c r="O482" s="23" t="n">
        <x:v>52.27376104945743</x:v>
      </x:c>
      <x:c r="P482" s="23" t="n">
        <x:v>1386.6889997385442</x:v>
      </x:c>
      <x:c r="Q482" s="23" t="n">
        <x:v>1.1669106769997815</x:v>
      </x:c>
      <x:c r="R482" s="23" t="n">
        <x:v>53.42672184178093</x:v>
      </x:c>
      <x:c r="S482" s="23" t="n">
        <x:v>1378.3714074279187</x:v>
      </x:c>
      <x:c r="T482" s="23" t="n">
        <x:v>0.013074826741538592</x:v>
      </x:c>
      <x:c r="U482" s="23" t="n">
        <x:v>1.1529607923235048</x:v>
      </x:c>
      <x:c r="V482" s="23" t="n">
        <x:v>-8.317592310625514</x:v>
      </x:c>
    </x:row>
    <x:row r="483">
      <x:c r="A483" s="23" t="n">
        <x:v>482</x:v>
      </x:c>
      <x:c r="B483" s="23" t="str">
        <x:v>Train</x:v>
      </x:c>
      <x:c r="C483" s="23" t="str">
        <x:v>Lightning</x:v>
      </x:c>
      <x:c r="D483" s="23" t="n">
        <x:v>1440.1371085667051</x:v>
      </x:c>
      <x:c r="E483" s="23" t="n">
        <x:v>1059.5378267811611</x:v>
      </x:c>
      <x:c r="F483" s="23" t="n">
        <x:v>445.11821204796433</x:v>
      </x:c>
      <x:c r="G483" s="23" t="n">
        <x:v>290.2102043572813</x:v>
      </x:c>
      <x:c r="H483" s="23" t="n">
        <x:v>25.549382128287107</x:v>
      </x:c>
      <x:c r="I483" s="23" t="n">
        <x:v>0.8233473079511896</x:v>
      </x:c>
      <x:c r="J483" s="23" t="n">
        <x:v>9</x:v>
      </x:c>
      <x:c r="K483" s="23" t="n">
        <x:v>194.34718828846357</x:v>
      </x:c>
      <x:c r="L483" s="23" t="n">
        <x:v>40</x:v>
      </x:c>
      <x:c r="M483" s="23" t="n">
        <x:v>25</x:v>
      </x:c>
      <x:c r="N483" s="23" t="n">
        <x:v>1.2182492829887797</x:v>
      </x:c>
      <x:c r="O483" s="23" t="n">
        <x:v>52.254864518968844</x:v>
      </x:c>
      <x:c r="P483" s="23" t="n">
        <x:v>1440.1371085667051</x:v>
      </x:c>
      <x:c r="Q483" s="23" t="n">
        <x:v>1.2174900158446786</x:v>
      </x:c>
      <x:c r="R483" s="23" t="n">
        <x:v>52.23407912423791</x:v>
      </x:c>
      <x:c r="S483" s="23" t="n">
        <x:v>1432.8296559014027</x:v>
      </x:c>
      <x:c r="T483" s="23" t="n">
        <x:v>-0.0007592671441010168</x:v>
      </x:c>
      <x:c r="U483" s="23" t="n">
        <x:v>-0.02078539473093599</x:v>
      </x:c>
      <x:c r="V483" s="23" t="n">
        <x:v>-7.307452665302435</x:v>
      </x:c>
    </x:row>
    <x:row r="484">
      <x:c r="A484" s="23" t="n">
        <x:v>483</x:v>
      </x:c>
      <x:c r="B484" s="23" t="str">
        <x:v>Train</x:v>
      </x:c>
      <x:c r="C484" s="23" t="str">
        <x:v>Lightning</x:v>
      </x:c>
      <x:c r="D484" s="23" t="n">
        <x:v>1361.1311800545081</x:v>
      </x:c>
      <x:c r="E484" s="23" t="n">
        <x:v>655.8585131191649</x:v>
      </x:c>
      <x:c r="F484" s="23" t="n">
        <x:v>408.4577601402998</x:v>
      </x:c>
      <x:c r="G484" s="23" t="n">
        <x:v>141.01545103592798</x:v>
      </x:c>
      <x:c r="H484" s="23" t="n">
        <x:v>12.633426268585026</x:v>
      </x:c>
      <x:c r="I484" s="23" t="n">
        <x:v>0.8124420378427022</x:v>
      </x:c>
      <x:c r="J484" s="23" t="n">
        <x:v>9</x:v>
      </x:c>
      <x:c r="K484" s="23" t="n">
        <x:v>186.15087691106817</x:v>
      </x:c>
      <x:c r="L484" s="23" t="n">
        <x:v>65</x:v>
      </x:c>
      <x:c r="M484" s="23" t="n">
        <x:v>25</x:v>
      </x:c>
      <x:c r="N484" s="23" t="n">
        <x:v>1.2217982511206995</x:v>
      </x:c>
      <x:c r="O484" s="23" t="n">
        <x:v>52.16294134911075</x:v>
      </x:c>
      <x:c r="P484" s="23" t="n">
        <x:v>1361.1311800545081</x:v>
      </x:c>
      <x:c r="Q484" s="23" t="n">
        <x:v>1.2265393209560065</x:v>
      </x:c>
      <x:c r="R484" s="23" t="n">
        <x:v>51.104032971664836</x:v>
      </x:c>
      <x:c r="S484" s="23" t="n">
        <x:v>1376.5634328014653</x:v>
      </x:c>
      <x:c r="T484" s="23" t="n">
        <x:v>0.004741069835306977</x:v>
      </x:c>
      <x:c r="U484" s="23" t="n">
        <x:v>-1.058908377445917</x:v>
      </x:c>
      <x:c r="V484" s="23" t="n">
        <x:v>15.432252746957147</x:v>
      </x:c>
    </x:row>
    <x:row r="485">
      <x:c r="A485" s="23" t="n">
        <x:v>484</x:v>
      </x:c>
      <x:c r="B485" s="23" t="str">
        <x:v>Train</x:v>
      </x:c>
      <x:c r="C485" s="23" t="str">
        <x:v>Lightning</x:v>
      </x:c>
      <x:c r="D485" s="23" t="n">
        <x:v>1497.7283615036868</x:v>
      </x:c>
      <x:c r="E485" s="23" t="n">
        <x:v>757.4825205374509</x:v>
      </x:c>
      <x:c r="F485" s="23" t="n">
        <x:v>624.4257125072181</x:v>
      </x:c>
      <x:c r="G485" s="23" t="n">
        <x:v>175.96141648944467</x:v>
      </x:c>
      <x:c r="H485" s="23" t="n">
        <x:v>28.750319577287883</x:v>
      </x:c>
      <x:c r="I485" s="23" t="n">
        <x:v>0.7991887107305229</x:v>
      </x:c>
      <x:c r="J485" s="23" t="n">
        <x:v>10</x:v>
      </x:c>
      <x:c r="K485" s="23" t="n">
        <x:v>187.40609588123965</x:v>
      </x:c>
      <x:c r="L485" s="23" t="n">
        <x:v>40</x:v>
      </x:c>
      <x:c r="M485" s="23" t="n">
        <x:v>25</x:v>
      </x:c>
      <x:c r="N485" s="23" t="n">
        <x:v>1.181206454305075</x:v>
      </x:c>
      <x:c r="O485" s="23" t="n">
        <x:v>52.24490091678178</x:v>
      </x:c>
      <x:c r="P485" s="23" t="n">
        <x:v>1497.7283615036868</x:v>
      </x:c>
      <x:c r="Q485" s="23" t="n">
        <x:v>1.1849480938324766</x:v>
      </x:c>
      <x:c r="R485" s="23" t="n">
        <x:v>51.01151297540804</x:v>
      </x:c>
      <x:c r="S485" s="23" t="n">
        <x:v>1489.3137161170507</x:v>
      </x:c>
      <x:c r="T485" s="23" t="n">
        <x:v>0.0037416395274014747</x:v>
      </x:c>
      <x:c r="U485" s="23" t="n">
        <x:v>-1.233387941373742</x:v>
      </x:c>
      <x:c r="V485" s="23" t="n">
        <x:v>-8.414645386636039</x:v>
      </x:c>
    </x:row>
    <x:row r="486">
      <x:c r="A486" s="23" t="n">
        <x:v>485</x:v>
      </x:c>
      <x:c r="B486" s="23" t="str">
        <x:v>Train</x:v>
      </x:c>
      <x:c r="C486" s="23" t="str">
        <x:v>Lightning</x:v>
      </x:c>
      <x:c r="D486" s="23" t="n">
        <x:v>1366.7522145900875</x:v>
      </x:c>
      <x:c r="E486" s="23" t="n">
        <x:v>1100.0699659693055</x:v>
      </x:c>
      <x:c r="F486" s="23" t="n">
        <x:v>450.64568649977446</x:v>
      </x:c>
      <x:c r="G486" s="23" t="n">
        <x:v>177.34264138387516</x:v>
      </x:c>
      <x:c r="H486" s="23" t="n">
        <x:v>14.08665094524622</x:v>
      </x:c>
      <x:c r="I486" s="23" t="n">
        <x:v>0.8340940543473698</x:v>
      </x:c>
      <x:c r="J486" s="23" t="n">
        <x:v>9</x:v>
      </x:c>
      <x:c r="K486" s="23" t="n">
        <x:v>182.0674255920684</x:v>
      </x:c>
      <x:c r="L486" s="23" t="n">
        <x:v>45</x:v>
      </x:c>
      <x:c r="M486" s="23" t="n">
        <x:v>25</x:v>
      </x:c>
      <x:c r="N486" s="23" t="n">
        <x:v>1.2392541671641848</x:v>
      </x:c>
      <x:c r="O486" s="23" t="n">
        <x:v>52.24444748946901</x:v>
      </x:c>
      <x:c r="P486" s="23" t="n">
        <x:v>1366.7522145900875</x:v>
      </x:c>
      <x:c r="Q486" s="23" t="n">
        <x:v>1.2494095242273167</x:v>
      </x:c>
      <x:c r="R486" s="23" t="n">
        <x:v>52.11209688112527</x:v>
      </x:c>
      <x:c r="S486" s="23" t="n">
        <x:v>1374.7216400345633</x:v>
      </x:c>
      <x:c r="T486" s="23" t="n">
        <x:v>0.010155357063131865</x:v>
      </x:c>
      <x:c r="U486" s="23" t="n">
        <x:v>-0.13235060834374224</x:v>
      </x:c>
      <x:c r="V486" s="23" t="n">
        <x:v>7.969425444475746</x:v>
      </x:c>
    </x:row>
    <x:row r="487">
      <x:c r="A487" s="23" t="n">
        <x:v>486</x:v>
      </x:c>
      <x:c r="B487" s="23" t="str">
        <x:v>Train</x:v>
      </x:c>
      <x:c r="C487" s="23" t="str">
        <x:v>Lightning</x:v>
      </x:c>
      <x:c r="D487" s="23" t="n">
        <x:v>1488.70998948114</x:v>
      </x:c>
      <x:c r="E487" s="23" t="n">
        <x:v>1166.1555915838107</x:v>
      </x:c>
      <x:c r="F487" s="23" t="n">
        <x:v>682.0155230350792</x:v>
      </x:c>
      <x:c r="G487" s="23" t="n">
        <x:v>225.56697150692344</x:v>
      </x:c>
      <x:c r="H487" s="23" t="n">
        <x:v>23.1592808351852</x:v>
      </x:c>
      <x:c r="I487" s="23" t="n">
        <x:v>0.8508544428786263</x:v>
      </x:c>
      <x:c r="J487" s="23" t="n">
        <x:v>9</x:v>
      </x:c>
      <x:c r="K487" s="23" t="n">
        <x:v>194.40718966435003</x:v>
      </x:c>
      <x:c r="L487" s="23" t="n">
        <x:v>35</x:v>
      </x:c>
      <x:c r="M487" s="23" t="n">
        <x:v>25</x:v>
      </x:c>
      <x:c r="N487" s="23" t="n">
        <x:v>1.2348652022262239</x:v>
      </x:c>
      <x:c r="O487" s="23" t="n">
        <x:v>52.298347611079166</x:v>
      </x:c>
      <x:c r="P487" s="23" t="n">
        <x:v>1488.70998948114</x:v>
      </x:c>
      <x:c r="Q487" s="23" t="n">
        <x:v>1.246189412013367</x:v>
      </x:c>
      <x:c r="R487" s="23" t="n">
        <x:v>52.81269527824117</x:v>
      </x:c>
      <x:c r="S487" s="23" t="n">
        <x:v>1470.16306137452</x:v>
      </x:c>
      <x:c r="T487" s="23" t="n">
        <x:v>0.011324209787143102</x:v>
      </x:c>
      <x:c r="U487" s="23" t="n">
        <x:v>0.5143476671620064</x:v>
      </x:c>
      <x:c r="V487" s="23" t="n">
        <x:v>-18.546928106619816</x:v>
      </x:c>
    </x:row>
    <x:row r="488">
      <x:c r="A488" s="23" t="n">
        <x:v>487</x:v>
      </x:c>
      <x:c r="B488" s="23" t="str">
        <x:v>Train</x:v>
      </x:c>
      <x:c r="C488" s="23" t="str">
        <x:v>Lightning</x:v>
      </x:c>
      <x:c r="D488" s="23" t="n">
        <x:v>1462.663023476489</x:v>
      </x:c>
      <x:c r="E488" s="23" t="n">
        <x:v>619.7703939047642</x:v>
      </x:c>
      <x:c r="F488" s="23" t="n">
        <x:v>515.1436984539032</x:v>
      </x:c>
      <x:c r="G488" s="23" t="n">
        <x:v>273.18510772427544</x:v>
      </x:c>
      <x:c r="H488" s="23" t="n">
        <x:v>8.039753365330398</x:v>
      </x:c>
      <x:c r="I488" s="23" t="n">
        <x:v>0.8589306608564221</x:v>
      </x:c>
      <x:c r="J488" s="23" t="n">
        <x:v>9</x:v>
      </x:c>
      <x:c r="K488" s="23" t="n">
        <x:v>189.2098176557889</x:v>
      </x:c>
      <x:c r="L488" s="23" t="n">
        <x:v>55</x:v>
      </x:c>
      <x:c r="M488" s="23" t="n">
        <x:v>25</x:v>
      </x:c>
      <x:c r="N488" s="23" t="n">
        <x:v>1.1974303131942572</x:v>
      </x:c>
      <x:c r="O488" s="23" t="n">
        <x:v>52.19455786777293</x:v>
      </x:c>
      <x:c r="P488" s="23" t="n">
        <x:v>1462.663023476489</x:v>
      </x:c>
      <x:c r="Q488" s="23" t="n">
        <x:v>1.1983804401191362</x:v>
      </x:c>
      <x:c r="R488" s="23" t="n">
        <x:v>52.419203148366236</x:v>
      </x:c>
      <x:c r="S488" s="23" t="n">
        <x:v>1473.1140347337457</x:v>
      </x:c>
      <x:c r="T488" s="23" t="n">
        <x:v>0.0009501269248790578</x:v>
      </x:c>
      <x:c r="U488" s="23" t="n">
        <x:v>0.22464528059330746</x:v>
      </x:c>
      <x:c r="V488" s="23" t="n">
        <x:v>10.451011257256823</x:v>
      </x:c>
    </x:row>
    <x:row r="489">
      <x:c r="A489" s="23" t="n">
        <x:v>488</x:v>
      </x:c>
      <x:c r="B489" s="23" t="str">
        <x:v>Train</x:v>
      </x:c>
      <x:c r="C489" s="23" t="str">
        <x:v>Lightning</x:v>
      </x:c>
      <x:c r="D489" s="23" t="n">
        <x:v>1405.1391714136116</x:v>
      </x:c>
      <x:c r="E489" s="23" t="n">
        <x:v>880.3988971747458</x:v>
      </x:c>
      <x:c r="F489" s="23" t="n">
        <x:v>705.547062214464</x:v>
      </x:c>
      <x:c r="G489" s="23" t="n">
        <x:v>247.5998248392716</x:v>
      </x:c>
      <x:c r="H489" s="23" t="n">
        <x:v>21.856267196591944</x:v>
      </x:c>
      <x:c r="I489" s="23" t="n">
        <x:v>0.8292919628415257</x:v>
      </x:c>
      <x:c r="J489" s="23" t="n">
        <x:v>9</x:v>
      </x:c>
      <x:c r="K489" s="23" t="n">
        <x:v>188.26490741156204</x:v>
      </x:c>
      <x:c r="L489" s="23" t="n">
        <x:v>40</x:v>
      </x:c>
      <x:c r="M489" s="23" t="n">
        <x:v>25</x:v>
      </x:c>
      <x:c r="N489" s="23" t="n">
        <x:v>1.2225120097370485</x:v>
      </x:c>
      <x:c r="O489" s="23" t="n">
        <x:v>52.26089562640582</x:v>
      </x:c>
      <x:c r="P489" s="23" t="n">
        <x:v>1405.1391714136116</x:v>
      </x:c>
      <x:c r="Q489" s="23" t="n">
        <x:v>1.213269391649819</x:v>
      </x:c>
      <x:c r="R489" s="23" t="n">
        <x:v>51.50027441705578</x:v>
      </x:c>
      <x:c r="S489" s="23" t="n">
        <x:v>1393.8747825615922</x:v>
      </x:c>
      <x:c r="T489" s="23" t="n">
        <x:v>-0.009242618087229593</x:v>
      </x:c>
      <x:c r="U489" s="23" t="n">
        <x:v>-0.7606212093500417</x:v>
      </x:c>
      <x:c r="V489" s="23" t="n">
        <x:v>-11.264388852019465</x:v>
      </x:c>
    </x:row>
    <x:row r="490">
      <x:c r="A490" s="23" t="n">
        <x:v>489</x:v>
      </x:c>
      <x:c r="B490" s="23" t="str">
        <x:v>Train</x:v>
      </x:c>
      <x:c r="C490" s="23" t="str">
        <x:v>Lightning</x:v>
      </x:c>
      <x:c r="D490" s="23" t="n">
        <x:v>1370.9931230172515</x:v>
      </x:c>
      <x:c r="E490" s="23" t="n">
        <x:v>875.1687746844254</x:v>
      </x:c>
      <x:c r="F490" s="23" t="n">
        <x:v>570.3850926831365</x:v>
      </x:c>
      <x:c r="G490" s="23" t="n">
        <x:v>199.2659917869605</x:v>
      </x:c>
      <x:c r="H490" s="23" t="n">
        <x:v>10.991664161905646</x:v>
      </x:c>
      <x:c r="I490" s="23" t="n">
        <x:v>0.8058536999044009</x:v>
      </x:c>
      <x:c r="J490" s="23" t="n">
        <x:v>9</x:v>
      </x:c>
      <x:c r="K490" s="23" t="n">
        <x:v>189.03253685155306</x:v>
      </x:c>
      <x:c r="L490" s="23" t="n">
        <x:v>45</x:v>
      </x:c>
      <x:c r="M490" s="23" t="n">
        <x:v>25</x:v>
      </x:c>
      <x:c r="N490" s="23" t="n">
        <x:v>1.167754964026169</x:v>
      </x:c>
      <x:c r="O490" s="23" t="n">
        <x:v>52.23146853653867</x:v>
      </x:c>
      <x:c r="P490" s="23" t="n">
        <x:v>1370.9931230172515</x:v>
      </x:c>
      <x:c r="Q490" s="23" t="n">
        <x:v>1.1680446576727814</x:v>
      </x:c>
      <x:c r="R490" s="23" t="n">
        <x:v>51.20077587493629</x:v>
      </x:c>
      <x:c r="S490" s="23" t="n">
        <x:v>1381.3814104902667</x:v>
      </x:c>
      <x:c r="T490" s="23" t="n">
        <x:v>0.00028969364661235453</x:v>
      </x:c>
      <x:c r="U490" s="23" t="n">
        <x:v>-1.0306926616023802</x:v>
      </x:c>
      <x:c r="V490" s="23" t="n">
        <x:v>10.388287473015225</x:v>
      </x:c>
    </x:row>
    <x:row r="491">
      <x:c r="A491" s="23" t="n">
        <x:v>490</x:v>
      </x:c>
      <x:c r="B491" s="23" t="str">
        <x:v>Train</x:v>
      </x:c>
      <x:c r="C491" s="23" t="str">
        <x:v>Lightning</x:v>
      </x:c>
      <x:c r="D491" s="23" t="n">
        <x:v>1385.3606585995294</x:v>
      </x:c>
      <x:c r="E491" s="23" t="n">
        <x:v>971.2175030494109</x:v>
      </x:c>
      <x:c r="F491" s="23" t="n">
        <x:v>699.3584633804858</x:v>
      </x:c>
      <x:c r="G491" s="23" t="n">
        <x:v>324.17849513702095</x:v>
      </x:c>
      <x:c r="H491" s="23" t="n">
        <x:v>9.639874984044582</x:v>
      </x:c>
      <x:c r="I491" s="23" t="n">
        <x:v>0.8285041752131657</x:v>
      </x:c>
      <x:c r="J491" s="23" t="n">
        <x:v>9</x:v>
      </x:c>
      <x:c r="K491" s="23" t="n">
        <x:v>185.7914138175707</x:v>
      </x:c>
      <x:c r="L491" s="23" t="n">
        <x:v>40</x:v>
      </x:c>
      <x:c r="M491" s="23" t="n">
        <x:v>25</x:v>
      </x:c>
      <x:c r="N491" s="23" t="n">
        <x:v>1.253898943708418</x:v>
      </x:c>
      <x:c r="O491" s="23" t="n">
        <x:v>52.28603208941982</x:v>
      </x:c>
      <x:c r="P491" s="23" t="n">
        <x:v>1385.3606585995294</x:v>
      </x:c>
      <x:c r="Q491" s="23" t="n">
        <x:v>1.2632952196572016</x:v>
      </x:c>
      <x:c r="R491" s="23" t="n">
        <x:v>51.96744635663354</x:v>
      </x:c>
      <x:c r="S491" s="23" t="n">
        <x:v>1387.7993946460033</x:v>
      </x:c>
      <x:c r="T491" s="23" t="n">
        <x:v>0.009396275948783561</x:v>
      </x:c>
      <x:c r="U491" s="23" t="n">
        <x:v>-0.318585732786282</x:v>
      </x:c>
      <x:c r="V491" s="23" t="n">
        <x:v>2.4387360464738776</x:v>
      </x:c>
    </x:row>
    <x:row r="492">
      <x:c r="A492" s="23" t="n">
        <x:v>491</x:v>
      </x:c>
      <x:c r="B492" s="23" t="str">
        <x:v>Train</x:v>
      </x:c>
      <x:c r="C492" s="23" t="str">
        <x:v>Lightning</x:v>
      </x:c>
      <x:c r="D492" s="23" t="n">
        <x:v>1495.0259825913236</x:v>
      </x:c>
      <x:c r="E492" s="23" t="n">
        <x:v>856.026414653752</x:v>
      </x:c>
      <x:c r="F492" s="23" t="n">
        <x:v>609.2589039355516</x:v>
      </x:c>
      <x:c r="G492" s="23" t="n">
        <x:v>218.43782077310607</x:v>
      </x:c>
      <x:c r="H492" s="23" t="n">
        <x:v>9.992262587882578</x:v>
      </x:c>
      <x:c r="I492" s="23" t="n">
        <x:v>0.8093377884360962</x:v>
      </x:c>
      <x:c r="J492" s="23" t="n">
        <x:v>10</x:v>
      </x:c>
      <x:c r="K492" s="23" t="n">
        <x:v>184.72212763970902</x:v>
      </x:c>
      <x:c r="L492" s="23" t="n">
        <x:v>40</x:v>
      </x:c>
      <x:c r="M492" s="23" t="n">
        <x:v>25</x:v>
      </x:c>
      <x:c r="N492" s="23" t="n">
        <x:v>1.175718294253577</x:v>
      </x:c>
      <x:c r="O492" s="23" t="n">
        <x:v>52.26670503389453</x:v>
      </x:c>
      <x:c r="P492" s="23" t="n">
        <x:v>1495.0259825913236</x:v>
      </x:c>
      <x:c r="Q492" s="23" t="n">
        <x:v>1.1744846335189825</x:v>
      </x:c>
      <x:c r="R492" s="23" t="n">
        <x:v>52.17224644339538</x:v>
      </x:c>
      <x:c r="S492" s="23" t="n">
        <x:v>1494.541952255675</x:v>
      </x:c>
      <x:c r="T492" s="23" t="n">
        <x:v>-0.0012336607345946327</x:v>
      </x:c>
      <x:c r="U492" s="23" t="n">
        <x:v>-0.09445859049915128</x:v>
      </x:c>
      <x:c r="V492" s="23" t="n">
        <x:v>-0.4840303356486402</x:v>
      </x:c>
    </x:row>
    <x:row r="493">
      <x:c r="A493" s="23" t="n">
        <x:v>492</x:v>
      </x:c>
      <x:c r="B493" s="23" t="str">
        <x:v>Train</x:v>
      </x:c>
      <x:c r="C493" s="23" t="str">
        <x:v>Lightning</x:v>
      </x:c>
      <x:c r="D493" s="23" t="n">
        <x:v>1371.0768392658792</x:v>
      </x:c>
      <x:c r="E493" s="23" t="n">
        <x:v>865.5866788234562</x:v>
      </x:c>
      <x:c r="F493" s="23" t="n">
        <x:v>608.4694127552211</x:v>
      </x:c>
      <x:c r="G493" s="23" t="n">
        <x:v>138.5584834916517</x:v>
      </x:c>
      <x:c r="H493" s="23" t="n">
        <x:v>18.45008226064965</x:v>
      </x:c>
      <x:c r="I493" s="23" t="n">
        <x:v>0.848444919474423</x:v>
      </x:c>
      <x:c r="J493" s="23" t="n">
        <x:v>9</x:v>
      </x:c>
      <x:c r="K493" s="23" t="n">
        <x:v>179.55422624713424</x:v>
      </x:c>
      <x:c r="L493" s="23" t="n">
        <x:v>45</x:v>
      </x:c>
      <x:c r="M493" s="23" t="n">
        <x:v>25</x:v>
      </x:c>
      <x:c r="N493" s="23" t="n">
        <x:v>1.181970054341061</x:v>
      </x:c>
      <x:c r="O493" s="23" t="n">
        <x:v>52.22644692761784</x:v>
      </x:c>
      <x:c r="P493" s="23" t="n">
        <x:v>1371.0768392658792</x:v>
      </x:c>
      <x:c r="Q493" s="23" t="n">
        <x:v>1.190233901878193</x:v>
      </x:c>
      <x:c r="R493" s="23" t="n">
        <x:v>51.90707915357123</x:v>
      </x:c>
      <x:c r="S493" s="23" t="n">
        <x:v>1374.6433195388402</x:v>
      </x:c>
      <x:c r="T493" s="23" t="n">
        <x:v>0.008263847537131941</x:v>
      </x:c>
      <x:c r="U493" s="23" t="n">
        <x:v>-0.31936777404661143</x:v>
      </x:c>
      <x:c r="V493" s="23" t="n">
        <x:v>3.5664802729609164</x:v>
      </x:c>
    </x:row>
    <x:row r="494">
      <x:c r="A494" s="23" t="n">
        <x:v>493</x:v>
      </x:c>
      <x:c r="B494" s="23" t="str">
        <x:v>Train</x:v>
      </x:c>
      <x:c r="C494" s="23" t="str">
        <x:v>Lightning</x:v>
      </x:c>
      <x:c r="D494" s="23" t="n">
        <x:v>1411.0946049448103</x:v>
      </x:c>
      <x:c r="E494" s="23" t="n">
        <x:v>1175.0591437215917</x:v>
      </x:c>
      <x:c r="F494" s="23" t="n">
        <x:v>395.9368398413062</x:v>
      </x:c>
      <x:c r="G494" s="23" t="n">
        <x:v>275.47752459766343</x:v>
      </x:c>
      <x:c r="H494" s="23" t="n">
        <x:v>11.137016866356134</x:v>
      </x:c>
      <x:c r="I494" s="23" t="n">
        <x:v>0.8351594399684109</x:v>
      </x:c>
      <x:c r="J494" s="23" t="n">
        <x:v>9</x:v>
      </x:c>
      <x:c r="K494" s="23" t="n">
        <x:v>187.73455933664908</x:v>
      </x:c>
      <x:c r="L494" s="23" t="n">
        <x:v>40</x:v>
      </x:c>
      <x:c r="M494" s="23" t="n">
        <x:v>25</x:v>
      </x:c>
      <x:c r="N494" s="23" t="n">
        <x:v>1.172902603698466</x:v>
      </x:c>
      <x:c r="O494" s="23" t="n">
        <x:v>52.26291138175994</x:v>
      </x:c>
      <x:c r="P494" s="23" t="n">
        <x:v>1411.0946049448103</x:v>
      </x:c>
      <x:c r="Q494" s="23" t="n">
        <x:v>1.1805833459818267</x:v>
      </x:c>
      <x:c r="R494" s="23" t="n">
        <x:v>52.05103781755343</x:v>
      </x:c>
      <x:c r="S494" s="23" t="n">
        <x:v>1406.842162265684</x:v>
      </x:c>
      <x:c r="T494" s="23" t="n">
        <x:v>0.007680742283360686</x:v>
      </x:c>
      <x:c r="U494" s="23" t="n">
        <x:v>-0.21187356420651327</x:v>
      </x:c>
      <x:c r="V494" s="23" t="n">
        <x:v>-4.252442679126261</x:v>
      </x:c>
    </x:row>
    <x:row r="495">
      <x:c r="A495" s="23" t="n">
        <x:v>494</x:v>
      </x:c>
      <x:c r="B495" s="23" t="str">
        <x:v>Train</x:v>
      </x:c>
      <x:c r="C495" s="23" t="str">
        <x:v>Lightning</x:v>
      </x:c>
      <x:c r="D495" s="23" t="n">
        <x:v>1497.0067618531175</x:v>
      </x:c>
      <x:c r="E495" s="23" t="n">
        <x:v>1101.296277414076</x:v>
      </x:c>
      <x:c r="F495" s="23" t="n">
        <x:v>589.7580598481</x:v>
      </x:c>
      <x:c r="G495" s="23" t="n">
        <x:v>191.87240481376648</x:v>
      </x:c>
      <x:c r="H495" s="23" t="n">
        <x:v>27.680287251714617</x:v>
      </x:c>
      <x:c r="I495" s="23" t="n">
        <x:v>0.8069627680582926</x:v>
      </x:c>
      <x:c r="J495" s="23" t="n">
        <x:v>10</x:v>
      </x:c>
      <x:c r="K495" s="23" t="n">
        <x:v>185.5112554269639</x:v>
      </x:c>
      <x:c r="L495" s="23" t="n">
        <x:v>35</x:v>
      </x:c>
      <x:c r="M495" s="23" t="n">
        <x:v>25</x:v>
      </x:c>
      <x:c r="N495" s="23" t="n">
        <x:v>1.2548502565150037</x:v>
      </x:c>
      <x:c r="O495" s="23" t="n">
        <x:v>52.30121705806465</x:v>
      </x:c>
      <x:c r="P495" s="23" t="n">
        <x:v>1497.0067618531175</x:v>
      </x:c>
      <x:c r="Q495" s="23" t="n">
        <x:v>1.2604355090671422</x:v>
      </x:c>
      <x:c r="R495" s="23" t="n">
        <x:v>52.92902975492868</x:v>
      </x:c>
      <x:c r="S495" s="23" t="n">
        <x:v>1476.4965874020047</x:v>
      </x:c>
      <x:c r="T495" s="23" t="n">
        <x:v>0.005585252552138487</x:v>
      </x:c>
      <x:c r="U495" s="23" t="n">
        <x:v>0.6278126968640265</x:v>
      </x:c>
      <x:c r="V495" s="23" t="n">
        <x:v>-20.51017445111279</x:v>
      </x:c>
    </x:row>
    <x:row r="496">
      <x:c r="A496" s="23" t="n">
        <x:v>495</x:v>
      </x:c>
      <x:c r="B496" s="23" t="str">
        <x:v>Validation</x:v>
      </x:c>
      <x:c r="C496" s="23" t="str">
        <x:v>Lightning</x:v>
      </x:c>
      <x:c r="D496" s="23" t="n">
        <x:v>1366.5310310432687</x:v>
      </x:c>
      <x:c r="E496" s="23" t="n">
        <x:v>816.0491355811246</x:v>
      </x:c>
      <x:c r="F496" s="23" t="n">
        <x:v>559.7522176802158</x:v>
      </x:c>
      <x:c r="G496" s="23" t="n">
        <x:v>270.35084400093183</x:v>
      </x:c>
      <x:c r="H496" s="23" t="n">
        <x:v>12.191232695244253</x:v>
      </x:c>
      <x:c r="I496" s="23" t="n">
        <x:v>0.8498040126799606</x:v>
      </x:c>
      <x:c r="J496" s="23" t="n">
        <x:v>9</x:v>
      </x:c>
      <x:c r="K496" s="23" t="n">
        <x:v>178.67270448417165</x:v>
      </x:c>
      <x:c r="L496" s="23" t="n">
        <x:v>45</x:v>
      </x:c>
      <x:c r="M496" s="23" t="n">
        <x:v>25</x:v>
      </x:c>
      <x:c r="N496" s="23" t="n">
        <x:v>1.1745328619111133</x:v>
      </x:c>
      <x:c r="O496" s="23" t="n">
        <x:v>52.23167628135811</x:v>
      </x:c>
      <x:c r="P496" s="23" t="n">
        <x:v>1366.5310310432687</x:v>
      </x:c>
      <x:c r="Q496" s="23" t="n">
        <x:v>1.1831381014635707</x:v>
      </x:c>
      <x:c r="R496" s="23" t="n">
        <x:v>52.377455377793325</x:v>
      </x:c>
      <x:c r="S496" s="23" t="n">
        <x:v>1375.8440208223928</x:v>
      </x:c>
      <x:c r="T496" s="23" t="n">
        <x:v>0.0086052395524574</x:v>
      </x:c>
      <x:c r="U496" s="23" t="n">
        <x:v>0.1457790964352128</x:v>
      </x:c>
      <x:c r="V496" s="23" t="n">
        <x:v>9.31298977912411</x:v>
      </x:c>
    </x:row>
    <x:row r="497">
      <x:c r="A497" s="23" t="n">
        <x:v>496</x:v>
      </x:c>
      <x:c r="B497" s="23" t="str">
        <x:v>Validation</x:v>
      </x:c>
      <x:c r="C497" s="23" t="str">
        <x:v>Lightning</x:v>
      </x:c>
      <x:c r="D497" s="23" t="n">
        <x:v>1420.2569197746925</x:v>
      </x:c>
      <x:c r="E497" s="23" t="n">
        <x:v>967.458719201386</x:v>
      </x:c>
      <x:c r="F497" s="23" t="n">
        <x:v>490.3217657469213</x:v>
      </x:c>
      <x:c r="G497" s="23" t="n">
        <x:v>318.4731770725921</x:v>
      </x:c>
      <x:c r="H497" s="23" t="n">
        <x:v>18.919369959738106</x:v>
      </x:c>
      <x:c r="I497" s="23" t="n">
        <x:v>0.8074227724131197</x:v>
      </x:c>
      <x:c r="J497" s="23" t="n">
        <x:v>9</x:v>
      </x:c>
      <x:c r="K497" s="23" t="n">
        <x:v>195.44448065017951</x:v>
      </x:c>
      <x:c r="L497" s="23" t="n">
        <x:v>40</x:v>
      </x:c>
      <x:c r="M497" s="23" t="n">
        <x:v>25</x:v>
      </x:c>
      <x:c r="N497" s="23" t="n">
        <x:v>1.1724684413542876</x:v>
      </x:c>
      <x:c r="O497" s="23" t="n">
        <x:v>52.25196235225061</x:v>
      </x:c>
      <x:c r="P497" s="23" t="n">
        <x:v>1420.2569197746925</x:v>
      </x:c>
      <x:c r="Q497" s="23" t="n">
        <x:v>1.1667573498209989</x:v>
      </x:c>
      <x:c r="R497" s="23" t="n">
        <x:v>51.92933578918955</x:v>
      </x:c>
      <x:c r="S497" s="23" t="n">
        <x:v>1411.8201578392125</x:v>
      </x:c>
      <x:c r="T497" s="23" t="n">
        <x:v>-0.005711091533288748</x:v>
      </x:c>
      <x:c r="U497" s="23" t="n">
        <x:v>-0.32262656306105697</x:v>
      </x:c>
      <x:c r="V497" s="23" t="n">
        <x:v>-8.436761935480035</x:v>
      </x:c>
    </x:row>
    <x:row r="498">
      <x:c r="A498" s="23" t="n">
        <x:v>497</x:v>
      </x:c>
      <x:c r="B498" s="23" t="str">
        <x:v>Validation</x:v>
      </x:c>
      <x:c r="C498" s="23" t="str">
        <x:v>Lightning</x:v>
      </x:c>
      <x:c r="D498" s="23" t="n">
        <x:v>1429.9771425314248</x:v>
      </x:c>
      <x:c r="E498" s="23" t="n">
        <x:v>767.1900348155759</x:v>
      </x:c>
      <x:c r="F498" s="23" t="n">
        <x:v>655.3203562274575</x:v>
      </x:c>
      <x:c r="G498" s="23" t="n">
        <x:v>242.73543616989627</x:v>
      </x:c>
      <x:c r="H498" s="23" t="n">
        <x:v>8.959876703098416</x:v>
      </x:c>
      <x:c r="I498" s="23" t="n">
        <x:v>0.8407904736627825</x:v>
      </x:c>
      <x:c r="J498" s="23" t="n">
        <x:v>9</x:v>
      </x:c>
      <x:c r="K498" s="23" t="n">
        <x:v>188.97258490333846</x:v>
      </x:c>
      <x:c r="L498" s="23" t="n">
        <x:v>45</x:v>
      </x:c>
      <x:c r="M498" s="23" t="n">
        <x:v>25</x:v>
      </x:c>
      <x:c r="N498" s="23" t="n">
        <x:v>1.1715612172910363</x:v>
      </x:c>
      <x:c r="O498" s="23" t="n">
        <x:v>52.234653455608175</x:v>
      </x:c>
      <x:c r="P498" s="23" t="n">
        <x:v>1429.9771425314248</x:v>
      </x:c>
      <x:c r="Q498" s="23" t="n">
        <x:v>1.1737512307492408</x:v>
      </x:c>
      <x:c r="R498" s="23" t="n">
        <x:v>52.37792339754674</x:v>
      </x:c>
      <x:c r="S498" s="23" t="n">
        <x:v>1441.3167840245842</x:v>
      </x:c>
      <x:c r="T498" s="23" t="n">
        <x:v>0.002190013458204465</x:v>
      </x:c>
      <x:c r="U498" s="23" t="n">
        <x:v>0.1432699419385628</x:v>
      </x:c>
      <x:c r="V498" s="23" t="n">
        <x:v>11.339641493159434</x:v>
      </x:c>
    </x:row>
    <x:row r="499">
      <x:c r="A499" s="23" t="n">
        <x:v>498</x:v>
      </x:c>
      <x:c r="B499" s="23" t="str">
        <x:v>Hidden Test</x:v>
      </x:c>
      <x:c r="C499" s="23" t="str">
        <x:v>Lightning</x:v>
      </x:c>
      <x:c r="D499" s="23" t="n">
        <x:v>1383.3918347605504</x:v>
      </x:c>
      <x:c r="E499" s="23" t="n">
        <x:v>1159.7150047542527</x:v>
      </x:c>
      <x:c r="F499" s="23" t="n">
        <x:v>640.297079924494</x:v>
      </x:c>
      <x:c r="G499" s="23" t="n">
        <x:v>105.8678172249347</x:v>
      </x:c>
      <x:c r="H499" s="23" t="n">
        <x:v>24.498532832134515</x:v>
      </x:c>
      <x:c r="I499" s="23" t="n">
        <x:v>0.8585869676107541</x:v>
      </x:c>
      <x:c r="J499" s="23" t="n">
        <x:v>9</x:v>
      </x:c>
      <x:c r="K499" s="23" t="n">
        <x:v>179.02694736914395</x:v>
      </x:c>
      <x:c r="L499" s="23" t="n">
        <x:v>35</x:v>
      </x:c>
      <x:c r="M499" s="23" t="n">
        <x:v>25</x:v>
      </x:c>
      <x:c r="N499" s="23" t="n">
        <x:v>1.1535710165066402</x:v>
      </x:c>
      <x:c r="O499" s="23" t="n">
        <x:v>52.27217432370433</x:v>
      </x:c>
      <x:c r="P499" s="23" t="n">
        <x:v>1383.3918347605504</x:v>
      </x:c>
      <x:c r="Q499" s="23" t="n">
        <x:v>1.164616107852514</x:v>
      </x:c>
      <x:c r="R499" s="23" t="n">
        <x:v>52.42068893525977</x:v>
      </x:c>
      <x:c r="S499" s="23" t="n">
        <x:v>1373.7908913843773</x:v>
      </x:c>
      <x:c r="T499" s="23" t="n">
        <x:v>0.011045091345873725</x:v>
      </x:c>
      <x:c r="U499" s="23" t="n">
        <x:v>0.14851461155544143</x:v>
      </x:c>
      <x:c r="V499" s="23" t="n">
        <x:v>-9.600943376173063</x:v>
      </x:c>
    </x:row>
    <x:row r="500">
      <x:c r="A500" s="23" t="n">
        <x:v>499</x:v>
      </x:c>
      <x:c r="B500" s="23" t="str">
        <x:v>Hidden Test</x:v>
      </x:c>
      <x:c r="C500" s="23" t="str">
        <x:v>Lightning</x:v>
      </x:c>
      <x:c r="D500" s="23" t="n">
        <x:v>1480.5496817221865</x:v>
      </x:c>
      <x:c r="E500" s="23" t="n">
        <x:v>792.3082131543197</x:v>
      </x:c>
      <x:c r="F500" s="23" t="n">
        <x:v>585.0430008023977</x:v>
      </x:c>
      <x:c r="G500" s="23" t="n">
        <x:v>233.3361251349561</x:v>
      </x:c>
      <x:c r="H500" s="23" t="n">
        <x:v>18.798238527961075</x:v>
      </x:c>
      <x:c r="I500" s="23" t="n">
        <x:v>0.8192067039455287</x:v>
      </x:c>
      <x:c r="J500" s="23" t="n">
        <x:v>10</x:v>
      </x:c>
      <x:c r="K500" s="23" t="n">
        <x:v>180.72968331331336</x:v>
      </x:c>
      <x:c r="L500" s="23" t="n">
        <x:v>40</x:v>
      </x:c>
      <x:c r="M500" s="23" t="n">
        <x:v>25</x:v>
      </x:c>
      <x:c r="N500" s="23" t="n">
        <x:v>1.169936500455716</x:v>
      </x:c>
      <x:c r="O500" s="23" t="n">
        <x:v>52.25405158149763</x:v>
      </x:c>
      <x:c r="P500" s="23" t="n">
        <x:v>1480.5496817221865</x:v>
      </x:c>
      <x:c r="Q500" s="23" t="n">
        <x:v>1.1668375021935167</x:v>
      </x:c>
      <x:c r="R500" s="23" t="n">
        <x:v>51.78680115887611</x:v>
      </x:c>
      <x:c r="S500" s="23" t="n">
        <x:v>1490.5661232353953</x:v>
      </x:c>
      <x:c r="T500" s="23" t="n">
        <x:v>-0.003098998262199393</x:v>
      </x:c>
      <x:c r="U500" s="23" t="n">
        <x:v>-0.46725042262151817</x:v>
      </x:c>
      <x:c r="V500" s="23" t="n">
        <x:v>10.016441513208747</x:v>
      </x:c>
    </x:row>
    <x:row r="501">
      <x:c r="A501" s="23" t="n">
        <x:v>500</x:v>
      </x:c>
      <x:c r="B501" s="23" t="str">
        <x:v>Hidden Test</x:v>
      </x:c>
      <x:c r="C501" s="23" t="str">
        <x:v>Lightning</x:v>
      </x:c>
      <x:c r="D501" s="23" t="n">
        <x:v>1419.7920852690004</x:v>
      </x:c>
      <x:c r="E501" s="23" t="n">
        <x:v>843.2845080737025</x:v>
      </x:c>
      <x:c r="F501" s="23" t="n">
        <x:v>380.30496118590236</x:v>
      </x:c>
      <x:c r="G501" s="23" t="n">
        <x:v>242.46572078671306</x:v>
      </x:c>
      <x:c r="H501" s="23" t="n">
        <x:v>13.536035716068</x:v>
      </x:c>
      <x:c r="I501" s="23" t="n">
        <x:v>0.8569574929215015</x:v>
      </x:c>
      <x:c r="J501" s="23" t="n">
        <x:v>9</x:v>
      </x:c>
      <x:c r="K501" s="23" t="n">
        <x:v>184.08693248388528</x:v>
      </x:c>
      <x:c r="L501" s="23" t="n">
        <x:v>50</x:v>
      </x:c>
      <x:c r="M501" s="23" t="n">
        <x:v>25</x:v>
      </x:c>
      <x:c r="N501" s="23" t="n">
        <x:v>1.162838516686444</x:v>
      </x:c>
      <x:c r="O501" s="23" t="n">
        <x:v>52.20359465550797</x:v>
      </x:c>
      <x:c r="P501" s="23" t="n">
        <x:v>1419.7920852690004</x:v>
      </x:c>
      <x:c r="Q501" s="23" t="n">
        <x:v>1.1685206278414464</x:v>
      </x:c>
      <x:c r="R501" s="23" t="n">
        <x:v>52.97162397827091</x:v>
      </x:c>
      <x:c r="S501" s="23" t="n">
        <x:v>1436.44704322662</x:v>
      </x:c>
      <x:c r="T501" s="23" t="n">
        <x:v>0.0056821111550025005</x:v>
      </x:c>
      <x:c r="U501" s="23" t="n">
        <x:v>0.768029322762942</x:v>
      </x:c>
      <x:c r="V501" s="23" t="n">
        <x:v>16.654957957619672</x:v>
      </x:c>
    </x:row>
    <x:row r="502">
      <x:c r="A502" s="23" t="n">
        <x:v>501</x:v>
      </x:c>
      <x:c r="B502" s="23" t="str">
        <x:v>Train</x:v>
      </x:c>
      <x:c r="C502" s="23" t="str">
        <x:v>Lightning</x:v>
      </x:c>
      <x:c r="D502" s="23" t="n">
        <x:v>1360.58483091183</x:v>
      </x:c>
      <x:c r="E502" s="23" t="n">
        <x:v>821.3627427699976</x:v>
      </x:c>
      <x:c r="F502" s="23" t="n">
        <x:v>610.2174846455455</x:v>
      </x:c>
      <x:c r="G502" s="23" t="n">
        <x:v>206.91050983266905</x:v>
      </x:c>
      <x:c r="H502" s="23" t="n">
        <x:v>10.234867066144943</x:v>
      </x:c>
      <x:c r="I502" s="23" t="n">
        <x:v>0.8450351782725193</x:v>
      </x:c>
      <x:c r="J502" s="23" t="n">
        <x:v>9</x:v>
      </x:c>
      <x:c r="K502" s="23" t="n">
        <x:v>178.8991703665894</x:v>
      </x:c>
      <x:c r="L502" s="23" t="n">
        <x:v>45</x:v>
      </x:c>
      <x:c r="M502" s="23" t="n">
        <x:v>25</x:v>
      </x:c>
      <x:c r="N502" s="23" t="n">
        <x:v>1.1597478066573124</x:v>
      </x:c>
      <x:c r="O502" s="23" t="n">
        <x:v>52.23048166820542</x:v>
      </x:c>
      <x:c r="P502" s="23" t="n">
        <x:v>1360.58483091183</x:v>
      </x:c>
      <x:c r="Q502" s="23" t="n">
        <x:v>1.1744101192919232</x:v>
      </x:c>
      <x:c r="R502" s="23" t="n">
        <x:v>52.60129968168181</x:v>
      </x:c>
      <x:c r="S502" s="23" t="n">
        <x:v>1364.507090717988</x:v>
      </x:c>
      <x:c r="T502" s="23" t="n">
        <x:v>0.014662312634610819</x:v>
      </x:c>
      <x:c r="U502" s="23" t="n">
        <x:v>0.3708180134763879</x:v>
      </x:c>
      <x:c r="V502" s="23" t="n">
        <x:v>3.9222598061578537</x:v>
      </x:c>
    </x:row>
    <x:row r="503">
      <x:c r="A503" s="23" t="n">
        <x:v>502</x:v>
      </x:c>
      <x:c r="B503" s="23" t="str">
        <x:v>Train</x:v>
      </x:c>
      <x:c r="C503" s="23" t="str">
        <x:v>Lightning</x:v>
      </x:c>
      <x:c r="D503" s="23" t="n">
        <x:v>1386.5964108263142</x:v>
      </x:c>
      <x:c r="E503" s="23" t="n">
        <x:v>929.943755432032</x:v>
      </x:c>
      <x:c r="F503" s="23" t="n">
        <x:v>647.2028833813965</x:v>
      </x:c>
      <x:c r="G503" s="23" t="n">
        <x:v>157.4297551251948</x:v>
      </x:c>
      <x:c r="H503" s="23" t="n">
        <x:v>14.350674709770828</x:v>
      </x:c>
      <x:c r="I503" s="23" t="n">
        <x:v>0.8409561076527462</x:v>
      </x:c>
      <x:c r="J503" s="23" t="n">
        <x:v>9</x:v>
      </x:c>
      <x:c r="K503" s="23" t="n">
        <x:v>183.20369692018295</x:v>
      </x:c>
      <x:c r="L503" s="23" t="n">
        <x:v>45</x:v>
      </x:c>
      <x:c r="M503" s="23" t="n">
        <x:v>25</x:v>
      </x:c>
      <x:c r="N503" s="23" t="n">
        <x:v>1.2449532870066633</x:v>
      </x:c>
      <x:c r="O503" s="23" t="n">
        <x:v>52.245463824224885</x:v>
      </x:c>
      <x:c r="P503" s="23" t="n">
        <x:v>1386.5964108263142</x:v>
      </x:c>
      <x:c r="Q503" s="23" t="n">
        <x:v>1.261966339217021</x:v>
      </x:c>
      <x:c r="R503" s="23" t="n">
        <x:v>52.352093797151035</x:v>
      </x:c>
      <x:c r="S503" s="23" t="n">
        <x:v>1389.4415164488132</x:v>
      </x:c>
      <x:c r="T503" s="23" t="n">
        <x:v>0.01701305221035776</x:v>
      </x:c>
      <x:c r="U503" s="23" t="n">
        <x:v>0.10662997292615017</x:v>
      </x:c>
      <x:c r="V503" s="23" t="n">
        <x:v>2.845105622498977</x:v>
      </x:c>
    </x:row>
    <x:row r="504">
      <x:c r="A504" s="23" t="n">
        <x:v>503</x:v>
      </x:c>
      <x:c r="B504" s="23" t="str">
        <x:v>Train</x:v>
      </x:c>
      <x:c r="C504" s="23" t="str">
        <x:v>Lightning</x:v>
      </x:c>
      <x:c r="D504" s="23" t="n">
        <x:v>1399.8419896932319</x:v>
      </x:c>
      <x:c r="E504" s="23" t="n">
        <x:v>917.652065132279</x:v>
      </x:c>
      <x:c r="F504" s="23" t="n">
        <x:v>385.1744547486305</x:v>
      </x:c>
      <x:c r="G504" s="23" t="n">
        <x:v>113.57353335013613</x:v>
      </x:c>
      <x:c r="H504" s="23" t="n">
        <x:v>11.92626331280917</x:v>
      </x:c>
      <x:c r="I504" s="23" t="n">
        <x:v>0.8047453379980288</x:v>
      </x:c>
      <x:c r="J504" s="23" t="n">
        <x:v>9</x:v>
      </x:c>
      <x:c r="K504" s="23" t="n">
        <x:v>193.27604834808562</x:v>
      </x:c>
      <x:c r="L504" s="23" t="n">
        <x:v>55</x:v>
      </x:c>
      <x:c r="M504" s="23" t="n">
        <x:v>25</x:v>
      </x:c>
      <x:c r="N504" s="23" t="n">
        <x:v>1.2201260312711268</x:v>
      </x:c>
      <x:c r="O504" s="23" t="n">
        <x:v>52.19585217830004</x:v>
      </x:c>
      <x:c r="P504" s="23" t="n">
        <x:v>1399.8419896932319</x:v>
      </x:c>
      <x:c r="Q504" s="23" t="n">
        <x:v>1.222873426975708</x:v>
      </x:c>
      <x:c r="R504" s="23" t="n">
        <x:v>51.25579395890547</x:v>
      </x:c>
      <x:c r="S504" s="23" t="n">
        <x:v>1412.224694768251</x:v>
      </x:c>
      <x:c r="T504" s="23" t="n">
        <x:v>0.002747395704581157</x:v>
      </x:c>
      <x:c r="U504" s="23" t="n">
        <x:v>-0.9400582193945723</x:v>
      </x:c>
      <x:c r="V504" s="23" t="n">
        <x:v>12.382705075019203</x:v>
      </x:c>
    </x:row>
    <x:row r="505">
      <x:c r="A505" s="23" t="n">
        <x:v>504</x:v>
      </x:c>
      <x:c r="B505" s="23" t="str">
        <x:v>Train</x:v>
      </x:c>
      <x:c r="C505" s="23" t="str">
        <x:v>Lightning</x:v>
      </x:c>
      <x:c r="D505" s="23" t="n">
        <x:v>1408.7178825284354</x:v>
      </x:c>
      <x:c r="E505" s="23" t="n">
        <x:v>1114.9119730107486</x:v>
      </x:c>
      <x:c r="F505" s="23" t="n">
        <x:v>660.9660915099084</x:v>
      </x:c>
      <x:c r="G505" s="23" t="n">
        <x:v>159.9360746750608</x:v>
      </x:c>
      <x:c r="H505" s="23" t="n">
        <x:v>21.52696389472112</x:v>
      </x:c>
      <x:c r="I505" s="23" t="n">
        <x:v>0.8179056784231216</x:v>
      </x:c>
      <x:c r="J505" s="23" t="n">
        <x:v>9</x:v>
      </x:c>
      <x:c r="K505" s="23" t="n">
        <x:v>191.37195559223463</x:v>
      </x:c>
      <x:c r="L505" s="23" t="n">
        <x:v>35</x:v>
      </x:c>
      <x:c r="M505" s="23" t="n">
        <x:v>25</x:v>
      </x:c>
      <x:c r="N505" s="23" t="n">
        <x:v>1.1521958310488176</x:v>
      </x:c>
      <x:c r="O505" s="23" t="n">
        <x:v>52.27684181965409</x:v>
      </x:c>
      <x:c r="P505" s="23" t="n">
        <x:v>1408.7178825284354</x:v>
      </x:c>
      <x:c r="Q505" s="23" t="n">
        <x:v>1.1543856720931343</x:v>
      </x:c>
      <x:c r="R505" s="23" t="n">
        <x:v>52.07785769226941</x:v>
      </x:c>
      <x:c r="S505" s="23" t="n">
        <x:v>1403.953805987556</x:v>
      </x:c>
      <x:c r="T505" s="23" t="n">
        <x:v>0.0021898410443166316</x:v>
      </x:c>
      <x:c r="U505" s="23" t="n">
        <x:v>-0.1989841273846764</x:v>
      </x:c>
      <x:c r="V505" s="23" t="n">
        <x:v>-4.764076540879387</x:v>
      </x:c>
    </x:row>
    <x:row r="506">
      <x:c r="A506" s="23" t="n">
        <x:v>505</x:v>
      </x:c>
      <x:c r="B506" s="23" t="str">
        <x:v>Train</x:v>
      </x:c>
      <x:c r="C506" s="23" t="str">
        <x:v>Lightning</x:v>
      </x:c>
      <x:c r="D506" s="23" t="n">
        <x:v>1468.997560814023</x:v>
      </x:c>
      <x:c r="E506" s="23" t="n">
        <x:v>818.0713495588861</x:v>
      </x:c>
      <x:c r="F506" s="23" t="n">
        <x:v>360.1961152628064</x:v>
      </x:c>
      <x:c r="G506" s="23" t="n">
        <x:v>194.49063249165192</x:v>
      </x:c>
      <x:c r="H506" s="23" t="n">
        <x:v>14.957734091207385</x:v>
      </x:c>
      <x:c r="I506" s="23" t="n">
        <x:v>0.8585098348301836</x:v>
      </x:c>
      <x:c r="J506" s="23" t="n">
        <x:v>9</x:v>
      </x:c>
      <x:c r="K506" s="23" t="n">
        <x:v>190.12240114155946</x:v>
      </x:c>
      <x:c r="L506" s="23" t="n">
        <x:v>55</x:v>
      </x:c>
      <x:c r="M506" s="23" t="n">
        <x:v>25</x:v>
      </x:c>
      <x:c r="N506" s="23" t="n">
        <x:v>1.196207795391107</x:v>
      </x:c>
      <x:c r="O506" s="23" t="n">
        <x:v>52.18904730632358</x:v>
      </x:c>
      <x:c r="P506" s="23" t="n">
        <x:v>1468.997560814023</x:v>
      </x:c>
      <x:c r="Q506" s="23" t="n">
        <x:v>1.1993093882328147</x:v>
      </x:c>
      <x:c r="R506" s="23" t="n">
        <x:v>52.2411729052044</x:v>
      </x:c>
      <x:c r="S506" s="23" t="n">
        <x:v>1491.1208408725001</x:v>
      </x:c>
      <x:c r="T506" s="23" t="n">
        <x:v>0.0031015928417077454</x:v>
      </x:c>
      <x:c r="U506" s="23" t="n">
        <x:v>0.05212559888082069</x:v>
      </x:c>
      <x:c r="V506" s="23" t="n">
        <x:v>22.12328005847712</x:v>
      </x:c>
    </x:row>
    <x:row r="507">
      <x:c r="A507" s="23" t="n">
        <x:v>506</x:v>
      </x:c>
      <x:c r="B507" s="23" t="str">
        <x:v>Train</x:v>
      </x:c>
      <x:c r="C507" s="23" t="str">
        <x:v>Lightning</x:v>
      </x:c>
      <x:c r="D507" s="23" t="n">
        <x:v>1471.4768643141724</x:v>
      </x:c>
      <x:c r="E507" s="23" t="n">
        <x:v>1089.591889665462</x:v>
      </x:c>
      <x:c r="F507" s="23" t="n">
        <x:v>715.2858988381922</x:v>
      </x:c>
      <x:c r="G507" s="23" t="n">
        <x:v>83.24426940642297</x:v>
      </x:c>
      <x:c r="H507" s="23" t="n">
        <x:v>27.936463308054954</x:v>
      </x:c>
      <x:c r="I507" s="23" t="n">
        <x:v>0.8306678859191016</x:v>
      </x:c>
      <x:c r="J507" s="23" t="n">
        <x:v>9</x:v>
      </x:c>
      <x:c r="K507" s="23" t="n">
        <x:v>196.82647197482282</x:v>
      </x:c>
      <x:c r="L507" s="23" t="n">
        <x:v>35</x:v>
      </x:c>
      <x:c r="M507" s="23" t="n">
        <x:v>25</x:v>
      </x:c>
      <x:c r="N507" s="23" t="n">
        <x:v>1.1637470737910356</x:v>
      </x:c>
      <x:c r="O507" s="23" t="n">
        <x:v>52.269405431879626</x:v>
      </x:c>
      <x:c r="P507" s="23" t="n">
        <x:v>1471.4768643141724</x:v>
      </x:c>
      <x:c r="Q507" s="23" t="n">
        <x:v>1.177035808344048</x:v>
      </x:c>
      <x:c r="R507" s="23" t="n">
        <x:v>52.61836022192649</x:v>
      </x:c>
      <x:c r="S507" s="23" t="n">
        <x:v>1448.3935737768822</x:v>
      </x:c>
      <x:c r="T507" s="23" t="n">
        <x:v>0.013288734553012382</x:v>
      </x:c>
      <x:c r="U507" s="23" t="n">
        <x:v>0.3489547900468608</x:v>
      </x:c>
      <x:c r="V507" s="23" t="n">
        <x:v>-23.083290537290168</x:v>
      </x:c>
    </x:row>
    <x:row r="508">
      <x:c r="A508" s="23" t="n">
        <x:v>507</x:v>
      </x:c>
      <x:c r="B508" s="23" t="str">
        <x:v>Train</x:v>
      </x:c>
      <x:c r="C508" s="23" t="str">
        <x:v>Lightning</x:v>
      </x:c>
      <x:c r="D508" s="23" t="n">
        <x:v>1383.8826020015404</x:v>
      </x:c>
      <x:c r="E508" s="23" t="n">
        <x:v>1135.1961762295105</x:v>
      </x:c>
      <x:c r="F508" s="23" t="n">
        <x:v>638.4200666099787</x:v>
      </x:c>
      <x:c r="G508" s="23" t="n">
        <x:v>146.12572743324563</x:v>
      </x:c>
      <x:c r="H508" s="23" t="n">
        <x:v>28.721607842482626</x:v>
      </x:c>
      <x:c r="I508" s="23" t="n">
        <x:v>0.8456420575338416</x:v>
      </x:c>
      <x:c r="J508" s="23" t="n">
        <x:v>9</x:v>
      </x:c>
      <x:c r="K508" s="23" t="n">
        <x:v>181.8319372668775</x:v>
      </x:c>
      <x:c r="L508" s="23" t="n">
        <x:v>35</x:v>
      </x:c>
      <x:c r="M508" s="23" t="n">
        <x:v>25</x:v>
      </x:c>
      <x:c r="N508" s="23" t="n">
        <x:v>1.1850293655107111</x:v>
      </x:c>
      <x:c r="O508" s="23" t="n">
        <x:v>52.27433576671477</x:v>
      </x:c>
      <x:c r="P508" s="23" t="n">
        <x:v>1383.8826020015404</x:v>
      </x:c>
      <x:c r="Q508" s="23" t="n">
        <x:v>1.1929334685000892</x:v>
      </x:c>
      <x:c r="R508" s="23" t="n">
        <x:v>53.31415892275204</x:v>
      </x:c>
      <x:c r="S508" s="23" t="n">
        <x:v>1369.889460694282</x:v>
      </x:c>
      <x:c r="T508" s="23" t="n">
        <x:v>0.007904102989378048</x:v>
      </x:c>
      <x:c r="U508" s="23" t="n">
        <x:v>1.0398231560372722</x:v>
      </x:c>
      <x:c r="V508" s="23" t="n">
        <x:v>-13.993141307258384</x:v>
      </x:c>
    </x:row>
    <x:row r="509">
      <x:c r="A509" s="23" t="n">
        <x:v>508</x:v>
      </x:c>
      <x:c r="B509" s="23" t="str">
        <x:v>Train</x:v>
      </x:c>
      <x:c r="C509" s="23" t="str">
        <x:v>Lightning</x:v>
      </x:c>
      <x:c r="D509" s="23" t="n">
        <x:v>1368.6805989942513</x:v>
      </x:c>
      <x:c r="E509" s="23" t="n">
        <x:v>1074.2881092708558</x:v>
      </x:c>
      <x:c r="F509" s="23" t="n">
        <x:v>699.8635406605899</x:v>
      </x:c>
      <x:c r="G509" s="23" t="n">
        <x:v>270.27828599791974</x:v>
      </x:c>
      <x:c r="H509" s="23" t="n">
        <x:v>10.02555588958785</x:v>
      </x:c>
      <x:c r="I509" s="23" t="n">
        <x:v>0.8078519460558892</x:v>
      </x:c>
      <x:c r="J509" s="23" t="n">
        <x:v>9</x:v>
      </x:c>
      <x:c r="K509" s="23" t="n">
        <x:v>188.24689703718485</x:v>
      </x:c>
      <x:c r="L509" s="23" t="n">
        <x:v>35</x:v>
      </x:c>
      <x:c r="M509" s="23" t="n">
        <x:v>25</x:v>
      </x:c>
      <x:c r="N509" s="23" t="n">
        <x:v>1.1399771317089114</x:v>
      </x:c>
      <x:c r="O509" s="23" t="n">
        <x:v>52.29377773775979</x:v>
      </x:c>
      <x:c r="P509" s="23" t="n">
        <x:v>1368.6805989942513</x:v>
      </x:c>
      <x:c r="Q509" s="23" t="n">
        <x:v>1.1532073831048775</x:v>
      </x:c>
      <x:c r="R509" s="23" t="n">
        <x:v>52.54822512333018</x:v>
      </x:c>
      <x:c r="S509" s="23" t="n">
        <x:v>1370.403448676858</x:v>
      </x:c>
      <x:c r="T509" s="23" t="n">
        <x:v>0.01323025139596612</x:v>
      </x:c>
      <x:c r="U509" s="23" t="n">
        <x:v>0.25444738557038704</x:v>
      </x:c>
      <x:c r="V509" s="23" t="n">
        <x:v>1.722849682606693</x:v>
      </x:c>
    </x:row>
    <x:row r="510">
      <x:c r="A510" s="23" t="n">
        <x:v>509</x:v>
      </x:c>
      <x:c r="B510" s="23" t="str">
        <x:v>Train</x:v>
      </x:c>
      <x:c r="C510" s="23" t="str">
        <x:v>Lightning</x:v>
      </x:c>
      <x:c r="D510" s="23" t="n">
        <x:v>1381.0881230514497</x:v>
      </x:c>
      <x:c r="E510" s="23" t="n">
        <x:v>1221.5404440532438</x:v>
      </x:c>
      <x:c r="F510" s="23" t="n">
        <x:v>664.5119434222579</x:v>
      </x:c>
      <x:c r="G510" s="23" t="n">
        <x:v>259.4075768557377</x:v>
      </x:c>
      <x:c r="H510" s="23" t="n">
        <x:v>26.11768552288413</x:v>
      </x:c>
      <x:c r="I510" s="23" t="n">
        <x:v>0.8208269630768337</x:v>
      </x:c>
      <x:c r="J510" s="23" t="n">
        <x:v>9</x:v>
      </x:c>
      <x:c r="K510" s="23" t="n">
        <x:v>186.95077378962927</x:v>
      </x:c>
      <x:c r="L510" s="23" t="n">
        <x:v>30</x:v>
      </x:c>
      <x:c r="M510" s="23" t="n">
        <x:v>25</x:v>
      </x:c>
      <x:c r="N510" s="23" t="n">
        <x:v>1.1517489004286179</x:v>
      </x:c>
      <x:c r="O510" s="23" t="n">
        <x:v>52.309530844938344</x:v>
      </x:c>
      <x:c r="P510" s="23" t="n">
        <x:v>1381.0881230514497</x:v>
      </x:c>
      <x:c r="Q510" s="23" t="n">
        <x:v>1.1551017374397337</x:v>
      </x:c>
      <x:c r="R510" s="23" t="n">
        <x:v>53.30407682722936</x:v>
      </x:c>
      <x:c r="S510" s="23" t="n">
        <x:v>1355.628383091021</x:v>
      </x:c>
      <x:c r="T510" s="23" t="n">
        <x:v>0.0033528370111157724</x:v>
      </x:c>
      <x:c r="U510" s="23" t="n">
        <x:v>0.9945459822910152</x:v>
      </x:c>
      <x:c r="V510" s="23" t="n">
        <x:v>-25.45973996042858</x:v>
      </x:c>
    </x:row>
    <x:row r="511">
      <x:c r="A511" s="23" t="n">
        <x:v>510</x:v>
      </x:c>
      <x:c r="B511" s="23" t="str">
        <x:v>Train</x:v>
      </x:c>
      <x:c r="C511" s="23" t="str">
        <x:v>Lightning</x:v>
      </x:c>
      <x:c r="D511" s="23" t="n">
        <x:v>1481.8757373956032</x:v>
      </x:c>
      <x:c r="E511" s="23" t="n">
        <x:v>804.5273202238604</x:v>
      </x:c>
      <x:c r="F511" s="23" t="n">
        <x:v>498.3937253244221</x:v>
      </x:c>
      <x:c r="G511" s="23" t="n">
        <x:v>305.045514293015</x:v>
      </x:c>
      <x:c r="H511" s="23" t="n">
        <x:v>25.04521051282063</x:v>
      </x:c>
      <x:c r="I511" s="23" t="n">
        <x:v>0.8416165623394772</x:v>
      </x:c>
      <x:c r="J511" s="23" t="n">
        <x:v>9</x:v>
      </x:c>
      <x:c r="K511" s="23" t="n">
        <x:v>195.6388064095721</x:v>
      </x:c>
      <x:c r="L511" s="23" t="n">
        <x:v>45</x:v>
      </x:c>
      <x:c r="M511" s="23" t="n">
        <x:v>25</x:v>
      </x:c>
      <x:c r="N511" s="23" t="n">
        <x:v>1.209771272835938</x:v>
      </x:c>
      <x:c r="O511" s="23" t="n">
        <x:v>52.22572218584325</x:v>
      </x:c>
      <x:c r="P511" s="23" t="n">
        <x:v>1481.8757373956032</x:v>
      </x:c>
      <x:c r="Q511" s="23" t="n">
        <x:v>1.2119503099961215</x:v>
      </x:c>
      <x:c r="R511" s="23" t="n">
        <x:v>52.533724772035534</x:v>
      </x:c>
      <x:c r="S511" s="23" t="n">
        <x:v>1481.7954914080121</x:v>
      </x:c>
      <x:c r="T511" s="23" t="n">
        <x:v>0.002179037160183528</x:v>
      </x:c>
      <x:c r="U511" s="23" t="n">
        <x:v>0.3080025861922806</x:v>
      </x:c>
      <x:c r="V511" s="23" t="n">
        <x:v>-0.08024598759106993</x:v>
      </x:c>
    </x:row>
    <x:row r="512">
      <x:c r="A512" s="23" t="n">
        <x:v>511</x:v>
      </x:c>
      <x:c r="B512" s="23" t="str">
        <x:v>Train</x:v>
      </x:c>
      <x:c r="C512" s="23" t="str">
        <x:v>Lightning</x:v>
      </x:c>
      <x:c r="D512" s="23" t="n">
        <x:v>1467.1536043519154</x:v>
      </x:c>
      <x:c r="E512" s="23" t="n">
        <x:v>767.6742944051512</x:v>
      </x:c>
      <x:c r="F512" s="23" t="n">
        <x:v>693.5931794345379</x:v>
      </x:c>
      <x:c r="G512" s="23" t="n">
        <x:v>287.1409145719372</x:v>
      </x:c>
      <x:c r="H512" s="23" t="n">
        <x:v>11.506346530281007</x:v>
      </x:c>
      <x:c r="I512" s="23" t="n">
        <x:v>0.8048012180789375</x:v>
      </x:c>
      <x:c r="J512" s="23" t="n">
        <x:v>10</x:v>
      </x:c>
      <x:c r="K512" s="23" t="n">
        <x:v>182.3001222406217</x:v>
      </x:c>
      <x:c r="L512" s="23" t="n">
        <x:v>40</x:v>
      </x:c>
      <x:c r="M512" s="23" t="n">
        <x:v>25</x:v>
      </x:c>
      <x:c r="N512" s="23" t="n">
        <x:v>1.2265164726486668</x:v>
      </x:c>
      <x:c r="O512" s="23" t="n">
        <x:v>52.277911753292315</x:v>
      </x:c>
      <x:c r="P512" s="23" t="n">
        <x:v>1467.1536043519154</x:v>
      </x:c>
      <x:c r="Q512" s="23" t="n">
        <x:v>1.2320074783882577</x:v>
      </x:c>
      <x:c r="R512" s="23" t="n">
        <x:v>51.76344822310487</x:v>
      </x:c>
      <x:c r="S512" s="23" t="n">
        <x:v>1464.893036914315</x:v>
      </x:c>
      <x:c r="T512" s="23" t="n">
        <x:v>0.005491005739590937</x:v>
      </x:c>
      <x:c r="U512" s="23" t="n">
        <x:v>-0.5144635301874487</x:v>
      </x:c>
      <x:c r="V512" s="23" t="n">
        <x:v>-2.260567437600457</x:v>
      </x:c>
    </x:row>
    <x:row r="513">
      <x:c r="A513" s="23" t="n">
        <x:v>512</x:v>
      </x:c>
      <x:c r="B513" s="23" t="str">
        <x:v>Train</x:v>
      </x:c>
      <x:c r="C513" s="23" t="str">
        <x:v>Lightning</x:v>
      </x:c>
      <x:c r="D513" s="23" t="n">
        <x:v>1394.3809883552603</x:v>
      </x:c>
      <x:c r="E513" s="23" t="n">
        <x:v>1033.559687808156</x:v>
      </x:c>
      <x:c r="F513" s="23" t="n">
        <x:v>437.8726481460035</x:v>
      </x:c>
      <x:c r="G513" s="23" t="n">
        <x:v>276.30150974262506</x:v>
      </x:c>
      <x:c r="H513" s="23" t="n">
        <x:v>14.99787758430466</x:v>
      </x:c>
      <x:c r="I513" s="23" t="n">
        <x:v>0.807116623101756</x:v>
      </x:c>
      <x:c r="J513" s="23" t="n">
        <x:v>9</x:v>
      </x:c>
      <x:c r="K513" s="23" t="n">
        <x:v>191.95642425621253</x:v>
      </x:c>
      <x:c r="L513" s="23" t="n">
        <x:v>45</x:v>
      </x:c>
      <x:c r="M513" s="23" t="n">
        <x:v>25</x:v>
      </x:c>
      <x:c r="N513" s="23" t="n">
        <x:v>1.2570088775885486</x:v>
      </x:c>
      <x:c r="O513" s="23" t="n">
        <x:v>52.24751539989026</x:v>
      </x:c>
      <x:c r="P513" s="23" t="n">
        <x:v>1394.3809883552603</x:v>
      </x:c>
      <x:c r="Q513" s="23" t="n">
        <x:v>1.256699582973363</x:v>
      </x:c>
      <x:c r="R513" s="23" t="n">
        <x:v>51.88516726956757</x:v>
      </x:c>
      <x:c r="S513" s="23" t="n">
        <x:v>1402.6056285005286</x:v>
      </x:c>
      <x:c r="T513" s="23" t="n">
        <x:v>-0.0003092946151856957</x:v>
      </x:c>
      <x:c r="U513" s="23" t="n">
        <x:v>-0.36234813032269386</x:v>
      </x:c>
      <x:c r="V513" s="23" t="n">
        <x:v>8.224640145268268</x:v>
      </x:c>
    </x:row>
    <x:row r="514">
      <x:c r="A514" s="23" t="n">
        <x:v>513</x:v>
      </x:c>
      <x:c r="B514" s="23" t="str">
        <x:v>Train</x:v>
      </x:c>
      <x:c r="C514" s="23" t="str">
        <x:v>Lightning</x:v>
      </x:c>
      <x:c r="D514" s="23" t="n">
        <x:v>1479.4429848901927</x:v>
      </x:c>
      <x:c r="E514" s="23" t="n">
        <x:v>902.616357372608</x:v>
      </x:c>
      <x:c r="F514" s="23" t="n">
        <x:v>562.7383524551988</x:v>
      </x:c>
      <x:c r="G514" s="23" t="n">
        <x:v>80.34229928860441</x:v>
      </x:c>
      <x:c r="H514" s="23" t="n">
        <x:v>14.577151456847787</x:v>
      </x:c>
      <x:c r="I514" s="23" t="n">
        <x:v>0.7907070157979615</x:v>
      </x:c>
      <x:c r="J514" s="23" t="n">
        <x:v>10</x:v>
      </x:c>
      <x:c r="K514" s="23" t="n">
        <x:v>187.10381409695427</x:v>
      </x:c>
      <x:c r="L514" s="23" t="n">
        <x:v>45</x:v>
      </x:c>
      <x:c r="M514" s="23" t="n">
        <x:v>25</x:v>
      </x:c>
      <x:c r="N514" s="23" t="n">
        <x:v>1.2273516653579277</x:v>
      </x:c>
      <x:c r="O514" s="23" t="n">
        <x:v>52.24279200682942</x:v>
      </x:c>
      <x:c r="P514" s="23" t="n">
        <x:v>1479.4429848901927</x:v>
      </x:c>
      <x:c r="Q514" s="23" t="n">
        <x:v>1.225234162716785</x:v>
      </x:c>
      <x:c r="R514" s="23" t="n">
        <x:v>51.63229130149584</x:v>
      </x:c>
      <x:c r="S514" s="23" t="n">
        <x:v>1494.4229646712429</x:v>
      </x:c>
      <x:c r="T514" s="23" t="n">
        <x:v>-0.0021175026411426323</x:v>
      </x:c>
      <x:c r="U514" s="23" t="n">
        <x:v>-0.6105007053335783</x:v>
      </x:c>
      <x:c r="V514" s="23" t="n">
        <x:v>14.979979781050133</x:v>
      </x:c>
    </x:row>
    <x:row r="515">
      <x:c r="A515" s="23" t="n">
        <x:v>514</x:v>
      </x:c>
      <x:c r="B515" s="23" t="str">
        <x:v>Train</x:v>
      </x:c>
      <x:c r="C515" s="23" t="str">
        <x:v>Lightning</x:v>
      </x:c>
      <x:c r="D515" s="23" t="n">
        <x:v>1464.9473016732372</x:v>
      </x:c>
      <x:c r="E515" s="23" t="n">
        <x:v>785.1539782481268</x:v>
      </x:c>
      <x:c r="F515" s="23" t="n">
        <x:v>737.1308588422835</x:v>
      </x:c>
      <x:c r="G515" s="23" t="n">
        <x:v>259.52602566219866</x:v>
      </x:c>
      <x:c r="H515" s="23" t="n">
        <x:v>18.285648070741445</x:v>
      </x:c>
      <x:c r="I515" s="23" t="n">
        <x:v>0.839472329155542</x:v>
      </x:c>
      <x:c r="J515" s="23" t="n">
        <x:v>9</x:v>
      </x:c>
      <x:c r="K515" s="23" t="n">
        <x:v>193.89790080618394</x:v>
      </x:c>
      <x:c r="L515" s="23" t="n">
        <x:v>40</x:v>
      </x:c>
      <x:c r="M515" s="23" t="n">
        <x:v>25</x:v>
      </x:c>
      <x:c r="N515" s="23" t="n">
        <x:v>1.1724713915592904</x:v>
      </x:c>
      <x:c r="O515" s="23" t="n">
        <x:v>52.2528288587747</x:v>
      </x:c>
      <x:c r="P515" s="23" t="n">
        <x:v>1464.9473016732372</x:v>
      </x:c>
      <x:c r="Q515" s="23" t="n">
        <x:v>1.1705402350563823</x:v>
      </x:c>
      <x:c r="R515" s="23" t="n">
        <x:v>51.91439170522624</x:v>
      </x:c>
      <x:c r="S515" s="23" t="n">
        <x:v>1468.1028685846745</x:v>
      </x:c>
      <x:c r="T515" s="23" t="n">
        <x:v>-0.0019311565029080935</x:v>
      </x:c>
      <x:c r="U515" s="23" t="n">
        <x:v>-0.3384371535484618</x:v>
      </x:c>
      <x:c r="V515" s="23" t="n">
        <x:v>3.1555669114372904</x:v>
      </x:c>
    </x:row>
    <x:row r="516">
      <x:c r="A516" s="23" t="n">
        <x:v>515</x:v>
      </x:c>
      <x:c r="B516" s="23" t="str">
        <x:v>Validation</x:v>
      </x:c>
      <x:c r="C516" s="23" t="str">
        <x:v>Lightning</x:v>
      </x:c>
      <x:c r="D516" s="23" t="n">
        <x:v>1483.872914663516</x:v>
      </x:c>
      <x:c r="E516" s="23" t="n">
        <x:v>1027.6587677770294</x:v>
      </x:c>
      <x:c r="F516" s="23" t="n">
        <x:v>389.3096875399351</x:v>
      </x:c>
      <x:c r="G516" s="23" t="n">
        <x:v>112.54974976880476</x:v>
      </x:c>
      <x:c r="H516" s="23" t="n">
        <x:v>23.95008033979684</x:v>
      </x:c>
      <x:c r="I516" s="23" t="n">
        <x:v>0.8557716682623141</x:v>
      </x:c>
      <x:c r="J516" s="23" t="n">
        <x:v>9</x:v>
      </x:c>
      <x:c r="K516" s="23" t="n">
        <x:v>192.66210183229418</x:v>
      </x:c>
      <x:c r="L516" s="23" t="n">
        <x:v>45</x:v>
      </x:c>
      <x:c r="M516" s="23" t="n">
        <x:v>25</x:v>
      </x:c>
      <x:c r="N516" s="23" t="n">
        <x:v>1.1513369871902994</x:v>
      </x:c>
      <x:c r="O516" s="23" t="n">
        <x:v>52.213490126128</x:v>
      </x:c>
      <x:c r="P516" s="23" t="n">
        <x:v>1483.872914663516</x:v>
      </x:c>
      <x:c r="Q516" s="23" t="n">
        <x:v>1.1334652005218282</x:v>
      </x:c>
      <x:c r="R516" s="23" t="n">
        <x:v>53.40587805404938</x:v>
      </x:c>
      <x:c r="S516" s="23" t="n">
        <x:v>1488.019962955103</x:v>
      </x:c>
      <x:c r="T516" s="23" t="n">
        <x:v>-0.017871786668471223</x:v>
      </x:c>
      <x:c r="U516" s="23" t="n">
        <x:v>1.1923879279213807</x:v>
      </x:c>
      <x:c r="V516" s="23" t="n">
        <x:v>4.147048291586998</x:v>
      </x:c>
    </x:row>
    <x:row r="517">
      <x:c r="A517" s="23" t="n">
        <x:v>516</x:v>
      </x:c>
      <x:c r="B517" s="23" t="str">
        <x:v>Validation</x:v>
      </x:c>
      <x:c r="C517" s="23" t="str">
        <x:v>Lightning</x:v>
      </x:c>
      <x:c r="D517" s="23" t="n">
        <x:v>1459.8676055087708</x:v>
      </x:c>
      <x:c r="E517" s="23" t="n">
        <x:v>1083.0352914053947</x:v>
      </x:c>
      <x:c r="F517" s="23" t="n">
        <x:v>640.381998103112</x:v>
      </x:c>
      <x:c r="G517" s="23" t="n">
        <x:v>198.63735725637525</x:v>
      </x:c>
      <x:c r="H517" s="23" t="n">
        <x:v>21.737166188191622</x:v>
      </x:c>
      <x:c r="I517" s="23" t="n">
        <x:v>0.8146364842914046</x:v>
      </x:c>
      <x:c r="J517" s="23" t="n">
        <x:v>9</x:v>
      </x:c>
      <x:c r="K517" s="23" t="n">
        <x:v>199.11643395678473</x:v>
      </x:c>
      <x:c r="L517" s="23" t="n">
        <x:v>35</x:v>
      </x:c>
      <x:c r="M517" s="23" t="n">
        <x:v>25</x:v>
      </x:c>
      <x:c r="N517" s="23" t="n">
        <x:v>1.1461315750118863</x:v>
      </x:c>
      <x:c r="O517" s="23" t="n">
        <x:v>52.27469637079681</x:v>
      </x:c>
      <x:c r="P517" s="23" t="n">
        <x:v>1459.8676055087708</x:v>
      </x:c>
      <x:c r="Q517" s="23" t="n">
        <x:v>1.1495039230206672</x:v>
      </x:c>
      <x:c r="R517" s="23" t="n">
        <x:v>52.83270024472971</x:v>
      </x:c>
      <x:c r="S517" s="23" t="n">
        <x:v>1440.9500014594469</x:v>
      </x:c>
      <x:c r="T517" s="23" t="n">
        <x:v>0.0033723480087808344</x:v>
      </x:c>
      <x:c r="U517" s="23" t="n">
        <x:v>0.558003873932897</x:v>
      </x:c>
      <x:c r="V517" s="23" t="n">
        <x:v>-18.917604049323927</x:v>
      </x:c>
    </x:row>
    <x:row r="518">
      <x:c r="A518" s="23" t="n">
        <x:v>517</x:v>
      </x:c>
      <x:c r="B518" s="23" t="str">
        <x:v>Validation</x:v>
      </x:c>
      <x:c r="C518" s="23" t="str">
        <x:v>Lightning</x:v>
      </x:c>
      <x:c r="D518" s="23" t="n">
        <x:v>1394.7654882911593</x:v>
      </x:c>
      <x:c r="E518" s="23" t="n">
        <x:v>859.1681638616137</x:v>
      </x:c>
      <x:c r="F518" s="23" t="n">
        <x:v>375.4744214937091</x:v>
      </x:c>
      <x:c r="G518" s="23" t="n">
        <x:v>146.16500328527763</x:v>
      </x:c>
      <x:c r="H518" s="23" t="n">
        <x:v>17.77771695703268</x:v>
      </x:c>
      <x:c r="I518" s="23" t="n">
        <x:v>0.8266271825344302</x:v>
      </x:c>
      <x:c r="J518" s="23" t="n">
        <x:v>9</x:v>
      </x:c>
      <x:c r="K518" s="23" t="n">
        <x:v>187.47743410555853</x:v>
      </x:c>
      <x:c r="L518" s="23" t="n">
        <x:v>55</x:v>
      </x:c>
      <x:c r="M518" s="23" t="n">
        <x:v>25</x:v>
      </x:c>
      <x:c r="N518" s="23" t="n">
        <x:v>1.214103705838891</x:v>
      </x:c>
      <x:c r="O518" s="23" t="n">
        <x:v>52.190302423258785</x:v>
      </x:c>
      <x:c r="P518" s="23" t="n">
        <x:v>1394.7654882911593</x:v>
      </x:c>
      <x:c r="Q518" s="23" t="n">
        <x:v>1.2070439177115673</x:v>
      </x:c>
      <x:c r="R518" s="23" t="n">
        <x:v>52.37224617434732</x:v>
      </x:c>
      <x:c r="S518" s="23" t="n">
        <x:v>1408.1326343398794</x:v>
      </x:c>
      <x:c r="T518" s="23" t="n">
        <x:v>-0.007059788127323774</x:v>
      </x:c>
      <x:c r="U518" s="23" t="n">
        <x:v>0.18194375108853222</x:v>
      </x:c>
      <x:c r="V518" s="23" t="n">
        <x:v>13.367146048720087</x:v>
      </x:c>
    </x:row>
    <x:row r="519">
      <x:c r="A519" s="23" t="n">
        <x:v>518</x:v>
      </x:c>
      <x:c r="B519" s="23" t="str">
        <x:v>Hidden Test</x:v>
      </x:c>
      <x:c r="C519" s="23" t="str">
        <x:v>Lightning</x:v>
      </x:c>
      <x:c r="D519" s="23" t="n">
        <x:v>1353.442104079295</x:v>
      </x:c>
      <x:c r="E519" s="23" t="n">
        <x:v>1049.3787321960554</x:v>
      </x:c>
      <x:c r="F519" s="23" t="n">
        <x:v>650.0940439291298</x:v>
      </x:c>
      <x:c r="G519" s="23" t="n">
        <x:v>163.06145248934627</x:v>
      </x:c>
      <x:c r="H519" s="23" t="n">
        <x:v>23.243520362768322</x:v>
      </x:c>
      <x:c r="I519" s="23" t="n">
        <x:v>0.8215806029131636</x:v>
      </x:c>
      <x:c r="J519" s="23" t="n">
        <x:v>9</x:v>
      </x:c>
      <x:c r="K519" s="23" t="n">
        <x:v>183.04041682043595</x:v>
      </x:c>
      <x:c r="L519" s="23" t="n">
        <x:v>40</x:v>
      </x:c>
      <x:c r="M519" s="23" t="n">
        <x:v>25</x:v>
      </x:c>
      <x:c r="N519" s="23" t="n">
        <x:v>1.2472746978873803</x:v>
      </x:c>
      <x:c r="O519" s="23" t="n">
        <x:v>52.26541564959672</x:v>
      </x:c>
      <x:c r="P519" s="23" t="n">
        <x:v>1353.442104079295</x:v>
      </x:c>
      <x:c r="Q519" s="23" t="n">
        <x:v>1.240638853750172</x:v>
      </x:c>
      <x:c r="R519" s="23" t="n">
        <x:v>52.51775410969237</x:v>
      </x:c>
      <x:c r="S519" s="23" t="n">
        <x:v>1342.4822185014614</x:v>
      </x:c>
      <x:c r="T519" s="23" t="n">
        <x:v>-0.006635844137208302</x:v>
      </x:c>
      <x:c r="U519" s="23" t="n">
        <x:v>0.2523384600956504</x:v>
      </x:c>
      <x:c r="V519" s="23" t="n">
        <x:v>-10.959885577833575</x:v>
      </x:c>
    </x:row>
    <x:row r="520">
      <x:c r="A520" s="23" t="n">
        <x:v>519</x:v>
      </x:c>
      <x:c r="B520" s="23" t="str">
        <x:v>Hidden Test</x:v>
      </x:c>
      <x:c r="C520" s="23" t="str">
        <x:v>Lightning</x:v>
      </x:c>
      <x:c r="D520" s="23" t="n">
        <x:v>1432.126973499544</x:v>
      </x:c>
      <x:c r="E520" s="23" t="n">
        <x:v>972.5562721607275</x:v>
      </x:c>
      <x:c r="F520" s="23" t="n">
        <x:v>431.45385682582855</x:v>
      </x:c>
      <x:c r="G520" s="23" t="n">
        <x:v>127.16262588044629</x:v>
      </x:c>
      <x:c r="H520" s="23" t="n">
        <x:v>23.739736589603126</x:v>
      </x:c>
      <x:c r="I520" s="23" t="n">
        <x:v>0.8098555144644343</x:v>
      </x:c>
      <x:c r="J520" s="23" t="n">
        <x:v>9</x:v>
      </x:c>
      <x:c r="K520" s="23" t="n">
        <x:v>196.48593660927065</x:v>
      </x:c>
      <x:c r="L520" s="23" t="n">
        <x:v>45</x:v>
      </x:c>
      <x:c r="M520" s="23" t="n">
        <x:v>25</x:v>
      </x:c>
      <x:c r="N520" s="23" t="n">
        <x:v>1.151487788547193</x:v>
      </x:c>
      <x:c r="O520" s="23" t="n">
        <x:v>52.21374811180263</x:v>
      </x:c>
      <x:c r="P520" s="23" t="n">
        <x:v>1432.126973499544</x:v>
      </x:c>
      <x:c r="Q520" s="23" t="n">
        <x:v>1.135263817119896</x:v>
      </x:c>
      <x:c r="R520" s="23" t="n">
        <x:v>52.63651495452687</x:v>
      </x:c>
      <x:c r="S520" s="23" t="n">
        <x:v>1428.738494667094</x:v>
      </x:c>
      <x:c r="T520" s="23" t="n">
        <x:v>-0.016223971427296924</x:v>
      </x:c>
      <x:c r="U520" s="23" t="n">
        <x:v>0.42276684272423637</x:v>
      </x:c>
      <x:c r="V520" s="23" t="n">
        <x:v>-3.3884788324498913</x:v>
      </x:c>
    </x:row>
    <x:row r="521">
      <x:c r="A521" s="23" t="n">
        <x:v>520</x:v>
      </x:c>
      <x:c r="B521" s="23" t="str">
        <x:v>Hidden Test</x:v>
      </x:c>
      <x:c r="C521" s="23" t="str">
        <x:v>Lightning</x:v>
      </x:c>
      <x:c r="D521" s="23" t="n">
        <x:v>1364.2735008965246</x:v>
      </x:c>
      <x:c r="E521" s="23" t="n">
        <x:v>1182.789928931743</x:v>
      </x:c>
      <x:c r="F521" s="23" t="n">
        <x:v>417.63033336028457</x:v>
      </x:c>
      <x:c r="G521" s="23" t="n">
        <x:v>126.91482300404459</x:v>
      </x:c>
      <x:c r="H521" s="23" t="n">
        <x:v>26.020446447189897</x:v>
      </x:c>
      <x:c r="I521" s="23" t="n">
        <x:v>0.811687285983935</x:v>
      </x:c>
      <x:c r="J521" s="23" t="n">
        <x:v>9</x:v>
      </x:c>
      <x:c r="K521" s="23" t="n">
        <x:v>186.75411967344587</x:v>
      </x:c>
      <x:c r="L521" s="23" t="n">
        <x:v>40</x:v>
      </x:c>
      <x:c r="M521" s="23" t="n">
        <x:v>25</x:v>
      </x:c>
      <x:c r="N521" s="23" t="n">
        <x:v>1.1797469653253982</x:v>
      </x:c>
      <x:c r="O521" s="23" t="n">
        <x:v>52.244334723174795</x:v>
      </x:c>
      <x:c r="P521" s="23" t="n">
        <x:v>1364.2735008965246</x:v>
      </x:c>
      <x:c r="Q521" s="23" t="n">
        <x:v>1.1814137336451416</x:v>
      </x:c>
      <x:c r="R521" s="23" t="n">
        <x:v>53.511655959382985</x:v>
      </x:c>
      <x:c r="S521" s="23" t="n">
        <x:v>1349.5337101790053</x:v>
      </x:c>
      <x:c r="T521" s="23" t="n">
        <x:v>0.001666768319743328</x:v>
      </x:c>
      <x:c r="U521" s="23" t="n">
        <x:v>1.2673212362081898</x:v>
      </x:c>
      <x:c r="V521" s="23" t="n">
        <x:v>-14.739790717519327</x:v>
      </x:c>
    </x:row>
    <x:row r="522">
      <x:c r="A522" s="23" t="n">
        <x:v>521</x:v>
      </x:c>
      <x:c r="B522" s="23" t="str">
        <x:v>Train</x:v>
      </x:c>
      <x:c r="C522" s="23" t="str">
        <x:v>Lightning</x:v>
      </x:c>
      <x:c r="D522" s="23" t="n">
        <x:v>1453.480220027268</x:v>
      </x:c>
      <x:c r="E522" s="23" t="n">
        <x:v>1244.154697691556</x:v>
      </x:c>
      <x:c r="F522" s="23" t="n">
        <x:v>566.3810582831502</x:v>
      </x:c>
      <x:c r="G522" s="23" t="n">
        <x:v>189.6662185736932</x:v>
      </x:c>
      <x:c r="H522" s="23" t="n">
        <x:v>27.490976547822356</x:v>
      </x:c>
      <x:c r="I522" s="23" t="n">
        <x:v>0.8566010526684114</x:v>
      </x:c>
      <x:c r="J522" s="23" t="n">
        <x:v>9</x:v>
      </x:c>
      <x:c r="K522" s="23" t="n">
        <x:v>188.53327546372685</x:v>
      </x:c>
      <x:c r="L522" s="23" t="n">
        <x:v>35</x:v>
      </x:c>
      <x:c r="M522" s="23" t="n">
        <x:v>25</x:v>
      </x:c>
      <x:c r="N522" s="23" t="n">
        <x:v>1.2208704376631185</x:v>
      </x:c>
      <x:c r="O522" s="23" t="n">
        <x:v>52.286881492881456</x:v>
      </x:c>
      <x:c r="P522" s="23" t="n">
        <x:v>1453.480220027268</x:v>
      </x:c>
      <x:c r="Q522" s="23" t="n">
        <x:v>1.234476950219112</x:v>
      </x:c>
      <x:c r="R522" s="23" t="n">
        <x:v>53.286658357002956</x:v>
      </x:c>
      <x:c r="S522" s="23" t="n">
        <x:v>1429.1090671552915</x:v>
      </x:c>
      <x:c r="T522" s="23" t="n">
        <x:v>0.013606512555993433</x:v>
      </x:c>
      <x:c r="U522" s="23" t="n">
        <x:v>0.9997768641215004</x:v>
      </x:c>
      <x:c r="V522" s="23" t="n">
        <x:v>-24.371152871976392</x:v>
      </x:c>
    </x:row>
    <x:row r="523">
      <x:c r="A523" s="23" t="n">
        <x:v>522</x:v>
      </x:c>
      <x:c r="B523" s="23" t="str">
        <x:v>Train</x:v>
      </x:c>
      <x:c r="C523" s="23" t="str">
        <x:v>Lightning</x:v>
      </x:c>
      <x:c r="D523" s="23" t="n">
        <x:v>1433.2942471490242</x:v>
      </x:c>
      <x:c r="E523" s="23" t="n">
        <x:v>999.2990099126473</x:v>
      </x:c>
      <x:c r="F523" s="23" t="n">
        <x:v>434.87325021997094</x:v>
      </x:c>
      <x:c r="G523" s="23" t="n">
        <x:v>168.28099141828716</x:v>
      </x:c>
      <x:c r="H523" s="23" t="n">
        <x:v>27.910661552567035</x:v>
      </x:c>
      <x:c r="I523" s="23" t="n">
        <x:v>0.8189999883295969</x:v>
      </x:c>
      <x:c r="J523" s="23" t="n">
        <x:v>9</x:v>
      </x:c>
      <x:c r="K523" s="23" t="n">
        <x:v>194.45045008450148</x:v>
      </x:c>
      <x:c r="L523" s="23" t="n">
        <x:v>45</x:v>
      </x:c>
      <x:c r="M523" s="23" t="n">
        <x:v>25</x:v>
      </x:c>
      <x:c r="N523" s="23" t="n">
        <x:v>1.2192217846650724</x:v>
      </x:c>
      <x:c r="O523" s="23" t="n">
        <x:v>52.22486252324808</x:v>
      </x:c>
      <x:c r="P523" s="23" t="n">
        <x:v>1433.2942471490242</x:v>
      </x:c>
      <x:c r="Q523" s="23" t="n">
        <x:v>1.2229741290513805</x:v>
      </x:c>
      <x:c r="R523" s="23" t="n">
        <x:v>53.2241746968965</x:v>
      </x:c>
      <x:c r="S523" s="23" t="n">
        <x:v>1425.1246385648506</x:v>
      </x:c>
      <x:c r="T523" s="23" t="n">
        <x:v>0.003752344386308115</x:v>
      </x:c>
      <x:c r="U523" s="23" t="n">
        <x:v>0.9993121736484198</x:v>
      </x:c>
      <x:c r="V523" s="23" t="n">
        <x:v>-8.169608584173602</x:v>
      </x:c>
    </x:row>
    <x:row r="524">
      <x:c r="A524" s="23" t="n">
        <x:v>523</x:v>
      </x:c>
      <x:c r="B524" s="23" t="str">
        <x:v>Train</x:v>
      </x:c>
      <x:c r="C524" s="23" t="str">
        <x:v>Lightning</x:v>
      </x:c>
      <x:c r="D524" s="23" t="n">
        <x:v>1457.8764813719317</x:v>
      </x:c>
      <x:c r="E524" s="23" t="n">
        <x:v>970.7851792336442</x:v>
      </x:c>
      <x:c r="F524" s="23" t="n">
        <x:v>660.0972700864077</x:v>
      </x:c>
      <x:c r="G524" s="23" t="n">
        <x:v>300.57360428152606</x:v>
      </x:c>
      <x:c r="H524" s="23" t="n">
        <x:v>15.716165632940829</x:v>
      </x:c>
      <x:c r="I524" s="23" t="n">
        <x:v>0.795707119840663</x:v>
      </x:c>
      <x:c r="J524" s="23" t="n">
        <x:v>10</x:v>
      </x:c>
      <x:c r="K524" s="23" t="n">
        <x:v>183.21772484125384</x:v>
      </x:c>
      <x:c r="L524" s="23" t="n">
        <x:v>35</x:v>
      </x:c>
      <x:c r="M524" s="23" t="n">
        <x:v>25</x:v>
      </x:c>
      <x:c r="N524" s="23" t="n">
        <x:v>1.2190733629626787</x:v>
      </x:c>
      <x:c r="O524" s="23" t="n">
        <x:v>52.30962476128647</x:v>
      </x:c>
      <x:c r="P524" s="23" t="n">
        <x:v>1457.8764813719317</x:v>
      </x:c>
      <x:c r="Q524" s="23" t="n">
        <x:v>1.2282824864119166</x:v>
      </x:c>
      <x:c r="R524" s="23" t="n">
        <x:v>53.04791041353398</x:v>
      </x:c>
      <x:c r="S524" s="23" t="n">
        <x:v>1458.5877756587536</x:v>
      </x:c>
      <x:c r="T524" s="23" t="n">
        <x:v>0.009209123449237966</x:v>
      </x:c>
      <x:c r="U524" s="23" t="n">
        <x:v>0.7382856522475052</x:v>
      </x:c>
      <x:c r="V524" s="23" t="n">
        <x:v>0.7112942868218397</x:v>
      </x:c>
    </x:row>
    <x:row r="525">
      <x:c r="A525" s="23" t="n">
        <x:v>524</x:v>
      </x:c>
      <x:c r="B525" s="23" t="str">
        <x:v>Train</x:v>
      </x:c>
      <x:c r="C525" s="23" t="str">
        <x:v>Lightning</x:v>
      </x:c>
      <x:c r="D525" s="23" t="n">
        <x:v>1478.090024215635</x:v>
      </x:c>
      <x:c r="E525" s="23" t="n">
        <x:v>1176.1934777256101</x:v>
      </x:c>
      <x:c r="F525" s="23" t="n">
        <x:v>720.4340944997966</x:v>
      </x:c>
      <x:c r="G525" s="23" t="n">
        <x:v>145.98403945099562</x:v>
      </x:c>
      <x:c r="H525" s="23" t="n">
        <x:v>20.52100622979924</x:v>
      </x:c>
      <x:c r="I525" s="23" t="n">
        <x:v>0.8189168472215533</x:v>
      </x:c>
      <x:c r="J525" s="23" t="n">
        <x:v>10</x:v>
      </x:c>
      <x:c r="K525" s="23" t="n">
        <x:v>180.49329785197912</x:v>
      </x:c>
      <x:c r="L525" s="23" t="n">
        <x:v>30</x:v>
      </x:c>
      <x:c r="M525" s="23" t="n">
        <x:v>25</x:v>
      </x:c>
      <x:c r="N525" s="23" t="n">
        <x:v>1.1573650769698565</x:v>
      </x:c>
      <x:c r="O525" s="23" t="n">
        <x:v>52.328882461722934</x:v>
      </x:c>
      <x:c r="P525" s="23" t="n">
        <x:v>1478.090024215635</x:v>
      </x:c>
      <x:c r="Q525" s="23" t="n">
        <x:v>1.175305105408551</x:v>
      </x:c>
      <x:c r="R525" s="23" t="n">
        <x:v>52.281921200644064</x:v>
      </x:c>
      <x:c r="S525" s="23" t="n">
        <x:v>1463.5035434152508</x:v>
      </x:c>
      <x:c r="T525" s="23" t="n">
        <x:v>0.017940028438694577</x:v>
      </x:c>
      <x:c r="U525" s="23" t="n">
        <x:v>-0.04696126107887011</x:v>
      </x:c>
      <x:c r="V525" s="23" t="n">
        <x:v>-14.586480800384152</x:v>
      </x:c>
    </x:row>
    <x:row r="526">
      <x:c r="A526" s="23" t="n">
        <x:v>525</x:v>
      </x:c>
      <x:c r="B526" s="23" t="str">
        <x:v>Train</x:v>
      </x:c>
      <x:c r="C526" s="23" t="str">
        <x:v>Lightning</x:v>
      </x:c>
      <x:c r="D526" s="23" t="n">
        <x:v>1430.7573036756366</x:v>
      </x:c>
      <x:c r="E526" s="23" t="n">
        <x:v>974.0138350869529</x:v>
      </x:c>
      <x:c r="F526" s="23" t="n">
        <x:v>646.7952569946647</x:v>
      </x:c>
      <x:c r="G526" s="23" t="n">
        <x:v>92.23514584125951</x:v>
      </x:c>
      <x:c r="H526" s="23" t="n">
        <x:v>9.333060581237078</x:v>
      </x:c>
      <x:c r="I526" s="23" t="n">
        <x:v>0.8531828878843226</x:v>
      </x:c>
      <x:c r="J526" s="23" t="n">
        <x:v>9</x:v>
      </x:c>
      <x:c r="K526" s="23" t="n">
        <x:v>186.3293743923419</x:v>
      </x:c>
      <x:c r="L526" s="23" t="n">
        <x:v>45</x:v>
      </x:c>
      <x:c r="M526" s="23" t="n">
        <x:v>25</x:v>
      </x:c>
      <x:c r="N526" s="23" t="n">
        <x:v>1.205763822891125</x:v>
      </x:c>
      <x:c r="O526" s="23" t="n">
        <x:v>52.24210642279812</x:v>
      </x:c>
      <x:c r="P526" s="23" t="n">
        <x:v>1430.7573036756366</x:v>
      </x:c>
      <x:c r="Q526" s="23" t="n">
        <x:v>1.2174951112155235</x:v>
      </x:c>
      <x:c r="R526" s="23" t="n">
        <x:v>52.09091961357158</x:v>
      </x:c>
      <x:c r="S526" s="23" t="n">
        <x:v>1434.4933528027902</x:v>
      </x:c>
      <x:c r="T526" s="23" t="n">
        <x:v>0.011731288324398514</x:v>
      </x:c>
      <x:c r="U526" s="23" t="n">
        <x:v>-0.15118680922654448</x:v>
      </x:c>
      <x:c r="V526" s="23" t="n">
        <x:v>3.736049127153592</x:v>
      </x:c>
    </x:row>
    <x:row r="527">
      <x:c r="A527" s="23" t="n">
        <x:v>526</x:v>
      </x:c>
      <x:c r="B527" s="23" t="str">
        <x:v>Train</x:v>
      </x:c>
      <x:c r="C527" s="23" t="str">
        <x:v>Lightning</x:v>
      </x:c>
      <x:c r="D527" s="23" t="n">
        <x:v>1461.3551536691375</x:v>
      </x:c>
      <x:c r="E527" s="23" t="n">
        <x:v>1131.1423738254234</x:v>
      </x:c>
      <x:c r="F527" s="23" t="n">
        <x:v>635.0682740099728</x:v>
      </x:c>
      <x:c r="G527" s="23" t="n">
        <x:v>182.01477445662022</x:v>
      </x:c>
      <x:c r="H527" s="23" t="n">
        <x:v>25.7293071099557</x:v>
      </x:c>
      <x:c r="I527" s="23" t="n">
        <x:v>0.8348976640356705</x:v>
      </x:c>
      <x:c r="J527" s="23" t="n">
        <x:v>9</x:v>
      </x:c>
      <x:c r="K527" s="23" t="n">
        <x:v>194.48227231498052</x:v>
      </x:c>
      <x:c r="L527" s="23" t="n">
        <x:v>35</x:v>
      </x:c>
      <x:c r="M527" s="23" t="n">
        <x:v>25</x:v>
      </x:c>
      <x:c r="N527" s="23" t="n">
        <x:v>1.1831485983710956</x:v>
      </x:c>
      <x:c r="O527" s="23" t="n">
        <x:v>52.27877704897089</x:v>
      </x:c>
      <x:c r="P527" s="23" t="n">
        <x:v>1461.3551536691375</x:v>
      </x:c>
      <x:c r="Q527" s="23" t="n">
        <x:v>1.1880174013743101</x:v>
      </x:c>
      <x:c r="R527" s="23" t="n">
        <x:v>52.50839728885808</x:v>
      </x:c>
      <x:c r="S527" s="23" t="n">
        <x:v>1444.6962289085727</x:v>
      </x:c>
      <x:c r="T527" s="23" t="n">
        <x:v>0.004868803003214461</x:v>
      </x:c>
      <x:c r="U527" s="23" t="n">
        <x:v>0.22962023988718983</x:v>
      </x:c>
      <x:c r="V527" s="23" t="n">
        <x:v>-16.658924760564787</x:v>
      </x:c>
    </x:row>
    <x:row r="528">
      <x:c r="A528" s="23" t="n">
        <x:v>527</x:v>
      </x:c>
      <x:c r="B528" s="23" t="str">
        <x:v>Train</x:v>
      </x:c>
      <x:c r="C528" s="23" t="str">
        <x:v>Lightning</x:v>
      </x:c>
      <x:c r="D528" s="23" t="n">
        <x:v>1376.8039329210296</x:v>
      </x:c>
      <x:c r="E528" s="23" t="n">
        <x:v>608.0408153240569</x:v>
      </x:c>
      <x:c r="F528" s="23" t="n">
        <x:v>437.12089732289314</x:v>
      </x:c>
      <x:c r="G528" s="23" t="n">
        <x:v>208.7772361538373</x:v>
      </x:c>
      <x:c r="H528" s="23" t="n">
        <x:v>28.946284412406385</x:v>
      </x:c>
      <x:c r="I528" s="23" t="n">
        <x:v>0.851266087719705</x:v>
      </x:c>
      <x:c r="J528" s="23" t="n">
        <x:v>9</x:v>
      </x:c>
      <x:c r="K528" s="23" t="n">
        <x:v>179.70669450581258</x:v>
      </x:c>
      <x:c r="L528" s="23" t="n">
        <x:v>60</x:v>
      </x:c>
      <x:c r="M528" s="23" t="n">
        <x:v>25</x:v>
      </x:c>
      <x:c r="N528" s="23" t="n">
        <x:v>1.237652764241998</x:v>
      </x:c>
      <x:c r="O528" s="23" t="n">
        <x:v>52.170520430591765</x:v>
      </x:c>
      <x:c r="P528" s="23" t="n">
        <x:v>1376.8039329210296</x:v>
      </x:c>
      <x:c r="Q528" s="23" t="n">
        <x:v>1.2149472493792857</x:v>
      </x:c>
      <x:c r="R528" s="23" t="n">
        <x:v>52.1881296509097</x:v>
      </x:c>
      <x:c r="S528" s="23" t="n">
        <x:v>1369.981395753449</x:v>
      </x:c>
      <x:c r="T528" s="23" t="n">
        <x:v>-0.02270551486271244</x:v>
      </x:c>
      <x:c r="U528" s="23" t="n">
        <x:v>0.017609220317936547</x:v>
      </x:c>
      <x:c r="V528" s="23" t="n">
        <x:v>-6.822537167580549</x:v>
      </x:c>
    </x:row>
    <x:row r="529">
      <x:c r="A529" s="23" t="n">
        <x:v>528</x:v>
      </x:c>
      <x:c r="B529" s="23" t="str">
        <x:v>Train</x:v>
      </x:c>
      <x:c r="C529" s="23" t="str">
        <x:v>Lightning</x:v>
      </x:c>
      <x:c r="D529" s="23" t="n">
        <x:v>1498.5714875045232</x:v>
      </x:c>
      <x:c r="E529" s="23" t="n">
        <x:v>776.1442041024566</x:v>
      </x:c>
      <x:c r="F529" s="23" t="n">
        <x:v>617.5555839203298</x:v>
      </x:c>
      <x:c r="G529" s="23" t="n">
        <x:v>237.97011007089168</x:v>
      </x:c>
      <x:c r="H529" s="23" t="n">
        <x:v>8.570481488015503</x:v>
      </x:c>
      <x:c r="I529" s="23" t="n">
        <x:v>0.8596574276592583</x:v>
      </x:c>
      <x:c r="J529" s="23" t="n">
        <x:v>9</x:v>
      </x:c>
      <x:c r="K529" s="23" t="n">
        <x:v>193.6910421508703</x:v>
      </x:c>
      <x:c r="L529" s="23" t="n">
        <x:v>45</x:v>
      </x:c>
      <x:c r="M529" s="23" t="n">
        <x:v>25</x:v>
      </x:c>
      <x:c r="N529" s="23" t="n">
        <x:v>1.1469045249457843</x:v>
      </x:c>
      <x:c r="O529" s="23" t="n">
        <x:v>52.22941812886025</x:v>
      </x:c>
      <x:c r="P529" s="23" t="n">
        <x:v>1498.5714875045232</x:v>
      </x:c>
      <x:c r="Q529" s="23" t="n">
        <x:v>1.1469787958927917</x:v>
      </x:c>
      <x:c r="R529" s="23" t="n">
        <x:v>52.47964056626722</x:v>
      </x:c>
      <x:c r="S529" s="23" t="n">
        <x:v>1499.5565700174952</x:v>
      </x:c>
      <x:c r="T529" s="23" t="n">
        <x:v>0.00007427094700740433</x:v>
      </x:c>
      <x:c r="U529" s="23" t="n">
        <x:v>0.25022243740696837</x:v>
      </x:c>
      <x:c r="V529" s="23" t="n">
        <x:v>0.9850825129719851</x:v>
      </x:c>
    </x:row>
    <x:row r="530">
      <x:c r="A530" s="23" t="n">
        <x:v>529</x:v>
      </x:c>
      <x:c r="B530" s="23" t="str">
        <x:v>Train</x:v>
      </x:c>
      <x:c r="C530" s="23" t="str">
        <x:v>Lightning</x:v>
      </x:c>
      <x:c r="D530" s="23" t="n">
        <x:v>1495.67536348477</x:v>
      </x:c>
      <x:c r="E530" s="23" t="n">
        <x:v>902.5302921771072</x:v>
      </x:c>
      <x:c r="F530" s="23" t="n">
        <x:v>404.17248103767633</x:v>
      </x:c>
      <x:c r="G530" s="23" t="n">
        <x:v>294.6415170864202</x:v>
      </x:c>
      <x:c r="H530" s="23" t="n">
        <x:v>28.261583479121327</x:v>
      </x:c>
      <x:c r="I530" s="23" t="n">
        <x:v>0.8072902540047653</x:v>
      </x:c>
      <x:c r="J530" s="23" t="n">
        <x:v>10</x:v>
      </x:c>
      <x:c r="K530" s="23" t="n">
        <x:v>185.27107890440868</x:v>
      </x:c>
      <x:c r="L530" s="23" t="n">
        <x:v>40</x:v>
      </x:c>
      <x:c r="M530" s="23" t="n">
        <x:v>25</x:v>
      </x:c>
      <x:c r="N530" s="23" t="n">
        <x:v>1.208219181224934</x:v>
      </x:c>
      <x:c r="O530" s="23" t="n">
        <x:v>52.25243289829468</x:v>
      </x:c>
      <x:c r="P530" s="23" t="n">
        <x:v>1495.67536348477</x:v>
      </x:c>
      <x:c r="Q530" s="23" t="n">
        <x:v>1.2135294907891</x:v>
      </x:c>
      <x:c r="R530" s="23" t="n">
        <x:v>51.20701159757445</x:v>
      </x:c>
      <x:c r="S530" s="23" t="n">
        <x:v>1478.6389742597926</x:v>
      </x:c>
      <x:c r="T530" s="23" t="n">
        <x:v>0.005310309564166005</x:v>
      </x:c>
      <x:c r="U530" s="23" t="n">
        <x:v>-1.0454213007202284</x:v>
      </x:c>
      <x:c r="V530" s="23" t="n">
        <x:v>-17.036389224977484</x:v>
      </x:c>
    </x:row>
    <x:row r="531">
      <x:c r="A531" s="23" t="n">
        <x:v>530</x:v>
      </x:c>
      <x:c r="B531" s="23" t="str">
        <x:v>Train</x:v>
      </x:c>
      <x:c r="C531" s="23" t="str">
        <x:v>Lightning</x:v>
      </x:c>
      <x:c r="D531" s="23" t="n">
        <x:v>1435.61756570125</x:v>
      </x:c>
      <x:c r="E531" s="23" t="n">
        <x:v>660.4892992647365</x:v>
      </x:c>
      <x:c r="F531" s="23" t="n">
        <x:v>629.5709648169577</x:v>
      </x:c>
      <x:c r="G531" s="23" t="n">
        <x:v>176.64945979602635</x:v>
      </x:c>
      <x:c r="H531" s="23" t="n">
        <x:v>8.095389709342271</x:v>
      </x:c>
      <x:c r="I531" s="23" t="n">
        <x:v>0.8210209401929751</x:v>
      </x:c>
      <x:c r="J531" s="23" t="n">
        <x:v>9</x:v>
      </x:c>
      <x:c r="K531" s="23" t="n">
        <x:v>194.2862295548784</x:v>
      </x:c>
      <x:c r="L531" s="23" t="n">
        <x:v>55</x:v>
      </x:c>
      <x:c r="M531" s="23" t="n">
        <x:v>25</x:v>
      </x:c>
      <x:c r="N531" s="23" t="n">
        <x:v>1.2461276745143521</x:v>
      </x:c>
      <x:c r="O531" s="23" t="n">
        <x:v>52.203696713695635</x:v>
      </x:c>
      <x:c r="P531" s="23" t="n">
        <x:v>1435.61756570125</x:v>
      </x:c>
      <x:c r="Q531" s="23" t="n">
        <x:v>1.2600227531024286</x:v>
      </x:c>
      <x:c r="R531" s="23" t="n">
        <x:v>52.34375626084243</x:v>
      </x:c>
      <x:c r="S531" s="23" t="n">
        <x:v>1440.1342110346718</x:v>
      </x:c>
      <x:c r="T531" s="23" t="n">
        <x:v>0.013895078588076482</x:v>
      </x:c>
      <x:c r="U531" s="23" t="n">
        <x:v>0.14005954714679802</x:v>
      </x:c>
      <x:c r="V531" s="23" t="n">
        <x:v>4.51664533342182</x:v>
      </x:c>
    </x:row>
    <x:row r="532">
      <x:c r="A532" s="23" t="n">
        <x:v>531</x:v>
      </x:c>
      <x:c r="B532" s="23" t="str">
        <x:v>Train</x:v>
      </x:c>
      <x:c r="C532" s="23" t="str">
        <x:v>Lightning</x:v>
      </x:c>
      <x:c r="D532" s="23" t="n">
        <x:v>1489.4716979702935</x:v>
      </x:c>
      <x:c r="E532" s="23" t="n">
        <x:v>875.0548608251847</x:v>
      </x:c>
      <x:c r="F532" s="23" t="n">
        <x:v>685.790291056037</x:v>
      </x:c>
      <x:c r="G532" s="23" t="n">
        <x:v>222.9045244003646</x:v>
      </x:c>
      <x:c r="H532" s="23" t="n">
        <x:v>26.6995168896392</x:v>
      </x:c>
      <x:c r="I532" s="23" t="n">
        <x:v>0.8553679793770426</x:v>
      </x:c>
      <x:c r="J532" s="23" t="n">
        <x:v>9</x:v>
      </x:c>
      <x:c r="K532" s="23" t="n">
        <x:v>193.48030241974055</x:v>
      </x:c>
      <x:c r="L532" s="23" t="n">
        <x:v>40</x:v>
      </x:c>
      <x:c r="M532" s="23" t="n">
        <x:v>25</x:v>
      </x:c>
      <x:c r="N532" s="23" t="n">
        <x:v>1.217405498804752</x:v>
      </x:c>
      <x:c r="O532" s="23" t="n">
        <x:v>52.2531311682742</x:v>
      </x:c>
      <x:c r="P532" s="23" t="n">
        <x:v>1489.4716979702935</x:v>
      </x:c>
      <x:c r="Q532" s="23" t="n">
        <x:v>1.2224436928364866</x:v>
      </x:c>
      <x:c r="R532" s="23" t="n">
        <x:v>52.39894942634742</x:v>
      </x:c>
      <x:c r="S532" s="23" t="n">
        <x:v>1469.2915716489022</x:v>
      </x:c>
      <x:c r="T532" s="23" t="n">
        <x:v>0.005038194031734555</x:v>
      </x:c>
      <x:c r="U532" s="23" t="n">
        <x:v>0.1458182580732199</x:v>
      </x:c>
      <x:c r="V532" s="23" t="n">
        <x:v>-20.1801263213913</x:v>
      </x:c>
    </x:row>
    <x:row r="533">
      <x:c r="A533" s="23" t="n">
        <x:v>532</x:v>
      </x:c>
      <x:c r="B533" s="23" t="str">
        <x:v>Train</x:v>
      </x:c>
      <x:c r="C533" s="23" t="str">
        <x:v>Lightning</x:v>
      </x:c>
      <x:c r="D533" s="23" t="n">
        <x:v>1360.3644376038574</x:v>
      </x:c>
      <x:c r="E533" s="23" t="n">
        <x:v>1037.2886119876057</x:v>
      </x:c>
      <x:c r="F533" s="23" t="n">
        <x:v>460.961754899472</x:v>
      </x:c>
      <x:c r="G533" s="23" t="n">
        <x:v>273.43827047850937</x:v>
      </x:c>
      <x:c r="H533" s="23" t="n">
        <x:v>20.864300593268126</x:v>
      </x:c>
      <x:c r="I533" s="23" t="n">
        <x:v>0.7999861523695291</x:v>
      </x:c>
      <x:c r="J533" s="23" t="n">
        <x:v>9</x:v>
      </x:c>
      <x:c r="K533" s="23" t="n">
        <x:v>188.94277573493113</x:v>
      </x:c>
      <x:c r="L533" s="23" t="n">
        <x:v>40</x:v>
      </x:c>
      <x:c r="M533" s="23" t="n">
        <x:v>25</x:v>
      </x:c>
      <x:c r="N533" s="23" t="n">
        <x:v>1.1799368898903626</x:v>
      </x:c>
      <x:c r="O533" s="23" t="n">
        <x:v>52.25125055078122</x:v>
      </x:c>
      <x:c r="P533" s="23" t="n">
        <x:v>1360.3644376038574</x:v>
      </x:c>
      <x:c r="Q533" s="23" t="n">
        <x:v>1.175787356753297</x:v>
      </x:c>
      <x:c r="R533" s="23" t="n">
        <x:v>52.22343415830955</x:v>
      </x:c>
      <x:c r="S533" s="23" t="n">
        <x:v>1346.1007227481343</x:v>
      </x:c>
      <x:c r="T533" s="23" t="n">
        <x:v>-0.004149533137065564</x:v>
      </x:c>
      <x:c r="U533" s="23" t="n">
        <x:v>-0.02781639247167078</x:v>
      </x:c>
      <x:c r="V533" s="23" t="n">
        <x:v>-14.263714855723038</x:v>
      </x:c>
    </x:row>
    <x:row r="534">
      <x:c r="A534" s="23" t="n">
        <x:v>533</x:v>
      </x:c>
      <x:c r="B534" s="23" t="str">
        <x:v>Train</x:v>
      </x:c>
      <x:c r="C534" s="23" t="str">
        <x:v>Lightning</x:v>
      </x:c>
      <x:c r="D534" s="23" t="n">
        <x:v>1422.741910116747</x:v>
      </x:c>
      <x:c r="E534" s="23" t="n">
        <x:v>657.8381884726696</x:v>
      </x:c>
      <x:c r="F534" s="23" t="n">
        <x:v>635.6071708723903</x:v>
      </x:c>
      <x:c r="G534" s="23" t="n">
        <x:v>311.57722159521654</x:v>
      </x:c>
      <x:c r="H534" s="23" t="n">
        <x:v>19.773763850331306</x:v>
      </x:c>
      <x:c r="I534" s="23" t="n">
        <x:v>0.851938762201462</x:v>
      </x:c>
      <x:c r="J534" s="23" t="n">
        <x:v>9</x:v>
      </x:c>
      <x:c r="K534" s="23" t="n">
        <x:v>185.5561003574032</x:v>
      </x:c>
      <x:c r="L534" s="23" t="n">
        <x:v>45</x:v>
      </x:c>
      <x:c r="M534" s="23" t="n">
        <x:v>25</x:v>
      </x:c>
      <x:c r="N534" s="23" t="n">
        <x:v>1.183095389506578</x:v>
      </x:c>
      <x:c r="O534" s="23" t="n">
        <x:v>52.225263145933106</x:v>
      </x:c>
      <x:c r="P534" s="23" t="n">
        <x:v>1422.741910116747</x:v>
      </x:c>
      <x:c r="Q534" s="23" t="n">
        <x:v>1.1857604627455771</x:v>
      </x:c>
      <x:c r="R534" s="23" t="n">
        <x:v>52.01646086102867</x:v>
      </x:c>
      <x:c r="S534" s="23" t="n">
        <x:v>1425.5435665551963</x:v>
      </x:c>
      <x:c r="T534" s="23" t="n">
        <x:v>0.002665073238999005</x:v>
      </x:c>
      <x:c r="U534" s="23" t="n">
        <x:v>-0.20880228490443642</x:v>
      </x:c>
      <x:c r="V534" s="23" t="n">
        <x:v>2.8016564384492995</x:v>
      </x:c>
    </x:row>
    <x:row r="535">
      <x:c r="A535" s="23" t="n">
        <x:v>534</x:v>
      </x:c>
      <x:c r="B535" s="23" t="str">
        <x:v>Train</x:v>
      </x:c>
      <x:c r="C535" s="23" t="str">
        <x:v>Lightning</x:v>
      </x:c>
      <x:c r="D535" s="23" t="n">
        <x:v>1357.7735279803164</x:v>
      </x:c>
      <x:c r="E535" s="23" t="n">
        <x:v>1107.3104059090838</x:v>
      </x:c>
      <x:c r="F535" s="23" t="n">
        <x:v>600.3630769439042</x:v>
      </x:c>
      <x:c r="G535" s="23" t="n">
        <x:v>139.423275757581</x:v>
      </x:c>
      <x:c r="H535" s="23" t="n">
        <x:v>15.664569503162056</x:v>
      </x:c>
      <x:c r="I535" s="23" t="n">
        <x:v>0.8114637379860505</x:v>
      </x:c>
      <x:c r="J535" s="23" t="n">
        <x:v>9</x:v>
      </x:c>
      <x:c r="K535" s="23" t="n">
        <x:v>185.9155477551847</x:v>
      </x:c>
      <x:c r="L535" s="23" t="n">
        <x:v>40</x:v>
      </x:c>
      <x:c r="M535" s="23" t="n">
        <x:v>25</x:v>
      </x:c>
      <x:c r="N535" s="23" t="n">
        <x:v>1.1978683919824935</x:v>
      </x:c>
      <x:c r="O535" s="23" t="n">
        <x:v>52.263008562086355</x:v>
      </x:c>
      <x:c r="P535" s="23" t="n">
        <x:v>1357.7735279803164</x:v>
      </x:c>
      <x:c r="Q535" s="23" t="n">
        <x:v>1.2177212740592003</x:v>
      </x:c>
      <x:c r="R535" s="23" t="n">
        <x:v>52.18135210227999</x:v>
      </x:c>
      <x:c r="S535" s="23" t="n">
        <x:v>1361.0729591815489</x:v>
      </x:c>
      <x:c r="T535" s="23" t="n">
        <x:v>0.019852882076706768</x:v>
      </x:c>
      <x:c r="U535" s="23" t="n">
        <x:v>-0.08165645980636782</x:v>
      </x:c>
      <x:c r="V535" s="23" t="n">
        <x:v>3.299431201232437</x:v>
      </x:c>
    </x:row>
    <x:row r="536">
      <x:c r="A536" s="23" t="n">
        <x:v>535</x:v>
      </x:c>
      <x:c r="B536" s="23" t="str">
        <x:v>Validation</x:v>
      </x:c>
      <x:c r="C536" s="23" t="str">
        <x:v>Lightning</x:v>
      </x:c>
      <x:c r="D536" s="23" t="n">
        <x:v>1382.759399455972</x:v>
      </x:c>
      <x:c r="E536" s="23" t="n">
        <x:v>1140.7551402342506</x:v>
      </x:c>
      <x:c r="F536" s="23" t="n">
        <x:v>413.5339066386223</x:v>
      </x:c>
      <x:c r="G536" s="23" t="n">
        <x:v>248.98427618434653</x:v>
      </x:c>
      <x:c r="H536" s="23" t="n">
        <x:v>17.797281350009143</x:v>
      </x:c>
      <x:c r="I536" s="23" t="n">
        <x:v>0.8438765161833727</x:v>
      </x:c>
      <x:c r="J536" s="23" t="n">
        <x:v>9</x:v>
      </x:c>
      <x:c r="K536" s="23" t="n">
        <x:v>182.0644730911082</x:v>
      </x:c>
      <x:c r="L536" s="23" t="n">
        <x:v>40</x:v>
      </x:c>
      <x:c r="M536" s="23" t="n">
        <x:v>25</x:v>
      </x:c>
      <x:c r="N536" s="23" t="n">
        <x:v>1.1828340115289158</x:v>
      </x:c>
      <x:c r="O536" s="23" t="n">
        <x:v>52.256175392897696</x:v>
      </x:c>
      <x:c r="P536" s="23" t="n">
        <x:v>1382.759399455972</x:v>
      </x:c>
      <x:c r="Q536" s="23" t="n">
        <x:v>1.178117540005632</x:v>
      </x:c>
      <x:c r="R536" s="23" t="n">
        <x:v>51.9549587957233</x:v>
      </x:c>
      <x:c r="S536" s="23" t="n">
        <x:v>1384.0794746213028</x:v>
      </x:c>
      <x:c r="T536" s="23" t="n">
        <x:v>-0.004716471523283694</x:v>
      </x:c>
      <x:c r="U536" s="23" t="n">
        <x:v>-0.3012165971743954</x:v>
      </x:c>
      <x:c r="V536" s="23" t="n">
        <x:v>1.3200751653307634</x:v>
      </x:c>
    </x:row>
    <x:row r="537">
      <x:c r="A537" s="23" t="n">
        <x:v>536</x:v>
      </x:c>
      <x:c r="B537" s="23" t="str">
        <x:v>Validation</x:v>
      </x:c>
      <x:c r="C537" s="23" t="str">
        <x:v>Lightning</x:v>
      </x:c>
      <x:c r="D537" s="23" t="n">
        <x:v>1434.9552879924886</x:v>
      </x:c>
      <x:c r="E537" s="23" t="n">
        <x:v>1190.0088696740568</x:v>
      </x:c>
      <x:c r="F537" s="23" t="n">
        <x:v>545.2236256562173</x:v>
      </x:c>
      <x:c r="G537" s="23" t="n">
        <x:v>267.4516276875511</x:v>
      </x:c>
      <x:c r="H537" s="23" t="n">
        <x:v>28.20423804735765</x:v>
      </x:c>
      <x:c r="I537" s="23" t="n">
        <x:v>0.8235022335220129</x:v>
      </x:c>
      <x:c r="J537" s="23" t="n">
        <x:v>9</x:v>
      </x:c>
      <x:c r="K537" s="23" t="n">
        <x:v>193.6114681337387</x:v>
      </x:c>
      <x:c r="L537" s="23" t="n">
        <x:v>35</x:v>
      </x:c>
      <x:c r="M537" s="23" t="n">
        <x:v>25</x:v>
      </x:c>
      <x:c r="N537" s="23" t="n">
        <x:v>1.2262582600453444</x:v>
      </x:c>
      <x:c r="O537" s="23" t="n">
        <x:v>52.28726852188155</x:v>
      </x:c>
      <x:c r="P537" s="23" t="n">
        <x:v>1434.9552879924886</x:v>
      </x:c>
      <x:c r="Q537" s="23" t="n">
        <x:v>1.2284538020954459</x:v>
      </x:c>
      <x:c r="R537" s="23" t="n">
        <x:v>53.47508863030804</x:v>
      </x:c>
      <x:c r="S537" s="23" t="n">
        <x:v>1414.7650218383249</x:v>
      </x:c>
      <x:c r="T537" s="23" t="n">
        <x:v>0.002195542050101418</x:v>
      </x:c>
      <x:c r="U537" s="23" t="n">
        <x:v>1.187820108426493</x:v>
      </x:c>
      <x:c r="V537" s="23" t="n">
        <x:v>-20.190266154163737</x:v>
      </x:c>
    </x:row>
    <x:row r="538">
      <x:c r="A538" s="23" t="n">
        <x:v>537</x:v>
      </x:c>
      <x:c r="B538" s="23" t="str">
        <x:v>Validation</x:v>
      </x:c>
      <x:c r="C538" s="23" t="str">
        <x:v>Lightning</x:v>
      </x:c>
      <x:c r="D538" s="23" t="n">
        <x:v>1381.489898264408</x:v>
      </x:c>
      <x:c r="E538" s="23" t="n">
        <x:v>852.7146259672008</x:v>
      </x:c>
      <x:c r="F538" s="23" t="n">
        <x:v>667.6813768222928</x:v>
      </x:c>
      <x:c r="G538" s="23" t="n">
        <x:v>260.1139475428499</x:v>
      </x:c>
      <x:c r="H538" s="23" t="n">
        <x:v>28.024466482922435</x:v>
      </x:c>
      <x:c r="I538" s="23" t="n">
        <x:v>0.8544826695811936</x:v>
      </x:c>
      <x:c r="J538" s="23" t="n">
        <x:v>9</x:v>
      </x:c>
      <x:c r="K538" s="23" t="n">
        <x:v>179.63954454473424</x:v>
      </x:c>
      <x:c r="L538" s="23" t="n">
        <x:v>40</x:v>
      </x:c>
      <x:c r="M538" s="23" t="n">
        <x:v>25</x:v>
      </x:c>
      <x:c r="N538" s="23" t="n">
        <x:v>1.2221896524425997</x:v>
      </x:c>
      <x:c r="O538" s="23" t="n">
        <x:v>52.252626014005564</x:v>
      </x:c>
      <x:c r="P538" s="23" t="n">
        <x:v>1381.489898264408</x:v>
      </x:c>
      <x:c r="Q538" s="23" t="n">
        <x:v>1.2089896719530995</x:v>
      </x:c>
      <x:c r="R538" s="23" t="n">
        <x:v>51.833290838779064</x:v>
      </x:c>
      <x:c r="S538" s="23" t="n">
        <x:v>1366.9793887964345</x:v>
      </x:c>
      <x:c r="T538" s="23" t="n">
        <x:v>-0.013199980489500218</x:v>
      </x:c>
      <x:c r="U538" s="23" t="n">
        <x:v>-0.4193351752265002</x:v>
      </x:c>
      <x:c r="V538" s="23" t="n">
        <x:v>-14.510509467973634</x:v>
      </x:c>
    </x:row>
    <x:row r="539">
      <x:c r="A539" s="23" t="n">
        <x:v>538</x:v>
      </x:c>
      <x:c r="B539" s="23" t="str">
        <x:v>Hidden Test</x:v>
      </x:c>
      <x:c r="C539" s="23" t="str">
        <x:v>Lightning</x:v>
      </x:c>
      <x:c r="D539" s="23" t="n">
        <x:v>1415.450105688069</x:v>
      </x:c>
      <x:c r="E539" s="23" t="n">
        <x:v>697.8493923554197</x:v>
      </x:c>
      <x:c r="F539" s="23" t="n">
        <x:v>635.0797460414469</x:v>
      </x:c>
      <x:c r="G539" s="23" t="n">
        <x:v>116.69176786206663</x:v>
      </x:c>
      <x:c r="H539" s="23" t="n">
        <x:v>23.3047487703152</x:v>
      </x:c>
      <x:c r="I539" s="23" t="n">
        <x:v>0.7904467409895733</x:v>
      </x:c>
      <x:c r="J539" s="23" t="n">
        <x:v>9</x:v>
      </x:c>
      <x:c r="K539" s="23" t="n">
        <x:v>198.9662627597772</x:v>
      </x:c>
      <x:c r="L539" s="23" t="n">
        <x:v>50</x:v>
      </x:c>
      <x:c r="M539" s="23" t="n">
        <x:v>25</x:v>
      </x:c>
      <x:c r="N539" s="23" t="n">
        <x:v>1.1926083563446648</x:v>
      </x:c>
      <x:c r="O539" s="23" t="n">
        <x:v>52.20103213980842</x:v>
      </x:c>
      <x:c r="P539" s="23" t="n">
        <x:v>1415.450105688069</x:v>
      </x:c>
      <x:c r="Q539" s="23" t="n">
        <x:v>1.178696664221569</x:v>
      </x:c>
      <x:c r="R539" s="23" t="n">
        <x:v>51.97884758163426</x:v>
      </x:c>
      <x:c r="S539" s="23" t="n">
        <x:v>1417.9336253896606</x:v>
      </x:c>
      <x:c r="T539" s="23" t="n">
        <x:v>-0.013911692123095731</x:v>
      </x:c>
      <x:c r="U539" s="23" t="n">
        <x:v>-0.22218455817415617</x:v>
      </x:c>
      <x:c r="V539" s="23" t="n">
        <x:v>2.4835197015916037</x:v>
      </x:c>
    </x:row>
    <x:row r="540">
      <x:c r="A540" s="23" t="n">
        <x:v>539</x:v>
      </x:c>
      <x:c r="B540" s="23" t="str">
        <x:v>Hidden Test</x:v>
      </x:c>
      <x:c r="C540" s="23" t="str">
        <x:v>Lightning</x:v>
      </x:c>
      <x:c r="D540" s="23" t="n">
        <x:v>1398.0493382317945</x:v>
      </x:c>
      <x:c r="E540" s="23" t="n">
        <x:v>1077.2320528165437</x:v>
      </x:c>
      <x:c r="F540" s="23" t="n">
        <x:v>649.1745475679636</x:v>
      </x:c>
      <x:c r="G540" s="23" t="n">
        <x:v>85.13609609333798</x:v>
      </x:c>
      <x:c r="H540" s="23" t="n">
        <x:v>27.30427458230406</x:v>
      </x:c>
      <x:c r="I540" s="23" t="n">
        <x:v>0.7926810161280446</x:v>
      </x:c>
      <x:c r="J540" s="23" t="n">
        <x:v>9</x:v>
      </x:c>
      <x:c r="K540" s="23" t="n">
        <x:v>195.96636250715488</x:v>
      </x:c>
      <x:c r="L540" s="23" t="n">
        <x:v>40</x:v>
      </x:c>
      <x:c r="M540" s="23" t="n">
        <x:v>25</x:v>
      </x:c>
      <x:c r="N540" s="23" t="n">
        <x:v>1.2373378979548786</x:v>
      </x:c>
      <x:c r="O540" s="23" t="n">
        <x:v>52.257464794948305</x:v>
      </x:c>
      <x:c r="P540" s="23" t="n">
        <x:v>1398.0493382317945</x:v>
      </x:c>
      <x:c r="Q540" s="23" t="n">
        <x:v>1.2473729415793202</x:v>
      </x:c>
      <x:c r="R540" s="23" t="n">
        <x:v>53.255709842281235</x:v>
      </x:c>
      <x:c r="S540" s="23" t="n">
        <x:v>1380.6626754154538</x:v>
      </x:c>
      <x:c r="T540" s="23" t="n">
        <x:v>0.01003504362444163</x:v>
      </x:c>
      <x:c r="U540" s="23" t="n">
        <x:v>0.9982450473329294</x:v>
      </x:c>
      <x:c r="V540" s="23" t="n">
        <x:v>-17.38666281634073</x:v>
      </x:c>
    </x:row>
    <x:row r="541">
      <x:c r="A541" s="23" t="n">
        <x:v>540</x:v>
      </x:c>
      <x:c r="B541" s="23" t="str">
        <x:v>Hidden Test</x:v>
      </x:c>
      <x:c r="C541" s="23" t="str">
        <x:v>Lightning</x:v>
      </x:c>
      <x:c r="D541" s="23" t="n">
        <x:v>1440.0300599983893</x:v>
      </x:c>
      <x:c r="E541" s="23" t="n">
        <x:v>1124.4590647052974</x:v>
      </x:c>
      <x:c r="F541" s="23" t="n">
        <x:v>367.3063184134662</x:v>
      </x:c>
      <x:c r="G541" s="23" t="n">
        <x:v>138.8027274934575</x:v>
      </x:c>
      <x:c r="H541" s="23" t="n">
        <x:v>22.8718275683932</x:v>
      </x:c>
      <x:c r="I541" s="23" t="n">
        <x:v>0.7962897389382124</x:v>
      </x:c>
      <x:c r="J541" s="23" t="n">
        <x:v>10</x:v>
      </x:c>
      <x:c r="K541" s="23" t="n">
        <x:v>180.84247348440684</x:v>
      </x:c>
      <x:c r="L541" s="23" t="n">
        <x:v>40</x:v>
      </x:c>
      <x:c r="M541" s="23" t="n">
        <x:v>25</x:v>
      </x:c>
      <x:c r="N541" s="23" t="n">
        <x:v>1.2026731529040429</x:v>
      </x:c>
      <x:c r="O541" s="23" t="n">
        <x:v>52.25749592516356</x:v>
      </x:c>
      <x:c r="P541" s="23" t="n">
        <x:v>1440.0300599983893</x:v>
      </x:c>
      <x:c r="Q541" s="23" t="n">
        <x:v>1.1994563110062448</x:v>
      </x:c>
      <x:c r="R541" s="23" t="n">
        <x:v>51.81561492817676</x:v>
      </x:c>
      <x:c r="S541" s="23" t="n">
        <x:v>1431.5984577260965</x:v>
      </x:c>
      <x:c r="T541" s="23" t="n">
        <x:v>-0.0032168418977980284</x:v>
      </x:c>
      <x:c r="U541" s="23" t="n">
        <x:v>-0.4418809969868036</x:v>
      </x:c>
      <x:c r="V541" s="23" t="n">
        <x:v>-8.431602272292821</x:v>
      </x:c>
    </x:row>
    <x:row r="542">
      <x:c r="A542" s="23" t="n">
        <x:v>541</x:v>
      </x:c>
      <x:c r="B542" s="23" t="str">
        <x:v>Train</x:v>
      </x:c>
      <x:c r="C542" s="23" t="str">
        <x:v>Lightning</x:v>
      </x:c>
      <x:c r="D542" s="23" t="n">
        <x:v>1353.3692061435431</x:v>
      </x:c>
      <x:c r="E542" s="23" t="n">
        <x:v>1090.8205338637345</x:v>
      </x:c>
      <x:c r="F542" s="23" t="n">
        <x:v>443.8915168866515</x:v>
      </x:c>
      <x:c r="G542" s="23" t="n">
        <x:v>124.73308922024444</x:v>
      </x:c>
      <x:c r="H542" s="23" t="n">
        <x:v>21.58291621133685</x:v>
      </x:c>
      <x:c r="I542" s="23" t="n">
        <x:v>0.8434550891467371</x:v>
      </x:c>
      <x:c r="J542" s="23" t="n">
        <x:v>9</x:v>
      </x:c>
      <x:c r="K542" s="23" t="n">
        <x:v>178.28377369836537</x:v>
      </x:c>
      <x:c r="L542" s="23" t="n">
        <x:v>45</x:v>
      </x:c>
      <x:c r="M542" s="23" t="n">
        <x:v>25</x:v>
      </x:c>
      <x:c r="N542" s="23" t="n">
        <x:v>1.2285847889135777</x:v>
      </x:c>
      <x:c r="O542" s="23" t="n">
        <x:v>52.23374898344992</x:v>
      </x:c>
      <x:c r="P542" s="23" t="n">
        <x:v>1353.3692061435431</x:v>
      </x:c>
      <x:c r="Q542" s="23" t="n">
        <x:v>1.2395366118137174</x:v>
      </x:c>
      <x:c r="R542" s="23" t="n">
        <x:v>53.81659047107273</x:v>
      </x:c>
      <x:c r="S542" s="23" t="n">
        <x:v>1342.4555894792848</x:v>
      </x:c>
      <x:c r="T542" s="23" t="n">
        <x:v>0.01095182290013974</x:v>
      </x:c>
      <x:c r="U542" s="23" t="n">
        <x:v>1.582841487622808</x:v>
      </x:c>
      <x:c r="V542" s="23" t="n">
        <x:v>-10.91361666425837</x:v>
      </x:c>
    </x:row>
    <x:row r="543">
      <x:c r="A543" s="23" t="n">
        <x:v>542</x:v>
      </x:c>
      <x:c r="B543" s="23" t="str">
        <x:v>Train</x:v>
      </x:c>
      <x:c r="C543" s="23" t="str">
        <x:v>Lightning</x:v>
      </x:c>
      <x:c r="D543" s="23" t="n">
        <x:v>1498.9665866014548</x:v>
      </x:c>
      <x:c r="E543" s="23" t="n">
        <x:v>1002.8829238144681</x:v>
      </x:c>
      <x:c r="F543" s="23" t="n">
        <x:v>720.588590670377</x:v>
      </x:c>
      <x:c r="G543" s="23" t="n">
        <x:v>122.69549902528524</x:v>
      </x:c>
      <x:c r="H543" s="23" t="n">
        <x:v>11.038820939604193</x:v>
      </x:c>
      <x:c r="I543" s="23" t="n">
        <x:v>0.7983299684105442</x:v>
      </x:c>
      <x:c r="J543" s="23" t="n">
        <x:v>10</x:v>
      </x:c>
      <x:c r="K543" s="23" t="n">
        <x:v>187.76278555418148</x:v>
      </x:c>
      <x:c r="L543" s="23" t="n">
        <x:v>35</x:v>
      </x:c>
      <x:c r="M543" s="23" t="n">
        <x:v>25</x:v>
      </x:c>
      <x:c r="N543" s="23" t="n">
        <x:v>1.1430287109709873</x:v>
      </x:c>
      <x:c r="O543" s="23" t="n">
        <x:v>52.29484843509063</x:v>
      </x:c>
      <x:c r="P543" s="23" t="n">
        <x:v>1498.9665866014548</x:v>
      </x:c>
      <x:c r="Q543" s="23" t="n">
        <x:v>1.1663918946685032</x:v>
      </x:c>
      <x:c r="R543" s="23" t="n">
        <x:v>52.2914979310143</x:v>
      </x:c>
      <x:c r="S543" s="23" t="n">
        <x:v>1500.0423779763046</x:v>
      </x:c>
      <x:c r="T543" s="23" t="n">
        <x:v>0.023363183697515888</x:v>
      </x:c>
      <x:c r="U543" s="23" t="n">
        <x:v>-0.0033505040763301963</x:v>
      </x:c>
      <x:c r="V543" s="23" t="n">
        <x:v>1.075791374849814</x:v>
      </x:c>
    </x:row>
    <x:row r="544">
      <x:c r="A544" s="23" t="n">
        <x:v>543</x:v>
      </x:c>
      <x:c r="B544" s="23" t="str">
        <x:v>Train</x:v>
      </x:c>
      <x:c r="C544" s="23" t="str">
        <x:v>Lightning</x:v>
      </x:c>
      <x:c r="D544" s="23" t="n">
        <x:v>1434.1287147486582</x:v>
      </x:c>
      <x:c r="E544" s="23" t="n">
        <x:v>965.4178938944824</x:v>
      </x:c>
      <x:c r="F544" s="23" t="n">
        <x:v>425.8639357984066</x:v>
      </x:c>
      <x:c r="G544" s="23" t="n">
        <x:v>275.1012699282728</x:v>
      </x:c>
      <x:c r="H544" s="23" t="n">
        <x:v>8.03030293341726</x:v>
      </x:c>
      <x:c r="I544" s="23" t="n">
        <x:v>0.8574028147174977</x:v>
      </x:c>
      <x:c r="J544" s="23" t="n">
        <x:v>9</x:v>
      </x:c>
      <x:c r="K544" s="23" t="n">
        <x:v>185.84920907283933</x:v>
      </x:c>
      <x:c r="L544" s="23" t="n">
        <x:v>45</x:v>
      </x:c>
      <x:c r="M544" s="23" t="n">
        <x:v>25</x:v>
      </x:c>
      <x:c r="N544" s="23" t="n">
        <x:v>1.1677156318094108</x:v>
      </x:c>
      <x:c r="O544" s="23" t="n">
        <x:v>52.23483078480843</x:v>
      </x:c>
      <x:c r="P544" s="23" t="n">
        <x:v>1434.1287147486582</x:v>
      </x:c>
      <x:c r="Q544" s="23" t="n">
        <x:v>1.1865749229782108</x:v>
      </x:c>
      <x:c r="R544" s="23" t="n">
        <x:v>51.47928862602221</x:v>
      </x:c>
      <x:c r="S544" s="23" t="n">
        <x:v>1435.94219758043</x:v>
      </x:c>
      <x:c r="T544" s="23" t="n">
        <x:v>0.01885929116879992</x:v>
      </x:c>
      <x:c r="U544" s="23" t="n">
        <x:v>-0.7555421587862199</x:v>
      </x:c>
      <x:c r="V544" s="23" t="n">
        <x:v>1.8134828317718075</x:v>
      </x:c>
    </x:row>
    <x:row r="545">
      <x:c r="A545" s="23" t="n">
        <x:v>544</x:v>
      </x:c>
      <x:c r="B545" s="23" t="str">
        <x:v>Train</x:v>
      </x:c>
      <x:c r="C545" s="23" t="str">
        <x:v>Lightning</x:v>
      </x:c>
      <x:c r="D545" s="23" t="n">
        <x:v>1417.3399833845906</x:v>
      </x:c>
      <x:c r="E545" s="23" t="n">
        <x:v>1125.4315368831158</x:v>
      </x:c>
      <x:c r="F545" s="23" t="n">
        <x:v>492.9997234605253</x:v>
      </x:c>
      <x:c r="G545" s="23" t="n">
        <x:v>273.20019998122007</x:v>
      </x:c>
      <x:c r="H545" s="23" t="n">
        <x:v>18.726384551730007</x:v>
      </x:c>
      <x:c r="I545" s="23" t="n">
        <x:v>0.8550346575211734</x:v>
      </x:c>
      <x:c r="J545" s="23" t="n">
        <x:v>9</x:v>
      </x:c>
      <x:c r="K545" s="23" t="n">
        <x:v>184.18226558514192</x:v>
      </x:c>
      <x:c r="L545" s="23" t="n">
        <x:v>40</x:v>
      </x:c>
      <x:c r="M545" s="23" t="n">
        <x:v>25</x:v>
      </x:c>
      <x:c r="N545" s="23" t="n">
        <x:v>1.241094612652086</x:v>
      </x:c>
      <x:c r="O545" s="23" t="n">
        <x:v>52.269952635451155</x:v>
      </x:c>
      <x:c r="P545" s="23" t="n">
        <x:v>1417.3399833845906</x:v>
      </x:c>
      <x:c r="Q545" s="23" t="n">
        <x:v>1.2536094267442184</x:v>
      </x:c>
      <x:c r="R545" s="23" t="n">
        <x:v>53.16957959083218</x:v>
      </x:c>
      <x:c r="S545" s="23" t="n">
        <x:v>1414.031553970066</x:v>
      </x:c>
      <x:c r="T545" s="23" t="n">
        <x:v>0.012514814092132287</x:v>
      </x:c>
      <x:c r="U545" s="23" t="n">
        <x:v>0.8996269553810237</x:v>
      </x:c>
      <x:c r="V545" s="23" t="n">
        <x:v>-3.308429414524653</x:v>
      </x:c>
    </x:row>
    <x:row r="546">
      <x:c r="A546" s="23" t="n">
        <x:v>545</x:v>
      </x:c>
      <x:c r="B546" s="23" t="str">
        <x:v>Train</x:v>
      </x:c>
      <x:c r="C546" s="23" t="str">
        <x:v>Lightning</x:v>
      </x:c>
      <x:c r="D546" s="23" t="n">
        <x:v>1362.6517868600786</x:v>
      </x:c>
      <x:c r="E546" s="23" t="n">
        <x:v>604.045028926339</x:v>
      </x:c>
      <x:c r="F546" s="23" t="n">
        <x:v>660.9032595530152</x:v>
      </x:c>
      <x:c r="G546" s="23" t="n">
        <x:v>294.0841698856093</x:v>
      </x:c>
      <x:c r="H546" s="23" t="n">
        <x:v>9.046833658590913</x:v>
      </x:c>
      <x:c r="I546" s="23" t="n">
        <x:v>0.8536015591328032</x:v>
      </x:c>
      <x:c r="J546" s="23" t="n">
        <x:v>8</x:v>
      </x:c>
      <x:c r="K546" s="23" t="n">
        <x:v>199.5444731035334</x:v>
      </x:c>
      <x:c r="L546" s="23" t="n">
        <x:v>55</x:v>
      </x:c>
      <x:c r="M546" s="23" t="n">
        <x:v>25</x:v>
      </x:c>
      <x:c r="N546" s="23" t="n">
        <x:v>1.187722835986715</x:v>
      </x:c>
      <x:c r="O546" s="23" t="n">
        <x:v>52.19108189872939</x:v>
      </x:c>
      <x:c r="P546" s="23" t="n">
        <x:v>1362.6517868600786</x:v>
      </x:c>
      <x:c r="Q546" s="23" t="n">
        <x:v>1.184351646253707</x:v>
      </x:c>
      <x:c r="R546" s="23" t="n">
        <x:v>51.868634990714625</x:v>
      </x:c>
      <x:c r="S546" s="23" t="n">
        <x:v>1371.9688451486888</x:v>
      </x:c>
      <x:c r="T546" s="23" t="n">
        <x:v>-0.0033711897330079843</x:v>
      </x:c>
      <x:c r="U546" s="23" t="n">
        <x:v>-0.3224469080147614</x:v>
      </x:c>
      <x:c r="V546" s="23" t="n">
        <x:v>9.31705828861027</x:v>
      </x:c>
    </x:row>
    <x:row r="547">
      <x:c r="A547" s="23" t="n">
        <x:v>546</x:v>
      </x:c>
      <x:c r="B547" s="23" t="str">
        <x:v>Train</x:v>
      </x:c>
      <x:c r="C547" s="23" t="str">
        <x:v>Lightning</x:v>
      </x:c>
      <x:c r="D547" s="23" t="n">
        <x:v>1404.956917616073</x:v>
      </x:c>
      <x:c r="E547" s="23" t="n">
        <x:v>1244.3887229310349</x:v>
      </x:c>
      <x:c r="F547" s="23" t="n">
        <x:v>683.8344388641417</x:v>
      </x:c>
      <x:c r="G547" s="23" t="n">
        <x:v>244.86095287837088</x:v>
      </x:c>
      <x:c r="H547" s="23" t="n">
        <x:v>28.82140398817137</x:v>
      </x:c>
      <x:c r="I547" s="23" t="n">
        <x:v>0.8175765202054754</x:v>
      </x:c>
      <x:c r="J547" s="23" t="n">
        <x:v>9</x:v>
      </x:c>
      <x:c r="K547" s="23" t="n">
        <x:v>190.93787593157717</x:v>
      </x:c>
      <x:c r="L547" s="23" t="n">
        <x:v>30</x:v>
      </x:c>
      <x:c r="M547" s="23" t="n">
        <x:v>25</x:v>
      </x:c>
      <x:c r="N547" s="23" t="n">
        <x:v>1.181852300673317</x:v>
      </x:c>
      <x:c r="O547" s="23" t="n">
        <x:v>52.31383814058047</x:v>
      </x:c>
      <x:c r="P547" s="23" t="n">
        <x:v>1404.956917616073</x:v>
      </x:c>
      <x:c r="Q547" s="23" t="n">
        <x:v>1.1840227149818838</x:v>
      </x:c>
      <x:c r="R547" s="23" t="n">
        <x:v>52.07735824009401</x:v>
      </x:c>
      <x:c r="S547" s="23" t="n">
        <x:v>1381.2624964663003</x:v>
      </x:c>
      <x:c r="T547" s="23" t="n">
        <x:v>0.0021704143085667926</x:v>
      </x:c>
      <x:c r="U547" s="23" t="n">
        <x:v>-0.23647990048646506</x:v>
      </x:c>
      <x:c r="V547" s="23" t="n">
        <x:v>-23.69442114977278</x:v>
      </x:c>
    </x:row>
    <x:row r="548">
      <x:c r="A548" s="23" t="n">
        <x:v>547</x:v>
      </x:c>
      <x:c r="B548" s="23" t="str">
        <x:v>Train</x:v>
      </x:c>
      <x:c r="C548" s="23" t="str">
        <x:v>Lightning</x:v>
      </x:c>
      <x:c r="D548" s="23" t="n">
        <x:v>1390.2773976093158</x:v>
      </x:c>
      <x:c r="E548" s="23" t="n">
        <x:v>1122.8853167616762</x:v>
      </x:c>
      <x:c r="F548" s="23" t="n">
        <x:v>740.9704070538282</x:v>
      </x:c>
      <x:c r="G548" s="23" t="n">
        <x:v>149.51778911752626</x:v>
      </x:c>
      <x:c r="H548" s="23" t="n">
        <x:v>21.811410238035023</x:v>
      </x:c>
      <x:c r="I548" s="23" t="n">
        <x:v>0.8371544202486985</x:v>
      </x:c>
      <x:c r="J548" s="23" t="n">
        <x:v>9</x:v>
      </x:c>
      <x:c r="K548" s="23" t="n">
        <x:v>184.52421998219182</x:v>
      </x:c>
      <x:c r="L548" s="23" t="n">
        <x:v>35</x:v>
      </x:c>
      <x:c r="M548" s="23" t="n">
        <x:v>25</x:v>
      </x:c>
      <x:c r="N548" s="23" t="n">
        <x:v>1.1949687105044322</x:v>
      </x:c>
      <x:c r="O548" s="23" t="n">
        <x:v>52.28893526500408</x:v>
      </x:c>
      <x:c r="P548" s="23" t="n">
        <x:v>1390.2773976093158</x:v>
      </x:c>
      <x:c r="Q548" s="23" t="n">
        <x:v>1.2098454403492211</x:v>
      </x:c>
      <x:c r="R548" s="23" t="n">
        <x:v>53.824840296491644</x:v>
      </x:c>
      <x:c r="S548" s="23" t="n">
        <x:v>1374.6537553491528</x:v>
      </x:c>
      <x:c r="T548" s="23" t="n">
        <x:v>0.014876729844788938</x:v>
      </x:c>
      <x:c r="U548" s="23" t="n">
        <x:v>1.535905031487566</x:v>
      </x:c>
      <x:c r="V548" s="23" t="n">
        <x:v>-15.623642260163024</x:v>
      </x:c>
    </x:row>
    <x:row r="549">
      <x:c r="A549" s="23" t="n">
        <x:v>548</x:v>
      </x:c>
      <x:c r="B549" s="23" t="str">
        <x:v>Train</x:v>
      </x:c>
      <x:c r="C549" s="23" t="str">
        <x:v>Lightning</x:v>
      </x:c>
      <x:c r="D549" s="23" t="n">
        <x:v>1425.1667063101195</x:v>
      </x:c>
      <x:c r="E549" s="23" t="n">
        <x:v>1021.3345394004136</x:v>
      </x:c>
      <x:c r="F549" s="23" t="n">
        <x:v>736.2397882156074</x:v>
      </x:c>
      <x:c r="G549" s="23" t="n">
        <x:v>253.69173315819353</x:v>
      </x:c>
      <x:c r="H549" s="23" t="n">
        <x:v>11.621387905906886</x:v>
      </x:c>
      <x:c r="I549" s="23" t="n">
        <x:v>0.8087650115601719</x:v>
      </x:c>
      <x:c r="J549" s="23" t="n">
        <x:v>9</x:v>
      </x:c>
      <x:c r="K549" s="23" t="n">
        <x:v>195.79464244033832</x:v>
      </x:c>
      <x:c r="L549" s="23" t="n">
        <x:v>35</x:v>
      </x:c>
      <x:c r="M549" s="23" t="n">
        <x:v>25</x:v>
      </x:c>
      <x:c r="N549" s="23" t="n">
        <x:v>1.132425450001075</x:v>
      </x:c>
      <x:c r="O549" s="23" t="n">
        <x:v>52.28860666052622</x:v>
      </x:c>
      <x:c r="P549" s="23" t="n">
        <x:v>1425.1667063101195</x:v>
      </x:c>
      <x:c r="Q549" s="23" t="n">
        <x:v>1.1376738244183635</x:v>
      </x:c>
      <x:c r="R549" s="23" t="n">
        <x:v>53.637518245232584</x:v>
      </x:c>
      <x:c r="S549" s="23" t="n">
        <x:v>1418.8274800496656</x:v>
      </x:c>
      <x:c r="T549" s="23" t="n">
        <x:v>0.005248374417288426</x:v>
      </x:c>
      <x:c r="U549" s="23" t="n">
        <x:v>1.3489115847063644</x:v>
      </x:c>
      <x:c r="V549" s="23" t="n">
        <x:v>-6.33922626045387</x:v>
      </x:c>
    </x:row>
    <x:row r="550">
      <x:c r="A550" s="23" t="n">
        <x:v>549</x:v>
      </x:c>
      <x:c r="B550" s="23" t="str">
        <x:v>Train</x:v>
      </x:c>
      <x:c r="C550" s="23" t="str">
        <x:v>Lightning</x:v>
      </x:c>
      <x:c r="D550" s="23" t="n">
        <x:v>1445.5692416522652</x:v>
      </x:c>
      <x:c r="E550" s="23" t="n">
        <x:v>718.6095414566807</x:v>
      </x:c>
      <x:c r="F550" s="23" t="n">
        <x:v>534.884531609714</x:v>
      </x:c>
      <x:c r="G550" s="23" t="n">
        <x:v>217.1280302410014</x:v>
      </x:c>
      <x:c r="H550" s="23" t="n">
        <x:v>16.232742853462696</x:v>
      </x:c>
      <x:c r="I550" s="23" t="n">
        <x:v>0.820200721716974</x:v>
      </x:c>
      <x:c r="J550" s="23" t="n">
        <x:v>9</x:v>
      </x:c>
      <x:c r="K550" s="23" t="n">
        <x:v>195.82865556591653</x:v>
      </x:c>
      <x:c r="L550" s="23" t="n">
        <x:v>50</x:v>
      </x:c>
      <x:c r="M550" s="23" t="n">
        <x:v>25</x:v>
      </x:c>
      <x:c r="N550" s="23" t="n">
        <x:v>1.1780702173185607</x:v>
      </x:c>
      <x:c r="O550" s="23" t="n">
        <x:v>52.204306751458205</x:v>
      </x:c>
      <x:c r="P550" s="23" t="n">
        <x:v>1445.5692416522652</x:v>
      </x:c>
      <x:c r="Q550" s="23" t="n">
        <x:v>1.1658299054703818</x:v>
      </x:c>
      <x:c r="R550" s="23" t="n">
        <x:v>50.91829944394537</x:v>
      </x:c>
      <x:c r="S550" s="23" t="n">
        <x:v>1453.7074241453488</x:v>
      </x:c>
      <x:c r="T550" s="23" t="n">
        <x:v>-0.012240311848178864</x:v>
      </x:c>
      <x:c r="U550" s="23" t="n">
        <x:v>-1.2860073075128327</x:v>
      </x:c>
      <x:c r="V550" s="23" t="n">
        <x:v>8.138182493083605</x:v>
      </x:c>
    </x:row>
    <x:row r="551">
      <x:c r="A551" s="23" t="n">
        <x:v>550</x:v>
      </x:c>
      <x:c r="B551" s="23" t="str">
        <x:v>Train</x:v>
      </x:c>
      <x:c r="C551" s="23" t="str">
        <x:v>Lightning</x:v>
      </x:c>
      <x:c r="D551" s="23" t="n">
        <x:v>1466.701125644613</x:v>
      </x:c>
      <x:c r="E551" s="23" t="n">
        <x:v>715.1531137293205</x:v>
      </x:c>
      <x:c r="F551" s="23" t="n">
        <x:v>436.1996796913445</x:v>
      </x:c>
      <x:c r="G551" s="23" t="n">
        <x:v>90.1658902131021</x:v>
      </x:c>
      <x:c r="H551" s="23" t="n">
        <x:v>24.493308214936405</x:v>
      </x:c>
      <x:c r="I551" s="23" t="n">
        <x:v>0.837886244072579</x:v>
      </x:c>
      <x:c r="J551" s="23" t="n">
        <x:v>9</x:v>
      </x:c>
      <x:c r="K551" s="23" t="n">
        <x:v>194.49751430001268</x:v>
      </x:c>
      <x:c r="L551" s="23" t="n">
        <x:v>60</x:v>
      </x:c>
      <x:c r="M551" s="23" t="n">
        <x:v>25</x:v>
      </x:c>
      <x:c r="N551" s="23" t="n">
        <x:v>1.210589145723096</x:v>
      </x:c>
      <x:c r="O551" s="23" t="n">
        <x:v>52.168583800745594</x:v>
      </x:c>
      <x:c r="P551" s="23" t="n">
        <x:v>1466.701125644613</x:v>
      </x:c>
      <x:c r="Q551" s="23" t="n">
        <x:v>1.205088517807272</x:v>
      </x:c>
      <x:c r="R551" s="23" t="n">
        <x:v>51.71775461532328</x:v>
      </x:c>
      <x:c r="S551" s="23" t="n">
        <x:v>1477.9565796240745</x:v>
      </x:c>
      <x:c r="T551" s="23" t="n">
        <x:v>-0.005500627915823841</x:v>
      </x:c>
      <x:c r="U551" s="23" t="n">
        <x:v>-0.45082918542231454</x:v>
      </x:c>
      <x:c r="V551" s="23" t="n">
        <x:v>11.255453979461436</x:v>
      </x:c>
    </x:row>
    <x:row r="552">
      <x:c r="A552" s="23" t="n">
        <x:v>551</x:v>
      </x:c>
      <x:c r="B552" s="23" t="str">
        <x:v>Train</x:v>
      </x:c>
      <x:c r="C552" s="23" t="str">
        <x:v>Lightning</x:v>
      </x:c>
      <x:c r="D552" s="23" t="n">
        <x:v>1442.509988998063</x:v>
      </x:c>
      <x:c r="E552" s="23" t="n">
        <x:v>707.6711852219887</x:v>
      </x:c>
      <x:c r="F552" s="23" t="n">
        <x:v>524.1697311401367</x:v>
      </x:c>
      <x:c r="G552" s="23" t="n">
        <x:v>308.8457657559775</x:v>
      </x:c>
      <x:c r="H552" s="23" t="n">
        <x:v>13.039052623324096</x:v>
      </x:c>
      <x:c r="I552" s="23" t="n">
        <x:v>0.7971951534575783</x:v>
      </x:c>
      <x:c r="J552" s="23" t="n">
        <x:v>10</x:v>
      </x:c>
      <x:c r="K552" s="23" t="n">
        <x:v>180.9481634128906</x:v>
      </x:c>
      <x:c r="L552" s="23" t="n">
        <x:v>45</x:v>
      </x:c>
      <x:c r="M552" s="23" t="n">
        <x:v>25</x:v>
      </x:c>
      <x:c r="N552" s="23" t="n">
        <x:v>1.2168103111516992</x:v>
      </x:c>
      <x:c r="O552" s="23" t="n">
        <x:v>52.24192396767696</x:v>
      </x:c>
      <x:c r="P552" s="23" t="n">
        <x:v>1442.509988998063</x:v>
      </x:c>
      <x:c r="Q552" s="23" t="n">
        <x:v>1.2146375957210336</x:v>
      </x:c>
      <x:c r="R552" s="23" t="n">
        <x:v>52.180994518881015</x:v>
      </x:c>
      <x:c r="S552" s="23" t="n">
        <x:v>1444.4708749164663</x:v>
      </x:c>
      <x:c r="T552" s="23" t="n">
        <x:v>-0.0021727154306656615</x:v>
      </x:c>
      <x:c r="U552" s="23" t="n">
        <x:v>-0.06092944879594597</x:v>
      </x:c>
      <x:c r="V552" s="23" t="n">
        <x:v>1.9608859184033918</x:v>
      </x:c>
    </x:row>
    <x:row r="553">
      <x:c r="A553" s="23" t="n">
        <x:v>552</x:v>
      </x:c>
      <x:c r="B553" s="23" t="str">
        <x:v>Train</x:v>
      </x:c>
      <x:c r="C553" s="23" t="str">
        <x:v>Lightning</x:v>
      </x:c>
      <x:c r="D553" s="23" t="n">
        <x:v>1428.9808646659367</x:v>
      </x:c>
      <x:c r="E553" s="23" t="n">
        <x:v>1073.0624780990183</x:v>
      </x:c>
      <x:c r="F553" s="23" t="n">
        <x:v>457.57043128833175</x:v>
      </x:c>
      <x:c r="G553" s="23" t="n">
        <x:v>184.1046247119084</x:v>
      </x:c>
      <x:c r="H553" s="23" t="n">
        <x:v>13.23297126358375</x:v>
      </x:c>
      <x:c r="I553" s="23" t="n">
        <x:v>0.7921827659104019</x:v>
      </x:c>
      <x:c r="J553" s="23" t="n">
        <x:v>10</x:v>
      </x:c>
      <x:c r="K553" s="23" t="n">
        <x:v>180.38525024256313</x:v>
      </x:c>
      <x:c r="L553" s="23" t="n">
        <x:v>40</x:v>
      </x:c>
      <x:c r="M553" s="23" t="n">
        <x:v>25</x:v>
      </x:c>
      <x:c r="N553" s="23" t="n">
        <x:v>1.21253920708867</x:v>
      </x:c>
      <x:c r="O553" s="23" t="n">
        <x:v>52.2720782777827</x:v>
      </x:c>
      <x:c r="P553" s="23" t="n">
        <x:v>1428.9808646659367</x:v>
      </x:c>
      <x:c r="Q553" s="23" t="n">
        <x:v>1.2095634501350387</x:v>
      </x:c>
      <x:c r="R553" s="23" t="n">
        <x:v>51.67901302719284</x:v>
      </x:c>
      <x:c r="S553" s="23" t="n">
        <x:v>1435.37701038723</x:v>
      </x:c>
      <x:c r="T553" s="23" t="n">
        <x:v>-0.002975756953631281</x:v>
      </x:c>
      <x:c r="U553" s="23" t="n">
        <x:v>-0.5930652505898593</x:v>
      </x:c>
      <x:c r="V553" s="23" t="n">
        <x:v>6.396145721293351</x:v>
      </x:c>
    </x:row>
    <x:row r="554">
      <x:c r="A554" s="23" t="n">
        <x:v>553</x:v>
      </x:c>
      <x:c r="B554" s="23" t="str">
        <x:v>Train</x:v>
      </x:c>
      <x:c r="C554" s="23" t="str">
        <x:v>Lightning</x:v>
      </x:c>
      <x:c r="D554" s="23" t="n">
        <x:v>1369.4015650078654</x:v>
      </x:c>
      <x:c r="E554" s="23" t="n">
        <x:v>710.0879568955861</x:v>
      </x:c>
      <x:c r="F554" s="23" t="n">
        <x:v>479.16665095835924</x:v>
      </x:c>
      <x:c r="G554" s="23" t="n">
        <x:v>88.82103253388777</x:v>
      </x:c>
      <x:c r="H554" s="23" t="n">
        <x:v>20.161200722679496</x:v>
      </x:c>
      <x:c r="I554" s="23" t="n">
        <x:v>0.8212658611056395</x:v>
      </x:c>
      <x:c r="J554" s="23" t="n">
        <x:v>9</x:v>
      </x:c>
      <x:c r="K554" s="23" t="n">
        <x:v>185.26976056264755</x:v>
      </x:c>
      <x:c r="L554" s="23" t="n">
        <x:v>60</x:v>
      </x:c>
      <x:c r="M554" s="23" t="n">
        <x:v>25</x:v>
      </x:c>
      <x:c r="N554" s="23" t="n">
        <x:v>1.2280358846445731</x:v>
      </x:c>
      <x:c r="O554" s="23" t="n">
        <x:v>52.17428394422747</x:v>
      </x:c>
      <x:c r="P554" s="23" t="n">
        <x:v>1369.4015650078654</x:v>
      </x:c>
      <x:c r="Q554" s="23" t="n">
        <x:v>1.2293453110426693</x:v>
      </x:c>
      <x:c r="R554" s="23" t="n">
        <x:v>52.043681549759576</x:v>
      </x:c>
      <x:c r="S554" s="23" t="n">
        <x:v>1374.7512161649354</x:v>
      </x:c>
      <x:c r="T554" s="23" t="n">
        <x:v>0.0013094263980961696</x:v>
      </x:c>
      <x:c r="U554" s="23" t="n">
        <x:v>-0.13060239446789268</x:v>
      </x:c>
      <x:c r="V554" s="23" t="n">
        <x:v>5.349651157069957</x:v>
      </x:c>
    </x:row>
    <x:row r="555">
      <x:c r="A555" s="23" t="n">
        <x:v>554</x:v>
      </x:c>
      <x:c r="B555" s="23" t="str">
        <x:v>Train</x:v>
      </x:c>
      <x:c r="C555" s="23" t="str">
        <x:v>Lightning</x:v>
      </x:c>
      <x:c r="D555" s="23" t="n">
        <x:v>1438.5094728902914</x:v>
      </x:c>
      <x:c r="E555" s="23" t="n">
        <x:v>668.3492686832324</x:v>
      </x:c>
      <x:c r="F555" s="23" t="n">
        <x:v>577.6302398182452</x:v>
      </x:c>
      <x:c r="G555" s="23" t="n">
        <x:v>279.6004085522145</x:v>
      </x:c>
      <x:c r="H555" s="23" t="n">
        <x:v>23.757488389033824</x:v>
      </x:c>
      <x:c r="I555" s="23" t="n">
        <x:v>0.8172180743189529</x:v>
      </x:c>
      <x:c r="J555" s="23" t="n">
        <x:v>9</x:v>
      </x:c>
      <x:c r="K555" s="23" t="n">
        <x:v>195.5835179121566</x:v>
      </x:c>
      <x:c r="L555" s="23" t="n">
        <x:v>50</x:v>
      </x:c>
      <x:c r="M555" s="23" t="n">
        <x:v>25</x:v>
      </x:c>
      <x:c r="N555" s="23" t="n">
        <x:v>1.2518398083692825</x:v>
      </x:c>
      <x:c r="O555" s="23" t="n">
        <x:v>52.2128760485666</x:v>
      </x:c>
      <x:c r="P555" s="23" t="n">
        <x:v>1438.5094728902914</x:v>
      </x:c>
      <x:c r="Q555" s="23" t="n">
        <x:v>1.2550834478139306</x:v>
      </x:c>
      <x:c r="R555" s="23" t="n">
        <x:v>52.160209183603655</x:v>
      </x:c>
      <x:c r="S555" s="23" t="n">
        <x:v>1439.5885273540177</x:v>
      </x:c>
      <x:c r="T555" s="23" t="n">
        <x:v>0.0032436394446480055</x:v>
      </x:c>
      <x:c r="U555" s="23" t="n">
        <x:v>-0.05266686496294426</x:v>
      </x:c>
      <x:c r="V555" s="23" t="n">
        <x:v>1.0790544637263793</x:v>
      </x:c>
    </x:row>
    <x:row r="556">
      <x:c r="A556" s="23" t="n">
        <x:v>555</x:v>
      </x:c>
      <x:c r="B556" s="23" t="str">
        <x:v>Validation</x:v>
      </x:c>
      <x:c r="C556" s="23" t="str">
        <x:v>Lightning</x:v>
      </x:c>
      <x:c r="D556" s="23" t="n">
        <x:v>1433.4409369854257</x:v>
      </x:c>
      <x:c r="E556" s="23" t="n">
        <x:v>864.5320667535998</x:v>
      </x:c>
      <x:c r="F556" s="23" t="n">
        <x:v>744.9890572577715</x:v>
      </x:c>
      <x:c r="G556" s="23" t="n">
        <x:v>114.34948826907203</x:v>
      </x:c>
      <x:c r="H556" s="23" t="n">
        <x:v>20.406070188619196</x:v>
      </x:c>
      <x:c r="I556" s="23" t="n">
        <x:v>0.8128270215424709</x:v>
      </x:c>
      <x:c r="J556" s="23" t="n">
        <x:v>9</x:v>
      </x:c>
      <x:c r="K556" s="23" t="n">
        <x:v>195.94724461590846</x:v>
      </x:c>
      <x:c r="L556" s="23" t="n">
        <x:v>40</x:v>
      </x:c>
      <x:c r="M556" s="23" t="n">
        <x:v>25</x:v>
      </x:c>
      <x:c r="N556" s="23" t="n">
        <x:v>1.1486392512030155</x:v>
      </x:c>
      <x:c r="O556" s="23" t="n">
        <x:v>52.243794525219826</x:v>
      </x:c>
      <x:c r="P556" s="23" t="n">
        <x:v>1433.4409369854257</x:v>
      </x:c>
      <x:c r="Q556" s="23" t="n">
        <x:v>1.1465231657954846</x:v>
      </x:c>
      <x:c r="R556" s="23" t="n">
        <x:v>53.1764102572114</x:v>
      </x:c>
      <x:c r="S556" s="23" t="n">
        <x:v>1428.5495709689887</x:v>
      </x:c>
      <x:c r="T556" s="23" t="n">
        <x:v>-0.002116085407530832</x:v>
      </x:c>
      <x:c r="U556" s="23" t="n">
        <x:v>0.9326157319915751</x:v>
      </x:c>
      <x:c r="V556" s="23" t="n">
        <x:v>-4.891366016436905</x:v>
      </x:c>
    </x:row>
    <x:row r="557">
      <x:c r="A557" s="23" t="n">
        <x:v>556</x:v>
      </x:c>
      <x:c r="B557" s="23" t="str">
        <x:v>Validation</x:v>
      </x:c>
      <x:c r="C557" s="23" t="str">
        <x:v>Lightning</x:v>
      </x:c>
      <x:c r="D557" s="23" t="n">
        <x:v>1411.387760785874</x:v>
      </x:c>
      <x:c r="E557" s="23" t="n">
        <x:v>1241.0399788524956</x:v>
      </x:c>
      <x:c r="F557" s="23" t="n">
        <x:v>487.9960815422237</x:v>
      </x:c>
      <x:c r="G557" s="23" t="n">
        <x:v>93.78516189288348</x:v>
      </x:c>
      <x:c r="H557" s="23" t="n">
        <x:v>12.894273567479104</x:v>
      </x:c>
      <x:c r="I557" s="23" t="n">
        <x:v>0.7960562840476633</x:v>
      </x:c>
      <x:c r="J557" s="23" t="n">
        <x:v>9</x:v>
      </x:c>
      <x:c r="K557" s="23" t="n">
        <x:v>196.9972041576799</x:v>
      </x:c>
      <x:c r="L557" s="23" t="n">
        <x:v>40</x:v>
      </x:c>
      <x:c r="M557" s="23" t="n">
        <x:v>25</x:v>
      </x:c>
      <x:c r="N557" s="23" t="n">
        <x:v>1.1682588277584194</x:v>
      </x:c>
      <x:c r="O557" s="23" t="n">
        <x:v>52.259223399085194</x:v>
      </x:c>
      <x:c r="P557" s="23" t="n">
        <x:v>1411.387760785874</x:v>
      </x:c>
      <x:c r="Q557" s="23" t="n">
        <x:v>1.170873196146734</x:v>
      </x:c>
      <x:c r="R557" s="23" t="n">
        <x:v>53.85433990941413</x:v>
      </x:c>
      <x:c r="S557" s="23" t="n">
        <x:v>1405.5938895446068</x:v>
      </x:c>
      <x:c r="T557" s="23" t="n">
        <x:v>0.0026143683883146362</x:v>
      </x:c>
      <x:c r="U557" s="23" t="n">
        <x:v>1.5951165103289355</x:v>
      </x:c>
      <x:c r="V557" s="23" t="n">
        <x:v>-5.7938712412671975</x:v>
      </x:c>
    </x:row>
    <x:row r="558">
      <x:c r="A558" s="23" t="n">
        <x:v>557</x:v>
      </x:c>
      <x:c r="B558" s="23" t="str">
        <x:v>Validation</x:v>
      </x:c>
      <x:c r="C558" s="23" t="str">
        <x:v>Lightning</x:v>
      </x:c>
      <x:c r="D558" s="23" t="n">
        <x:v>1350.735811656341</x:v>
      </x:c>
      <x:c r="E558" s="23" t="n">
        <x:v>869.9990230496041</x:v>
      </x:c>
      <x:c r="F558" s="23" t="n">
        <x:v>674.4835844263434</x:v>
      </x:c>
      <x:c r="G558" s="23" t="n">
        <x:v>287.9965302837081</x:v>
      </x:c>
      <x:c r="H558" s="23" t="n">
        <x:v>28.555698458105326</x:v>
      </x:c>
      <x:c r="I558" s="23" t="n">
        <x:v>0.7937210509949364</x:v>
      </x:c>
      <x:c r="J558" s="23" t="n">
        <x:v>9</x:v>
      </x:c>
      <x:c r="K558" s="23" t="n">
        <x:v>189.08627491053153</x:v>
      </x:c>
      <x:c r="L558" s="23" t="n">
        <x:v>40</x:v>
      </x:c>
      <x:c r="M558" s="23" t="n">
        <x:v>25</x:v>
      </x:c>
      <x:c r="N558" s="23" t="n">
        <x:v>1.2564055907426208</x:v>
      </x:c>
      <x:c r="O558" s="23" t="n">
        <x:v>52.26072930955517</x:v>
      </x:c>
      <x:c r="P558" s="23" t="n">
        <x:v>1350.735811656341</x:v>
      </x:c>
      <x:c r="Q558" s="23" t="n">
        <x:v>1.2647268939678042</x:v>
      </x:c>
      <x:c r="R558" s="23" t="n">
        <x:v>52.267561663186875</x:v>
      </x:c>
      <x:c r="S558" s="23" t="n">
        <x:v>1334.2078609799082</x:v>
      </x:c>
      <x:c r="T558" s="23" t="n">
        <x:v>0.00832130322518343</x:v>
      </x:c>
      <x:c r="U558" s="23" t="n">
        <x:v>0.006832353631708088</x:v>
      </x:c>
      <x:c r="V558" s="23" t="n">
        <x:v>-16.527950676432738</x:v>
      </x:c>
    </x:row>
    <x:row r="559">
      <x:c r="A559" s="23" t="n">
        <x:v>558</x:v>
      </x:c>
      <x:c r="B559" s="23" t="str">
        <x:v>Hidden Test</x:v>
      </x:c>
      <x:c r="C559" s="23" t="str">
        <x:v>Lightning</x:v>
      </x:c>
      <x:c r="D559" s="23" t="n">
        <x:v>1499.0030964952894</x:v>
      </x:c>
      <x:c r="E559" s="23" t="n">
        <x:v>1096.6174089116976</x:v>
      </x:c>
      <x:c r="F559" s="23" t="n">
        <x:v>716.7771850712597</x:v>
      </x:c>
      <x:c r="G559" s="23" t="n">
        <x:v>260.2549548447132</x:v>
      </x:c>
      <x:c r="H559" s="23" t="n">
        <x:v>24.52023027325049</x:v>
      </x:c>
      <x:c r="I559" s="23" t="n">
        <x:v>0.83291979260277</x:v>
      </x:c>
      <x:c r="J559" s="23" t="n">
        <x:v>9</x:v>
      </x:c>
      <x:c r="K559" s="23" t="n">
        <x:v>199.96631259070142</x:v>
      </x:c>
      <x:c r="L559" s="23" t="n">
        <x:v>35</x:v>
      </x:c>
      <x:c r="M559" s="23" t="n">
        <x:v>25</x:v>
      </x:c>
      <x:c r="N559" s="23" t="n">
        <x:v>1.242760141045419</x:v>
      </x:c>
      <x:c r="O559" s="23" t="n">
        <x:v>52.29833380590095</x:v>
      </x:c>
      <x:c r="P559" s="23" t="n">
        <x:v>1499.0030964952894</x:v>
      </x:c>
      <x:c r="Q559" s="23" t="n">
        <x:v>1.2589714873423516</x:v>
      </x:c>
      <x:c r="R559" s="23" t="n">
        <x:v>51.79825719752623</x:v>
      </x:c>
      <x:c r="S559" s="23" t="n">
        <x:v>1477.8359563688548</x:v>
      </x:c>
      <x:c r="T559" s="23" t="n">
        <x:v>0.01621134629693266</x:v>
      </x:c>
      <x:c r="U559" s="23" t="n">
        <x:v>-0.5000766083747195</x:v>
      </x:c>
      <x:c r="V559" s="23" t="n">
        <x:v>-21.16714012643456</x:v>
      </x:c>
    </x:row>
    <x:row r="560">
      <x:c r="A560" s="23" t="n">
        <x:v>559</x:v>
      </x:c>
      <x:c r="B560" s="23" t="str">
        <x:v>Hidden Test</x:v>
      </x:c>
      <x:c r="C560" s="23" t="str">
        <x:v>Lightning</x:v>
      </x:c>
      <x:c r="D560" s="23" t="n">
        <x:v>1393.7414447078481</x:v>
      </x:c>
      <x:c r="E560" s="23" t="n">
        <x:v>1092.5376162980683</x:v>
      </x:c>
      <x:c r="F560" s="23" t="n">
        <x:v>491.05398431420326</x:v>
      </x:c>
      <x:c r="G560" s="23" t="n">
        <x:v>316.04236770188436</x:v>
      </x:c>
      <x:c r="H560" s="23" t="n">
        <x:v>28.33820556011051</x:v>
      </x:c>
      <x:c r="I560" s="23" t="n">
        <x:v>0.82437457656255</x:v>
      </x:c>
      <x:c r="J560" s="23" t="n">
        <x:v>9</x:v>
      </x:c>
      <x:c r="K560" s="23" t="n">
        <x:v>187.85169378806543</x:v>
      </x:c>
      <x:c r="L560" s="23" t="n">
        <x:v>35</x:v>
      </x:c>
      <x:c r="M560" s="23" t="n">
        <x:v>25</x:v>
      </x:c>
      <x:c r="N560" s="23" t="n">
        <x:v>1.1721506156530426</x:v>
      </x:c>
      <x:c r="O560" s="23" t="n">
        <x:v>52.27120042650938</x:v>
      </x:c>
      <x:c r="P560" s="23" t="n">
        <x:v>1393.7414447078481</x:v>
      </x:c>
      <x:c r="Q560" s="23" t="n">
        <x:v>1.1818379089680269</x:v>
      </x:c>
      <x:c r="R560" s="23" t="n">
        <x:v>52.32856110561419</x:v>
      </x:c>
      <x:c r="S560" s="23" t="n">
        <x:v>1373.2675243905378</x:v>
      </x:c>
      <x:c r="T560" s="23" t="n">
        <x:v>0.009687293314984302</x:v>
      </x:c>
      <x:c r="U560" s="23" t="n">
        <x:v>0.057360679104810686</x:v>
      </x:c>
      <x:c r="V560" s="23" t="n">
        <x:v>-20.47392031731033</x:v>
      </x:c>
    </x:row>
    <x:row r="561">
      <x:c r="A561" s="23" t="n">
        <x:v>560</x:v>
      </x:c>
      <x:c r="B561" s="23" t="str">
        <x:v>Hidden Test</x:v>
      </x:c>
      <x:c r="C561" s="23" t="str">
        <x:v>Lightning</x:v>
      </x:c>
      <x:c r="D561" s="23" t="n">
        <x:v>1459.9539015325718</x:v>
      </x:c>
      <x:c r="E561" s="23" t="n">
        <x:v>831.2210330739617</x:v>
      </x:c>
      <x:c r="F561" s="23" t="n">
        <x:v>684.4748421572149</x:v>
      </x:c>
      <x:c r="G561" s="23" t="n">
        <x:v>224.41807952243835</x:v>
      </x:c>
      <x:c r="H561" s="23" t="n">
        <x:v>13.529399031307548</x:v>
      </x:c>
      <x:c r="I561" s="23" t="n">
        <x:v>0.8476420809980483</x:v>
      </x:c>
      <x:c r="J561" s="23" t="n">
        <x:v>9</x:v>
      </x:c>
      <x:c r="K561" s="23" t="n">
        <x:v>191.3745244682576</x:v>
      </x:c>
      <x:c r="L561" s="23" t="n">
        <x:v>45</x:v>
      </x:c>
      <x:c r="M561" s="23" t="n">
        <x:v>25</x:v>
      </x:c>
      <x:c r="N561" s="23" t="n">
        <x:v>1.244709020039981</x:v>
      </x:c>
      <x:c r="O561" s="23" t="n">
        <x:v>52.24632726839496</x:v>
      </x:c>
      <x:c r="P561" s="23" t="n">
        <x:v>1459.9539015325718</x:v>
      </x:c>
      <x:c r="Q561" s="23" t="n">
        <x:v>1.2444852338627932</x:v>
      </x:c>
      <x:c r="R561" s="23" t="n">
        <x:v>51.567664957171864</x:v>
      </x:c>
      <x:c r="S561" s="23" t="n">
        <x:v>1462.5550860695837</x:v>
      </x:c>
      <x:c r="T561" s="23" t="n">
        <x:v>-0.00022378617718787908</x:v>
      </x:c>
      <x:c r="U561" s="23" t="n">
        <x:v>-0.6786623112230927</x:v>
      </x:c>
      <x:c r="V561" s="23" t="n">
        <x:v>2.6011845370119318</x:v>
      </x:c>
    </x:row>
    <x:row r="562">
      <x:c r="A562" s="23" t="n">
        <x:v>561</x:v>
      </x:c>
      <x:c r="B562" s="23" t="str">
        <x:v>Train</x:v>
      </x:c>
      <x:c r="C562" s="23" t="str">
        <x:v>Lightning</x:v>
      </x:c>
      <x:c r="D562" s="23" t="n">
        <x:v>1459.6134354360402</x:v>
      </x:c>
      <x:c r="E562" s="23" t="n">
        <x:v>769.1272729425691</x:v>
      </x:c>
      <x:c r="F562" s="23" t="n">
        <x:v>613.0393305793405</x:v>
      </x:c>
      <x:c r="G562" s="23" t="n">
        <x:v>102.5998536334373</x:v>
      </x:c>
      <x:c r="H562" s="23" t="n">
        <x:v>15.073984758928418</x:v>
      </x:c>
      <x:c r="I562" s="23" t="n">
        <x:v>0.8271456614066847</x:v>
      </x:c>
      <x:c r="J562" s="23" t="n">
        <x:v>9</x:v>
      </x:c>
      <x:c r="K562" s="23" t="n">
        <x:v>196.0709922943855</x:v>
      </x:c>
      <x:c r="L562" s="23" t="n">
        <x:v>50</x:v>
      </x:c>
      <x:c r="M562" s="23" t="n">
        <x:v>25</x:v>
      </x:c>
      <x:c r="N562" s="23" t="n">
        <x:v>1.183664831287095</x:v>
      </x:c>
      <x:c r="O562" s="23" t="n">
        <x:v>52.20651220983194</x:v>
      </x:c>
      <x:c r="P562" s="23" t="n">
        <x:v>1459.6134354360402</x:v>
      </x:c>
      <x:c r="Q562" s="23" t="n">
        <x:v>1.1783943516109123</x:v>
      </x:c>
      <x:c r="R562" s="23" t="n">
        <x:v>51.8712106005953</x:v>
      </x:c>
      <x:c r="S562" s="23" t="n">
        <x:v>1463.1758667373442</x:v>
      </x:c>
      <x:c r="T562" s="23" t="n">
        <x:v>-0.00527047967618266</x:v>
      </x:c>
      <x:c r="U562" s="23" t="n">
        <x:v>-0.33530160923664454</x:v>
      </x:c>
      <x:c r="V562" s="23" t="n">
        <x:v>3.562431301304059</x:v>
      </x:c>
    </x:row>
    <x:row r="563">
      <x:c r="A563" s="23" t="n">
        <x:v>562</x:v>
      </x:c>
      <x:c r="B563" s="23" t="str">
        <x:v>Train</x:v>
      </x:c>
      <x:c r="C563" s="23" t="str">
        <x:v>Lightning</x:v>
      </x:c>
      <x:c r="D563" s="23" t="n">
        <x:v>1475.6348825641908</x:v>
      </x:c>
      <x:c r="E563" s="23" t="n">
        <x:v>982.6782074989751</x:v>
      </x:c>
      <x:c r="F563" s="23" t="n">
        <x:v>563.4039469994605</x:v>
      </x:c>
      <x:c r="G563" s="23" t="n">
        <x:v>267.0665412861854</x:v>
      </x:c>
      <x:c r="H563" s="23" t="n">
        <x:v>29.441321522463113</x:v>
      </x:c>
      <x:c r="I563" s="23" t="n">
        <x:v>0.8246839605504648</x:v>
      </x:c>
      <x:c r="J563" s="23" t="n">
        <x:v>9</x:v>
      </x:c>
      <x:c r="K563" s="23" t="n">
        <x:v>198.8148663478075</x:v>
      </x:c>
      <x:c r="L563" s="23" t="n">
        <x:v>40</x:v>
      </x:c>
      <x:c r="M563" s="23" t="n">
        <x:v>25</x:v>
      </x:c>
      <x:c r="N563" s="23" t="n">
        <x:v>1.2491720517577172</x:v>
      </x:c>
      <x:c r="O563" s="23" t="n">
        <x:v>52.25771521039021</x:v>
      </x:c>
      <x:c r="P563" s="23" t="n">
        <x:v>1475.6348825641908</x:v>
      </x:c>
      <x:c r="Q563" s="23" t="n">
        <x:v>1.2525171007290115</x:v>
      </x:c>
      <x:c r="R563" s="23" t="n">
        <x:v>51.99608237426899</x:v>
      </x:c>
      <x:c r="S563" s="23" t="n">
        <x:v>1450.0766246380201</x:v>
      </x:c>
      <x:c r="T563" s="23" t="n">
        <x:v>0.0033450489712942844</x:v>
      </x:c>
      <x:c r="U563" s="23" t="n">
        <x:v>-0.26163283612122257</x:v>
      </x:c>
      <x:c r="V563" s="23" t="n">
        <x:v>-25.558257926170654</x:v>
      </x:c>
    </x:row>
    <x:row r="564">
      <x:c r="A564" s="23" t="n">
        <x:v>563</x:v>
      </x:c>
      <x:c r="B564" s="23" t="str">
        <x:v>Train</x:v>
      </x:c>
      <x:c r="C564" s="23" t="str">
        <x:v>Lightning</x:v>
      </x:c>
      <x:c r="D564" s="23" t="n">
        <x:v>1350.65692642238</x:v>
      </x:c>
      <x:c r="E564" s="23" t="n">
        <x:v>625.4081006743945</x:v>
      </x:c>
      <x:c r="F564" s="23" t="n">
        <x:v>548.288756236434</x:v>
      </x:c>
      <x:c r="G564" s="23" t="n">
        <x:v>259.00102463318035</x:v>
      </x:c>
      <x:c r="H564" s="23" t="n">
        <x:v>29.07991932053119</x:v>
      </x:c>
      <x:c r="I564" s="23" t="n">
        <x:v>0.8405925082112663</x:v>
      </x:c>
      <x:c r="J564" s="23" t="n">
        <x:v>9</x:v>
      </x:c>
      <x:c r="K564" s="23" t="n">
        <x:v>178.53239275717053</x:v>
      </x:c>
      <x:c r="L564" s="23" t="n">
        <x:v>50</x:v>
      </x:c>
      <x:c r="M564" s="23" t="n">
        <x:v>25</x:v>
      </x:c>
      <x:c r="N564" s="23" t="n">
        <x:v>1.2040376291518022</x:v>
      </x:c>
      <x:c r="O564" s="23" t="n">
        <x:v>52.198393417179744</x:v>
      </x:c>
      <x:c r="P564" s="23" t="n">
        <x:v>1350.65692642238</x:v>
      </x:c>
      <x:c r="Q564" s="23" t="n">
        <x:v>1.2032464865596812</x:v>
      </x:c>
      <x:c r="R564" s="23" t="n">
        <x:v>50.98223701564635</x:v>
      </x:c>
      <x:c r="S564" s="23" t="n">
        <x:v>1342.3691545707</x:v>
      </x:c>
      <x:c r="T564" s="23" t="n">
        <x:v>-0.0007911425921209858</x:v>
      </x:c>
      <x:c r="U564" s="23" t="n">
        <x:v>-1.2161564015333965</x:v>
      </x:c>
      <x:c r="V564" s="23" t="n">
        <x:v>-8.287771851679963</x:v>
      </x:c>
    </x:row>
    <x:row r="565">
      <x:c r="A565" s="23" t="n">
        <x:v>564</x:v>
      </x:c>
      <x:c r="B565" s="23" t="str">
        <x:v>Train</x:v>
      </x:c>
      <x:c r="C565" s="23" t="str">
        <x:v>Lightning</x:v>
      </x:c>
      <x:c r="D565" s="23" t="n">
        <x:v>1479.0081457584165</x:v>
      </x:c>
      <x:c r="E565" s="23" t="n">
        <x:v>683.3244713488966</x:v>
      </x:c>
      <x:c r="F565" s="23" t="n">
        <x:v>423.3022796921432</x:v>
      </x:c>
      <x:c r="G565" s="23" t="n">
        <x:v>312.20734612550586</x:v>
      </x:c>
      <x:c r="H565" s="23" t="n">
        <x:v>29.280736475717276</x:v>
      </x:c>
      <x:c r="I565" s="23" t="n">
        <x:v>0.83160462314263</x:v>
      </x:c>
      <x:c r="J565" s="23" t="n">
        <x:v>9</x:v>
      </x:c>
      <x:c r="K565" s="23" t="n">
        <x:v>197.61102072350624</x:v>
      </x:c>
      <x:c r="L565" s="23" t="n">
        <x:v>50</x:v>
      </x:c>
      <x:c r="M565" s="23" t="n">
        <x:v>25</x:v>
      </x:c>
      <x:c r="N565" s="23" t="n">
        <x:v>1.194385159098321</x:v>
      </x:c>
      <x:c r="O565" s="23" t="n">
        <x:v>52.1962317066007</x:v>
      </x:c>
      <x:c r="P565" s="23" t="n">
        <x:v>1479.0081457584165</x:v>
      </x:c>
      <x:c r="Q565" s="23" t="n">
        <x:v>1.186362557275538</x:v>
      </x:c>
      <x:c r="R565" s="23" t="n">
        <x:v>52.216043296424466</x:v>
      </x:c>
      <x:c r="S565" s="23" t="n">
        <x:v>1470.9134493136357</x:v>
      </x:c>
      <x:c r="T565" s="23" t="n">
        <x:v>-0.008022601822782915</x:v>
      </x:c>
      <x:c r="U565" s="23" t="n">
        <x:v>0.019811589823767406</x:v>
      </x:c>
      <x:c r="V565" s="23" t="n">
        <x:v>-8.094696444780766</x:v>
      </x:c>
    </x:row>
    <x:row r="566">
      <x:c r="A566" s="23" t="n">
        <x:v>565</x:v>
      </x:c>
      <x:c r="B566" s="23" t="str">
        <x:v>Train</x:v>
      </x:c>
      <x:c r="C566" s="23" t="str">
        <x:v>Lightning</x:v>
      </x:c>
      <x:c r="D566" s="23" t="n">
        <x:v>1483.7850500363857</x:v>
      </x:c>
      <x:c r="E566" s="23" t="n">
        <x:v>1015.2287132921629</x:v>
      </x:c>
      <x:c r="F566" s="23" t="n">
        <x:v>397.65342753380537</x:v>
      </x:c>
      <x:c r="G566" s="23" t="n">
        <x:v>89.93306032614782</x:v>
      </x:c>
      <x:c r="H566" s="23" t="n">
        <x:v>19.990560948848724</x:v>
      </x:c>
      <x:c r="I566" s="23" t="n">
        <x:v>0.8461809748993255</x:v>
      </x:c>
      <x:c r="J566" s="23" t="n">
        <x:v>9</x:v>
      </x:c>
      <x:c r="K566" s="23" t="n">
        <x:v>194.83421448847068</x:v>
      </x:c>
      <x:c r="L566" s="23" t="n">
        <x:v>50</x:v>
      </x:c>
      <x:c r="M566" s="23" t="n">
        <x:v>25</x:v>
      </x:c>
      <x:c r="N566" s="23" t="n">
        <x:v>1.2185761671860116</x:v>
      </x:c>
      <x:c r="O566" s="23" t="n">
        <x:v>52.20932646023964</x:v>
      </x:c>
      <x:c r="P566" s="23" t="n">
        <x:v>1483.7850500363857</x:v>
      </x:c>
      <x:c r="Q566" s="23" t="n">
        <x:v>1.2180907293102008</x:v>
      </x:c>
      <x:c r="R566" s="23" t="n">
        <x:v>52.60941846068083</x:v>
      </x:c>
      <x:c r="S566" s="23" t="n">
        <x:v>1487.7014527265094</x:v>
      </x:c>
      <x:c r="T566" s="23" t="n">
        <x:v>-0.00048543787581079023</x:v>
      </x:c>
      <x:c r="U566" s="23" t="n">
        <x:v>0.400092000441191</x:v>
      </x:c>
      <x:c r="V566" s="23" t="n">
        <x:v>3.916402690123732</x:v>
      </x:c>
    </x:row>
    <x:row r="567">
      <x:c r="A567" s="23" t="n">
        <x:v>566</x:v>
      </x:c>
      <x:c r="B567" s="23" t="str">
        <x:v>Train</x:v>
      </x:c>
      <x:c r="C567" s="23" t="str">
        <x:v>Lightning</x:v>
      </x:c>
      <x:c r="D567" s="23" t="n">
        <x:v>1480.2943245624192</x:v>
      </x:c>
      <x:c r="E567" s="23" t="n">
        <x:v>1016.0106459399685</x:v>
      </x:c>
      <x:c r="F567" s="23" t="n">
        <x:v>549.3091744370759</x:v>
      </x:c>
      <x:c r="G567" s="23" t="n">
        <x:v>328.7544142641127</x:v>
      </x:c>
      <x:c r="H567" s="23" t="n">
        <x:v>8.036956957075745</x:v>
      </x:c>
      <x:c r="I567" s="23" t="n">
        <x:v>0.8185487742489204</x:v>
      </x:c>
      <x:c r="J567" s="23" t="n">
        <x:v>10</x:v>
      </x:c>
      <x:c r="K567" s="23" t="n">
        <x:v>180.84375313135124</x:v>
      </x:c>
      <x:c r="L567" s="23" t="n">
        <x:v>35</x:v>
      </x:c>
      <x:c r="M567" s="23" t="n">
        <x:v>25</x:v>
      </x:c>
      <x:c r="N567" s="23" t="n">
        <x:v>1.1540259962293566</x:v>
      </x:c>
      <x:c r="O567" s="23" t="n">
        <x:v>52.30314836115158</x:v>
      </x:c>
      <x:c r="P567" s="23" t="n">
        <x:v>1480.2943245624192</x:v>
      </x:c>
      <x:c r="Q567" s="23" t="n">
        <x:v>1.167005934718683</x:v>
      </x:c>
      <x:c r="R567" s="23" t="n">
        <x:v>52.520543842152684</x:v>
      </x:c>
      <x:c r="S567" s="23" t="n">
        <x:v>1486.6483089081996</x:v>
      </x:c>
      <x:c r="T567" s="23" t="n">
        <x:v>0.012979938489326326</x:v>
      </x:c>
      <x:c r="U567" s="23" t="n">
        <x:v>0.2173954810011054</x:v>
      </x:c>
      <x:c r="V567" s="23" t="n">
        <x:v>6.353984345780418</x:v>
      </x:c>
    </x:row>
    <x:row r="568">
      <x:c r="A568" s="23" t="n">
        <x:v>567</x:v>
      </x:c>
      <x:c r="B568" s="23" t="str">
        <x:v>Train</x:v>
      </x:c>
      <x:c r="C568" s="23" t="str">
        <x:v>Lightning</x:v>
      </x:c>
      <x:c r="D568" s="23" t="n">
        <x:v>1466.5537604363635</x:v>
      </x:c>
      <x:c r="E568" s="23" t="n">
        <x:v>1178.5023136180826</x:v>
      </x:c>
      <x:c r="F568" s="23" t="n">
        <x:v>514.3195822834969</x:v>
      </x:c>
      <x:c r="G568" s="23" t="n">
        <x:v>171.95476671447977</x:v>
      </x:c>
      <x:c r="H568" s="23" t="n">
        <x:v>13.90325231384486</x:v>
      </x:c>
      <x:c r="I568" s="23" t="n">
        <x:v>0.8353447209647857</x:v>
      </x:c>
      <x:c r="J568" s="23" t="n">
        <x:v>9</x:v>
      </x:c>
      <x:c r="K568" s="23" t="n">
        <x:v>195.06966852925362</x:v>
      </x:c>
      <x:c r="L568" s="23" t="n">
        <x:v>40</x:v>
      </x:c>
      <x:c r="M568" s="23" t="n">
        <x:v>25</x:v>
      </x:c>
      <x:c r="N568" s="23" t="n">
        <x:v>1.199015986679003</x:v>
      </x:c>
      <x:c r="O568" s="23" t="n">
        <x:v>52.26576530111841</x:v>
      </x:c>
      <x:c r="P568" s="23" t="n">
        <x:v>1466.5537604363635</x:v>
      </x:c>
      <x:c r="Q568" s="23" t="n">
        <x:v>1.2003466868757737</x:v>
      </x:c>
      <x:c r="R568" s="23" t="n">
        <x:v>54.04422914455727</x:v>
      </x:c>
      <x:c r="S568" s="23" t="n">
        <x:v>1467.3985272663401</x:v>
      </x:c>
      <x:c r="T568" s="23" t="n">
        <x:v>0.0013307001967706178</x:v>
      </x:c>
      <x:c r="U568" s="23" t="n">
        <x:v>1.778463843438864</x:v>
      </x:c>
      <x:c r="V568" s="23" t="n">
        <x:v>0.8447668299766065</x:v>
      </x:c>
    </x:row>
    <x:row r="569">
      <x:c r="A569" s="23" t="n">
        <x:v>568</x:v>
      </x:c>
      <x:c r="B569" s="23" t="str">
        <x:v>Train</x:v>
      </x:c>
      <x:c r="C569" s="23" t="str">
        <x:v>Lightning</x:v>
      </x:c>
      <x:c r="D569" s="23" t="n">
        <x:v>1409.0112111414783</x:v>
      </x:c>
      <x:c r="E569" s="23" t="n">
        <x:v>1127.0870151929557</x:v>
      </x:c>
      <x:c r="F569" s="23" t="n">
        <x:v>637.6358381472528</x:v>
      </x:c>
      <x:c r="G569" s="23" t="n">
        <x:v>291.1995281884447</x:v>
      </x:c>
      <x:c r="H569" s="23" t="n">
        <x:v>25.923388039227575</x:v>
      </x:c>
      <x:c r="I569" s="23" t="n">
        <x:v>0.8494029248971493</x:v>
      </x:c>
      <x:c r="J569" s="23" t="n">
        <x:v>9</x:v>
      </x:c>
      <x:c r="K569" s="23" t="n">
        <x:v>184.31394176903598</x:v>
      </x:c>
      <x:c r="L569" s="23" t="n">
        <x:v>35</x:v>
      </x:c>
      <x:c r="M569" s="23" t="n">
        <x:v>25</x:v>
      </x:c>
      <x:c r="N569" s="23" t="n">
        <x:v>1.2414819593630466</x:v>
      </x:c>
      <x:c r="O569" s="23" t="n">
        <x:v>52.29556969733985</x:v>
      </x:c>
      <x:c r="P569" s="23" t="n">
        <x:v>1409.0112111414783</x:v>
      </x:c>
      <x:c r="Q569" s="23" t="n">
        <x:v>1.2373459706328762</x:v>
      </x:c>
      <x:c r="R569" s="23" t="n">
        <x:v>52.3510570367785</x:v>
      </x:c>
      <x:c r="S569" s="23" t="n">
        <x:v>1379.7037035579476</x:v>
      </x:c>
      <x:c r="T569" s="23" t="n">
        <x:v>-0.0041359887301704035</x:v>
      </x:c>
      <x:c r="U569" s="23" t="n">
        <x:v>0.05548733943864903</x:v>
      </x:c>
      <x:c r="V569" s="23" t="n">
        <x:v>-29.30750758353065</x:v>
      </x:c>
    </x:row>
    <x:row r="570">
      <x:c r="A570" s="23" t="n">
        <x:v>569</x:v>
      </x:c>
      <x:c r="B570" s="23" t="str">
        <x:v>Train</x:v>
      </x:c>
      <x:c r="C570" s="23" t="str">
        <x:v>Lightning</x:v>
      </x:c>
      <x:c r="D570" s="23" t="n">
        <x:v>1414.7913616150618</x:v>
      </x:c>
      <x:c r="E570" s="23" t="n">
        <x:v>715.2775286114775</x:v>
      </x:c>
      <x:c r="F570" s="23" t="n">
        <x:v>677.2345857694745</x:v>
      </x:c>
      <x:c r="G570" s="23" t="n">
        <x:v>232.06570230657235</x:v>
      </x:c>
      <x:c r="H570" s="23" t="n">
        <x:v>27.549097968265414</x:v>
      </x:c>
      <x:c r="I570" s="23" t="n">
        <x:v>0.8201926621538588</x:v>
      </x:c>
      <x:c r="J570" s="23" t="n">
        <x:v>9</x:v>
      </x:c>
      <x:c r="K570" s="23" t="n">
        <x:v>191.66111504416577</x:v>
      </x:c>
      <x:c r="L570" s="23" t="n">
        <x:v>45</x:v>
      </x:c>
      <x:c r="M570" s="23" t="n">
        <x:v>25</x:v>
      </x:c>
      <x:c r="N570" s="23" t="n">
        <x:v>1.2326281430762953</x:v>
      </x:c>
      <x:c r="O570" s="23" t="n">
        <x:v>52.228312296067</x:v>
      </x:c>
      <x:c r="P570" s="23" t="n">
        <x:v>1414.7913616150618</x:v>
      </x:c>
      <x:c r="Q570" s="23" t="n">
        <x:v>1.2246238080864</x:v>
      </x:c>
      <x:c r="R570" s="23" t="n">
        <x:v>51.51161477919144</x:v>
      </x:c>
      <x:c r="S570" s="23" t="n">
        <x:v>1406.3021277855248</x:v>
      </x:c>
      <x:c r="T570" s="23" t="n">
        <x:v>-0.008004334989895279</x:v>
      </x:c>
      <x:c r="U570" s="23" t="n">
        <x:v>-0.7166975168755627</x:v>
      </x:c>
      <x:c r="V570" s="23" t="n">
        <x:v>-8.489233829536943</x:v>
      </x:c>
    </x:row>
    <x:row r="571">
      <x:c r="A571" s="23" t="n">
        <x:v>570</x:v>
      </x:c>
      <x:c r="B571" s="23" t="str">
        <x:v>Train</x:v>
      </x:c>
      <x:c r="C571" s="23" t="str">
        <x:v>Lightning</x:v>
      </x:c>
      <x:c r="D571" s="23" t="n">
        <x:v>1483.3401160896756</x:v>
      </x:c>
      <x:c r="E571" s="23" t="n">
        <x:v>782.6255737105384</x:v>
      </x:c>
      <x:c r="F571" s="23" t="n">
        <x:v>434.0152100659907</x:v>
      </x:c>
      <x:c r="G571" s="23" t="n">
        <x:v>274.9764264281839</x:v>
      </x:c>
      <x:c r="H571" s="23" t="n">
        <x:v>25.179128211457282</x:v>
      </x:c>
      <x:c r="I571" s="23" t="n">
        <x:v>0.8586625906126574</x:v>
      </x:c>
      <x:c r="J571" s="23" t="n">
        <x:v>9</x:v>
      </x:c>
      <x:c r="K571" s="23" t="n">
        <x:v>191.9445079548792</x:v>
      </x:c>
      <x:c r="L571" s="23" t="n">
        <x:v>50</x:v>
      </x:c>
      <x:c r="M571" s="23" t="n">
        <x:v>25</x:v>
      </x:c>
      <x:c r="N571" s="23" t="n">
        <x:v>1.2322300000279527</x:v>
      </x:c>
      <x:c r="O571" s="23" t="n">
        <x:v>52.20758041350117</x:v>
      </x:c>
      <x:c r="P571" s="23" t="n">
        <x:v>1483.3401160896756</x:v>
      </x:c>
      <x:c r="Q571" s="23" t="n">
        <x:v>1.213590272877454</x:v>
      </x:c>
      <x:c r="R571" s="23" t="n">
        <x:v>52.01081657315997</x:v>
      </x:c>
      <x:c r="S571" s="23" t="n">
        <x:v>1483.880190221256</x:v>
      </x:c>
      <x:c r="T571" s="23" t="n">
        <x:v>-0.018639727150498775</x:v>
      </x:c>
      <x:c r="U571" s="23" t="n">
        <x:v>-0.1967638403411982</x:v>
      </x:c>
      <x:c r="V571" s="23" t="n">
        <x:v>0.540074131580468</x:v>
      </x:c>
    </x:row>
    <x:row r="572">
      <x:c r="A572" s="23" t="n">
        <x:v>571</x:v>
      </x:c>
      <x:c r="B572" s="23" t="str">
        <x:v>Train</x:v>
      </x:c>
      <x:c r="C572" s="23" t="str">
        <x:v>Lightning</x:v>
      </x:c>
      <x:c r="D572" s="23" t="n">
        <x:v>1487.964088912122</x:v>
      </x:c>
      <x:c r="E572" s="23" t="n">
        <x:v>1078.862131445203</x:v>
      </x:c>
      <x:c r="F572" s="23" t="n">
        <x:v>376.33108235895634</x:v>
      </x:c>
      <x:c r="G572" s="23" t="n">
        <x:v>104.55670683411881</x:v>
      </x:c>
      <x:c r="H572" s="23" t="n">
        <x:v>13.408484824933112</x:v>
      </x:c>
      <x:c r="I572" s="23" t="n">
        <x:v>0.8198986456054264</x:v>
      </x:c>
      <x:c r="J572" s="23" t="n">
        <x:v>10</x:v>
      </x:c>
      <x:c r="K572" s="23" t="n">
        <x:v>181.48146687245534</x:v>
      </x:c>
      <x:c r="L572" s="23" t="n">
        <x:v>45</x:v>
      </x:c>
      <x:c r="M572" s="23" t="n">
        <x:v>25</x:v>
      </x:c>
      <x:c r="N572" s="23" t="n">
        <x:v>1.232784363163621</x:v>
      </x:c>
      <x:c r="O572" s="23" t="n">
        <x:v>52.24522667375057</x:v>
      </x:c>
      <x:c r="P572" s="23" t="n">
        <x:v>1487.964088912122</x:v>
      </x:c>
      <x:c r="Q572" s="23" t="n">
        <x:v>1.2488334281581142</x:v>
      </x:c>
      <x:c r="R572" s="23" t="n">
        <x:v>52.817022382179324</x:v>
      </x:c>
      <x:c r="S572" s="23" t="n">
        <x:v>1488.395314509796</x:v>
      </x:c>
      <x:c r="T572" s="23" t="n">
        <x:v>0.0160490649944931</x:v>
      </x:c>
      <x:c r="U572" s="23" t="n">
        <x:v>0.5717957084287519</x:v>
      </x:c>
      <x:c r="V572" s="23" t="n">
        <x:v>0.4312255976740289</x:v>
      </x:c>
    </x:row>
    <x:row r="573">
      <x:c r="A573" s="23" t="n">
        <x:v>572</x:v>
      </x:c>
      <x:c r="B573" s="23" t="str">
        <x:v>Train</x:v>
      </x:c>
      <x:c r="C573" s="23" t="str">
        <x:v>Lightning</x:v>
      </x:c>
      <x:c r="D573" s="23" t="n">
        <x:v>1374.5872903964482</x:v>
      </x:c>
      <x:c r="E573" s="23" t="n">
        <x:v>794.8151569347829</x:v>
      </x:c>
      <x:c r="F573" s="23" t="n">
        <x:v>505.40987802669406</x:v>
      </x:c>
      <x:c r="G573" s="23" t="n">
        <x:v>156.0309825418517</x:v>
      </x:c>
      <x:c r="H573" s="23" t="n">
        <x:v>10.660457264166325</x:v>
      </x:c>
      <x:c r="I573" s="23" t="n">
        <x:v>0.7926126922667027</x:v>
      </x:c>
      <x:c r="J573" s="23" t="n">
        <x:v>9</x:v>
      </x:c>
      <x:c r="K573" s="23" t="n">
        <x:v>192.69426624797075</x:v>
      </x:c>
      <x:c r="L573" s="23" t="n">
        <x:v>55</x:v>
      </x:c>
      <x:c r="M573" s="23" t="n">
        <x:v>25</x:v>
      </x:c>
      <x:c r="N573" s="23" t="n">
        <x:v>1.2479615057335423</x:v>
      </x:c>
      <x:c r="O573" s="23" t="n">
        <x:v>52.202066719529206</x:v>
      </x:c>
      <x:c r="P573" s="23" t="n">
        <x:v>1374.5872903964482</x:v>
      </x:c>
      <x:c r="Q573" s="23" t="n">
        <x:v>1.2441609577582353</x:v>
      </x:c>
      <x:c r="R573" s="23" t="n">
        <x:v>51.28622680296328</x:v>
      </x:c>
      <x:c r="S573" s="23" t="n">
        <x:v>1392.0786648704109</x:v>
      </x:c>
      <x:c r="T573" s="23" t="n">
        <x:v>-0.0038005479753069338</x:v>
      </x:c>
      <x:c r="U573" s="23" t="n">
        <x:v>-0.915839916565929</x:v>
      </x:c>
      <x:c r="V573" s="23" t="n">
        <x:v>17.49137447396265</x:v>
      </x:c>
    </x:row>
    <x:row r="574">
      <x:c r="A574" s="23" t="n">
        <x:v>573</x:v>
      </x:c>
      <x:c r="B574" s="23" t="str">
        <x:v>Train</x:v>
      </x:c>
      <x:c r="C574" s="23" t="str">
        <x:v>Lightning</x:v>
      </x:c>
      <x:c r="D574" s="23" t="n">
        <x:v>1405.089023290202</x:v>
      </x:c>
      <x:c r="E574" s="23" t="n">
        <x:v>1214.9100509355776</x:v>
      </x:c>
      <x:c r="F574" s="23" t="n">
        <x:v>599.8324459418654</x:v>
      </x:c>
      <x:c r="G574" s="23" t="n">
        <x:v>109.0678579476662</x:v>
      </x:c>
      <x:c r="H574" s="23" t="n">
        <x:v>28.703525241464376</x:v>
      </x:c>
      <x:c r="I574" s="23" t="n">
        <x:v>0.83628286693478</x:v>
      </x:c>
      <x:c r="J574" s="23" t="n">
        <x:v>9</x:v>
      </x:c>
      <x:c r="K574" s="23" t="n">
        <x:v>186.6844446545092</x:v>
      </x:c>
      <x:c r="L574" s="23" t="n">
        <x:v>35</x:v>
      </x:c>
      <x:c r="M574" s="23" t="n">
        <x:v>25</x:v>
      </x:c>
      <x:c r="N574" s="23" t="n">
        <x:v>1.187094764506207</x:v>
      </x:c>
      <x:c r="O574" s="23" t="n">
        <x:v>52.274970129576104</x:v>
      </x:c>
      <x:c r="P574" s="23" t="n">
        <x:v>1405.089023290202</x:v>
      </x:c>
      <x:c r="Q574" s="23" t="n">
        <x:v>1.181964299122401</x:v>
      </x:c>
      <x:c r="R574" s="23" t="n">
        <x:v>52.83092162361842</x:v>
      </x:c>
      <x:c r="S574" s="23" t="n">
        <x:v>1377.230209326923</x:v>
      </x:c>
      <x:c r="T574" s="23" t="n">
        <x:v>-0.0051304653838060155</x:v>
      </x:c>
      <x:c r="U574" s="23" t="n">
        <x:v>0.5559514940423185</x:v>
      </x:c>
      <x:c r="V574" s="23" t="n">
        <x:v>-27.85881396327909</x:v>
      </x:c>
    </x:row>
    <x:row r="575">
      <x:c r="A575" s="23" t="n">
        <x:v>574</x:v>
      </x:c>
      <x:c r="B575" s="23" t="str">
        <x:v>Train</x:v>
      </x:c>
      <x:c r="C575" s="23" t="str">
        <x:v>Lightning</x:v>
      </x:c>
      <x:c r="D575" s="23" t="n">
        <x:v>1440.9042280283757</x:v>
      </x:c>
      <x:c r="E575" s="23" t="n">
        <x:v>797.466220962815</x:v>
      </x:c>
      <x:c r="F575" s="23" t="n">
        <x:v>451.472191978246</x:v>
      </x:c>
      <x:c r="G575" s="23" t="n">
        <x:v>264.23736188560724</x:v>
      </x:c>
      <x:c r="H575" s="23" t="n">
        <x:v>8.335247757378966</x:v>
      </x:c>
      <x:c r="I575" s="23" t="n">
        <x:v>0.8010308756260202</x:v>
      </x:c>
      <x:c r="J575" s="23" t="n">
        <x:v>9</x:v>
      </x:c>
      <x:c r="K575" s="23" t="n">
        <x:v>199.8680383647</x:v>
      </x:c>
      <x:c r="L575" s="23" t="n">
        <x:v>50</x:v>
      </x:c>
      <x:c r="M575" s="23" t="n">
        <x:v>25</x:v>
      </x:c>
      <x:c r="N575" s="23" t="n">
        <x:v>1.175181948514998</x:v>
      </x:c>
      <x:c r="O575" s="23" t="n">
        <x:v>52.21094193268984</x:v>
      </x:c>
      <x:c r="P575" s="23" t="n">
        <x:v>1440.9042280283757</x:v>
      </x:c>
      <x:c r="Q575" s="23" t="n">
        <x:v>1.1823535388590483</x:v>
      </x:c>
      <x:c r="R575" s="23" t="n">
        <x:v>51.5512920453411</x:v>
      </x:c>
      <x:c r="S575" s="23" t="n">
        <x:v>1443.5638649272694</x:v>
      </x:c>
      <x:c r="T575" s="23" t="n">
        <x:v>0.007171590344050349</x:v>
      </x:c>
      <x:c r="U575" s="23" t="n">
        <x:v>-0.659649887348742</x:v>
      </x:c>
      <x:c r="V575" s="23" t="n">
        <x:v>2.659636898893723</x:v>
      </x:c>
    </x:row>
    <x:row r="576">
      <x:c r="A576" s="23" t="n">
        <x:v>575</x:v>
      </x:c>
      <x:c r="B576" s="23" t="str">
        <x:v>Validation</x:v>
      </x:c>
      <x:c r="C576" s="23" t="str">
        <x:v>Lightning</x:v>
      </x:c>
      <x:c r="D576" s="23" t="n">
        <x:v>1373.0974145466462</x:v>
      </x:c>
      <x:c r="E576" s="23" t="n">
        <x:v>857.2199593414553</x:v>
      </x:c>
      <x:c r="F576" s="23" t="n">
        <x:v>384.6258573234081</x:v>
      </x:c>
      <x:c r="G576" s="23" t="n">
        <x:v>142.24277190631256</x:v>
      </x:c>
      <x:c r="H576" s="23" t="n">
        <x:v>26.385342634283006</x:v>
      </x:c>
      <x:c r="I576" s="23" t="n">
        <x:v>0.8206785351200961</x:v>
      </x:c>
      <x:c r="J576" s="23" t="n">
        <x:v>9</x:v>
      </x:c>
      <x:c r="K576" s="23" t="n">
        <x:v>185.90272910177382</x:v>
      </x:c>
      <x:c r="L576" s="23" t="n">
        <x:v>50</x:v>
      </x:c>
      <x:c r="M576" s="23" t="n">
        <x:v>25</x:v>
      </x:c>
      <x:c r="N576" s="23" t="n">
        <x:v>1.156079891738112</x:v>
      </x:c>
      <x:c r="O576" s="23" t="n">
        <x:v>52.19081401317296</x:v>
      </x:c>
      <x:c r="P576" s="23" t="n">
        <x:v>1373.0974145466462</x:v>
      </x:c>
      <x:c r="Q576" s="23" t="n">
        <x:v>1.1557765307738779</x:v>
      </x:c>
      <x:c r="R576" s="23" t="n">
        <x:v>51.4763044484234</x:v>
      </x:c>
      <x:c r="S576" s="23" t="n">
        <x:v>1371.9056902887964</x:v>
      </x:c>
      <x:c r="T576" s="23" t="n">
        <x:v>-0.00030336096423422276</x:v>
      </x:c>
      <x:c r="U576" s="23" t="n">
        <x:v>-0.7145095647495623</x:v>
      </x:c>
      <x:c r="V576" s="23" t="n">
        <x:v>-1.191724257849728</x:v>
      </x:c>
    </x:row>
    <x:row r="577">
      <x:c r="A577" s="23" t="n">
        <x:v>576</x:v>
      </x:c>
      <x:c r="B577" s="23" t="str">
        <x:v>Validation</x:v>
      </x:c>
      <x:c r="C577" s="23" t="str">
        <x:v>Lightning</x:v>
      </x:c>
      <x:c r="D577" s="23" t="n">
        <x:v>1369.8115268605761</x:v>
      </x:c>
      <x:c r="E577" s="23" t="n">
        <x:v>891.0171177238226</x:v>
      </x:c>
      <x:c r="F577" s="23" t="n">
        <x:v>393.8913404010236</x:v>
      </x:c>
      <x:c r="G577" s="23" t="n">
        <x:v>284.88012686837465</x:v>
      </x:c>
      <x:c r="H577" s="23" t="n">
        <x:v>21.3929465576075</x:v>
      </x:c>
      <x:c r="I577" s="23" t="n">
        <x:v>0.8331527632754296</x:v>
      </x:c>
      <x:c r="J577" s="23" t="n">
        <x:v>9</x:v>
      </x:c>
      <x:c r="K577" s="23" t="n">
        <x:v>182.6811210034605</x:v>
      </x:c>
      <x:c r="L577" s="23" t="n">
        <x:v>45</x:v>
      </x:c>
      <x:c r="M577" s="23" t="n">
        <x:v>25</x:v>
      </x:c>
      <x:c r="N577" s="23" t="n">
        <x:v>1.166793937393083</x:v>
      </x:c>
      <x:c r="O577" s="23" t="n">
        <x:v>52.21976928511506</x:v>
      </x:c>
      <x:c r="P577" s="23" t="n">
        <x:v>1369.8115268605761</x:v>
      </x:c>
      <x:c r="Q577" s="23" t="n">
        <x:v>1.1688410071188309</x:v>
      </x:c>
      <x:c r="R577" s="23" t="n">
        <x:v>51.9948482644899</x:v>
      </x:c>
      <x:c r="S577" s="23" t="n">
        <x:v>1361.1568827265883</x:v>
      </x:c>
      <x:c r="T577" s="23" t="n">
        <x:v>0.002047069725747974</x:v>
      </x:c>
      <x:c r="U577" s="23" t="n">
        <x:v>-0.2249210206251604</x:v>
      </x:c>
      <x:c r="V577" s="23" t="n">
        <x:v>-8.654644133987858</x:v>
      </x:c>
    </x:row>
    <x:row r="578">
      <x:c r="A578" s="23" t="n">
        <x:v>577</x:v>
      </x:c>
      <x:c r="B578" s="23" t="str">
        <x:v>Validation</x:v>
      </x:c>
      <x:c r="C578" s="23" t="str">
        <x:v>Lightning</x:v>
      </x:c>
      <x:c r="D578" s="23" t="n">
        <x:v>1432.9401615075767</x:v>
      </x:c>
      <x:c r="E578" s="23" t="n">
        <x:v>850.2222451730631</x:v>
      </x:c>
      <x:c r="F578" s="23" t="n">
        <x:v>464.517461694777</x:v>
      </x:c>
      <x:c r="G578" s="23" t="n">
        <x:v>125.22167990216985</x:v>
      </x:c>
      <x:c r="H578" s="23" t="n">
        <x:v>23.46654141880572</x:v>
      </x:c>
      <x:c r="I578" s="23" t="n">
        <x:v>0.809245650426019</x:v>
      </x:c>
      <x:c r="J578" s="23" t="n">
        <x:v>9</x:v>
      </x:c>
      <x:c r="K578" s="23" t="n">
        <x:v>196.7456648262792</x:v>
      </x:c>
      <x:c r="L578" s="23" t="n">
        <x:v>50</x:v>
      </x:c>
      <x:c r="M578" s="23" t="n">
        <x:v>25</x:v>
      </x:c>
      <x:c r="N578" s="23" t="n">
        <x:v>1.1860042830293862</x:v>
      </x:c>
      <x:c r="O578" s="23" t="n">
        <x:v>52.199525979232114</x:v>
      </x:c>
      <x:c r="P578" s="23" t="n">
        <x:v>1432.9401615075767</x:v>
      </x:c>
      <x:c r="Q578" s="23" t="n">
        <x:v>1.1698560656378842</x:v>
      </x:c>
      <x:c r="R578" s="23" t="n">
        <x:v>52.170513361673144</x:v>
      </x:c>
      <x:c r="S578" s="23" t="n">
        <x:v>1427.3234216573717</x:v>
      </x:c>
      <x:c r="T578" s="23" t="n">
        <x:v>-0.016148217391501962</x:v>
      </x:c>
      <x:c r="U578" s="23" t="n">
        <x:v>-0.02901261755896911</x:v>
      </x:c>
      <x:c r="V578" s="23" t="n">
        <x:v>-5.616739850205022</x:v>
      </x:c>
    </x:row>
    <x:row r="579">
      <x:c r="A579" s="23" t="n">
        <x:v>578</x:v>
      </x:c>
      <x:c r="B579" s="23" t="str">
        <x:v>Hidden Test</x:v>
      </x:c>
      <x:c r="C579" s="23" t="str">
        <x:v>Lightning</x:v>
      </x:c>
      <x:c r="D579" s="23" t="n">
        <x:v>1377.8112200670876</x:v>
      </x:c>
      <x:c r="E579" s="23" t="n">
        <x:v>1061.4669143455103</x:v>
      </x:c>
      <x:c r="F579" s="23" t="n">
        <x:v>454.027780238539</x:v>
      </x:c>
      <x:c r="G579" s="23" t="n">
        <x:v>164.58046452142298</x:v>
      </x:c>
      <x:c r="H579" s="23" t="n">
        <x:v>17.39175730245188</x:v>
      </x:c>
      <x:c r="I579" s="23" t="n">
        <x:v>0.840964324460365</x:v>
      </x:c>
      <x:c r="J579" s="23" t="n">
        <x:v>9</x:v>
      </x:c>
      <x:c r="K579" s="23" t="n">
        <x:v>182.04117714654012</x:v>
      </x:c>
      <x:c r="L579" s="23" t="n">
        <x:v>45</x:v>
      </x:c>
      <x:c r="M579" s="23" t="n">
        <x:v>25</x:v>
      </x:c>
      <x:c r="N579" s="23" t="n">
        <x:v>1.2226797896864299</x:v>
      </x:c>
      <x:c r="O579" s="23" t="n">
        <x:v>52.236965719183516</x:v>
      </x:c>
      <x:c r="P579" s="23" t="n">
        <x:v>1377.8112200670876</x:v>
      </x:c>
      <x:c r="Q579" s="23" t="n">
        <x:v>1.220350980849932</x:v>
      </x:c>
      <x:c r="R579" s="23" t="n">
        <x:v>52.361218632772214</x:v>
      </x:c>
      <x:c r="S579" s="23" t="n">
        <x:v>1375.5953346927754</x:v>
      </x:c>
      <x:c r="T579" s="23" t="n">
        <x:v>-0.0023288088364978865</x:v>
      </x:c>
      <x:c r="U579" s="23" t="n">
        <x:v>0.12425291358869828</x:v>
      </x:c>
      <x:c r="V579" s="23" t="n">
        <x:v>-2.2158853743121654</x:v>
      </x:c>
    </x:row>
    <x:row r="580">
      <x:c r="A580" s="23" t="n">
        <x:v>579</x:v>
      </x:c>
      <x:c r="B580" s="23" t="str">
        <x:v>Hidden Test</x:v>
      </x:c>
      <x:c r="C580" s="23" t="str">
        <x:v>Lightning</x:v>
      </x:c>
      <x:c r="D580" s="23" t="n">
        <x:v>1403.2877441262826</x:v>
      </x:c>
      <x:c r="E580" s="23" t="n">
        <x:v>893.3753182762302</x:v>
      </x:c>
      <x:c r="F580" s="23" t="n">
        <x:v>353.1371843069792</x:v>
      </x:c>
      <x:c r="G580" s="23" t="n">
        <x:v>90.0848522852175</x:v>
      </x:c>
      <x:c r="H580" s="23" t="n">
        <x:v>12.203499947674572</x:v>
      </x:c>
      <x:c r="I580" s="23" t="n">
        <x:v>0.8598214949737304</x:v>
      </x:c>
      <x:c r="J580" s="23" t="n">
        <x:v>9</x:v>
      </x:c>
      <x:c r="K580" s="23" t="n">
        <x:v>181.34096596787174</x:v>
      </x:c>
      <x:c r="L580" s="23" t="n">
        <x:v>55</x:v>
      </x:c>
      <x:c r="M580" s="23" t="n">
        <x:v>25</x:v>
      </x:c>
      <x:c r="N580" s="23" t="n">
        <x:v>1.1552166746038415</x:v>
      </x:c>
      <x:c r="O580" s="23" t="n">
        <x:v>52.18340894255786</x:v>
      </x:c>
      <x:c r="P580" s="23" t="n">
        <x:v>1403.2877441262826</x:v>
      </x:c>
      <x:c r="Q580" s="23" t="n">
        <x:v>1.1560589645041626</x:v>
      </x:c>
      <x:c r="R580" s="23" t="n">
        <x:v>52.2929253617189</x:v>
      </x:c>
      <x:c r="S580" s="23" t="n">
        <x:v>1420.8579268289272</x:v>
      </x:c>
      <x:c r="T580" s="23" t="n">
        <x:v>0.0008422899003210915</x:v>
      </x:c>
      <x:c r="U580" s="23" t="n">
        <x:v>0.10951641916103938</x:v>
      </x:c>
      <x:c r="V580" s="23" t="n">
        <x:v>17.570182702644615</x:v>
      </x:c>
    </x:row>
    <x:row r="581">
      <x:c r="A581" s="23" t="n">
        <x:v>580</x:v>
      </x:c>
      <x:c r="B581" s="23" t="str">
        <x:v>Hidden Test</x:v>
      </x:c>
      <x:c r="C581" s="23" t="str">
        <x:v>Lightning</x:v>
      </x:c>
      <x:c r="D581" s="23" t="n">
        <x:v>1476.8470994546078</x:v>
      </x:c>
      <x:c r="E581" s="23" t="n">
        <x:v>832.3961336631328</x:v>
      </x:c>
      <x:c r="F581" s="23" t="n">
        <x:v>367.1260359697044</x:v>
      </x:c>
      <x:c r="G581" s="23" t="n">
        <x:v>85.9060383355245</x:v>
      </x:c>
      <x:c r="H581" s="23" t="n">
        <x:v>13.058014027308673</x:v>
      </x:c>
      <x:c r="I581" s="23" t="n">
        <x:v>0.8408845952712</x:v>
      </x:c>
      <x:c r="J581" s="23" t="n">
        <x:v>9</x:v>
      </x:c>
      <x:c r="K581" s="23" t="n">
        <x:v>195.14464063728016</x:v>
      </x:c>
      <x:c r="L581" s="23" t="n">
        <x:v>60</x:v>
      </x:c>
      <x:c r="M581" s="23" t="n">
        <x:v>25</x:v>
      </x:c>
      <x:c r="N581" s="23" t="n">
        <x:v>1.2086243738873403</x:v>
      </x:c>
      <x:c r="O581" s="23" t="n">
        <x:v>52.17543039332747</x:v>
      </x:c>
      <x:c r="P581" s="23" t="n">
        <x:v>1476.8470994546078</x:v>
      </x:c>
      <x:c r="Q581" s="23" t="n">
        <x:v>1.2032826137588428</x:v>
      </x:c>
      <x:c r="R581" s="23" t="n">
        <x:v>53.03528421659304</x:v>
      </x:c>
      <x:c r="S581" s="23" t="n">
        <x:v>1496.332846747779</x:v>
      </x:c>
      <x:c r="T581" s="23" t="n">
        <x:v>-0.005341760128497519</x:v>
      </x:c>
      <x:c r="U581" s="23" t="n">
        <x:v>0.8598538232655741</x:v>
      </x:c>
      <x:c r="V581" s="23" t="n">
        <x:v>19.485747293171244</x:v>
      </x:c>
    </x:row>
    <x:row r="582">
      <x:c r="A582" s="23" t="n">
        <x:v>581</x:v>
      </x:c>
      <x:c r="B582" s="23" t="str">
        <x:v>Train</x:v>
      </x:c>
      <x:c r="C582" s="23" t="str">
        <x:v>Lightning</x:v>
      </x:c>
      <x:c r="D582" s="23" t="n">
        <x:v>1399.2843242827803</x:v>
      </x:c>
      <x:c r="E582" s="23" t="n">
        <x:v>709.5769600826316</x:v>
      </x:c>
      <x:c r="F582" s="23" t="n">
        <x:v>653.3389074727893</x:v>
      </x:c>
      <x:c r="G582" s="23" t="n">
        <x:v>135.86770857917145</x:v>
      </x:c>
      <x:c r="H582" s="23" t="n">
        <x:v>8.584296993911266</x:v>
      </x:c>
      <x:c r="I582" s="23" t="n">
        <x:v>0.8095595449418761</x:v>
      </x:c>
      <x:c r="J582" s="23" t="n">
        <x:v>9</x:v>
      </x:c>
      <x:c r="K582" s="23" t="n">
        <x:v>192.05015493033653</x:v>
      </x:c>
      <x:c r="L582" s="23" t="n">
        <x:v>50</x:v>
      </x:c>
      <x:c r="M582" s="23" t="n">
        <x:v>25</x:v>
      </x:c>
      <x:c r="N582" s="23" t="n">
        <x:v>1.1654773509806242</x:v>
      </x:c>
      <x:c r="O582" s="23" t="n">
        <x:v>52.20869782910878</x:v>
      </x:c>
      <x:c r="P582" s="23" t="n">
        <x:v>1399.2843242827803</x:v>
      </x:c>
      <x:c r="Q582" s="23" t="n">
        <x:v>1.1627871225029272</x:v>
      </x:c>
      <x:c r="R582" s="23" t="n">
        <x:v>52.562297603379285</x:v>
      </x:c>
      <x:c r="S582" s="23" t="n">
        <x:v>1411.615609291499</x:v>
      </x:c>
      <x:c r="T582" s="23" t="n">
        <x:v>-0.0026902284776970653</x:v>
      </x:c>
      <x:c r="U582" s="23" t="n">
        <x:v>0.3535997742705064</x:v>
      </x:c>
      <x:c r="V582" s="23" t="n">
        <x:v>12.331285008718623</x:v>
      </x:c>
    </x:row>
    <x:row r="583">
      <x:c r="A583" s="23" t="n">
        <x:v>582</x:v>
      </x:c>
      <x:c r="B583" s="23" t="str">
        <x:v>Train</x:v>
      </x:c>
      <x:c r="C583" s="23" t="str">
        <x:v>Lightning</x:v>
      </x:c>
      <x:c r="D583" s="23" t="n">
        <x:v>1465.9565365989693</x:v>
      </x:c>
      <x:c r="E583" s="23" t="n">
        <x:v>987.8012459492311</x:v>
      </x:c>
      <x:c r="F583" s="23" t="n">
        <x:v>609.9125084467232</x:v>
      </x:c>
      <x:c r="G583" s="23" t="n">
        <x:v>181.59341944381595</x:v>
      </x:c>
      <x:c r="H583" s="23" t="n">
        <x:v>16.40547056356445</x:v>
      </x:c>
      <x:c r="I583" s="23" t="n">
        <x:v>0.793446903466247</x:v>
      </x:c>
      <x:c r="J583" s="23" t="n">
        <x:v>10</x:v>
      </x:c>
      <x:c r="K583" s="23" t="n">
        <x:v>184.75798824027177</x:v>
      </x:c>
      <x:c r="L583" s="23" t="n">
        <x:v>35</x:v>
      </x:c>
      <x:c r="M583" s="23" t="n">
        <x:v>25</x:v>
      </x:c>
      <x:c r="N583" s="23" t="n">
        <x:v>1.1336370923415127</x:v>
      </x:c>
      <x:c r="O583" s="23" t="n">
        <x:v>52.283264967867744</x:v>
      </x:c>
      <x:c r="P583" s="23" t="n">
        <x:v>1465.9565365989693</x:v>
      </x:c>
      <x:c r="Q583" s="23" t="n">
        <x:v>1.1507112461628894</x:v>
      </x:c>
      <x:c r="R583" s="23" t="n">
        <x:v>52.244038416372454</x:v>
      </x:c>
      <x:c r="S583" s="23" t="n">
        <x:v>1469.1863093021311</x:v>
      </x:c>
      <x:c r="T583" s="23" t="n">
        <x:v>0.01707415382137678</x:v>
      </x:c>
      <x:c r="U583" s="23" t="n">
        <x:v>-0.03922655149528964</x:v>
      </x:c>
      <x:c r="V583" s="23" t="n">
        <x:v>3.2297727031618706</x:v>
      </x:c>
    </x:row>
    <x:row r="584">
      <x:c r="A584" s="23" t="n">
        <x:v>583</x:v>
      </x:c>
      <x:c r="B584" s="23" t="str">
        <x:v>Train</x:v>
      </x:c>
      <x:c r="C584" s="23" t="str">
        <x:v>Lightning</x:v>
      </x:c>
      <x:c r="D584" s="23" t="n">
        <x:v>1471.3450289564207</x:v>
      </x:c>
      <x:c r="E584" s="23" t="n">
        <x:v>1118.8468225416727</x:v>
      </x:c>
      <x:c r="F584" s="23" t="n">
        <x:v>418.1448370218277</x:v>
      </x:c>
      <x:c r="G584" s="23" t="n">
        <x:v>129.54434180399403</x:v>
      </x:c>
      <x:c r="H584" s="23" t="n">
        <x:v>17.20112920086831</x:v>
      </x:c>
      <x:c r="I584" s="23" t="n">
        <x:v>0.8433799977577292</x:v>
      </x:c>
      <x:c r="J584" s="23" t="n">
        <x:v>9</x:v>
      </x:c>
      <x:c r="K584" s="23" t="n">
        <x:v>193.84237405416889</x:v>
      </x:c>
      <x:c r="L584" s="23" t="n">
        <x:v>45</x:v>
      </x:c>
      <x:c r="M584" s="23" t="n">
        <x:v>25</x:v>
      </x:c>
      <x:c r="N584" s="23" t="n">
        <x:v>1.212584819915155</x:v>
      </x:c>
      <x:c r="O584" s="23" t="n">
        <x:v>52.234854626013224</x:v>
      </x:c>
      <x:c r="P584" s="23" t="n">
        <x:v>1471.3450289564207</x:v>
      </x:c>
      <x:c r="Q584" s="23" t="n">
        <x:v>1.2131656797964494</x:v>
      </x:c>
      <x:c r="R584" s="23" t="n">
        <x:v>52.30461432405348</x:v>
      </x:c>
      <x:c r="S584" s="23" t="n">
        <x:v>1481.26010339175</x:v>
      </x:c>
      <x:c r="T584" s="23" t="n">
        <x:v>0.0005808598812944155</x:v>
      </x:c>
      <x:c r="U584" s="23" t="n">
        <x:v>0.06975969804025794</x:v>
      </x:c>
      <x:c r="V584" s="23" t="n">
        <x:v>9.915074435329188</x:v>
      </x:c>
    </x:row>
    <x:row r="585">
      <x:c r="A585" s="23" t="n">
        <x:v>584</x:v>
      </x:c>
      <x:c r="B585" s="23" t="str">
        <x:v>Train</x:v>
      </x:c>
      <x:c r="C585" s="23" t="str">
        <x:v>Lightning</x:v>
      </x:c>
      <x:c r="D585" s="23" t="n">
        <x:v>1401.5256670187227</x:v>
      </x:c>
      <x:c r="E585" s="23" t="n">
        <x:v>1233.986320067197</x:v>
      </x:c>
      <x:c r="F585" s="23" t="n">
        <x:v>462.5255591236055</x:v>
      </x:c>
      <x:c r="G585" s="23" t="n">
        <x:v>142.95463035348803</x:v>
      </x:c>
      <x:c r="H585" s="23" t="n">
        <x:v>18.1293396926485</x:v>
      </x:c>
      <x:c r="I585" s="23" t="n">
        <x:v>0.8165535491053015</x:v>
      </x:c>
      <x:c r="J585" s="23" t="n">
        <x:v>9</x:v>
      </x:c>
      <x:c r="K585" s="23" t="n">
        <x:v>190.7101797350823</x:v>
      </x:c>
      <x:c r="L585" s="23" t="n">
        <x:v>40</x:v>
      </x:c>
      <x:c r="M585" s="23" t="n">
        <x:v>25</x:v>
      </x:c>
      <x:c r="N585" s="23" t="n">
        <x:v>1.2064408070109345</x:v>
      </x:c>
      <x:c r="O585" s="23" t="n">
        <x:v>52.261818815500696</x:v>
      </x:c>
      <x:c r="P585" s="23" t="n">
        <x:v>1401.5256670187227</x:v>
      </x:c>
      <x:c r="Q585" s="23" t="n">
        <x:v>1.2051765525044407</x:v>
      </x:c>
      <x:c r="R585" s="23" t="n">
        <x:v>53.90093577393159</x:v>
      </x:c>
      <x:c r="S585" s="23" t="n">
        <x:v>1400.2519224877915</x:v>
      </x:c>
      <x:c r="T585" s="23" t="n">
        <x:v>-0.0012642545064938115</x:v>
      </x:c>
      <x:c r="U585" s="23" t="n">
        <x:v>1.6391169584308969</x:v>
      </x:c>
      <x:c r="V585" s="23" t="n">
        <x:v>-1.2737445309312534</x:v>
      </x:c>
    </x:row>
    <x:row r="586">
      <x:c r="A586" s="23" t="n">
        <x:v>585</x:v>
      </x:c>
      <x:c r="B586" s="23" t="str">
        <x:v>Train</x:v>
      </x:c>
      <x:c r="C586" s="23" t="str">
        <x:v>Lightning</x:v>
      </x:c>
      <x:c r="D586" s="23" t="n">
        <x:v>1368.311601318419</x:v>
      </x:c>
      <x:c r="E586" s="23" t="n">
        <x:v>615.5771948746406</x:v>
      </x:c>
      <x:c r="F586" s="23" t="n">
        <x:v>524.6110113337636</x:v>
      </x:c>
      <x:c r="G586" s="23" t="n">
        <x:v>135.04220124566928</x:v>
      </x:c>
      <x:c r="H586" s="23" t="n">
        <x:v>23.755998795852065</x:v>
      </x:c>
      <x:c r="I586" s="23" t="n">
        <x:v>0.8380109670129605</x:v>
      </x:c>
      <x:c r="J586" s="23" t="n">
        <x:v>9</x:v>
      </x:c>
      <x:c r="K586" s="23" t="n">
        <x:v>181.42318937737943</x:v>
      </x:c>
      <x:c r="L586" s="23" t="n">
        <x:v>60</x:v>
      </x:c>
      <x:c r="M586" s="23" t="n">
        <x:v>25</x:v>
      </x:c>
      <x:c r="N586" s="23" t="n">
        <x:v>1.2384370523640897</x:v>
      </x:c>
      <x:c r="O586" s="23" t="n">
        <x:v>52.17384030128227</x:v>
      </x:c>
      <x:c r="P586" s="23" t="n">
        <x:v>1368.311601318419</x:v>
      </x:c>
      <x:c r="Q586" s="23" t="n">
        <x:v>1.2285428352524232</x:v>
      </x:c>
      <x:c r="R586" s="23" t="n">
        <x:v>52.097918206312315</x:v>
      </x:c>
      <x:c r="S586" s="23" t="n">
        <x:v>1366.7183115885014</x:v>
      </x:c>
      <x:c r="T586" s="23" t="n">
        <x:v>-0.009894217111666492</x:v>
      </x:c>
      <x:c r="U586" s="23" t="n">
        <x:v>-0.07592209496995395</x:v>
      </x:c>
      <x:c r="V586" s="23" t="n">
        <x:v>-1.5932897299176147</x:v>
      </x:c>
    </x:row>
    <x:row r="587">
      <x:c r="A587" s="23" t="n">
        <x:v>586</x:v>
      </x:c>
      <x:c r="B587" s="23" t="str">
        <x:v>Train</x:v>
      </x:c>
      <x:c r="C587" s="23" t="str">
        <x:v>Lightning</x:v>
      </x:c>
      <x:c r="D587" s="23" t="n">
        <x:v>1425.487536995206</x:v>
      </x:c>
      <x:c r="E587" s="23" t="n">
        <x:v>1154.350945376791</x:v>
      </x:c>
      <x:c r="F587" s="23" t="n">
        <x:v>510.49076030030847</x:v>
      </x:c>
      <x:c r="G587" s="23" t="n">
        <x:v>190.76003755442798</x:v>
      </x:c>
      <x:c r="H587" s="23" t="n">
        <x:v>22.12640041531995</x:v>
      </x:c>
      <x:c r="I587" s="23" t="n">
        <x:v>0.8531425640406087</x:v>
      </x:c>
      <x:c r="J587" s="23" t="n">
        <x:v>9</x:v>
      </x:c>
      <x:c r="K587" s="23" t="n">
        <x:v>185.65186029452323</x:v>
      </x:c>
      <x:c r="L587" s="23" t="n">
        <x:v>40</x:v>
      </x:c>
      <x:c r="M587" s="23" t="n">
        <x:v>25</x:v>
      </x:c>
      <x:c r="N587" s="23" t="n">
        <x:v>1.2372555212486915</x:v>
      </x:c>
      <x:c r="O587" s="23" t="n">
        <x:v>52.26433470181337</x:v>
      </x:c>
      <x:c r="P587" s="23" t="n">
        <x:v>1425.487536995206</x:v>
      </x:c>
      <x:c r="Q587" s="23" t="n">
        <x:v>1.2468396095263519</x:v>
      </x:c>
      <x:c r="R587" s="23" t="n">
        <x:v>53.57277103545563</x:v>
      </x:c>
      <x:c r="S587" s="23" t="n">
        <x:v>1412.6613971012573</x:v>
      </x:c>
      <x:c r="T587" s="23" t="n">
        <x:v>0.00958408827766033</x:v>
      </x:c>
      <x:c r="U587" s="23" t="n">
        <x:v>1.3084363336422626</x:v>
      </x:c>
      <x:c r="V587" s="23" t="n">
        <x:v>-12.82613989394872</x:v>
      </x:c>
    </x:row>
    <x:row r="588">
      <x:c r="A588" s="23" t="n">
        <x:v>587</x:v>
      </x:c>
      <x:c r="B588" s="23" t="str">
        <x:v>Train</x:v>
      </x:c>
      <x:c r="C588" s="23" t="str">
        <x:v>Lightning</x:v>
      </x:c>
      <x:c r="D588" s="23" t="n">
        <x:v>1377.2796521661803</x:v>
      </x:c>
      <x:c r="E588" s="23" t="n">
        <x:v>1243.205797916744</x:v>
      </x:c>
      <x:c r="F588" s="23" t="n">
        <x:v>586.4440310746431</x:v>
      </x:c>
      <x:c r="G588" s="23" t="n">
        <x:v>264.53231843886897</x:v>
      </x:c>
      <x:c r="H588" s="23" t="n">
        <x:v>27.04024773929268</x:v>
      </x:c>
      <x:c r="I588" s="23" t="n">
        <x:v>0.8395146322133952</x:v>
      </x:c>
      <x:c r="J588" s="23" t="n">
        <x:v>9</x:v>
      </x:c>
      <x:c r="K588" s="23" t="n">
        <x:v>182.28517597059601</x:v>
      </x:c>
      <x:c r="L588" s="23" t="n">
        <x:v>30</x:v>
      </x:c>
      <x:c r="M588" s="23" t="n">
        <x:v>25</x:v>
      </x:c>
      <x:c r="N588" s="23" t="n">
        <x:v>1.1342216192338994</x:v>
      </x:c>
      <x:c r="O588" s="23" t="n">
        <x:v>52.30153535133805</x:v>
      </x:c>
      <x:c r="P588" s="23" t="n">
        <x:v>1377.2796521661803</x:v>
      </x:c>
      <x:c r="Q588" s="23" t="n">
        <x:v>1.1302624918470854</x:v>
      </x:c>
      <x:c r="R588" s="23" t="n">
        <x:v>54.04864889851288</x:v>
      </x:c>
      <x:c r="S588" s="23" t="n">
        <x:v>1354.7689916426643</x:v>
      </x:c>
      <x:c r="T588" s="23" t="n">
        <x:v>-0.003959127386814032</x:v>
      </x:c>
      <x:c r="U588" s="23" t="n">
        <x:v>1.747113547174827</x:v>
      </x:c>
      <x:c r="V588" s="23" t="n">
        <x:v>-22.51066052351598</x:v>
      </x:c>
    </x:row>
    <x:row r="589">
      <x:c r="A589" s="23" t="n">
        <x:v>588</x:v>
      </x:c>
      <x:c r="B589" s="23" t="str">
        <x:v>Train</x:v>
      </x:c>
      <x:c r="C589" s="23" t="str">
        <x:v>Lightning</x:v>
      </x:c>
      <x:c r="D589" s="23" t="n">
        <x:v>1446.9649220234714</x:v>
      </x:c>
      <x:c r="E589" s="23" t="n">
        <x:v>1129.7123638447374</x:v>
      </x:c>
      <x:c r="F589" s="23" t="n">
        <x:v>642.8448270075023</x:v>
      </x:c>
      <x:c r="G589" s="23" t="n">
        <x:v>98.81365745794028</x:v>
      </x:c>
      <x:c r="H589" s="23" t="n">
        <x:v>17.87335107056424</x:v>
      </x:c>
      <x:c r="I589" s="23" t="n">
        <x:v>0.8055407201871276</x:v>
      </x:c>
      <x:c r="J589" s="23" t="n">
        <x:v>9</x:v>
      </x:c>
      <x:c r="K589" s="23" t="n">
        <x:v>199.58504417688815</x:v>
      </x:c>
      <x:c r="L589" s="23" t="n">
        <x:v>40</x:v>
      </x:c>
      <x:c r="M589" s="23" t="n">
        <x:v>25</x:v>
      </x:c>
      <x:c r="N589" s="23" t="n">
        <x:v>1.2243299618355818</x:v>
      </x:c>
      <x:c r="O589" s="23" t="n">
        <x:v>52.26679349952276</x:v>
      </x:c>
      <x:c r="P589" s="23" t="n">
        <x:v>1446.9649220234714</x:v>
      </x:c>
      <x:c r="Q589" s="23" t="n">
        <x:v>1.2422338591660245</x:v>
      </x:c>
      <x:c r="R589" s="23" t="n">
        <x:v>53.60011699870957</x:v>
      </x:c>
      <x:c r="S589" s="23" t="n">
        <x:v>1438.9697020575722</x:v>
      </x:c>
      <x:c r="T589" s="23" t="n">
        <x:v>0.01790389733044262</x:v>
      </x:c>
      <x:c r="U589" s="23" t="n">
        <x:v>1.333323499186804</x:v>
      </x:c>
      <x:c r="V589" s="23" t="n">
        <x:v>-7.995219965899196</x:v>
      </x:c>
    </x:row>
    <x:row r="590">
      <x:c r="A590" s="23" t="n">
        <x:v>589</x:v>
      </x:c>
      <x:c r="B590" s="23" t="str">
        <x:v>Train</x:v>
      </x:c>
      <x:c r="C590" s="23" t="str">
        <x:v>Lightning</x:v>
      </x:c>
      <x:c r="D590" s="23" t="n">
        <x:v>1400.9556659962982</x:v>
      </x:c>
      <x:c r="E590" s="23" t="n">
        <x:v>1099.8616314376704</x:v>
      </x:c>
      <x:c r="F590" s="23" t="n">
        <x:v>648.7772127613425</x:v>
      </x:c>
      <x:c r="G590" s="23" t="n">
        <x:v>226.56172675313428</x:v>
      </x:c>
      <x:c r="H590" s="23" t="n">
        <x:v>27.11718635633588</x:v>
      </x:c>
      <x:c r="I590" s="23" t="n">
        <x:v>0.8530422398471273</x:v>
      </x:c>
      <x:c r="J590" s="23" t="n">
        <x:v>9</x:v>
      </x:c>
      <x:c r="K590" s="23" t="n">
        <x:v>182.47835030320573</x:v>
      </x:c>
      <x:c r="L590" s="23" t="n">
        <x:v>35</x:v>
      </x:c>
      <x:c r="M590" s="23" t="n">
        <x:v>25</x:v>
      </x:c>
      <x:c r="N590" s="23" t="n">
        <x:v>1.2054379235535007</x:v>
      </x:c>
      <x:c r="O590" s="23" t="n">
        <x:v>52.28298314902572</x:v>
      </x:c>
      <x:c r="P590" s="23" t="n">
        <x:v>1400.9556659962982</x:v>
      </x:c>
      <x:c r="Q590" s="23" t="n">
        <x:v>1.1997277385529426</x:v>
      </x:c>
      <x:c r="R590" s="23" t="n">
        <x:v>52.634944808123315</x:v>
      </x:c>
      <x:c r="S590" s="23" t="n">
        <x:v>1375.3363600239666</x:v>
      </x:c>
      <x:c r="T590" s="23" t="n">
        <x:v>-0.005710185000558088</x:v>
      </x:c>
      <x:c r="U590" s="23" t="n">
        <x:v>0.35196165909759713</x:v>
      </x:c>
      <x:c r="V590" s="23" t="n">
        <x:v>-25.61930597233163</x:v>
      </x:c>
    </x:row>
    <x:row r="591">
      <x:c r="A591" s="23" t="n">
        <x:v>590</x:v>
      </x:c>
      <x:c r="B591" s="23" t="str">
        <x:v>Train</x:v>
      </x:c>
      <x:c r="C591" s="23" t="str">
        <x:v>Lightning</x:v>
      </x:c>
      <x:c r="D591" s="23" t="n">
        <x:v>1463.631010253448</x:v>
      </x:c>
      <x:c r="E591" s="23" t="n">
        <x:v>1001.9267049385235</x:v>
      </x:c>
      <x:c r="F591" s="23" t="n">
        <x:v>443.5273711569607</x:v>
      </x:c>
      <x:c r="G591" s="23" t="n">
        <x:v>293.68889324367046</x:v>
      </x:c>
      <x:c r="H591" s="23" t="n">
        <x:v>13.635820413473994</x:v>
      </x:c>
      <x:c r="I591" s="23" t="n">
        <x:v>0.8382593783689664</x:v>
      </x:c>
      <x:c r="J591" s="23" t="n">
        <x:v>9</x:v>
      </x:c>
      <x:c r="K591" s="23" t="n">
        <x:v>194.00399447050114</x:v>
      </x:c>
      <x:c r="L591" s="23" t="n">
        <x:v>45</x:v>
      </x:c>
      <x:c r="M591" s="23" t="n">
        <x:v>25</x:v>
      </x:c>
      <x:c r="N591" s="23" t="n">
        <x:v>1.2445697989894033</x:v>
      </x:c>
      <x:c r="O591" s="23" t="n">
        <x:v>52.2461758674942</x:v>
      </x:c>
      <x:c r="P591" s="23" t="n">
        <x:v>1463.631010253448</x:v>
      </x:c>
      <x:c r="Q591" s="23" t="n">
        <x:v>1.2538634310362162</x:v>
      </x:c>
      <x:c r="R591" s="23" t="n">
        <x:v>53.444807242462566</x:v>
      </x:c>
      <x:c r="S591" s="23" t="n">
        <x:v>1472.3050464782984</x:v>
      </x:c>
      <x:c r="T591" s="23" t="n">
        <x:v>0.009293632046812883</x:v>
      </x:c>
      <x:c r="U591" s="23" t="n">
        <x:v>1.1986313749683646</x:v>
      </x:c>
      <x:c r="V591" s="23" t="n">
        <x:v>8.674036224850397</x:v>
      </x:c>
    </x:row>
    <x:row r="592">
      <x:c r="A592" s="23" t="n">
        <x:v>591</x:v>
      </x:c>
      <x:c r="B592" s="23" t="str">
        <x:v>Train</x:v>
      </x:c>
      <x:c r="C592" s="23" t="str">
        <x:v>Lightning</x:v>
      </x:c>
      <x:c r="D592" s="23" t="n">
        <x:v>1449.3687128880993</x:v>
      </x:c>
      <x:c r="E592" s="23" t="n">
        <x:v>782.9977904562838</x:v>
      </x:c>
      <x:c r="F592" s="23" t="n">
        <x:v>504.2174942791462</x:v>
      </x:c>
      <x:c r="G592" s="23" t="n">
        <x:v>185.68261559819803</x:v>
      </x:c>
      <x:c r="H592" s="23" t="n">
        <x:v>22.497611372731626</x:v>
      </x:c>
      <x:c r="I592" s="23" t="n">
        <x:v>0.8465208366303705</x:v>
      </x:c>
      <x:c r="J592" s="23" t="n">
        <x:v>9</x:v>
      </x:c>
      <x:c r="K592" s="23" t="n">
        <x:v>190.23863457361713</x:v>
      </x:c>
      <x:c r="L592" s="23" t="n">
        <x:v>50</x:v>
      </x:c>
      <x:c r="M592" s="23" t="n">
        <x:v>25</x:v>
      </x:c>
      <x:c r="N592" s="23" t="n">
        <x:v>1.206742192869276</x:v>
      </x:c>
      <x:c r="O592" s="23" t="n">
        <x:v>52.204661605109514</x:v>
      </x:c>
      <x:c r="P592" s="23" t="n">
        <x:v>1449.3687128880993</x:v>
      </x:c>
      <x:c r="Q592" s="23" t="n">
        <x:v>1.191909369746381</x:v>
      </x:c>
      <x:c r="R592" s="23" t="n">
        <x:v>52.41550500343099</x:v>
      </x:c>
      <x:c r="S592" s="23" t="n">
        <x:v>1451.376160227158</x:v>
      </x:c>
      <x:c r="T592" s="23" t="n">
        <x:v>-0.014832823122895133</x:v>
      </x:c>
      <x:c r="U592" s="23" t="n">
        <x:v>0.21084339832147236</x:v>
      </x:c>
      <x:c r="V592" s="23" t="n">
        <x:v>2.007447339058672</x:v>
      </x:c>
    </x:row>
    <x:row r="593">
      <x:c r="A593" s="23" t="n">
        <x:v>592</x:v>
      </x:c>
      <x:c r="B593" s="23" t="str">
        <x:v>Train</x:v>
      </x:c>
      <x:c r="C593" s="23" t="str">
        <x:v>Lightning</x:v>
      </x:c>
      <x:c r="D593" s="23" t="n">
        <x:v>1383.817003655713</x:v>
      </x:c>
      <x:c r="E593" s="23" t="n">
        <x:v>1178.1542940065265</x:v>
      </x:c>
      <x:c r="F593" s="23" t="n">
        <x:v>429.8002435825765</x:v>
      </x:c>
      <x:c r="G593" s="23" t="n">
        <x:v>326.7977983178571</x:v>
      </x:c>
      <x:c r="H593" s="23" t="n">
        <x:v>22.455058136489242</x:v>
      </x:c>
      <x:c r="I593" s="23" t="n">
        <x:v>0.8053940664138646</x:v>
      </x:c>
      <x:c r="J593" s="23" t="n">
        <x:v>9</x:v>
      </x:c>
      <x:c r="K593" s="23" t="n">
        <x:v>190.90958235545787</x:v>
      </x:c>
      <x:c r="L593" s="23" t="n">
        <x:v>35</x:v>
      </x:c>
      <x:c r="M593" s="23" t="n">
        <x:v>25</x:v>
      </x:c>
      <x:c r="N593" s="23" t="n">
        <x:v>1.1570558199803476</x:v>
      </x:c>
      <x:c r="O593" s="23" t="n">
        <x:v>52.276676257976284</x:v>
      </x:c>
      <x:c r="P593" s="23" t="n">
        <x:v>1383.817003655713</x:v>
      </x:c>
      <x:c r="Q593" s="23" t="n">
        <x:v>1.1652137730185765</x:v>
      </x:c>
      <x:c r="R593" s="23" t="n">
        <x:v>52.54712334879177</x:v>
      </x:c>
      <x:c r="S593" s="23" t="n">
        <x:v>1371.7390731959833</x:v>
      </x:c>
      <x:c r="T593" s="23" t="n">
        <x:v>0.008157953038228971</x:v>
      </x:c>
      <x:c r="U593" s="23" t="n">
        <x:v>0.27044709081548746</x:v>
      </x:c>
      <x:c r="V593" s="23" t="n">
        <x:v>-12.077930459729714</x:v>
      </x:c>
    </x:row>
    <x:row r="594">
      <x:c r="A594" s="23" t="n">
        <x:v>593</x:v>
      </x:c>
      <x:c r="B594" s="23" t="str">
        <x:v>Train</x:v>
      </x:c>
      <x:c r="C594" s="23" t="str">
        <x:v>Lightning</x:v>
      </x:c>
      <x:c r="D594" s="23" t="n">
        <x:v>1368.02548924461</x:v>
      </x:c>
      <x:c r="E594" s="23" t="n">
        <x:v>655.8786821900867</x:v>
      </x:c>
      <x:c r="F594" s="23" t="n">
        <x:v>668.1025454774499</x:v>
      </x:c>
      <x:c r="G594" s="23" t="n">
        <x:v>163.71127588907257</x:v>
      </x:c>
      <x:c r="H594" s="23" t="n">
        <x:v>14.205430151894689</x:v>
      </x:c>
      <x:c r="I594" s="23" t="n">
        <x:v>0.8244179751654156</x:v>
      </x:c>
      <x:c r="J594" s="23" t="n">
        <x:v>9</x:v>
      </x:c>
      <x:c r="K594" s="23" t="n">
        <x:v>184.37593152647037</x:v>
      </x:c>
      <x:c r="L594" s="23" t="n">
        <x:v>50</x:v>
      </x:c>
      <x:c r="M594" s="23" t="n">
        <x:v>25</x:v>
      </x:c>
      <x:c r="N594" s="23" t="n">
        <x:v>1.182062935440865</x:v>
      </x:c>
      <x:c r="O594" s="23" t="n">
        <x:v>52.206968453617066</x:v>
      </x:c>
      <x:c r="P594" s="23" t="n">
        <x:v>1368.02548924461</x:v>
      </x:c>
      <x:c r="Q594" s="23" t="n">
        <x:v>1.1911211424271047</x:v>
      </x:c>
      <x:c r="R594" s="23" t="n">
        <x:v>52.08806950649686</x:v>
      </x:c>
      <x:c r="S594" s="23" t="n">
        <x:v>1379.413114053222</x:v>
      </x:c>
      <x:c r="T594" s="23" t="n">
        <x:v>0.009058206986239714</x:v>
      </x:c>
      <x:c r="U594" s="23" t="n">
        <x:v>-0.11889894712020777</x:v>
      </x:c>
      <x:c r="V594" s="23" t="n">
        <x:v>11.387624808611918</x:v>
      </x:c>
    </x:row>
    <x:row r="595">
      <x:c r="A595" s="23" t="n">
        <x:v>594</x:v>
      </x:c>
      <x:c r="B595" s="23" t="str">
        <x:v>Train</x:v>
      </x:c>
      <x:c r="C595" s="23" t="str">
        <x:v>Lightning</x:v>
      </x:c>
      <x:c r="D595" s="23" t="n">
        <x:v>1453.5109240212478</x:v>
      </x:c>
      <x:c r="E595" s="23" t="n">
        <x:v>1060.2722079725936</x:v>
      </x:c>
      <x:c r="F595" s="23" t="n">
        <x:v>688.7198545970023</x:v>
      </x:c>
      <x:c r="G595" s="23" t="n">
        <x:v>180.2501652110368</x:v>
      </x:c>
      <x:c r="H595" s="23" t="n">
        <x:v>26.94331069337204</x:v>
      </x:c>
      <x:c r="I595" s="23" t="n">
        <x:v>0.8199898470425979</x:v>
      </x:c>
      <x:c r="J595" s="23" t="n">
        <x:v>9</x:v>
      </x:c>
      <x:c r="K595" s="23" t="n">
        <x:v>196.95513836252263</x:v>
      </x:c>
      <x:c r="L595" s="23" t="n">
        <x:v>35</x:v>
      </x:c>
      <x:c r="M595" s="23" t="n">
        <x:v>25</x:v>
      </x:c>
      <x:c r="N595" s="23" t="n">
        <x:v>1.1799982450867765</x:v>
      </x:c>
      <x:c r="O595" s="23" t="n">
        <x:v>52.275817094366694</x:v>
      </x:c>
      <x:c r="P595" s="23" t="n">
        <x:v>1453.5109240212478</x:v>
      </x:c>
      <x:c r="Q595" s="23" t="n">
        <x:v>1.186206944822437</x:v>
      </x:c>
      <x:c r="R595" s="23" t="n">
        <x:v>52.077461753283266</x:v>
      </x:c>
      <x:c r="S595" s="23" t="n">
        <x:v>1427.8726549296393</x:v>
      </x:c>
      <x:c r="T595" s="23" t="n">
        <x:v>0.006208699735660517</x:v>
      </x:c>
      <x:c r="U595" s="23" t="n">
        <x:v>-0.19835534108342756</x:v>
      </x:c>
      <x:c r="V595" s="23" t="n">
        <x:v>-25.638269091608436</x:v>
      </x:c>
    </x:row>
    <x:row r="596">
      <x:c r="A596" s="23" t="n">
        <x:v>595</x:v>
      </x:c>
      <x:c r="B596" s="23" t="str">
        <x:v>Validation</x:v>
      </x:c>
      <x:c r="C596" s="23" t="str">
        <x:v>Lightning</x:v>
      </x:c>
      <x:c r="D596" s="23" t="n">
        <x:v>1496.0328573128209</x:v>
      </x:c>
      <x:c r="E596" s="23" t="n">
        <x:v>934.658215905074</x:v>
      </x:c>
      <x:c r="F596" s="23" t="n">
        <x:v>577.8606619685888</x:v>
      </x:c>
      <x:c r="G596" s="23" t="n">
        <x:v>244.24403403652832</x:v>
      </x:c>
      <x:c r="H596" s="23" t="n">
        <x:v>17.659904805012047</x:v>
      </x:c>
      <x:c r="I596" s="23" t="n">
        <x:v>0.848033366620075</x:v>
      </x:c>
      <x:c r="J596" s="23" t="n">
        <x:v>9</x:v>
      </x:c>
      <x:c r="K596" s="23" t="n">
        <x:v>196.01336406994025</x:v>
      </x:c>
      <x:c r="L596" s="23" t="n">
        <x:v>40</x:v>
      </x:c>
      <x:c r="M596" s="23" t="n">
        <x:v>25</x:v>
      </x:c>
      <x:c r="N596" s="23" t="n">
        <x:v>1.1540343437508565</x:v>
      </x:c>
      <x:c r="O596" s="23" t="n">
        <x:v>52.2489232570396</x:v>
      </x:c>
      <x:c r="P596" s="23" t="n">
        <x:v>1496.0328573128209</x:v>
      </x:c>
      <x:c r="Q596" s="23" t="n">
        <x:v>1.1595733545185074</x:v>
      </x:c>
      <x:c r="R596" s="23" t="n">
        <x:v>53.252183853926525</x:v>
      </x:c>
      <x:c r="S596" s="23" t="n">
        <x:v>1492.7117716485795</x:v>
      </x:c>
      <x:c r="T596" s="23" t="n">
        <x:v>0.005539010767650954</x:v>
      </x:c>
      <x:c r="U596" s="23" t="n">
        <x:v>1.0032605968869248</x:v>
      </x:c>
      <x:c r="V596" s="23" t="n">
        <x:v>-3.321085664241309</x:v>
      </x:c>
    </x:row>
    <x:row r="597">
      <x:c r="A597" s="23" t="n">
        <x:v>596</x:v>
      </x:c>
      <x:c r="B597" s="23" t="str">
        <x:v>Validation</x:v>
      </x:c>
      <x:c r="C597" s="23" t="str">
        <x:v>Lightning</x:v>
      </x:c>
      <x:c r="D597" s="23" t="n">
        <x:v>1363.2415202795528</x:v>
      </x:c>
      <x:c r="E597" s="23" t="n">
        <x:v>716.7985802982002</x:v>
      </x:c>
      <x:c r="F597" s="23" t="n">
        <x:v>725.578488688916</x:v>
      </x:c>
      <x:c r="G597" s="23" t="n">
        <x:v>253.94506686832756</x:v>
      </x:c>
      <x:c r="H597" s="23" t="n">
        <x:v>27.48724766029045</x:v>
      </x:c>
      <x:c r="I597" s="23" t="n">
        <x:v>0.847607582975179</x:v>
      </x:c>
      <x:c r="J597" s="23" t="n">
        <x:v>9</x:v>
      </x:c>
      <x:c r="K597" s="23" t="n">
        <x:v>178.70448905068022</x:v>
      </x:c>
      <x:c r="L597" s="23" t="n">
        <x:v>40</x:v>
      </x:c>
      <x:c r="M597" s="23" t="n">
        <x:v>25</x:v>
      </x:c>
      <x:c r="N597" s="23" t="n">
        <x:v>1.168395310347145</x:v>
      </x:c>
      <x:c r="O597" s="23" t="n">
        <x:v>52.239499029033254</x:v>
      </x:c>
      <x:c r="P597" s="23" t="n">
        <x:v>1363.2415202795528</x:v>
      </x:c>
      <x:c r="Q597" s="23" t="n">
        <x:v>1.1733283863668025</x:v>
      </x:c>
      <x:c r="R597" s="23" t="n">
        <x:v>50.80242088621324</x:v>
      </x:c>
      <x:c r="S597" s="23" t="n">
        <x:v>1348.277445827355</x:v>
      </x:c>
      <x:c r="T597" s="23" t="n">
        <x:v>0.004933076019657534</x:v>
      </x:c>
      <x:c r="U597" s="23" t="n">
        <x:v>-1.4370781428200132</x:v>
      </x:c>
      <x:c r="V597" s="23" t="n">
        <x:v>-14.964074452197792</x:v>
      </x:c>
    </x:row>
    <x:row r="598">
      <x:c r="A598" s="23" t="n">
        <x:v>597</x:v>
      </x:c>
      <x:c r="B598" s="23" t="str">
        <x:v>Validation</x:v>
      </x:c>
      <x:c r="C598" s="23" t="str">
        <x:v>Lightning</x:v>
      </x:c>
      <x:c r="D598" s="23" t="n">
        <x:v>1467.194475280121</x:v>
      </x:c>
      <x:c r="E598" s="23" t="n">
        <x:v>1117.2953035566024</x:v>
      </x:c>
      <x:c r="F598" s="23" t="n">
        <x:v>361.4441452547908</x:v>
      </x:c>
      <x:c r="G598" s="23" t="n">
        <x:v>305.1921373535879</x:v>
      </x:c>
      <x:c r="H598" s="23" t="n">
        <x:v>8.127201721072197</x:v>
      </x:c>
      <x:c r="I598" s="23" t="n">
        <x:v>0.814303564412985</x:v>
      </x:c>
      <x:c r="J598" s="23" t="n">
        <x:v>10</x:v>
      </x:c>
      <x:c r="K598" s="23" t="n">
        <x:v>180.17782795016893</x:v>
      </x:c>
      <x:c r="L598" s="23" t="n">
        <x:v>40</x:v>
      </x:c>
      <x:c r="M598" s="23" t="n">
        <x:v>25</x:v>
      </x:c>
      <x:c r="N598" s="23" t="n">
        <x:v>1.2333510622224295</x:v>
      </x:c>
      <x:c r="O598" s="23" t="n">
        <x:v>52.28406614730308</x:v>
      </x:c>
      <x:c r="P598" s="23" t="n">
        <x:v>1467.194475280121</x:v>
      </x:c>
      <x:c r="Q598" s="23" t="n">
        <x:v>1.2552919302767944</x:v>
      </x:c>
      <x:c r="R598" s="23" t="n">
        <x:v>53.27534045845385</x:v>
      </x:c>
      <x:c r="S598" s="23" t="n">
        <x:v>1462.8951969635502</x:v>
      </x:c>
      <x:c r="T598" s="23" t="n">
        <x:v>0.021940868054364904</x:v>
      </x:c>
      <x:c r="U598" s="23" t="n">
        <x:v>0.991274311150768</x:v>
      </x:c>
      <x:c r="V598" s="23" t="n">
        <x:v>-4.299278316570735</x:v>
      </x:c>
    </x:row>
    <x:row r="599">
      <x:c r="A599" s="23" t="n">
        <x:v>598</x:v>
      </x:c>
      <x:c r="B599" s="23" t="str">
        <x:v>Hidden Test</x:v>
      </x:c>
      <x:c r="C599" s="23" t="str">
        <x:v>Lightning</x:v>
      </x:c>
      <x:c r="D599" s="23" t="n">
        <x:v>1392.8001579944976</x:v>
      </x:c>
      <x:c r="E599" s="23" t="n">
        <x:v>896.3826102903113</x:v>
      </x:c>
      <x:c r="F599" s="23" t="n">
        <x:v>391.7462539859116</x:v>
      </x:c>
      <x:c r="G599" s="23" t="n">
        <x:v>191.15193041041493</x:v>
      </x:c>
      <x:c r="H599" s="23" t="n">
        <x:v>27.886538243386894</x:v>
      </x:c>
      <x:c r="I599" s="23" t="n">
        <x:v>0.8067461285507307</x:v>
      </x:c>
      <x:c r="J599" s="23" t="n">
        <x:v>9</x:v>
      </x:c>
      <x:c r="K599" s="23" t="n">
        <x:v>191.82685560389177</x:v>
      </x:c>
      <x:c r="L599" s="23" t="n">
        <x:v>50</x:v>
      </x:c>
      <x:c r="M599" s="23" t="n">
        <x:v>25</x:v>
      </x:c>
      <x:c r="N599" s="23" t="n">
        <x:v>1.2342814705674603</x:v>
      </x:c>
      <x:c r="O599" s="23" t="n">
        <x:v>52.205656857911514</x:v>
      </x:c>
      <x:c r="P599" s="23" t="n">
        <x:v>1392.8001579944976</x:v>
      </x:c>
      <x:c r="Q599" s="23" t="n">
        <x:v>1.2184882965424286</x:v>
      </x:c>
      <x:c r="R599" s="23" t="n">
        <x:v>52.63238230452721</x:v>
      </x:c>
      <x:c r="S599" s="23" t="n">
        <x:v>1384.0641400874613</x:v>
      </x:c>
      <x:c r="T599" s="23" t="n">
        <x:v>-0.015793174025031664</x:v>
      </x:c>
      <x:c r="U599" s="23" t="n">
        <x:v>0.42672544661569844</x:v>
      </x:c>
      <x:c r="V599" s="23" t="n">
        <x:v>-8.736017907036285</x:v>
      </x:c>
    </x:row>
    <x:row r="600">
      <x:c r="A600" s="23" t="n">
        <x:v>599</x:v>
      </x:c>
      <x:c r="B600" s="23" t="str">
        <x:v>Hidden Test</x:v>
      </x:c>
      <x:c r="C600" s="23" t="str">
        <x:v>Lightning</x:v>
      </x:c>
      <x:c r="D600" s="23" t="n">
        <x:v>1381.4924066187814</x:v>
      </x:c>
      <x:c r="E600" s="23" t="n">
        <x:v>745.3283997368999</x:v>
      </x:c>
      <x:c r="F600" s="23" t="n">
        <x:v>478.00999730825424</x:v>
      </x:c>
      <x:c r="G600" s="23" t="n">
        <x:v>289.4979443936609</x:v>
      </x:c>
      <x:c r="H600" s="23" t="n">
        <x:v>18.991978938691318</x:v>
      </x:c>
      <x:c r="I600" s="23" t="n">
        <x:v>0.8502522472641432</x:v>
      </x:c>
      <x:c r="J600" s="23" t="n">
        <x:v>9</x:v>
      </x:c>
      <x:c r="K600" s="23" t="n">
        <x:v>180.53366725567616</x:v>
      </x:c>
      <x:c r="L600" s="23" t="n">
        <x:v>50</x:v>
      </x:c>
      <x:c r="M600" s="23" t="n">
        <x:v>25</x:v>
      </x:c>
      <x:c r="N600" s="23" t="n">
        <x:v>1.221825953688772</x:v>
      </x:c>
      <x:c r="O600" s="23" t="n">
        <x:v>52.21088900653884</x:v>
      </x:c>
      <x:c r="P600" s="23" t="n">
        <x:v>1381.4924066187814</x:v>
      </x:c>
      <x:c r="Q600" s="23" t="n">
        <x:v>1.2099544576526127</x:v>
      </x:c>
      <x:c r="R600" s="23" t="n">
        <x:v>51.37559536190385</x:v>
      </x:c>
      <x:c r="S600" s="23" t="n">
        <x:v>1386.9151039197338</x:v>
      </x:c>
      <x:c r="T600" s="23" t="n">
        <x:v>-0.011871496036159224</x:v>
      </x:c>
      <x:c r="U600" s="23" t="n">
        <x:v>-0.8352936446349943</x:v>
      </x:c>
      <x:c r="V600" s="23" t="n">
        <x:v>5.42269730095245</x:v>
      </x:c>
    </x:row>
    <x:row r="601">
      <x:c r="A601" s="23" t="n">
        <x:v>600</x:v>
      </x:c>
      <x:c r="B601" s="23" t="str">
        <x:v>Hidden Test</x:v>
      </x:c>
      <x:c r="C601" s="23" t="str">
        <x:v>Lightning</x:v>
      </x:c>
      <x:c r="D601" s="23" t="n">
        <x:v>1406.1969312722795</x:v>
      </x:c>
      <x:c r="E601" s="23" t="n">
        <x:v>740.5568099580705</x:v>
      </x:c>
      <x:c r="F601" s="23" t="n">
        <x:v>428.4859321080148</x:v>
      </x:c>
      <x:c r="G601" s="23" t="n">
        <x:v>261.6058015683666</x:v>
      </x:c>
      <x:c r="H601" s="23" t="n">
        <x:v>26.1167869172059</x:v>
      </x:c>
      <x:c r="I601" s="23" t="n">
        <x:v>0.8216172740329057</x:v>
      </x:c>
      <x:c r="J601" s="23" t="n">
        <x:v>9</x:v>
      </x:c>
      <x:c r="K601" s="23" t="n">
        <x:v>190.16652693750467</x:v>
      </x:c>
      <x:c r="L601" s="23" t="n">
        <x:v>50</x:v>
      </x:c>
      <x:c r="M601" s="23" t="n">
        <x:v>25</x:v>
      </x:c>
      <x:c r="N601" s="23" t="n">
        <x:v>1.1901346093774718</x:v>
      </x:c>
      <x:c r="O601" s="23" t="n">
        <x:v>52.1980738741662</x:v>
      </x:c>
      <x:c r="P601" s="23" t="n">
        <x:v>1406.1969312722795</x:v>
      </x:c>
      <x:c r="Q601" s="23" t="n">
        <x:v>1.1711696247851513</x:v>
      </x:c>
      <x:c r="R601" s="23" t="n">
        <x:v>51.841694623411215</x:v>
      </x:c>
      <x:c r="S601" s="23" t="n">
        <x:v>1402.4378687561887</x:v>
      </x:c>
      <x:c r="T601" s="23" t="n">
        <x:v>-0.018964984592320544</x:v>
      </x:c>
      <x:c r="U601" s="23" t="n">
        <x:v>-0.35637925075498345</x:v>
      </x:c>
      <x:c r="V601" s="23" t="n">
        <x:v>-3.7590625160908075</x:v>
      </x:c>
    </x:row>
    <x:row r="602">
      <x:c r="A602" s="23" t="n">
        <x:v>601</x:v>
      </x:c>
      <x:c r="B602" s="23" t="str">
        <x:v>Train</x:v>
      </x:c>
      <x:c r="C602" s="23" t="str">
        <x:v>Lightning</x:v>
      </x:c>
      <x:c r="D602" s="23" t="n">
        <x:v>1355.565769225359</x:v>
      </x:c>
      <x:c r="E602" s="23" t="n">
        <x:v>1022.196825069841</x:v>
      </x:c>
      <x:c r="F602" s="23" t="n">
        <x:v>395.3498827293515</x:v>
      </x:c>
      <x:c r="G602" s="23" t="n">
        <x:v>147.48578936094418</x:v>
      </x:c>
      <x:c r="H602" s="23" t="n">
        <x:v>16.144665656611323</x:v>
      </x:c>
      <x:c r="I602" s="23" t="n">
        <x:v>0.8243495293450542</x:v>
      </x:c>
      <x:c r="J602" s="23" t="n">
        <x:v>9</x:v>
      </x:c>
      <x:c r="K602" s="23" t="n">
        <x:v>182.7118393850288</x:v>
      </x:c>
      <x:c r="L602" s="23" t="n">
        <x:v>50</x:v>
      </x:c>
      <x:c r="M602" s="23" t="n">
        <x:v>25</x:v>
      </x:c>
      <x:c r="N602" s="23" t="n">
        <x:v>1.248771437115769</x:v>
      </x:c>
      <x:c r="O602" s="23" t="n">
        <x:v>52.21902769211969</x:v>
      </x:c>
      <x:c r="P602" s="23" t="n">
        <x:v>1355.565769225359</x:v>
      </x:c>
      <x:c r="Q602" s="23" t="n">
        <x:v>1.244007870831722</x:v>
      </x:c>
      <x:c r="R602" s="23" t="n">
        <x:v>52.502394588914896</x:v>
      </x:c>
      <x:c r="S602" s="23" t="n">
        <x:v>1357.3103243075568</x:v>
      </x:c>
      <x:c r="T602" s="23" t="n">
        <x:v>-0.0047635662840470605</x:v>
      </x:c>
      <x:c r="U602" s="23" t="n">
        <x:v>0.2833668967952079</x:v>
      </x:c>
      <x:c r="V602" s="23" t="n">
        <x:v>1.7445550821978486</x:v>
      </x:c>
    </x:row>
    <x:row r="603">
      <x:c r="A603" s="23" t="n">
        <x:v>602</x:v>
      </x:c>
      <x:c r="B603" s="23" t="str">
        <x:v>Train</x:v>
      </x:c>
      <x:c r="C603" s="23" t="str">
        <x:v>Lightning</x:v>
      </x:c>
      <x:c r="D603" s="23" t="n">
        <x:v>1419.549971690867</x:v>
      </x:c>
      <x:c r="E603" s="23" t="n">
        <x:v>1042.1687247464433</x:v>
      </x:c>
      <x:c r="F603" s="23" t="n">
        <x:v>473.0786190368235</x:v>
      </x:c>
      <x:c r="G603" s="23" t="n">
        <x:v>287.98716112039983</x:v>
      </x:c>
      <x:c r="H603" s="23" t="n">
        <x:v>20.1775215533562</x:v>
      </x:c>
      <x:c r="I603" s="23" t="n">
        <x:v>0.8099089406477288</x:v>
      </x:c>
      <x:c r="J603" s="23" t="n">
        <x:v>9</x:v>
      </x:c>
      <x:c r="K603" s="23" t="n">
        <x:v>194.74754100896206</x:v>
      </x:c>
      <x:c r="L603" s="23" t="n">
        <x:v>40</x:v>
      </x:c>
      <x:c r="M603" s="23" t="n">
        <x:v>25</x:v>
      </x:c>
      <x:c r="N603" s="23" t="n">
        <x:v>1.195393948929797</x:v>
      </x:c>
      <x:c r="O603" s="23" t="n">
        <x:v>52.256169340177095</x:v>
      </x:c>
      <x:c r="P603" s="23" t="n">
        <x:v>1419.549971690867</x:v>
      </x:c>
      <x:c r="Q603" s="23" t="n">
        <x:v>1.1995023530752194</x:v>
      </x:c>
      <x:c r="R603" s="23" t="n">
        <x:v>52.31378326023378</x:v>
      </x:c>
      <x:c r="S603" s="23" t="n">
        <x:v>1413.7634687589511</x:v>
      </x:c>
      <x:c r="T603" s="23" t="n">
        <x:v>0.004108404145422462</x:v>
      </x:c>
      <x:c r="U603" s="23" t="n">
        <x:v>0.05761392005668142</x:v>
      </x:c>
      <x:c r="V603" s="23" t="n">
        <x:v>-5.786502931915948</x:v>
      </x:c>
    </x:row>
    <x:row r="604">
      <x:c r="A604" s="23" t="n">
        <x:v>603</x:v>
      </x:c>
      <x:c r="B604" s="23" t="str">
        <x:v>Train</x:v>
      </x:c>
      <x:c r="C604" s="23" t="str">
        <x:v>Lightning</x:v>
      </x:c>
      <x:c r="D604" s="23" t="n">
        <x:v>1455.6715317768976</x:v>
      </x:c>
      <x:c r="E604" s="23" t="n">
        <x:v>997.9782578186132</x:v>
      </x:c>
      <x:c r="F604" s="23" t="n">
        <x:v>358.0244366079569</x:v>
      </x:c>
      <x:c r="G604" s="23" t="n">
        <x:v>186.10753035871312</x:v>
      </x:c>
      <x:c r="H604" s="23" t="n">
        <x:v>25.24688505474478</x:v>
      </x:c>
      <x:c r="I604" s="23" t="n">
        <x:v>0.8235339596378617</x:v>
      </x:c>
      <x:c r="J604" s="23" t="n">
        <x:v>9</x:v>
      </x:c>
      <x:c r="K604" s="23" t="n">
        <x:v>196.39904270574075</x:v>
      </x:c>
      <x:c r="L604" s="23" t="n">
        <x:v>45</x:v>
      </x:c>
      <x:c r="M604" s="23" t="n">
        <x:v>25</x:v>
      </x:c>
      <x:c r="N604" s="23" t="n">
        <x:v>1.1658970759470038</x:v>
      </x:c>
      <x:c r="O604" s="23" t="n">
        <x:v>52.21545353679964</x:v>
      </x:c>
      <x:c r="P604" s="23" t="n">
        <x:v>1455.6715317768976</x:v>
      </x:c>
      <x:c r="Q604" s="23" t="n">
        <x:v>1.1683349318096878</x:v>
      </x:c>
      <x:c r="R604" s="23" t="n">
        <x:v>52.4267260280966</x:v>
      </x:c>
      <x:c r="S604" s="23" t="n">
        <x:v>1457.196504449541</x:v>
      </x:c>
      <x:c r="T604" s="23" t="n">
        <x:v>0.0024378558626840796</x:v>
      </x:c>
      <x:c r="U604" s="23" t="n">
        <x:v>0.21127249129695969</x:v>
      </x:c>
      <x:c r="V604" s="23" t="n">
        <x:v>1.5249726726433437</x:v>
      </x:c>
    </x:row>
    <x:row r="605">
      <x:c r="A605" s="23" t="n">
        <x:v>604</x:v>
      </x:c>
      <x:c r="B605" s="23" t="str">
        <x:v>Train</x:v>
      </x:c>
      <x:c r="C605" s="23" t="str">
        <x:v>Lightning</x:v>
      </x:c>
      <x:c r="D605" s="23" t="n">
        <x:v>1440.144038235303</x:v>
      </x:c>
      <x:c r="E605" s="23" t="n">
        <x:v>992.8331925999373</x:v>
      </x:c>
      <x:c r="F605" s="23" t="n">
        <x:v>548.9886726252735</x:v>
      </x:c>
      <x:c r="G605" s="23" t="n">
        <x:v>151.70548278372735</x:v>
      </x:c>
      <x:c r="H605" s="23" t="n">
        <x:v>19.241786773782223</x:v>
      </x:c>
      <x:c r="I605" s="23" t="n">
        <x:v>0.8164826712757349</x:v>
      </x:c>
      <x:c r="J605" s="23" t="n">
        <x:v>9</x:v>
      </x:c>
      <x:c r="K605" s="23" t="n">
        <x:v>195.98211925103783</x:v>
      </x:c>
      <x:c r="L605" s="23" t="n">
        <x:v>45</x:v>
      </x:c>
      <x:c r="M605" s="23" t="n">
        <x:v>25</x:v>
      </x:c>
      <x:c r="N605" s="23" t="n">
        <x:v>1.2406376512827748</x:v>
      </x:c>
      <x:c r="O605" s="23" t="n">
        <x:v>52.239063251738294</x:v>
      </x:c>
      <x:c r="P605" s="23" t="n">
        <x:v>1440.144038235303</x:v>
      </x:c>
      <x:c r="Q605" s="23" t="n">
        <x:v>1.249754336449121</x:v>
      </x:c>
      <x:c r="R605" s="23" t="n">
        <x:v>53.15604066503506</x:v>
      </x:c>
      <x:c r="S605" s="23" t="n">
        <x:v>1432.6842608727964</x:v>
      </x:c>
      <x:c r="T605" s="23" t="n">
        <x:v>0.009116685166346228</x:v>
      </x:c>
      <x:c r="U605" s="23" t="n">
        <x:v>0.9169774132967632</x:v>
      </x:c>
      <x:c r="V605" s="23" t="n">
        <x:v>-7.459777362506657</x:v>
      </x:c>
    </x:row>
    <x:row r="606">
      <x:c r="A606" s="23" t="n">
        <x:v>605</x:v>
      </x:c>
      <x:c r="B606" s="23" t="str">
        <x:v>Train</x:v>
      </x:c>
      <x:c r="C606" s="23" t="str">
        <x:v>Lightning</x:v>
      </x:c>
      <x:c r="D606" s="23" t="n">
        <x:v>1397.0324866008013</x:v>
      </x:c>
      <x:c r="E606" s="23" t="n">
        <x:v>1185.7340440968983</x:v>
      </x:c>
      <x:c r="F606" s="23" t="n">
        <x:v>542.7351212128997</x:v>
      </x:c>
      <x:c r="G606" s="23" t="n">
        <x:v>156.290056866128</x:v>
      </x:c>
      <x:c r="H606" s="23" t="n">
        <x:v>9.401143472641706</x:v>
      </x:c>
      <x:c r="I606" s="23" t="n">
        <x:v>0.7948754819878378</x:v>
      </x:c>
      <x:c r="J606" s="23" t="n">
        <x:v>9</x:v>
      </x:c>
      <x:c r="K606" s="23" t="n">
        <x:v>195.28320518371277</x:v>
      </x:c>
      <x:c r="L606" s="23" t="n">
        <x:v>40</x:v>
      </x:c>
      <x:c r="M606" s="23" t="n">
        <x:v>25</x:v>
      </x:c>
      <x:c r="N606" s="23" t="n">
        <x:v>1.1863790428264933</x:v>
      </x:c>
      <x:c r="O606" s="23" t="n">
        <x:v>52.26888108171778</x:v>
      </x:c>
      <x:c r="P606" s="23" t="n">
        <x:v>1397.0324866008013</x:v>
      </x:c>
      <x:c r="Q606" s="23" t="n">
        <x:v>1.2111727205690983</x:v>
      </x:c>
      <x:c r="R606" s="23" t="n">
        <x:v>54.06783162087025</x:v>
      </x:c>
      <x:c r="S606" s="23" t="n">
        <x:v>1402.04419647027</x:v>
      </x:c>
      <x:c r="T606" s="23" t="n">
        <x:v>0.02479367774260499</x:v>
      </x:c>
      <x:c r="U606" s="23" t="n">
        <x:v>1.7989505391524716</x:v>
      </x:c>
      <x:c r="V606" s="23" t="n">
        <x:v>5.011709869468632</x:v>
      </x:c>
    </x:row>
    <x:row r="607">
      <x:c r="A607" s="23" t="n">
        <x:v>606</x:v>
      </x:c>
      <x:c r="B607" s="23" t="str">
        <x:v>Train</x:v>
      </x:c>
      <x:c r="C607" s="23" t="str">
        <x:v>Lightning</x:v>
      </x:c>
      <x:c r="D607" s="23" t="n">
        <x:v>1350.0409565982409</x:v>
      </x:c>
      <x:c r="E607" s="23" t="n">
        <x:v>1070.9981589345261</x:v>
      </x:c>
      <x:c r="F607" s="23" t="n">
        <x:v>727.812107373029</x:v>
      </x:c>
      <x:c r="G607" s="23" t="n">
        <x:v>200.282675139606</x:v>
      </x:c>
      <x:c r="H607" s="23" t="n">
        <x:v>14.93912963801995</x:v>
      </x:c>
      <x:c r="I607" s="23" t="n">
        <x:v>0.8153088835952804</x:v>
      </x:c>
      <x:c r="J607" s="23" t="n">
        <x:v>9</x:v>
      </x:c>
      <x:c r="K607" s="23" t="n">
        <x:v>183.98493350355812</x:v>
      </x:c>
      <x:c r="L607" s="23" t="n">
        <x:v>35</x:v>
      </x:c>
      <x:c r="M607" s="23" t="n">
        <x:v>25</x:v>
      </x:c>
      <x:c r="N607" s="23" t="n">
        <x:v>1.1463571939444577</x:v>
      </x:c>
      <x:c r="O607" s="23" t="n">
        <x:v>52.28670856689514</x:v>
      </x:c>
      <x:c r="P607" s="23" t="n">
        <x:v>1350.0409565982409</x:v>
      </x:c>
      <x:c r="Q607" s="23" t="n">
        <x:v>1.1560573977578323</x:v>
      </x:c>
      <x:c r="R607" s="23" t="n">
        <x:v>53.70914547987025</x:v>
      </x:c>
      <x:c r="S607" s="23" t="n">
        <x:v>1353.176334140405</x:v>
      </x:c>
      <x:c r="T607" s="23" t="n">
        <x:v>0.009700203813374664</x:v>
      </x:c>
      <x:c r="U607" s="23" t="n">
        <x:v>1.4224369129751082</x:v>
      </x:c>
      <x:c r="V607" s="23" t="n">
        <x:v>3.1353775421641785</x:v>
      </x:c>
    </x:row>
    <x:row r="608">
      <x:c r="A608" s="23" t="n">
        <x:v>607</x:v>
      </x:c>
      <x:c r="B608" s="23" t="str">
        <x:v>Train</x:v>
      </x:c>
      <x:c r="C608" s="23" t="str">
        <x:v>Lightning</x:v>
      </x:c>
      <x:c r="D608" s="23" t="n">
        <x:v>1406.3192252302542</x:v>
      </x:c>
      <x:c r="E608" s="23" t="n">
        <x:v>789.7418676991947</x:v>
      </x:c>
      <x:c r="F608" s="23" t="n">
        <x:v>618.1699596345425</x:v>
      </x:c>
      <x:c r="G608" s="23" t="n">
        <x:v>140.3049224591814</x:v>
      </x:c>
      <x:c r="H608" s="23" t="n">
        <x:v>17.686455867253244</x:v>
      </x:c>
      <x:c r="I608" s="23" t="n">
        <x:v>0.8381916117086076</x:v>
      </x:c>
      <x:c r="J608" s="23" t="n">
        <x:v>9</x:v>
      </x:c>
      <x:c r="K608" s="23" t="n">
        <x:v>186.42239973474292</x:v>
      </x:c>
      <x:c r="L608" s="23" t="n">
        <x:v>50</x:v>
      </x:c>
      <x:c r="M608" s="23" t="n">
        <x:v>25</x:v>
      </x:c>
      <x:c r="N608" s="23" t="n">
        <x:v>1.2428252050998205</x:v>
      </x:c>
      <x:c r="O608" s="23" t="n">
        <x:v>52.216405696711455</x:v>
      </x:c>
      <x:c r="P608" s="23" t="n">
        <x:v>1406.3192252302542</x:v>
      </x:c>
      <x:c r="Q608" s="23" t="n">
        <x:v>1.2333676130562303</x:v>
      </x:c>
      <x:c r="R608" s="23" t="n">
        <x:v>51.6390518643175</x:v>
      </x:c>
      <x:c r="S608" s="23" t="n">
        <x:v>1418.876671293007</x:v>
      </x:c>
      <x:c r="T608" s="23" t="n">
        <x:v>-0.009457592043590202</x:v>
      </x:c>
      <x:c r="U608" s="23" t="n">
        <x:v>-0.5773538323939533</x:v>
      </x:c>
      <x:c r="V608" s="23" t="n">
        <x:v>12.55744606275266</x:v>
      </x:c>
    </x:row>
    <x:row r="609">
      <x:c r="A609" s="23" t="n">
        <x:v>608</x:v>
      </x:c>
      <x:c r="B609" s="23" t="str">
        <x:v>Train</x:v>
      </x:c>
      <x:c r="C609" s="23" t="str">
        <x:v>Lightning</x:v>
      </x:c>
      <x:c r="D609" s="23" t="n">
        <x:v>1491.755335580092</x:v>
      </x:c>
      <x:c r="E609" s="23" t="n">
        <x:v>969.9221432209015</x:v>
      </x:c>
      <x:c r="F609" s="23" t="n">
        <x:v>632.3932020924985</x:v>
      </x:c>
      <x:c r="G609" s="23" t="n">
        <x:v>229.4626282947138</x:v>
      </x:c>
      <x:c r="H609" s="23" t="n">
        <x:v>15.953374148812145</x:v>
      </x:c>
      <x:c r="I609" s="23" t="n">
        <x:v>0.8132226493488998</x:v>
      </x:c>
      <x:c r="J609" s="23" t="n">
        <x:v>10</x:v>
      </x:c>
      <x:c r="K609" s="23" t="n">
        <x:v>183.43750469498775</x:v>
      </x:c>
      <x:c r="L609" s="23" t="n">
        <x:v>35</x:v>
      </x:c>
      <x:c r="M609" s="23" t="n">
        <x:v>25</x:v>
      </x:c>
      <x:c r="N609" s="23" t="n">
        <x:v>1.1619352966320853</x:v>
      </x:c>
      <x:c r="O609" s="23" t="n">
        <x:v>52.292355533927605</x:v>
      </x:c>
      <x:c r="P609" s="23" t="n">
        <x:v>1491.755335580092</x:v>
      </x:c>
      <x:c r="Q609" s="23" t="n">
        <x:v>1.1818760275615632</x:v>
      </x:c>
      <x:c r="R609" s="23" t="n">
        <x:v>51.56503944499527</x:v>
      </x:c>
      <x:c r="S609" s="23" t="n">
        <x:v>1494.8300351370315</x:v>
      </x:c>
      <x:c r="T609" s="23" t="n">
        <x:v>0.0199407309294779</x:v>
      </x:c>
      <x:c r="U609" s="23" t="n">
        <x:v>-0.7273160889323336</x:v>
      </x:c>
      <x:c r="V609" s="23" t="n">
        <x:v>3.0746995569395494</x:v>
      </x:c>
    </x:row>
    <x:row r="610">
      <x:c r="A610" s="23" t="n">
        <x:v>609</x:v>
      </x:c>
      <x:c r="B610" s="23" t="str">
        <x:v>Train</x:v>
      </x:c>
      <x:c r="C610" s="23" t="str">
        <x:v>Lightning</x:v>
      </x:c>
      <x:c r="D610" s="23" t="n">
        <x:v>1461.1516146920621</x:v>
      </x:c>
      <x:c r="E610" s="23" t="n">
        <x:v>716.3738361909054</x:v>
      </x:c>
      <x:c r="F610" s="23" t="n">
        <x:v>450.3875995054841</x:v>
      </x:c>
      <x:c r="G610" s="23" t="n">
        <x:v>182.18378441641107</x:v>
      </x:c>
      <x:c r="H610" s="23" t="n">
        <x:v>10.003999346867204</x:v>
      </x:c>
      <x:c r="I610" s="23" t="n">
        <x:v>0.8097474439744838</x:v>
      </x:c>
      <x:c r="J610" s="23" t="n">
        <x:v>10</x:v>
      </x:c>
      <x:c r="K610" s="23" t="n">
        <x:v>180.44535065406208</x:v>
      </x:c>
      <x:c r="L610" s="23" t="n">
        <x:v>50</x:v>
      </x:c>
      <x:c r="M610" s="23" t="n">
        <x:v>25</x:v>
      </x:c>
      <x:c r="N610" s="23" t="n">
        <x:v>1.1673890332088503</x:v>
      </x:c>
      <x:c r="O610" s="23" t="n">
        <x:v>52.208704759384545</x:v>
      </x:c>
      <x:c r="P610" s="23" t="n">
        <x:v>1461.1516146920621</x:v>
      </x:c>
      <x:c r="Q610" s="23" t="n">
        <x:v>1.162063800983817</x:v>
      </x:c>
      <x:c r="R610" s="23" t="n">
        <x:v>52.60098958337483</x:v>
      </x:c>
      <x:c r="S610" s="23" t="n">
        <x:v>1476.1805834830652</x:v>
      </x:c>
      <x:c r="T610" s="23" t="n">
        <x:v>-0.005325232225033449</x:v>
      </x:c>
      <x:c r="U610" s="23" t="n">
        <x:v>0.39228482399028763</x:v>
      </x:c>
      <x:c r="V610" s="23" t="n">
        <x:v>15.02896879100308</x:v>
      </x:c>
    </x:row>
    <x:row r="611">
      <x:c r="A611" s="23" t="n">
        <x:v>610</x:v>
      </x:c>
      <x:c r="B611" s="23" t="str">
        <x:v>Train</x:v>
      </x:c>
      <x:c r="C611" s="23" t="str">
        <x:v>Lightning</x:v>
      </x:c>
      <x:c r="D611" s="23" t="n">
        <x:v>1390.9992226981558</x:v>
      </x:c>
      <x:c r="E611" s="23" t="n">
        <x:v>1105.1446560071781</x:v>
      </x:c>
      <x:c r="F611" s="23" t="n">
        <x:v>572.7597110904753</x:v>
      </x:c>
      <x:c r="G611" s="23" t="n">
        <x:v>81.58128910697997</x:v>
      </x:c>
      <x:c r="H611" s="23" t="n">
        <x:v>21.575565435457975</x:v>
      </x:c>
      <x:c r="I611" s="23" t="n">
        <x:v>0.8321589352795855</x:v>
      </x:c>
      <x:c r="J611" s="23" t="n">
        <x:v>9</x:v>
      </x:c>
      <x:c r="K611" s="23" t="n">
        <x:v>185.72830577942065</x:v>
      </x:c>
      <x:c r="L611" s="23" t="n">
        <x:v>40</x:v>
      </x:c>
      <x:c r="M611" s="23" t="n">
        <x:v>25</x:v>
      </x:c>
      <x:c r="N611" s="23" t="n">
        <x:v>1.1762765647088016</x:v>
      </x:c>
      <x:c r="O611" s="23" t="n">
        <x:v>52.2493478009437</x:v>
      </x:c>
      <x:c r="P611" s="23" t="n">
        <x:v>1390.9992226981558</x:v>
      </x:c>
      <x:c r="Q611" s="23" t="n">
        <x:v>1.178843135236986</x:v>
      </x:c>
      <x:c r="R611" s="23" t="n">
        <x:v>53.56298358331245</x:v>
      </x:c>
      <x:c r="S611" s="23" t="n">
        <x:v>1381.1595936764113</x:v>
      </x:c>
      <x:c r="T611" s="23" t="n">
        <x:v>0.00256657052818432</x:v>
      </x:c>
      <x:c r="U611" s="23" t="n">
        <x:v>1.313635782368749</x:v>
      </x:c>
      <x:c r="V611" s="23" t="n">
        <x:v>-9.839629021744486</x:v>
      </x:c>
    </x:row>
    <x:row r="612">
      <x:c r="A612" s="23" t="n">
        <x:v>611</x:v>
      </x:c>
      <x:c r="B612" s="23" t="str">
        <x:v>Train</x:v>
      </x:c>
      <x:c r="C612" s="23" t="str">
        <x:v>Lightning</x:v>
      </x:c>
      <x:c r="D612" s="23" t="n">
        <x:v>1388.8158194487914</x:v>
      </x:c>
      <x:c r="E612" s="23" t="n">
        <x:v>1194.8721805238165</x:v>
      </x:c>
      <x:c r="F612" s="23" t="n">
        <x:v>546.7572849243879</x:v>
      </x:c>
      <x:c r="G612" s="23" t="n">
        <x:v>276.32247247500345</x:v>
      </x:c>
      <x:c r="H612" s="23" t="n">
        <x:v>27.58118345309049</x:v>
      </x:c>
      <x:c r="I612" s="23" t="n">
        <x:v>0.7918478436092846</x:v>
      </x:c>
      <x:c r="J612" s="23" t="n">
        <x:v>9</x:v>
      </x:c>
      <x:c r="K612" s="23" t="n">
        <x:v>194.87691994496976</x:v>
      </x:c>
      <x:c r="L612" s="23" t="n">
        <x:v>35</x:v>
      </x:c>
      <x:c r="M612" s="23" t="n">
        <x:v>25</x:v>
      </x:c>
      <x:c r="N612" s="23" t="n">
        <x:v>1.2308260937980402</x:v>
      </x:c>
      <x:c r="O612" s="23" t="n">
        <x:v>52.28964915592068</x:v>
      </x:c>
      <x:c r="P612" s="23" t="n">
        <x:v>1388.8158194487914</x:v>
      </x:c>
      <x:c r="Q612" s="23" t="n">
        <x:v>1.246427053955966</x:v>
      </x:c>
      <x:c r="R612" s="23" t="n">
        <x:v>52.222111473614355</x:v>
      </x:c>
      <x:c r="S612" s="23" t="n">
        <x:v>1358.9387943454892</x:v>
      </x:c>
      <x:c r="T612" s="23" t="n">
        <x:v>0.015600960157925892</x:v>
      </x:c>
      <x:c r="U612" s="23" t="n">
        <x:v>-0.06753768230632318</x:v>
      </x:c>
      <x:c r="V612" s="23" t="n">
        <x:v>-29.87702510330223</x:v>
      </x:c>
    </x:row>
    <x:row r="613">
      <x:c r="A613" s="23" t="n">
        <x:v>612</x:v>
      </x:c>
      <x:c r="B613" s="23" t="str">
        <x:v>Train</x:v>
      </x:c>
      <x:c r="C613" s="23" t="str">
        <x:v>Lightning</x:v>
      </x:c>
      <x:c r="D613" s="23" t="n">
        <x:v>1381.7239704891108</x:v>
      </x:c>
      <x:c r="E613" s="23" t="n">
        <x:v>1152.0171933341771</x:v>
      </x:c>
      <x:c r="F613" s="23" t="n">
        <x:v>394.41769449040294</x:v>
      </x:c>
      <x:c r="G613" s="23" t="n">
        <x:v>115.84301692899317</x:v>
      </x:c>
      <x:c r="H613" s="23" t="n">
        <x:v>21.795823849271983</x:v>
      </x:c>
      <x:c r="I613" s="23" t="n">
        <x:v>0.8182742881588638</x:v>
      </x:c>
      <x:c r="J613" s="23" t="n">
        <x:v>9</x:v>
      </x:c>
      <x:c r="K613" s="23" t="n">
        <x:v>187.62032222145922</x:v>
      </x:c>
      <x:c r="L613" s="23" t="n">
        <x:v>45</x:v>
      </x:c>
      <x:c r="M613" s="23" t="n">
        <x:v>25</x:v>
      </x:c>
      <x:c r="N613" s="23" t="n">
        <x:v>1.231510806048804</x:v>
      </x:c>
      <x:c r="O613" s="23" t="n">
        <x:v>52.234190682298696</x:v>
      </x:c>
      <x:c r="P613" s="23" t="n">
        <x:v>1381.7239704891108</x:v>
      </x:c>
      <x:c r="Q613" s="23" t="n">
        <x:v>1.2306438813043483</x:v>
      </x:c>
      <x:c r="R613" s="23" t="n">
        <x:v>51.994061657387256</x:v>
      </x:c>
      <x:c r="S613" s="23" t="n">
        <x:v>1378.5683803980214</x:v>
      </x:c>
      <x:c r="T613" s="23" t="n">
        <x:v>-0.0008669247444557104</x:v>
      </x:c>
      <x:c r="U613" s="23" t="n">
        <x:v>-0.24012902491143961</x:v>
      </x:c>
      <x:c r="V613" s="23" t="n">
        <x:v>-3.1555900910893797</x:v>
      </x:c>
    </x:row>
    <x:row r="614">
      <x:c r="A614" s="23" t="n">
        <x:v>613</x:v>
      </x:c>
      <x:c r="B614" s="23" t="str">
        <x:v>Train</x:v>
      </x:c>
      <x:c r="C614" s="23" t="str">
        <x:v>Lightning</x:v>
      </x:c>
      <x:c r="D614" s="23" t="n">
        <x:v>1447.7503357920796</x:v>
      </x:c>
      <x:c r="E614" s="23" t="n">
        <x:v>873.4095310675912</x:v>
      </x:c>
      <x:c r="F614" s="23" t="n">
        <x:v>536.5504397079349</x:v>
      </x:c>
      <x:c r="G614" s="23" t="n">
        <x:v>308.1762746279128</x:v>
      </x:c>
      <x:c r="H614" s="23" t="n">
        <x:v>23.18369773775339</x:v>
      </x:c>
      <x:c r="I614" s="23" t="n">
        <x:v>0.8080422752560117</x:v>
      </x:c>
      <x:c r="J614" s="23" t="n">
        <x:v>9</x:v>
      </x:c>
      <x:c r="K614" s="23" t="n">
        <x:v>199.07516394532277</x:v>
      </x:c>
      <x:c r="L614" s="23" t="n">
        <x:v>40</x:v>
      </x:c>
      <x:c r="M614" s="23" t="n">
        <x:v>25</x:v>
      </x:c>
      <x:c r="N614" s="23" t="n">
        <x:v>1.1596103643990825</x:v>
      </x:c>
      <x:c r="O614" s="23" t="n">
        <x:v>52.24290039406453</x:v>
      </x:c>
      <x:c r="P614" s="23" t="n">
        <x:v>1447.7503357920796</x:v>
      </x:c>
      <x:c r="Q614" s="23" t="n">
        <x:v>1.1514188768790359</x:v>
      </x:c>
      <x:c r="R614" s="23" t="n">
        <x:v>53.22178088659401</x:v>
      </x:c>
      <x:c r="S614" s="23" t="n">
        <x:v>1437.8346234296998</x:v>
      </x:c>
      <x:c r="T614" s="23" t="n">
        <x:v>-0.008191487520046614</x:v>
      </x:c>
      <x:c r="U614" s="23" t="n">
        <x:v>0.9788804925294841</x:v>
      </x:c>
      <x:c r="V614" s="23" t="n">
        <x:v>-9.915712362379736</x:v>
      </x:c>
    </x:row>
    <x:row r="615">
      <x:c r="A615" s="23" t="n">
        <x:v>614</x:v>
      </x:c>
      <x:c r="B615" s="23" t="str">
        <x:v>Train</x:v>
      </x:c>
      <x:c r="C615" s="23" t="str">
        <x:v>Lightning</x:v>
      </x:c>
      <x:c r="D615" s="23" t="n">
        <x:v>1366.0215693642385</x:v>
      </x:c>
      <x:c r="E615" s="23" t="n">
        <x:v>1198.6768886214122</x:v>
      </x:c>
      <x:c r="F615" s="23" t="n">
        <x:v>597.062608320266</x:v>
      </x:c>
      <x:c r="G615" s="23" t="n">
        <x:v>319.0884249471128</x:v>
      </x:c>
      <x:c r="H615" s="23" t="n">
        <x:v>27.320583580527455</x:v>
      </x:c>
      <x:c r="I615" s="23" t="n">
        <x:v>0.8586568682035431</x:v>
      </x:c>
      <x:c r="J615" s="23" t="n">
        <x:v>8</x:v>
      </x:c>
      <x:c r="K615" s="23" t="n">
        <x:v>198.86022285918895</x:v>
      </x:c>
      <x:c r="L615" s="23" t="n">
        <x:v>35</x:v>
      </x:c>
      <x:c r="M615" s="23" t="n">
        <x:v>25</x:v>
      </x:c>
      <x:c r="N615" s="23" t="n">
        <x:v>1.1750554915981344</x:v>
      </x:c>
      <x:c r="O615" s="23" t="n">
        <x:v>52.26811514997379</x:v>
      </x:c>
      <x:c r="P615" s="23" t="n">
        <x:v>1366.0215693642385</x:v>
      </x:c>
      <x:c r="Q615" s="23" t="n">
        <x:v>1.1679317767303237</x:v>
      </x:c>
      <x:c r="R615" s="23" t="n">
        <x:v>53.54464875944455</x:v>
      </x:c>
      <x:c r="S615" s="23" t="n">
        <x:v>1338.5927648148397</x:v>
      </x:c>
      <x:c r="T615" s="23" t="n">
        <x:v>-0.007123714867810715</x:v>
      </x:c>
      <x:c r="U615" s="23" t="n">
        <x:v>1.2765336094707607</x:v>
      </x:c>
      <x:c r="V615" s="23" t="n">
        <x:v>-27.42880454939882</x:v>
      </x:c>
    </x:row>
    <x:row r="616">
      <x:c r="A616" s="23" t="n">
        <x:v>615</x:v>
      </x:c>
      <x:c r="B616" s="23" t="str">
        <x:v>Validation</x:v>
      </x:c>
      <x:c r="C616" s="23" t="str">
        <x:v>Lightning</x:v>
      </x:c>
      <x:c r="D616" s="23" t="n">
        <x:v>1376.6338023589924</x:v>
      </x:c>
      <x:c r="E616" s="23" t="n">
        <x:v>666.2211235729046</x:v>
      </x:c>
      <x:c r="F616" s="23" t="n">
        <x:v>669.4826900959015</x:v>
      </x:c>
      <x:c r="G616" s="23" t="n">
        <x:v>216.97441847762093</x:v>
      </x:c>
      <x:c r="H616" s="23" t="n">
        <x:v>21.458144056610763</x:v>
      </x:c>
      <x:c r="I616" s="23" t="n">
        <x:v>0.8231842172867618</x:v>
      </x:c>
      <x:c r="J616" s="23" t="n">
        <x:v>9</x:v>
      </x:c>
      <x:c r="K616" s="23" t="n">
        <x:v>185.81419342243893</x:v>
      </x:c>
      <x:c r="L616" s="23" t="n">
        <x:v>45</x:v>
      </x:c>
      <x:c r="M616" s="23" t="n">
        <x:v>25</x:v>
      </x:c>
      <x:c r="N616" s="23" t="n">
        <x:v>1.1554747291004637</x:v>
      </x:c>
      <x:c r="O616" s="23" t="n">
        <x:v>52.217101353347424</x:v>
      </x:c>
      <x:c r="P616" s="23" t="n">
        <x:v>1376.6338023589924</x:v>
      </x:c>
      <x:c r="Q616" s="23" t="n">
        <x:v>1.1484482682039268</x:v>
      </x:c>
      <x:c r="R616" s="23" t="n">
        <x:v>52.34682609444271</x:v>
      </x:c>
      <x:c r="S616" s="23" t="n">
        <x:v>1383.725816641715</x:v>
      </x:c>
      <x:c r="T616" s="23" t="n">
        <x:v>-0.007026460896536912</x:v>
      </x:c>
      <x:c r="U616" s="23" t="n">
        <x:v>0.12972474109528775</x:v>
      </x:c>
      <x:c r="V616" s="23" t="n">
        <x:v>7.09201428272263</x:v>
      </x:c>
    </x:row>
    <x:row r="617">
      <x:c r="A617" s="23" t="n">
        <x:v>616</x:v>
      </x:c>
      <x:c r="B617" s="23" t="str">
        <x:v>Validation</x:v>
      </x:c>
      <x:c r="C617" s="23" t="str">
        <x:v>Lightning</x:v>
      </x:c>
      <x:c r="D617" s="23" t="n">
        <x:v>1405.2660622517578</x:v>
      </x:c>
      <x:c r="E617" s="23" t="n">
        <x:v>936.6124802269042</x:v>
      </x:c>
      <x:c r="F617" s="23" t="n">
        <x:v>375.9039199911058</x:v>
      </x:c>
      <x:c r="G617" s="23" t="n">
        <x:v>215.53149031940848</x:v>
      </x:c>
      <x:c r="H617" s="23" t="n">
        <x:v>17.93879978125915</x:v>
      </x:c>
      <x:c r="I617" s="23" t="n">
        <x:v>0.7960435320530087</x:v>
      </x:c>
      <x:c r="J617" s="23" t="n">
        <x:v>9</x:v>
      </x:c>
      <x:c r="K617" s="23" t="n">
        <x:v>196.14589817825592</x:v>
      </x:c>
      <x:c r="L617" s="23" t="n">
        <x:v>50</x:v>
      </x:c>
      <x:c r="M617" s="23" t="n">
        <x:v>25</x:v>
      </x:c>
      <x:c r="N617" s="23" t="n">
        <x:v>1.2287293938622454</x:v>
      </x:c>
      <x:c r="O617" s="23" t="n">
        <x:v>52.213260867332046</x:v>
      </x:c>
      <x:c r="P617" s="23" t="n">
        <x:v>1405.2660622517578</x:v>
      </x:c>
      <x:c r="Q617" s="23" t="n">
        <x:v>1.239119838279477</x:v>
      </x:c>
      <x:c r="R617" s="23" t="n">
        <x:v>52.11282582147115</x:v>
      </x:c>
      <x:c r="S617" s="23" t="n">
        <x:v>1412.9520963648329</x:v>
      </x:c>
      <x:c r="T617" s="23" t="n">
        <x:v>0.010390444417231581</x:v>
      </x:c>
      <x:c r="U617" s="23" t="n">
        <x:v>-0.10043504586089824</x:v>
      </x:c>
      <x:c r="V617" s="23" t="n">
        <x:v>7.6860341130750385</x:v>
      </x:c>
    </x:row>
    <x:row r="618">
      <x:c r="A618" s="23" t="n">
        <x:v>617</x:v>
      </x:c>
      <x:c r="B618" s="23" t="str">
        <x:v>Validation</x:v>
      </x:c>
      <x:c r="C618" s="23" t="str">
        <x:v>Lightning</x:v>
      </x:c>
      <x:c r="D618" s="23" t="n">
        <x:v>1448.9835223183036</x:v>
      </x:c>
      <x:c r="E618" s="23" t="n">
        <x:v>1175.8873042068444</x:v>
      </x:c>
      <x:c r="F618" s="23" t="n">
        <x:v>699.8332800343633</x:v>
      </x:c>
      <x:c r="G618" s="23" t="n">
        <x:v>289.2977422871627</x:v>
      </x:c>
      <x:c r="H618" s="23" t="n">
        <x:v>19.747782876715064</x:v>
      </x:c>
      <x:c r="I618" s="23" t="n">
        <x:v>0.8010929621872492</x:v>
      </x:c>
      <x:c r="J618" s="23" t="n">
        <x:v>10</x:v>
      </x:c>
      <x:c r="K618" s="23" t="n">
        <x:v>180.8758272400869</x:v>
      </x:c>
      <x:c r="L618" s="23" t="n">
        <x:v>30</x:v>
      </x:c>
      <x:c r="M618" s="23" t="n">
        <x:v>25</x:v>
      </x:c>
      <x:c r="N618" s="23" t="n">
        <x:v>1.214335962948789</x:v>
      </x:c>
      <x:c r="O618" s="23" t="n">
        <x:v>52.35008942507103</x:v>
      </x:c>
      <x:c r="P618" s="23" t="n">
        <x:v>1448.9835223183036</x:v>
      </x:c>
      <x:c r="Q618" s="23" t="n">
        <x:v>1.237754651391001</x:v>
      </x:c>
      <x:c r="R618" s="23" t="n">
        <x:v>53.09549999467493</x:v>
      </x:c>
      <x:c r="S618" s="23" t="n">
        <x:v>1441.2990976585154</x:v>
      </x:c>
      <x:c r="T618" s="23" t="n">
        <x:v>0.023418688442211844</x:v>
      </x:c>
      <x:c r="U618" s="23" t="n">
        <x:v>0.745410569603898</x:v>
      </x:c>
      <x:c r="V618" s="23" t="n">
        <x:v>-7.684424659788192</x:v>
      </x:c>
    </x:row>
    <x:row r="619">
      <x:c r="A619" s="23" t="n">
        <x:v>618</x:v>
      </x:c>
      <x:c r="B619" s="23" t="str">
        <x:v>Hidden Test</x:v>
      </x:c>
      <x:c r="C619" s="23" t="str">
        <x:v>Lightning</x:v>
      </x:c>
      <x:c r="D619" s="23" t="n">
        <x:v>1383.5533906356432</x:v>
      </x:c>
      <x:c r="E619" s="23" t="n">
        <x:v>1002.8179560089484</x:v>
      </x:c>
      <x:c r="F619" s="23" t="n">
        <x:v>572.5661397911608</x:v>
      </x:c>
      <x:c r="G619" s="23" t="n">
        <x:v>203.9144194405526</x:v>
      </x:c>
      <x:c r="H619" s="23" t="n">
        <x:v>26.30719255330041</x:v>
      </x:c>
      <x:c r="I619" s="23" t="n">
        <x:v>0.8309763383539394</x:v>
      </x:c>
      <x:c r="J619" s="23" t="n">
        <x:v>9</x:v>
      </x:c>
      <x:c r="K619" s="23" t="n">
        <x:v>184.9970299029065</x:v>
      </x:c>
      <x:c r="L619" s="23" t="n">
        <x:v>40</x:v>
      </x:c>
      <x:c r="M619" s="23" t="n">
        <x:v>25</x:v>
      </x:c>
      <x:c r="N619" s="23" t="n">
        <x:v>1.2127028171303582</x:v>
      </x:c>
      <x:c r="O619" s="23" t="n">
        <x:v>52.2524371209889</x:v>
      </x:c>
      <x:c r="P619" s="23" t="n">
        <x:v>1383.5533906356432</x:v>
      </x:c>
      <x:c r="Q619" s="23" t="n">
        <x:v>1.215507315472224</x:v>
      </x:c>
      <x:c r="R619" s="23" t="n">
        <x:v>51.56280626823748</x:v>
      </x:c>
      <x:c r="S619" s="23" t="n">
        <x:v>1363.8671188951673</x:v>
      </x:c>
      <x:c r="T619" s="23" t="n">
        <x:v>0.002804498341865802</x:v>
      </x:c>
      <x:c r="U619" s="23" t="n">
        <x:v>-0.6896308527514208</x:v>
      </x:c>
      <x:c r="V619" s="23" t="n">
        <x:v>-19.68627174047583</x:v>
      </x:c>
    </x:row>
    <x:row r="620">
      <x:c r="A620" s="23" t="n">
        <x:v>619</x:v>
      </x:c>
      <x:c r="B620" s="23" t="str">
        <x:v>Hidden Test</x:v>
      </x:c>
      <x:c r="C620" s="23" t="str">
        <x:v>Lightning</x:v>
      </x:c>
      <x:c r="D620" s="23" t="n">
        <x:v>1462.9216796485707</x:v>
      </x:c>
      <x:c r="E620" s="23" t="n">
        <x:v>791.6513434262015</x:v>
      </x:c>
      <x:c r="F620" s="23" t="n">
        <x:v>538.2219571620226</x:v>
      </x:c>
      <x:c r="G620" s="23" t="n">
        <x:v>234.7951904940419</x:v>
      </x:c>
      <x:c r="H620" s="23" t="n">
        <x:v>10.065719769336283</x:v>
      </x:c>
      <x:c r="I620" s="23" t="n">
        <x:v>0.7944308405253105</x:v>
      </x:c>
      <x:c r="J620" s="23" t="n">
        <x:v>10</x:v>
      </x:c>
      <x:c r="K620" s="23" t="n">
        <x:v>184.1471409495163</x:v>
      </x:c>
      <x:c r="L620" s="23" t="n">
        <x:v>45</x:v>
      </x:c>
      <x:c r="M620" s="23" t="n">
        <x:v>25</x:v>
      </x:c>
      <x:c r="N620" s="23" t="n">
        <x:v>1.2216500909056889</x:v>
      </x:c>
      <x:c r="O620" s="23" t="n">
        <x:v>52.24607881608</x:v>
      </x:c>
      <x:c r="P620" s="23" t="n">
        <x:v>1462.9216796485707</x:v>
      </x:c>
      <x:c r="Q620" s="23" t="n">
        <x:v>1.2361189038430573</x:v>
      </x:c>
      <x:c r="R620" s="23" t="n">
        <x:v>51.03112447743123</x:v>
      </x:c>
      <x:c r="S620" s="23" t="n">
        <x:v>1465.0763312004283</x:v>
      </x:c>
      <x:c r="T620" s="23" t="n">
        <x:v>0.014468812937368458</x:v>
      </x:c>
      <x:c r="U620" s="23" t="n">
        <x:v>-1.2149543386487736</x:v>
      </x:c>
      <x:c r="V620" s="23" t="n">
        <x:v>2.154651551857569</x:v>
      </x:c>
    </x:row>
    <x:row r="621">
      <x:c r="A621" s="23" t="n">
        <x:v>620</x:v>
      </x:c>
      <x:c r="B621" s="23" t="str">
        <x:v>Hidden Test</x:v>
      </x:c>
      <x:c r="C621" s="23" t="str">
        <x:v>Lightning</x:v>
      </x:c>
      <x:c r="D621" s="23" t="n">
        <x:v>1469.4101309753023</x:v>
      </x:c>
      <x:c r="E621" s="23" t="n">
        <x:v>962.5780643429607</x:v>
      </x:c>
      <x:c r="F621" s="23" t="n">
        <x:v>722.9197840206325</x:v>
      </x:c>
      <x:c r="G621" s="23" t="n">
        <x:v>328.702582786791</x:v>
      </x:c>
      <x:c r="H621" s="23" t="n">
        <x:v>27.85545553592965</x:v>
      </x:c>
      <x:c r="I621" s="23" t="n">
        <x:v>0.8260163958743215</x:v>
      </x:c>
      <x:c r="J621" s="23" t="n">
        <x:v>9</x:v>
      </x:c>
      <x:c r="K621" s="23" t="n">
        <x:v>197.65684209908872</x:v>
      </x:c>
      <x:c r="L621" s="23" t="n">
        <x:v>35</x:v>
      </x:c>
      <x:c r="M621" s="23" t="n">
        <x:v>25</x:v>
      </x:c>
      <x:c r="N621" s="23" t="n">
        <x:v>1.2303971773810396</x:v>
      </x:c>
      <x:c r="O621" s="23" t="n">
        <x:v>52.289064202227124</x:v>
      </x:c>
      <x:c r="P621" s="23" t="n">
        <x:v>1469.4101309753023</x:v>
      </x:c>
      <x:c r="Q621" s="23" t="n">
        <x:v>1.234996188488367</x:v>
      </x:c>
      <x:c r="R621" s="23" t="n">
        <x:v>53.419503410384976</x:v>
      </x:c>
      <x:c r="S621" s="23" t="n">
        <x:v>1449.618265994772</x:v>
      </x:c>
      <x:c r="T621" s="23" t="n">
        <x:v>0.0045990111073273</x:v>
      </x:c>
      <x:c r="U621" s="23" t="n">
        <x:v>1.1304392081578527</x:v>
      </x:c>
      <x:c r="V621" s="23" t="n">
        <x:v>-19.791864980530363</x:v>
      </x:c>
    </x:row>
    <x:row r="622">
      <x:c r="A622" s="23" t="n">
        <x:v>621</x:v>
      </x:c>
      <x:c r="B622" s="23" t="str">
        <x:v>Train</x:v>
      </x:c>
      <x:c r="C622" s="23" t="str">
        <x:v>Lightning</x:v>
      </x:c>
      <x:c r="D622" s="23" t="n">
        <x:v>1448.0611538048834</x:v>
      </x:c>
      <x:c r="E622" s="23" t="n">
        <x:v>935.6048340792768</x:v>
      </x:c>
      <x:c r="F622" s="23" t="n">
        <x:v>620.7015326246619</x:v>
      </x:c>
      <x:c r="G622" s="23" t="n">
        <x:v>306.887034077663</x:v>
      </x:c>
      <x:c r="H622" s="23" t="n">
        <x:v>25.548530135303736</x:v>
      </x:c>
      <x:c r="I622" s="23" t="n">
        <x:v>0.7910085149877705</x:v>
      </x:c>
      <x:c r="J622" s="23" t="n">
        <x:v>10</x:v>
      </x:c>
      <x:c r="K622" s="23" t="n">
        <x:v>183.06517899207083</x:v>
      </x:c>
      <x:c r="L622" s="23" t="n">
        <x:v>35</x:v>
      </x:c>
      <x:c r="M622" s="23" t="n">
        <x:v>25</x:v>
      </x:c>
      <x:c r="N622" s="23" t="n">
        <x:v>1.232027844360836</x:v>
      </x:c>
      <x:c r="O622" s="23" t="n">
        <x:v>52.29779825668541</x:v>
      </x:c>
      <x:c r="P622" s="23" t="n">
        <x:v>1448.0611538048834</x:v>
      </x:c>
      <x:c r="Q622" s="23" t="n">
        <x:v>1.236650538152131</x:v>
      </x:c>
      <x:c r="R622" s="23" t="n">
        <x:v>51.478776588738164</x:v>
      </x:c>
      <x:c r="S622" s="23" t="n">
        <x:v>1439.3629372153032</x:v>
      </x:c>
      <x:c r="T622" s="23" t="n">
        <x:v>0.004622693791295207</x:v>
      </x:c>
      <x:c r="U622" s="23" t="n">
        <x:v>-0.8190216679472471</x:v>
      </x:c>
      <x:c r="V622" s="23" t="n">
        <x:v>-8.69821658958017</x:v>
      </x:c>
    </x:row>
    <x:row r="623">
      <x:c r="A623" s="23" t="n">
        <x:v>622</x:v>
      </x:c>
      <x:c r="B623" s="23" t="str">
        <x:v>Train</x:v>
      </x:c>
      <x:c r="C623" s="23" t="str">
        <x:v>Lightning</x:v>
      </x:c>
      <x:c r="D623" s="23" t="n">
        <x:v>1361.2630648654886</x:v>
      </x:c>
      <x:c r="E623" s="23" t="n">
        <x:v>983.3068341715261</x:v>
      </x:c>
      <x:c r="F623" s="23" t="n">
        <x:v>480.2114103920758</x:v>
      </x:c>
      <x:c r="G623" s="23" t="n">
        <x:v>231.44378691911697</x:v>
      </x:c>
      <x:c r="H623" s="23" t="n">
        <x:v>10.502591202501208</x:v>
      </x:c>
      <x:c r="I623" s="23" t="n">
        <x:v>0.8498653959436343</x:v>
      </x:c>
      <x:c r="J623" s="23" t="n">
        <x:v>9</x:v>
      </x:c>
      <x:c r="K623" s="23" t="n">
        <x:v>177.97106738742002</x:v>
      </x:c>
      <x:c r="L623" s="23" t="n">
        <x:v>45</x:v>
      </x:c>
      <x:c r="M623" s="23" t="n">
        <x:v>25</x:v>
      </x:c>
      <x:c r="N623" s="23" t="n">
        <x:v>1.1993001802878853</x:v>
      </x:c>
      <x:c r="O623" s="23" t="n">
        <x:v>52.239286954758946</x:v>
      </x:c>
      <x:c r="P623" s="23" t="n">
        <x:v>1361.2630648654886</x:v>
      </x:c>
      <x:c r="Q623" s="23" t="n">
        <x:v>1.2003834424892947</x:v>
      </x:c>
      <x:c r="R623" s="23" t="n">
        <x:v>53.16088010725705</x:v>
      </x:c>
      <x:c r="S623" s="23" t="n">
        <x:v>1373.8003380012074</x:v>
      </x:c>
      <x:c r="T623" s="23" t="n">
        <x:v>0.0010832622014094184</x:v>
      </x:c>
      <x:c r="U623" s="23" t="n">
        <x:v>0.9215931524981045</x:v>
      </x:c>
      <x:c r="V623" s="23" t="n">
        <x:v>12.537273135718806</x:v>
      </x:c>
    </x:row>
    <x:row r="624">
      <x:c r="A624" s="23" t="n">
        <x:v>623</x:v>
      </x:c>
      <x:c r="B624" s="23" t="str">
        <x:v>Train</x:v>
      </x:c>
      <x:c r="C624" s="23" t="str">
        <x:v>Lightning</x:v>
      </x:c>
      <x:c r="D624" s="23" t="n">
        <x:v>1381.179633946158</x:v>
      </x:c>
      <x:c r="E624" s="23" t="n">
        <x:v>884.2858397518285</x:v>
      </x:c>
      <x:c r="F624" s="23" t="n">
        <x:v>590.5274428427219</x:v>
      </x:c>
      <x:c r="G624" s="23" t="n">
        <x:v>102.6406067959033</x:v>
      </x:c>
      <x:c r="H624" s="23" t="n">
        <x:v>22.523867084644735</x:v>
      </x:c>
      <x:c r="I624" s="23" t="n">
        <x:v>0.8124399753450416</x:v>
      </x:c>
      <x:c r="J624" s="23" t="n">
        <x:v>9</x:v>
      </x:c>
      <x:c r="K624" s="23" t="n">
        <x:v>188.89322095040845</x:v>
      </x:c>
      <x:c r="L624" s="23" t="n">
        <x:v>45</x:v>
      </x:c>
      <x:c r="M624" s="23" t="n">
        <x:v>25</x:v>
      </x:c>
      <x:c r="N624" s="23" t="n">
        <x:v>1.177295848303967</x:v>
      </x:c>
      <x:c r="O624" s="23" t="n">
        <x:v>52.2209644977032</x:v>
      </x:c>
      <x:c r="P624" s="23" t="n">
        <x:v>1381.179633946158</x:v>
      </x:c>
      <x:c r="Q624" s="23" t="n">
        <x:v>1.1809409248659783</x:v>
      </x:c>
      <x:c r="R624" s="23" t="n">
        <x:v>53.115902056796834</x:v>
      </x:c>
      <x:c r="S624" s="23" t="n">
        <x:v>1382.9962681444968</x:v>
      </x:c>
      <x:c r="T624" s="23" t="n">
        <x:v>0.0036450765620112957</x:v>
      </x:c>
      <x:c r="U624" s="23" t="n">
        <x:v>0.8949375590936341</x:v>
      </x:c>
      <x:c r="V624" s="23" t="n">
        <x:v>1.816634198338761</x:v>
      </x:c>
    </x:row>
    <x:row r="625">
      <x:c r="A625" s="23" t="n">
        <x:v>624</x:v>
      </x:c>
      <x:c r="B625" s="23" t="str">
        <x:v>Train</x:v>
      </x:c>
      <x:c r="C625" s="23" t="str">
        <x:v>Lightning</x:v>
      </x:c>
      <x:c r="D625" s="23" t="n">
        <x:v>1445.6673856708221</x:v>
      </x:c>
      <x:c r="E625" s="23" t="n">
        <x:v>775.6903247907758</x:v>
      </x:c>
      <x:c r="F625" s="23" t="n">
        <x:v>498.5024913214147</x:v>
      </x:c>
      <x:c r="G625" s="23" t="n">
        <x:v>207.3712293477729</x:v>
      </x:c>
      <x:c r="H625" s="23" t="n">
        <x:v>21.600144350435585</x:v>
      </x:c>
      <x:c r="I625" s="23" t="n">
        <x:v>0.8073994678910822</x:v>
      </x:c>
      <x:c r="J625" s="23" t="n">
        <x:v>9</x:v>
      </x:c>
      <x:c r="K625" s="23" t="n">
        <x:v>198.94700938872688</x:v>
      </x:c>
      <x:c r="L625" s="23" t="n">
        <x:v>50</x:v>
      </x:c>
      <x:c r="M625" s="23" t="n">
        <x:v>25</x:v>
      </x:c>
      <x:c r="N625" s="23" t="n">
        <x:v>1.2094524372084834</x:v>
      </x:c>
      <x:c r="O625" s="23" t="n">
        <x:v>52.206012873788346</x:v>
      </x:c>
      <x:c r="P625" s="23" t="n">
        <x:v>1445.6673856708221</x:v>
      </x:c>
      <x:c r="Q625" s="23" t="n">
        <x:v>1.2147861930068133</x:v>
      </x:c>
      <x:c r="R625" s="23" t="n">
        <x:v>50.85877544767677</x:v>
      </x:c>
      <x:c r="S625" s="23" t="n">
        <x:v>1439.5905238697476</x:v>
      </x:c>
      <x:c r="T625" s="23" t="n">
        <x:v>0.005333755798329953</x:v>
      </x:c>
      <x:c r="U625" s="23" t="n">
        <x:v>-1.347237426111576</x:v>
      </x:c>
      <x:c r="V625" s="23" t="n">
        <x:v>-6.076861801074529</x:v>
      </x:c>
    </x:row>
    <x:row r="626">
      <x:c r="A626" s="23" t="n">
        <x:v>625</x:v>
      </x:c>
      <x:c r="B626" s="23" t="str">
        <x:v>Train</x:v>
      </x:c>
      <x:c r="C626" s="23" t="str">
        <x:v>Lightning</x:v>
      </x:c>
      <x:c r="D626" s="23" t="n">
        <x:v>1391.3644057698548</x:v>
      </x:c>
      <x:c r="E626" s="23" t="n">
        <x:v>699.3384749977849</x:v>
      </x:c>
      <x:c r="F626" s="23" t="n">
        <x:v>736.7937663570046</x:v>
      </x:c>
      <x:c r="G626" s="23" t="n">
        <x:v>322.732863931451</x:v>
      </x:c>
      <x:c r="H626" s="23" t="n">
        <x:v>28.18301926739514</x:v>
      </x:c>
      <x:c r="I626" s="23" t="n">
        <x:v>0.794262224577833</x:v>
      </x:c>
      <x:c r="J626" s="23" t="n">
        <x:v>9</x:v>
      </x:c>
      <x:c r="K626" s="23" t="n">
        <x:v>194.64106475378512</x:v>
      </x:c>
      <x:c r="L626" s="23" t="n">
        <x:v>40</x:v>
      </x:c>
      <x:c r="M626" s="23" t="n">
        <x:v>25</x:v>
      </x:c>
      <x:c r="N626" s="23" t="n">
        <x:v>1.2098648297064591</x:v>
      </x:c>
      <x:c r="O626" s="23" t="n">
        <x:v>52.249251041541754</x:v>
      </x:c>
      <x:c r="P626" s="23" t="n">
        <x:v>1391.3644057698548</x:v>
      </x:c>
      <x:c r="Q626" s="23" t="n">
        <x:v>1.2046283977257495</x:v>
      </x:c>
      <x:c r="R626" s="23" t="n">
        <x:v>52.53067568383938</x:v>
      </x:c>
      <x:c r="S626" s="23" t="n">
        <x:v>1368.6407240399137</x:v>
      </x:c>
      <x:c r="T626" s="23" t="n">
        <x:v>-0.005236431980709666</x:v>
      </x:c>
      <x:c r="U626" s="23" t="n">
        <x:v>0.28142464229762254</x:v>
      </x:c>
      <x:c r="V626" s="23" t="n">
        <x:v>-22.723681729941063</x:v>
      </x:c>
    </x:row>
    <x:row r="627">
      <x:c r="A627" s="23" t="n">
        <x:v>626</x:v>
      </x:c>
      <x:c r="B627" s="23" t="str">
        <x:v>Train</x:v>
      </x:c>
      <x:c r="C627" s="23" t="str">
        <x:v>Lightning</x:v>
      </x:c>
      <x:c r="D627" s="23" t="n">
        <x:v>1359.156578744296</x:v>
      </x:c>
      <x:c r="E627" s="23" t="n">
        <x:v>771.793029201217</x:v>
      </x:c>
      <x:c r="F627" s="23" t="n">
        <x:v>408.69251573458314</x:v>
      </x:c>
      <x:c r="G627" s="23" t="n">
        <x:v>113.8626850862056</x:v>
      </x:c>
      <x:c r="H627" s="23" t="n">
        <x:v>16.352089643944055</x:v>
      </x:c>
      <x:c r="I627" s="23" t="n">
        <x:v>0.8065711680287495</x:v>
      </x:c>
      <x:c r="J627" s="23" t="n">
        <x:v>9</x:v>
      </x:c>
      <x:c r="K627" s="23" t="n">
        <x:v>187.23381596609738</x:v>
      </x:c>
      <x:c r="L627" s="23" t="n">
        <x:v>60</x:v>
      </x:c>
      <x:c r="M627" s="23" t="n">
        <x:v>25</x:v>
      </x:c>
      <x:c r="N627" s="23" t="n">
        <x:v>1.2288313626848908</x:v>
      </x:c>
      <x:c r="O627" s="23" t="n">
        <x:v>52.17682124776618</x:v>
      </x:c>
      <x:c r="P627" s="23" t="n">
        <x:v>1359.156578744296</x:v>
      </x:c>
      <x:c r="Q627" s="23" t="n">
        <x:v>1.232786072433815</x:v>
      </x:c>
      <x:c r="R627" s="23" t="n">
        <x:v>51.038695438917834</x:v>
      </x:c>
      <x:c r="S627" s="23" t="n">
        <x:v>1379.2060864887912</x:v>
      </x:c>
      <x:c r="T627" s="23" t="n">
        <x:v>0.003954709748924312</x:v>
      </x:c>
      <x:c r="U627" s="23" t="n">
        <x:v>-1.1381258088483435</x:v>
      </x:c>
      <x:c r="V627" s="23" t="n">
        <x:v>20.04950774449526</x:v>
      </x:c>
    </x:row>
    <x:row r="628">
      <x:c r="A628" s="23" t="n">
        <x:v>627</x:v>
      </x:c>
      <x:c r="B628" s="23" t="str">
        <x:v>Train</x:v>
      </x:c>
      <x:c r="C628" s="23" t="str">
        <x:v>Lightning</x:v>
      </x:c>
      <x:c r="D628" s="23" t="n">
        <x:v>1450.4957308759913</x:v>
      </x:c>
      <x:c r="E628" s="23" t="n">
        <x:v>998.0017397203483</x:v>
      </x:c>
      <x:c r="F628" s="23" t="n">
        <x:v>411.0782738775015</x:v>
      </x:c>
      <x:c r="G628" s="23" t="n">
        <x:v>85.15821081353351</x:v>
      </x:c>
      <x:c r="H628" s="23" t="n">
        <x:v>10.628682327456772</x:v>
      </x:c>
      <x:c r="I628" s="23" t="n">
        <x:v>0.8556873807753437</x:v>
      </x:c>
      <x:c r="J628" s="23" t="n">
        <x:v>9</x:v>
      </x:c>
      <x:c r="K628" s="23" t="n">
        <x:v>188.3470481632216</x:v>
      </x:c>
      <x:c r="L628" s="23" t="n">
        <x:v>50</x:v>
      </x:c>
      <x:c r="M628" s="23" t="n">
        <x:v>25</x:v>
      </x:c>
      <x:c r="N628" s="23" t="n">
        <x:v>1.1711879218840164</x:v>
      </x:c>
      <x:c r="O628" s="23" t="n">
        <x:v>52.20798909514134</x:v>
      </x:c>
      <x:c r="P628" s="23" t="n">
        <x:v>1450.4957308759913</x:v>
      </x:c>
      <x:c r="Q628" s="23" t="n">
        <x:v>1.181157690114059</x:v>
      </x:c>
      <x:c r="R628" s="23" t="n">
        <x:v>52.01922655922579</x:v>
      </x:c>
      <x:c r="S628" s="23" t="n">
        <x:v>1465.2503758664236</x:v>
      </x:c>
      <x:c r="T628" s="23" t="n">
        <x:v>0.009969768230042586</x:v>
      </x:c>
      <x:c r="U628" s="23" t="n">
        <x:v>-0.1887625359155507</x:v>
      </x:c>
      <x:c r="V628" s="23" t="n">
        <x:v>14.754644990432325</x:v>
      </x:c>
    </x:row>
    <x:row r="629">
      <x:c r="A629" s="23" t="n">
        <x:v>628</x:v>
      </x:c>
      <x:c r="B629" s="23" t="str">
        <x:v>Train</x:v>
      </x:c>
      <x:c r="C629" s="23" t="str">
        <x:v>Lightning</x:v>
      </x:c>
      <x:c r="D629" s="23" t="n">
        <x:v>1484.1766217141412</x:v>
      </x:c>
      <x:c r="E629" s="23" t="n">
        <x:v>1148.8986829761416</x:v>
      </x:c>
      <x:c r="F629" s="23" t="n">
        <x:v>432.2923350147903</x:v>
      </x:c>
      <x:c r="G629" s="23" t="n">
        <x:v>169.60480184759945</x:v>
      </x:c>
      <x:c r="H629" s="23" t="n">
        <x:v>29.279488443862647</x:v>
      </x:c>
      <x:c r="I629" s="23" t="n">
        <x:v>0.8017584596015513</x:v>
      </x:c>
      <x:c r="J629" s="23" t="n">
        <x:v>10</x:v>
      </x:c>
      <x:c r="K629" s="23" t="n">
        <x:v>185.11518075552706</x:v>
      </x:c>
      <x:c r="L629" s="23" t="n">
        <x:v>35</x:v>
      </x:c>
      <x:c r="M629" s="23" t="n">
        <x:v>25</x:v>
      </x:c>
      <x:c r="N629" s="23" t="n">
        <x:v>1.1851748336687307</x:v>
      </x:c>
      <x:c r="O629" s="23" t="n">
        <x:v>52.27832537578702</x:v>
      </x:c>
      <x:c r="P629" s="23" t="n">
        <x:v>1484.1766217141412</x:v>
      </x:c>
      <x:c r="Q629" s="23" t="n">
        <x:v>1.1907536309662816</x:v>
      </x:c>
      <x:c r="R629" s="23" t="n">
        <x:v>53.95153270566691</x:v>
      </x:c>
      <x:c r="S629" s="23" t="n">
        <x:v>1465.8921306433388</x:v>
      </x:c>
      <x:c r="T629" s="23" t="n">
        <x:v>0.0055787972975509525</x:v>
      </x:c>
      <x:c r="U629" s="23" t="n">
        <x:v>1.6732073298798866</x:v>
      </x:c>
      <x:c r="V629" s="23" t="n">
        <x:v>-18.28449107080246</x:v>
      </x:c>
    </x:row>
    <x:row r="630">
      <x:c r="A630" s="23" t="n">
        <x:v>629</x:v>
      </x:c>
      <x:c r="B630" s="23" t="str">
        <x:v>Train</x:v>
      </x:c>
      <x:c r="C630" s="23" t="str">
        <x:v>Lightning</x:v>
      </x:c>
      <x:c r="D630" s="23" t="n">
        <x:v>1458.169160457328</x:v>
      </x:c>
      <x:c r="E630" s="23" t="n">
        <x:v>847.9551955941133</x:v>
      </x:c>
      <x:c r="F630" s="23" t="n">
        <x:v>673.3172146603465</x:v>
      </x:c>
      <x:c r="G630" s="23" t="n">
        <x:v>130.72481400566176</x:v>
      </x:c>
      <x:c r="H630" s="23" t="n">
        <x:v>10.644379526376724</x:v>
      </x:c>
      <x:c r="I630" s="23" t="n">
        <x:v>0.8314420287893154</x:v>
      </x:c>
      <x:c r="J630" s="23" t="n">
        <x:v>9</x:v>
      </x:c>
      <x:c r="K630" s="23" t="n">
        <x:v>194.8648131755976</x:v>
      </x:c>
      <x:c r="L630" s="23" t="n">
        <x:v>45</x:v>
      </x:c>
      <x:c r="M630" s="23" t="n">
        <x:v>25</x:v>
      </x:c>
      <x:c r="N630" s="23" t="n">
        <x:v>1.1709081984073466</x:v>
      </x:c>
      <x:c r="O630" s="23" t="n">
        <x:v>52.23258766719276</x:v>
      </x:c>
      <x:c r="P630" s="23" t="n">
        <x:v>1458.169160457328</x:v>
      </x:c>
      <x:c r="Q630" s="23" t="n">
        <x:v>1.172581894685807</x:v>
      </x:c>
      <x:c r="R630" s="23" t="n">
        <x:v>51.916250768392736</x:v>
      </x:c>
      <x:c r="S630" s="23" t="n">
        <x:v>1460.5250220409027</x:v>
      </x:c>
      <x:c r="T630" s="23" t="n">
        <x:v>0.0016736962784604792</x:v>
      </x:c>
      <x:c r="U630" s="23" t="n">
        <x:v>-0.31633689880002436</x:v>
      </x:c>
      <x:c r="V630" s="23" t="n">
        <x:v>2.3558615835747787</x:v>
      </x:c>
    </x:row>
    <x:row r="631">
      <x:c r="A631" s="23" t="n">
        <x:v>630</x:v>
      </x:c>
      <x:c r="B631" s="23" t="str">
        <x:v>Train</x:v>
      </x:c>
      <x:c r="C631" s="23" t="str">
        <x:v>Lightning</x:v>
      </x:c>
      <x:c r="D631" s="23" t="n">
        <x:v>1411.2761356984265</x:v>
      </x:c>
      <x:c r="E631" s="23" t="n">
        <x:v>795.795683725737</x:v>
      </x:c>
      <x:c r="F631" s="23" t="n">
        <x:v>481.6293937154114</x:v>
      </x:c>
      <x:c r="G631" s="23" t="n">
        <x:v>149.37583396211267</x:v>
      </x:c>
      <x:c r="H631" s="23" t="n">
        <x:v>18.475764533970505</x:v>
      </x:c>
      <x:c r="I631" s="23" t="n">
        <x:v>0.8573094630008564</x:v>
      </x:c>
      <x:c r="J631" s="23" t="n">
        <x:v>9</x:v>
      </x:c>
      <x:c r="K631" s="23" t="n">
        <x:v>182.90765037535897</x:v>
      </x:c>
      <x:c r="L631" s="23" t="n">
        <x:v>50</x:v>
      </x:c>
      <x:c r="M631" s="23" t="n">
        <x:v>25</x:v>
      </x:c>
      <x:c r="N631" s="23" t="n">
        <x:v>1.154771689417065</x:v>
      </x:c>
      <x:c r="O631" s="23" t="n">
        <x:v>52.19747393211055</x:v>
      </x:c>
      <x:c r="P631" s="23" t="n">
        <x:v>1411.2761356984265</x:v>
      </x:c>
      <x:c r="Q631" s="23" t="n">
        <x:v>1.1420039255296366</x:v>
      </x:c>
      <x:c r="R631" s="23" t="n">
        <x:v>51.892621813634065</x:v>
      </x:c>
      <x:c r="S631" s="23" t="n">
        <x:v>1424.3391704856126</x:v>
      </x:c>
      <x:c r="T631" s="23" t="n">
        <x:v>-0.012767763887428396</x:v>
      </x:c>
      <x:c r="U631" s="23" t="n">
        <x:v>-0.3048521184764823</x:v>
      </x:c>
      <x:c r="V631" s="23" t="n">
        <x:v>13.063034787186098</x:v>
      </x:c>
    </x:row>
    <x:row r="632">
      <x:c r="A632" s="23" t="n">
        <x:v>631</x:v>
      </x:c>
      <x:c r="B632" s="23" t="str">
        <x:v>Train</x:v>
      </x:c>
      <x:c r="C632" s="23" t="str">
        <x:v>Lightning</x:v>
      </x:c>
      <x:c r="D632" s="23" t="n">
        <x:v>1488.3114219876006</x:v>
      </x:c>
      <x:c r="E632" s="23" t="n">
        <x:v>622.0744630438276</x:v>
      </x:c>
      <x:c r="F632" s="23" t="n">
        <x:v>626.3336673378944</x:v>
      </x:c>
      <x:c r="G632" s="23" t="n">
        <x:v>325.0329986750148</x:v>
      </x:c>
      <x:c r="H632" s="23" t="n">
        <x:v>17.78001395892352</x:v>
      </x:c>
      <x:c r="I632" s="23" t="n">
        <x:v>0.8120451400033198</x:v>
      </x:c>
      <x:c r="J632" s="23" t="n">
        <x:v>10</x:v>
      </x:c>
      <x:c r="K632" s="23" t="n">
        <x:v>183.27939527863143</x:v>
      </x:c>
      <x:c r="L632" s="23" t="n">
        <x:v>40</x:v>
      </x:c>
      <x:c r="M632" s="23" t="n">
        <x:v>25</x:v>
      </x:c>
      <x:c r="N632" s="23" t="n">
        <x:v>1.1400783502477914</x:v>
      </x:c>
      <x:c r="O632" s="23" t="n">
        <x:v>52.247598675609076</x:v>
      </x:c>
      <x:c r="P632" s="23" t="n">
        <x:v>1488.3114219876006</x:v>
      </x:c>
      <x:c r="Q632" s="23" t="n">
        <x:v>1.129098473553004</x:v>
      </x:c>
      <x:c r="R632" s="23" t="n">
        <x:v>50.66944494247885</x:v>
      </x:c>
      <x:c r="S632" s="23" t="n">
        <x:v>1485.3884336416786</x:v>
      </x:c>
      <x:c r="T632" s="23" t="n">
        <x:v>-0.010979876694787283</x:v>
      </x:c>
      <x:c r="U632" s="23" t="n">
        <x:v>-1.5781537331302289</x:v>
      </x:c>
      <x:c r="V632" s="23" t="n">
        <x:v>-2.922988345922022</x:v>
      </x:c>
    </x:row>
    <x:row r="633">
      <x:c r="A633" s="23" t="n">
        <x:v>632</x:v>
      </x:c>
      <x:c r="B633" s="23" t="str">
        <x:v>Train</x:v>
      </x:c>
      <x:c r="C633" s="23" t="str">
        <x:v>Lightning</x:v>
      </x:c>
      <x:c r="D633" s="23" t="n">
        <x:v>1372.9174776817672</x:v>
      </x:c>
      <x:c r="E633" s="23" t="n">
        <x:v>1033.1099043600261</x:v>
      </x:c>
      <x:c r="F633" s="23" t="n">
        <x:v>514.3071106635034</x:v>
      </x:c>
      <x:c r="G633" s="23" t="n">
        <x:v>197.37772321794182</x:v>
      </x:c>
      <x:c r="H633" s="23" t="n">
        <x:v>26.810557728167623</x:v>
      </x:c>
      <x:c r="I633" s="23" t="n">
        <x:v>0.8116235524136574</x:v>
      </x:c>
      <x:c r="J633" s="23" t="n">
        <x:v>9</x:v>
      </x:c>
      <x:c r="K633" s="23" t="n">
        <x:v>187.95214352199758</x:v>
      </x:c>
      <x:c r="L633" s="23" t="n">
        <x:v>40</x:v>
      </x:c>
      <x:c r="M633" s="23" t="n">
        <x:v>25</x:v>
      </x:c>
      <x:c r="N633" s="23" t="n">
        <x:v>1.1943590908677417</x:v>
      </x:c>
      <x:c r="O633" s="23" t="n">
        <x:v>52.247057119560296</x:v>
      </x:c>
      <x:c r="P633" s="23" t="n">
        <x:v>1372.9174776817672</x:v>
      </x:c>
      <x:c r="Q633" s="23" t="n">
        <x:v>1.1833171662836954</x:v>
      </x:c>
      <x:c r="R633" s="23" t="n">
        <x:v>52.59046592890861</x:v>
      </x:c>
      <x:c r="S633" s="23" t="n">
        <x:v>1356.5102388743608</x:v>
      </x:c>
      <x:c r="T633" s="23" t="n">
        <x:v>-0.011041924584046292</x:v>
      </x:c>
      <x:c r="U633" s="23" t="n">
        <x:v>0.3434088093483112</x:v>
      </x:c>
      <x:c r="V633" s="23" t="n">
        <x:v>-16.40723880740643</x:v>
      </x:c>
    </x:row>
    <x:row r="634">
      <x:c r="A634" s="23" t="n">
        <x:v>633</x:v>
      </x:c>
      <x:c r="B634" s="23" t="str">
        <x:v>Train</x:v>
      </x:c>
      <x:c r="C634" s="23" t="str">
        <x:v>Lightning</x:v>
      </x:c>
      <x:c r="D634" s="23" t="n">
        <x:v>1489.6956894546747</x:v>
      </x:c>
      <x:c r="E634" s="23" t="n">
        <x:v>612.5655329204164</x:v>
      </x:c>
      <x:c r="F634" s="23" t="n">
        <x:v>409.77140832692385</x:v>
      </x:c>
      <x:c r="G634" s="23" t="n">
        <x:v>266.17035128409043</x:v>
      </x:c>
      <x:c r="H634" s="23" t="n">
        <x:v>9.142956657335162</x:v>
      </x:c>
      <x:c r="I634" s="23" t="n">
        <x:v>0.831756737951655</x:v>
      </x:c>
      <x:c r="J634" s="23" t="n">
        <x:v>9</x:v>
      </x:c>
      <x:c r="K634" s="23" t="n">
        <x:v>199.00258780033164</x:v>
      </x:c>
      <x:c r="L634" s="23" t="n">
        <x:v>60</x:v>
      </x:c>
      <x:c r="M634" s="23" t="n">
        <x:v>25</x:v>
      </x:c>
      <x:c r="N634" s="23" t="n">
        <x:v>1.19679838961252</x:v>
      </x:c>
      <x:c r="O634" s="23" t="n">
        <x:v>52.17591049958796</x:v>
      </x:c>
      <x:c r="P634" s="23" t="n">
        <x:v>1489.6956894546747</x:v>
      </x:c>
      <x:c r="Q634" s="23" t="n">
        <x:v>1.2009017867126315</x:v>
      </x:c>
      <x:c r="R634" s="23" t="n">
        <x:v>51.45218610311036</x:v>
      </x:c>
      <x:c r="S634" s="23" t="n">
        <x:v>1501.2053687271575</x:v>
      </x:c>
      <x:c r="T634" s="23" t="n">
        <x:v>0.004103397100111428</x:v>
      </x:c>
      <x:c r="U634" s="23" t="n">
        <x:v>-0.7237243964775999</x:v>
      </x:c>
      <x:c r="V634" s="23" t="n">
        <x:v>11.5096792724828</x:v>
      </x:c>
    </x:row>
    <x:row r="635">
      <x:c r="A635" s="23" t="n">
        <x:v>634</x:v>
      </x:c>
      <x:c r="B635" s="23" t="str">
        <x:v>Train</x:v>
      </x:c>
      <x:c r="C635" s="23" t="str">
        <x:v>Lightning</x:v>
      </x:c>
      <x:c r="D635" s="23" t="n">
        <x:v>1383.3264986635186</x:v>
      </x:c>
      <x:c r="E635" s="23" t="n">
        <x:v>1144.2583864787593</x:v>
      </x:c>
      <x:c r="F635" s="23" t="n">
        <x:v>469.5063010789454</x:v>
      </x:c>
      <x:c r="G635" s="23" t="n">
        <x:v>155.14413795433939</x:v>
      </x:c>
      <x:c r="H635" s="23" t="n">
        <x:v>17.261598717886955</x:v>
      </x:c>
      <x:c r="I635" s="23" t="n">
        <x:v>0.8529980469541625</x:v>
      </x:c>
      <x:c r="J635" s="23" t="n">
        <x:v>9</x:v>
      </x:c>
      <x:c r="K635" s="23" t="n">
        <x:v>180.19143753585408</x:v>
      </x:c>
      <x:c r="L635" s="23" t="n">
        <x:v>40</x:v>
      </x:c>
      <x:c r="M635" s="23" t="n">
        <x:v>25</x:v>
      </x:c>
      <x:c r="N635" s="23" t="n">
        <x:v>1.1592481155210068</x:v>
      </x:c>
      <x:c r="O635" s="23" t="n">
        <x:v>52.250817108617966</x:v>
      </x:c>
      <x:c r="P635" s="23" t="n">
        <x:v>1383.3264986635186</x:v>
      </x:c>
      <x:c r="Q635" s="23" t="n">
        <x:v>1.1599468526414356</x:v>
      </x:c>
      <x:c r="R635" s="23" t="n">
        <x:v>52.94820730386547</x:v>
      </x:c>
      <x:c r="S635" s="23" t="n">
        <x:v>1388.5531600191505</x:v>
      </x:c>
      <x:c r="T635" s="23" t="n">
        <x:v>0.0006987371204287829</x:v>
      </x:c>
      <x:c r="U635" s="23" t="n">
        <x:v>0.6973901952475074</x:v>
      </x:c>
      <x:c r="V635" s="23" t="n">
        <x:v>5.226661355631904</x:v>
      </x:c>
    </x:row>
    <x:row r="636">
      <x:c r="A636" s="23" t="n">
        <x:v>635</x:v>
      </x:c>
      <x:c r="B636" s="23" t="str">
        <x:v>Validation</x:v>
      </x:c>
      <x:c r="C636" s="23" t="str">
        <x:v>Lightning</x:v>
      </x:c>
      <x:c r="D636" s="23" t="n">
        <x:v>1471.1850945604965</x:v>
      </x:c>
      <x:c r="E636" s="23" t="n">
        <x:v>621.3785276398994</x:v>
      </x:c>
      <x:c r="F636" s="23" t="n">
        <x:v>563.6393759399652</x:v>
      </x:c>
      <x:c r="G636" s="23" t="n">
        <x:v>190.4147873702459</x:v>
      </x:c>
      <x:c r="H636" s="23" t="n">
        <x:v>28.500871756114066</x:v>
      </x:c>
      <x:c r="I636" s="23" t="n">
        <x:v>0.8496697218972259</x:v>
      </x:c>
      <x:c r="J636" s="23" t="n">
        <x:v>9</x:v>
      </x:c>
      <x:c r="K636" s="23" t="n">
        <x:v>192.38653125325112</x:v>
      </x:c>
      <x:c r="L636" s="23" t="n">
        <x:v>50</x:v>
      </x:c>
      <x:c r="M636" s="23" t="n">
        <x:v>25</x:v>
      </x:c>
      <x:c r="N636" s="23" t="n">
        <x:v>1.1583290610576322</x:v>
      </x:c>
      <x:c r="O636" s="23" t="n">
        <x:v>52.18946434233639</x:v>
      </x:c>
      <x:c r="P636" s="23" t="n">
        <x:v>1471.1850945604965</x:v>
      </x:c>
      <x:c r="Q636" s="23" t="n">
        <x:v>1.1415225032225917</x:v>
      </x:c>
      <x:c r="R636" s="23" t="n">
        <x:v>51.84051776651153</x:v>
      </x:c>
      <x:c r="S636" s="23" t="n">
        <x:v>1470.2849297362698</x:v>
      </x:c>
      <x:c r="T636" s="23" t="n">
        <x:v>-0.01680655783504048</x:v>
      </x:c>
      <x:c r="U636" s="23" t="n">
        <x:v>-0.3489465758248613</x:v>
      </x:c>
      <x:c r="V636" s="23" t="n">
        <x:v>-0.9001648242267493</x:v>
      </x:c>
    </x:row>
    <x:row r="637">
      <x:c r="A637" s="23" t="n">
        <x:v>636</x:v>
      </x:c>
      <x:c r="B637" s="23" t="str">
        <x:v>Validation</x:v>
      </x:c>
      <x:c r="C637" s="23" t="str">
        <x:v>Lightning</x:v>
      </x:c>
      <x:c r="D637" s="23" t="n">
        <x:v>1363.0858015618287</x:v>
      </x:c>
      <x:c r="E637" s="23" t="n">
        <x:v>726.7712283413857</x:v>
      </x:c>
      <x:c r="F637" s="23" t="n">
        <x:v>739.1071553342044</x:v>
      </x:c>
      <x:c r="G637" s="23" t="n">
        <x:v>256.34990985970944</x:v>
      </x:c>
      <x:c r="H637" s="23" t="n">
        <x:v>20.559907894115895</x:v>
      </x:c>
      <x:c r="I637" s="23" t="n">
        <x:v>0.8405302911996841</x:v>
      </x:c>
      <x:c r="J637" s="23" t="n">
        <x:v>9</x:v>
      </x:c>
      <x:c r="K637" s="23" t="n">
        <x:v>180.18860181129807</x:v>
      </x:c>
      <x:c r="L637" s="23" t="n">
        <x:v>40</x:v>
      </x:c>
      <x:c r="M637" s="23" t="n">
        <x:v>25</x:v>
      </x:c>
      <x:c r="N637" s="23" t="n">
        <x:v>1.1484511780962934</x:v>
      </x:c>
      <x:c r="O637" s="23" t="n">
        <x:v>52.2435384466695</x:v>
      </x:c>
      <x:c r="P637" s="23" t="n">
        <x:v>1363.0858015618287</x:v>
      </x:c>
      <x:c r="Q637" s="23" t="n">
        <x:v>1.147905319635222</x:v>
      </x:c>
      <x:c r="R637" s="23" t="n">
        <x:v>50.85693632636389</x:v>
      </x:c>
      <x:c r="S637" s="23" t="n">
        <x:v>1353.9581962500868</x:v>
      </x:c>
      <x:c r="T637" s="23" t="n">
        <x:v>-0.0005458584610713579</x:v>
      </x:c>
      <x:c r="U637" s="23" t="n">
        <x:v>-1.3866021203056036</x:v>
      </x:c>
      <x:c r="V637" s="23" t="n">
        <x:v>-9.127605311741945</x:v>
      </x:c>
    </x:row>
    <x:row r="638">
      <x:c r="A638" s="23" t="n">
        <x:v>637</x:v>
      </x:c>
      <x:c r="B638" s="23" t="str">
        <x:v>Validation</x:v>
      </x:c>
      <x:c r="C638" s="23" t="str">
        <x:v>Lightning</x:v>
      </x:c>
      <x:c r="D638" s="23" t="n">
        <x:v>1426.703258184716</x:v>
      </x:c>
      <x:c r="E638" s="23" t="n">
        <x:v>930.3738121758215</x:v>
      </x:c>
      <x:c r="F638" s="23" t="n">
        <x:v>364.24993332475424</x:v>
      </x:c>
      <x:c r="G638" s="23" t="n">
        <x:v>245.43410980375484</x:v>
      </x:c>
      <x:c r="H638" s="23" t="n">
        <x:v>9.816151764243841</x:v>
      </x:c>
      <x:c r="I638" s="23" t="n">
        <x:v>0.838391869852785</x:v>
      </x:c>
      <x:c r="J638" s="23" t="n">
        <x:v>9</x:v>
      </x:c>
      <x:c r="K638" s="23" t="n">
        <x:v>189.0793433750515</x:v>
      </x:c>
      <x:c r="L638" s="23" t="n">
        <x:v>50</x:v>
      </x:c>
      <x:c r="M638" s="23" t="n">
        <x:v>25</x:v>
      </x:c>
      <x:c r="N638" s="23" t="n">
        <x:v>1.2020273108676292</x:v>
      </x:c>
      <x:c r="O638" s="23" t="n">
        <x:v>52.215133521088326</x:v>
      </x:c>
      <x:c r="P638" s="23" t="n">
        <x:v>1426.703258184716</x:v>
      </x:c>
      <x:c r="Q638" s="23" t="n">
        <x:v>1.195295318379569</x:v>
      </x:c>
      <x:c r="R638" s="23" t="n">
        <x:v>51.90556977570895</x:v>
      </x:c>
      <x:c r="S638" s="23" t="n">
        <x:v>1438.9178173883279</x:v>
      </x:c>
      <x:c r="T638" s="23" t="n">
        <x:v>-0.006731992488060223</x:v>
      </x:c>
      <x:c r="U638" s="23" t="n">
        <x:v>-0.3095637453793785</x:v>
      </x:c>
      <x:c r="V638" s="23" t="n">
        <x:v>12.21455920361177</x:v>
      </x:c>
    </x:row>
    <x:row r="639">
      <x:c r="A639" s="23" t="n">
        <x:v>638</x:v>
      </x:c>
      <x:c r="B639" s="23" t="str">
        <x:v>Hidden Test</x:v>
      </x:c>
      <x:c r="C639" s="23" t="str">
        <x:v>Lightning</x:v>
      </x:c>
      <x:c r="D639" s="23" t="n">
        <x:v>1421.0728172329254</x:v>
      </x:c>
      <x:c r="E639" s="23" t="n">
        <x:v>888.2309349952266</x:v>
      </x:c>
      <x:c r="F639" s="23" t="n">
        <x:v>442.6259149797261</x:v>
      </x:c>
      <x:c r="G639" s="23" t="n">
        <x:v>233.4742610529065</x:v>
      </x:c>
      <x:c r="H639" s="23" t="n">
        <x:v>12.698855253402144</x:v>
      </x:c>
      <x:c r="I639" s="23" t="n">
        <x:v>0.8384723419276998</x:v>
      </x:c>
      <x:c r="J639" s="23" t="n">
        <x:v>9</x:v>
      </x:c>
      <x:c r="K639" s="23" t="n">
        <x:v>188.3150723010521</x:v>
      </x:c>
      <x:c r="L639" s="23" t="n">
        <x:v>50</x:v>
      </x:c>
      <x:c r="M639" s="23" t="n">
        <x:v>25</x:v>
      </x:c>
      <x:c r="N639" s="23" t="n">
        <x:v>1.233097094680239</x:v>
      </x:c>
      <x:c r="O639" s="23" t="n">
        <x:v>52.21891832848702</x:v>
      </x:c>
      <x:c r="P639" s="23" t="n">
        <x:v>1421.0728172329254</x:v>
      </x:c>
      <x:c r="Q639" s="23" t="n">
        <x:v>1.2396207516839715</x:v>
      </x:c>
      <x:c r="R639" s="23" t="n">
        <x:v>51.24100202865125</x:v>
      </x:c>
      <x:c r="S639" s="23" t="n">
        <x:v>1422.230782602887</x:v>
      </x:c>
      <x:c r="T639" s="23" t="n">
        <x:v>0.006523657003732364</x:v>
      </x:c>
      <x:c r="U639" s="23" t="n">
        <x:v>-0.9779162998357691</x:v>
      </x:c>
      <x:c r="V639" s="23" t="n">
        <x:v>1.1579653699616301</x:v>
      </x:c>
    </x:row>
    <x:row r="640">
      <x:c r="A640" s="23" t="n">
        <x:v>639</x:v>
      </x:c>
      <x:c r="B640" s="23" t="str">
        <x:v>Hidden Test</x:v>
      </x:c>
      <x:c r="C640" s="23" t="str">
        <x:v>Lightning</x:v>
      </x:c>
      <x:c r="D640" s="23" t="n">
        <x:v>1461.5224182838574</x:v>
      </x:c>
      <x:c r="E640" s="23" t="n">
        <x:v>1201.0512459208257</x:v>
      </x:c>
      <x:c r="F640" s="23" t="n">
        <x:v>706.0372583568096</x:v>
      </x:c>
      <x:c r="G640" s="23" t="n">
        <x:v>212.43347354000434</x:v>
      </x:c>
      <x:c r="H640" s="23" t="n">
        <x:v>20.017382866702974</x:v>
      </x:c>
      <x:c r="I640" s="23" t="n">
        <x:v>0.8008490269049071</x:v>
      </x:c>
      <x:c r="J640" s="23" t="n">
        <x:v>10</x:v>
      </x:c>
      <x:c r="K640" s="23" t="n">
        <x:v>182.49662160823212</x:v>
      </x:c>
      <x:c r="L640" s="23" t="n">
        <x:v>30</x:v>
      </x:c>
      <x:c r="M640" s="23" t="n">
        <x:v>25</x:v>
      </x:c>
      <x:c r="N640" s="23" t="n">
        <x:v>1.1930648946181786</x:v>
      </x:c>
      <x:c r="O640" s="23" t="n">
        <x:v>52.3422071826569</x:v>
      </x:c>
      <x:c r="P640" s="23" t="n">
        <x:v>1461.5224182838574</x:v>
      </x:c>
      <x:c r="Q640" s="23" t="n">
        <x:v>1.2025503849403962</x:v>
      </x:c>
      <x:c r="R640" s="23" t="n">
        <x:v>52.008155490280664</x:v>
      </x:c>
      <x:c r="S640" s="23" t="n">
        <x:v>1446.7177332145434</x:v>
      </x:c>
      <x:c r="T640" s="23" t="n">
        <x:v>0.009485490322217682</x:v>
      </x:c>
      <x:c r="U640" s="23" t="n">
        <x:v>-0.3340516923762351</x:v>
      </x:c>
      <x:c r="V640" s="23" t="n">
        <x:v>-14.804685069314019</x:v>
      </x:c>
    </x:row>
    <x:row r="641">
      <x:c r="A641" s="23" t="n">
        <x:v>640</x:v>
      </x:c>
      <x:c r="B641" s="23" t="str">
        <x:v>Hidden Test</x:v>
      </x:c>
      <x:c r="C641" s="23" t="str">
        <x:v>Lightning</x:v>
      </x:c>
      <x:c r="D641" s="23" t="n">
        <x:v>1369.224876340013</x:v>
      </x:c>
      <x:c r="E641" s="23" t="n">
        <x:v>915.0335762649775</x:v>
      </x:c>
      <x:c r="F641" s="23" t="n">
        <x:v>606.60101165995</x:v>
      </x:c>
      <x:c r="G641" s="23" t="n">
        <x:v>138.35029215086251</x:v>
      </x:c>
      <x:c r="H641" s="23" t="n">
        <x:v>14.957227872218937</x:v>
      </x:c>
      <x:c r="I641" s="23" t="n">
        <x:v>0.8374647747259587</x:v>
      </x:c>
      <x:c r="J641" s="23" t="n">
        <x:v>9</x:v>
      </x:c>
      <x:c r="K641" s="23" t="n">
        <x:v>181.66268237478482</x:v>
      </x:c>
      <x:c r="L641" s="23" t="n">
        <x:v>45</x:v>
      </x:c>
      <x:c r="M641" s="23" t="n">
        <x:v>25</x:v>
      </x:c>
      <x:c r="N641" s="23" t="n">
        <x:v>1.197345729712401</x:v>
      </x:c>
      <x:c r="O641" s="23" t="n">
        <x:v>52.233833142425816</x:v>
      </x:c>
      <x:c r="P641" s="23" t="n">
        <x:v>1369.224876340013</x:v>
      </x:c>
      <x:c r="Q641" s="23" t="n">
        <x:v>1.2081078288223452</x:v>
      </x:c>
      <x:c r="R641" s="23" t="n">
        <x:v>53.293661885486216</x:v>
      </x:c>
      <x:c r="S641" s="23" t="n">
        <x:v>1377.5391297353317</x:v>
      </x:c>
      <x:c r="T641" s="23" t="n">
        <x:v>0.01076209910994419</x:v>
      </x:c>
      <x:c r="U641" s="23" t="n">
        <x:v>1.0598287430604003</x:v>
      </x:c>
      <x:c r="V641" s="23" t="n">
        <x:v>8.314253395318701</x:v>
      </x:c>
    </x:row>
    <x:row r="642">
      <x:c r="A642" s="23" t="n">
        <x:v>641</x:v>
      </x:c>
      <x:c r="B642" s="23" t="str">
        <x:v>Train</x:v>
      </x:c>
      <x:c r="C642" s="23" t="str">
        <x:v>Lightning</x:v>
      </x:c>
      <x:c r="D642" s="23" t="n">
        <x:v>1492.3484022729099</x:v>
      </x:c>
      <x:c r="E642" s="23" t="n">
        <x:v>1075.3818820579909</x:v>
      </x:c>
      <x:c r="F642" s="23" t="n">
        <x:v>676.5703136101365</x:v>
      </x:c>
      <x:c r="G642" s="23" t="n">
        <x:v>171.05568850645795</x:v>
      </x:c>
      <x:c r="H642" s="23" t="n">
        <x:v>10.545682052150369</x:v>
      </x:c>
      <x:c r="I642" s="23" t="n">
        <x:v>0.7983088440750726</x:v>
      </x:c>
      <x:c r="J642" s="23" t="n">
        <x:v>10</x:v>
      </x:c>
      <x:c r="K642" s="23" t="n">
        <x:v>186.93872845689907</x:v>
      </x:c>
      <x:c r="L642" s="23" t="n">
        <x:v>35</x:v>
      </x:c>
      <x:c r="M642" s="23" t="n">
        <x:v>25</x:v>
      </x:c>
      <x:c r="N642" s="23" t="n">
        <x:v>1.1852278267907186</x:v>
      </x:c>
      <x:c r="O642" s="23" t="n">
        <x:v>52.30816111593325</x:v>
      </x:c>
      <x:c r="P642" s="23" t="n">
        <x:v>1492.3484022729099</x:v>
      </x:c>
      <x:c r="Q642" s="23" t="n">
        <x:v>1.2025320611087165</x:v>
      </x:c>
      <x:c r="R642" s="23" t="n">
        <x:v>52.77113112109788</x:v>
      </x:c>
      <x:c r="S642" s="23" t="n">
        <x:v>1484.1452373909333</x:v>
      </x:c>
      <x:c r="T642" s="23" t="n">
        <x:v>0.01730423431799788</x:v>
      </x:c>
      <x:c r="U642" s="23" t="n">
        <x:v>0.46297000516462816</x:v>
      </x:c>
      <x:c r="V642" s="23" t="n">
        <x:v>-8.20316488197659</x:v>
      </x:c>
    </x:row>
    <x:row r="643">
      <x:c r="A643" s="23" t="n">
        <x:v>642</x:v>
      </x:c>
      <x:c r="B643" s="23" t="str">
        <x:v>Train</x:v>
      </x:c>
      <x:c r="C643" s="23" t="str">
        <x:v>Lightning</x:v>
      </x:c>
      <x:c r="D643" s="23" t="n">
        <x:v>1491.8536891811527</x:v>
      </x:c>
      <x:c r="E643" s="23" t="n">
        <x:v>1238.7093014316633</x:v>
      </x:c>
      <x:c r="F643" s="23" t="n">
        <x:v>721.3290595449507</x:v>
      </x:c>
      <x:c r="G643" s="23" t="n">
        <x:v>203.29140515066683</x:v>
      </x:c>
      <x:c r="H643" s="23" t="n">
        <x:v>24.295435809064656</x:v>
      </x:c>
      <x:c r="I643" s="23" t="n">
        <x:v>0.8329022960225121</x:v>
      </x:c>
      <x:c r="J643" s="23" t="n">
        <x:v>9</x:v>
      </x:c>
      <x:c r="K643" s="23" t="n">
        <x:v>199.01676560589982</x:v>
      </x:c>
      <x:c r="L643" s="23" t="n">
        <x:v>30</x:v>
      </x:c>
      <x:c r="M643" s="23" t="n">
        <x:v>25</x:v>
      </x:c>
      <x:c r="N643" s="23" t="n">
        <x:v>1.1480193703993666</x:v>
      </x:c>
      <x:c r="O643" s="23" t="n">
        <x:v>52.31231719378339</x:v>
      </x:c>
      <x:c r="P643" s="23" t="n">
        <x:v>1491.8536891811527</x:v>
      </x:c>
      <x:c r="Q643" s="23" t="n">
        <x:v>1.164509845001564</x:v>
      </x:c>
      <x:c r="R643" s="23" t="n">
        <x:v>53.44647989472194</x:v>
      </x:c>
      <x:c r="S643" s="23" t="n">
        <x:v>1465.0894656586963</x:v>
      </x:c>
      <x:c r="T643" s="23" t="n">
        <x:v>0.016490474602197436</x:v>
      </x:c>
      <x:c r="U643" s="23" t="n">
        <x:v>1.1341627009385462</x:v>
      </x:c>
      <x:c r="V643" s="23" t="n">
        <x:v>-26.764223522456405</x:v>
      </x:c>
    </x:row>
    <x:row r="644">
      <x:c r="A644" s="23" t="n">
        <x:v>643</x:v>
      </x:c>
      <x:c r="B644" s="23" t="str">
        <x:v>Train</x:v>
      </x:c>
      <x:c r="C644" s="23" t="str">
        <x:v>Lightning</x:v>
      </x:c>
      <x:c r="D644" s="23" t="n">
        <x:v>1355.7422388112172</x:v>
      </x:c>
      <x:c r="E644" s="23" t="n">
        <x:v>1187.02556170756</x:v>
      </x:c>
      <x:c r="F644" s="23" t="n">
        <x:v>674.0279745310545</x:v>
      </x:c>
      <x:c r="G644" s="23" t="n">
        <x:v>304.20843289000914</x:v>
      </x:c>
      <x:c r="H644" s="23" t="n">
        <x:v>16.868044738657773</x:v>
      </x:c>
      <x:c r="I644" s="23" t="n">
        <x:v>0.8261521673272364</x:v>
      </x:c>
      <x:c r="J644" s="23" t="n">
        <x:v>9</x:v>
      </x:c>
      <x:c r="K644" s="23" t="n">
        <x:v>182.33690171378856</x:v>
      </x:c>
      <x:c r="L644" s="23" t="n">
        <x:v>35</x:v>
      </x:c>
      <x:c r="M644" s="23" t="n">
        <x:v>25</x:v>
      </x:c>
      <x:c r="N644" s="23" t="n">
        <x:v>1.2458152993438862</x:v>
      </x:c>
      <x:c r="O644" s="23" t="n">
        <x:v>52.31261847253638</x:v>
      </x:c>
      <x:c r="P644" s="23" t="n">
        <x:v>1355.7422388112172</x:v>
      </x:c>
      <x:c r="Q644" s="23" t="n">
        <x:v>1.2483050328628393</x:v>
      </x:c>
      <x:c r="R644" s="23" t="n">
        <x:v>52.5757059989364</x:v>
      </x:c>
      <x:c r="S644" s="23" t="n">
        <x:v>1349.8654879314013</x:v>
      </x:c>
      <x:c r="T644" s="23" t="n">
        <x:v>0.0024897335189530967</x:v>
      </x:c>
      <x:c r="U644" s="23" t="n">
        <x:v>0.263087526400021</x:v>
      </x:c>
      <x:c r="V644" s="23" t="n">
        <x:v>-5.876750879815972</x:v>
      </x:c>
    </x:row>
    <x:row r="645">
      <x:c r="A645" s="23" t="n">
        <x:v>644</x:v>
      </x:c>
      <x:c r="B645" s="23" t="str">
        <x:v>Train</x:v>
      </x:c>
      <x:c r="C645" s="23" t="str">
        <x:v>Lightning</x:v>
      </x:c>
      <x:c r="D645" s="23" t="n">
        <x:v>1490.2062549605034</x:v>
      </x:c>
      <x:c r="E645" s="23" t="n">
        <x:v>1041.7760875541717</x:v>
      </x:c>
      <x:c r="F645" s="23" t="n">
        <x:v>685.741716902703</x:v>
      </x:c>
      <x:c r="G645" s="23" t="n">
        <x:v>189.84666307922453</x:v>
      </x:c>
      <x:c r="H645" s="23" t="n">
        <x:v>14.677346668671817</x:v>
      </x:c>
      <x:c r="I645" s="23" t="n">
        <x:v>0.8461818929575384</x:v>
      </x:c>
      <x:c r="J645" s="23" t="n">
        <x:v>9</x:v>
      </x:c>
      <x:c r="K645" s="23" t="n">
        <x:v>195.67716368246374</x:v>
      </x:c>
      <x:c r="L645" s="23" t="n">
        <x:v>40</x:v>
      </x:c>
      <x:c r="M645" s="23" t="n">
        <x:v>25</x:v>
      </x:c>
      <x:c r="N645" s="23" t="n">
        <x:v>1.2348984218070627</x:v>
      </x:c>
      <x:c r="O645" s="23" t="n">
        <x:v>52.273965054600566</x:v>
      </x:c>
      <x:c r="P645" s="23" t="n">
        <x:v>1490.2062549605034</x:v>
      </x:c>
      <x:c r="Q645" s="23" t="n">
        <x:v>1.2452793430427977</x:v>
      </x:c>
      <x:c r="R645" s="23" t="n">
        <x:v>53.298928378454924</x:v>
      </x:c>
      <x:c r="S645" s="23" t="n">
        <x:v>1487.1232076869505</x:v>
      </x:c>
      <x:c r="T645" s="23" t="n">
        <x:v>0.010380921235735086</x:v>
      </x:c>
      <x:c r="U645" s="23" t="n">
        <x:v>1.024963323854358</x:v>
      </x:c>
      <x:c r="V645" s="23" t="n">
        <x:v>-3.083047273552893</x:v>
      </x:c>
    </x:row>
    <x:row r="646">
      <x:c r="A646" s="23" t="n">
        <x:v>645</x:v>
      </x:c>
      <x:c r="B646" s="23" t="str">
        <x:v>Train</x:v>
      </x:c>
      <x:c r="C646" s="23" t="str">
        <x:v>Lightning</x:v>
      </x:c>
      <x:c r="D646" s="23" t="n">
        <x:v>1494.525625789538</x:v>
      </x:c>
      <x:c r="E646" s="23" t="n">
        <x:v>611.6026157396846</x:v>
      </x:c>
      <x:c r="F646" s="23" t="n">
        <x:v>471.48201894015074</x:v>
      </x:c>
      <x:c r="G646" s="23" t="n">
        <x:v>300.0022147153504</x:v>
      </x:c>
      <x:c r="H646" s="23" t="n">
        <x:v>29.60101344436407</x:v>
      </x:c>
      <x:c r="I646" s="23" t="n">
        <x:v>0.8475812857062557</x:v>
      </x:c>
      <x:c r="J646" s="23" t="n">
        <x:v>9</x:v>
      </x:c>
      <x:c r="K646" s="23" t="n">
        <x:v>195.92032724877163</x:v>
      </x:c>
      <x:c r="L646" s="23" t="n">
        <x:v>50</x:v>
      </x:c>
      <x:c r="M646" s="23" t="n">
        <x:v>25</x:v>
      </x:c>
      <x:c r="N646" s="23" t="n">
        <x:v>1.1686660724695737</x:v>
      </x:c>
      <x:c r="O646" s="23" t="n">
        <x:v>52.19065781699194</x:v>
      </x:c>
      <x:c r="P646" s="23" t="n">
        <x:v>1494.525625789538</x:v>
      </x:c>
      <x:c r="Q646" s="23" t="n">
        <x:v>1.157804514231345</x:v>
      </x:c>
      <x:c r="R646" s="23" t="n">
        <x:v>51.16696536743943</x:v>
      </x:c>
      <x:c r="S646" s="23" t="n">
        <x:v>1491.7688512666243</x:v>
      </x:c>
      <x:c r="T646" s="23" t="n">
        <x:v>-0.010861558238228763</x:v>
      </x:c>
      <x:c r="U646" s="23" t="n">
        <x:v>-1.023692449552506</x:v>
      </x:c>
      <x:c r="V646" s="23" t="n">
        <x:v>-2.7567745229137017</x:v>
      </x:c>
    </x:row>
    <x:row r="647">
      <x:c r="A647" s="23" t="n">
        <x:v>646</x:v>
      </x:c>
      <x:c r="B647" s="23" t="str">
        <x:v>Train</x:v>
      </x:c>
      <x:c r="C647" s="23" t="str">
        <x:v>Lightning</x:v>
      </x:c>
      <x:c r="D647" s="23" t="n">
        <x:v>1409.053206362296</x:v>
      </x:c>
      <x:c r="E647" s="23" t="n">
        <x:v>1136.1650515114889</x:v>
      </x:c>
      <x:c r="F647" s="23" t="n">
        <x:v>679.7300574369729</x:v>
      </x:c>
      <x:c r="G647" s="23" t="n">
        <x:v>91.42654148861766</x:v>
      </x:c>
      <x:c r="H647" s="23" t="n">
        <x:v>14.42297343770042</x:v>
      </x:c>
      <x:c r="I647" s="23" t="n">
        <x:v>0.8506291753938422</x:v>
      </x:c>
      <x:c r="J647" s="23" t="n">
        <x:v>9</x:v>
      </x:c>
      <x:c r="K647" s="23" t="n">
        <x:v>184.0537238816201</x:v>
      </x:c>
      <x:c r="L647" s="23" t="n">
        <x:v>40</x:v>
      </x:c>
      <x:c r="M647" s="23" t="n">
        <x:v>25</x:v>
      </x:c>
      <x:c r="N647" s="23" t="n">
        <x:v>1.2274691282486292</x:v>
      </x:c>
      <x:c r="O647" s="23" t="n">
        <x:v>52.2723991283444</x:v>
      </x:c>
      <x:c r="P647" s="23" t="n">
        <x:v>1409.053206362296</x:v>
      </x:c>
      <x:c r="Q647" s="23" t="n">
        <x:v>1.2281136416702456</x:v>
      </x:c>
      <x:c r="R647" s="23" t="n">
        <x:v>52.79648940634359</x:v>
      </x:c>
      <x:c r="S647" s="23" t="n">
        <x:v>1412.4582593812518</x:v>
      </x:c>
      <x:c r="T647" s="23" t="n">
        <x:v>0.0006445134216164217</x:v>
      </x:c>
      <x:c r="U647" s="23" t="n">
        <x:v>0.5240902779991927</x:v>
      </x:c>
      <x:c r="V647" s="23" t="n">
        <x:v>3.4050530189558685</x:v>
      </x:c>
    </x:row>
    <x:row r="648">
      <x:c r="A648" s="23" t="n">
        <x:v>647</x:v>
      </x:c>
      <x:c r="B648" s="23" t="str">
        <x:v>Train</x:v>
      </x:c>
      <x:c r="C648" s="23" t="str">
        <x:v>Lightning</x:v>
      </x:c>
      <x:c r="D648" s="23" t="n">
        <x:v>1496.846768190153</x:v>
      </x:c>
      <x:c r="E648" s="23" t="n">
        <x:v>826.3382777688093</x:v>
      </x:c>
      <x:c r="F648" s="23" t="n">
        <x:v>365.5368059873581</x:v>
      </x:c>
      <x:c r="G648" s="23" t="n">
        <x:v>265.2583102299832</x:v>
      </x:c>
      <x:c r="H648" s="23" t="n">
        <x:v>21.01102492492646</x:v>
      </x:c>
      <x:c r="I648" s="23" t="n">
        <x:v>0.8137257319665514</x:v>
      </x:c>
      <x:c r="J648" s="23" t="n">
        <x:v>10</x:v>
      </x:c>
      <x:c r="K648" s="23" t="n">
        <x:v>183.949789147344</x:v>
      </x:c>
      <x:c r="L648" s="23" t="n">
        <x:v>45</x:v>
      </x:c>
      <x:c r="M648" s="23" t="n">
        <x:v>25</x:v>
      </x:c>
      <x:c r="N648" s="23" t="n">
        <x:v>1.1885136752414664</x:v>
      </x:c>
      <x:c r="O648" s="23" t="n">
        <x:v>52.2274483605081</x:v>
      </x:c>
      <x:c r="P648" s="23" t="n">
        <x:v>1496.846768190153</x:v>
      </x:c>
      <x:c r="Q648" s="23" t="n">
        <x:v>1.1883202522650025</x:v>
      </x:c>
      <x:c r="R648" s="23" t="n">
        <x:v>51.94781767230905</x:v>
      </x:c>
      <x:c r="S648" s="23" t="n">
        <x:v>1501.7978297090804</x:v>
      </x:c>
      <x:c r="T648" s="23" t="n">
        <x:v>-0.0001934229764639639</x:v>
      </x:c>
      <x:c r="U648" s="23" t="n">
        <x:v>-0.2796306881990489</x:v>
      </x:c>
      <x:c r="V648" s="23" t="n">
        <x:v>4.951061518927418</x:v>
      </x:c>
    </x:row>
    <x:row r="649">
      <x:c r="A649" s="23" t="n">
        <x:v>648</x:v>
      </x:c>
      <x:c r="B649" s="23" t="str">
        <x:v>Train</x:v>
      </x:c>
      <x:c r="C649" s="23" t="str">
        <x:v>Lightning</x:v>
      </x:c>
      <x:c r="D649" s="23" t="n">
        <x:v>1434.653954661917</x:v>
      </x:c>
      <x:c r="E649" s="23" t="n">
        <x:v>640.2732339687645</x:v>
      </x:c>
      <x:c r="F649" s="23" t="n">
        <x:v>447.36371701583266</x:v>
      </x:c>
      <x:c r="G649" s="23" t="n">
        <x:v>102.18310500029474</x:v>
      </x:c>
      <x:c r="H649" s="23" t="n">
        <x:v>20.484349576290697</x:v>
      </x:c>
      <x:c r="I649" s="23" t="n">
        <x:v>0.8573653612378985</x:v>
      </x:c>
      <x:c r="J649" s="23" t="n">
        <x:v>9</x:v>
      </x:c>
      <x:c r="K649" s="23" t="n">
        <x:v>185.92539676699607</x:v>
      </x:c>
      <x:c r="L649" s="23" t="n">
        <x:v>65</x:v>
      </x:c>
      <x:c r="M649" s="23" t="n">
        <x:v>25</x:v>
      </x:c>
      <x:c r="N649" s="23" t="n">
        <x:v>1.2333263699233217</x:v>
      </x:c>
      <x:c r="O649" s="23" t="n">
        <x:v>52.16052269222945</x:v>
      </x:c>
      <x:c r="P649" s="23" t="n">
        <x:v>1434.653954661917</x:v>
      </x:c>
      <x:c r="Q649" s="23" t="n">
        <x:v>1.2184541840145444</x:v>
      </x:c>
      <x:c r="R649" s="23" t="n">
        <x:v>52.408986085878745</x:v>
      </x:c>
      <x:c r="S649" s="23" t="n">
        <x:v>1443.485117086087</x:v>
      </x:c>
      <x:c r="T649" s="23" t="n">
        <x:v>-0.014872185908777258</x:v>
      </x:c>
      <x:c r="U649" s="23" t="n">
        <x:v>0.24846339364929548</x:v>
      </x:c>
      <x:c r="V649" s="23" t="n">
        <x:v>8.831162424170088</x:v>
      </x:c>
    </x:row>
    <x:row r="650">
      <x:c r="A650" s="23" t="n">
        <x:v>649</x:v>
      </x:c>
      <x:c r="B650" s="23" t="str">
        <x:v>Train</x:v>
      </x:c>
      <x:c r="C650" s="23" t="str">
        <x:v>Lightning</x:v>
      </x:c>
      <x:c r="D650" s="23" t="n">
        <x:v>1359.4092713668942</x:v>
      </x:c>
      <x:c r="E650" s="23" t="n">
        <x:v>828.9394274703227</x:v>
      </x:c>
      <x:c r="F650" s="23" t="n">
        <x:v>383.20259768515825</x:v>
      </x:c>
      <x:c r="G650" s="23" t="n">
        <x:v>235.21192323649302</x:v>
      </x:c>
      <x:c r="H650" s="23" t="n">
        <x:v>24.327715074643493</x:v>
      </x:c>
      <x:c r="I650" s="23" t="n">
        <x:v>0.8508621884253807</x:v>
      </x:c>
      <x:c r="J650" s="23" t="n">
        <x:v>8</x:v>
      </x:c>
      <x:c r="K650" s="23" t="n">
        <x:v>199.71055387398266</x:v>
      </x:c>
      <x:c r="L650" s="23" t="n">
        <x:v>55</x:v>
      </x:c>
      <x:c r="M650" s="23" t="n">
        <x:v>25</x:v>
      </x:c>
      <x:c r="N650" s="23" t="n">
        <x:v>1.1732707298420444</x:v>
      </x:c>
      <x:c r="O650" s="23" t="n">
        <x:v>52.17560325724712</x:v>
      </x:c>
      <x:c r="P650" s="23" t="n">
        <x:v>1359.4092713668942</x:v>
      </x:c>
      <x:c r="Q650" s="23" t="n">
        <x:v>1.1738418546190033</x:v>
      </x:c>
      <x:c r="R650" s="23" t="n">
        <x:v>52.136037937659694</x:v>
      </x:c>
      <x:c r="S650" s="23" t="n">
        <x:v>1364.6207850042495</x:v>
      </x:c>
      <x:c r="T650" s="23" t="n">
        <x:v>0.0005711247769588645</x:v>
      </x:c>
      <x:c r="U650" s="23" t="n">
        <x:v>-0.0395653195874246</x:v>
      </x:c>
      <x:c r="V650" s="23" t="n">
        <x:v>5.2115136373552104</x:v>
      </x:c>
    </x:row>
    <x:row r="651">
      <x:c r="A651" s="23" t="n">
        <x:v>650</x:v>
      </x:c>
      <x:c r="B651" s="23" t="str">
        <x:v>Train</x:v>
      </x:c>
      <x:c r="C651" s="23" t="str">
        <x:v>Lightning</x:v>
      </x:c>
      <x:c r="D651" s="23" t="n">
        <x:v>1416.8757349834777</x:v>
      </x:c>
      <x:c r="E651" s="23" t="n">
        <x:v>678.7954665953293</x:v>
      </x:c>
      <x:c r="F651" s="23" t="n">
        <x:v>459.21770641580224</x:v>
      </x:c>
      <x:c r="G651" s="23" t="n">
        <x:v>140.74934522621334</x:v>
      </x:c>
      <x:c r="H651" s="23" t="n">
        <x:v>17.933409724850208</x:v>
      </x:c>
      <x:c r="I651" s="23" t="n">
        <x:v>0.8091410281183199</x:v>
      </x:c>
      <x:c r="J651" s="23" t="n">
        <x:v>9</x:v>
      </x:c>
      <x:c r="K651" s="23" t="n">
        <x:v>194.56513975875848</x:v>
      </x:c>
      <x:c r="L651" s="23" t="n">
        <x:v>60</x:v>
      </x:c>
      <x:c r="M651" s="23" t="n">
        <x:v>25</x:v>
      </x:c>
      <x:c r="N651" s="23" t="n">
        <x:v>1.2205467133843944</x:v>
      </x:c>
      <x:c r="O651" s="23" t="n">
        <x:v>52.17439104565616</x:v>
      </x:c>
      <x:c r="P651" s="23" t="n">
        <x:v>1416.8757349834777</x:v>
      </x:c>
      <x:c r="Q651" s="23" t="n">
        <x:v>1.2106457063645113</x:v>
      </x:c>
      <x:c r="R651" s="23" t="n">
        <x:v>52.59664629641023</x:v>
      </x:c>
      <x:c r="S651" s="23" t="n">
        <x:v>1423.7763327680598</x:v>
      </x:c>
      <x:c r="T651" s="23" t="n">
        <x:v>-0.009901007019883057</x:v>
      </x:c>
      <x:c r="U651" s="23" t="n">
        <x:v>0.4222552507540698</x:v>
      </x:c>
      <x:c r="V651" s="23" t="n">
        <x:v>6.9005977845820325</x:v>
      </x:c>
    </x:row>
    <x:row r="652">
      <x:c r="A652" s="23" t="n">
        <x:v>651</x:v>
      </x:c>
      <x:c r="B652" s="23" t="str">
        <x:v>Train</x:v>
      </x:c>
      <x:c r="C652" s="23" t="str">
        <x:v>Lightning</x:v>
      </x:c>
      <x:c r="D652" s="23" t="n">
        <x:v>1481.8648221669719</x:v>
      </x:c>
      <x:c r="E652" s="23" t="n">
        <x:v>723.6199239850976</x:v>
      </x:c>
      <x:c r="F652" s="23" t="n">
        <x:v>385.33260114490986</x:v>
      </x:c>
      <x:c r="G652" s="23" t="n">
        <x:v>137.7174501377158</x:v>
      </x:c>
      <x:c r="H652" s="23" t="n">
        <x:v>25.398257763125002</x:v>
      </x:c>
      <x:c r="I652" s="23" t="n">
        <x:v>0.8160802851500921</x:v>
      </x:c>
      <x:c r="J652" s="23" t="n">
        <x:v>10</x:v>
      </x:c>
      <x:c r="K652" s="23" t="n">
        <x:v>181.58321541788376</x:v>
      </x:c>
      <x:c r="L652" s="23" t="n">
        <x:v>55</x:v>
      </x:c>
      <x:c r="M652" s="23" t="n">
        <x:v>25</x:v>
      </x:c>
      <x:c r="N652" s="23" t="n">
        <x:v>1.2377160657908741</x:v>
      </x:c>
      <x:c r="O652" s="23" t="n">
        <x:v>52.19098557321513</x:v>
      </x:c>
      <x:c r="P652" s="23" t="n">
        <x:v>1481.8648221669719</x:v>
      </x:c>
      <x:c r="Q652" s="23" t="n">
        <x:v>1.223351344476466</x:v>
      </x:c>
      <x:c r="R652" s="23" t="n">
        <x:v>52.24265418734284</x:v>
      </x:c>
      <x:c r="S652" s="23" t="n">
        <x:v>1480.5865098429285</x:v>
      </x:c>
      <x:c r="T652" s="23" t="n">
        <x:v>-0.014364721314408024</x:v>
      </x:c>
      <x:c r="U652" s="23" t="n">
        <x:v>0.0516686141277134</x:v>
      </x:c>
      <x:c r="V652" s="23" t="n">
        <x:v>-1.278312324043327</x:v>
      </x:c>
    </x:row>
    <x:row r="653">
      <x:c r="A653" s="23" t="n">
        <x:v>652</x:v>
      </x:c>
      <x:c r="B653" s="23" t="str">
        <x:v>Train</x:v>
      </x:c>
      <x:c r="C653" s="23" t="str">
        <x:v>Lightning</x:v>
      </x:c>
      <x:c r="D653" s="23" t="n">
        <x:v>1421.9057606882416</x:v>
      </x:c>
      <x:c r="E653" s="23" t="n">
        <x:v>910.7857619877905</x:v>
      </x:c>
      <x:c r="F653" s="23" t="n">
        <x:v>672.4104057066143</x:v>
      </x:c>
      <x:c r="G653" s="23" t="n">
        <x:v>251.86624452006072</x:v>
      </x:c>
      <x:c r="H653" s="23" t="n">
        <x:v>27.331553760450333</x:v>
      </x:c>
      <x:c r="I653" s="23" t="n">
        <x:v>0.8590983013436199</x:v>
      </x:c>
      <x:c r="J653" s="23" t="n">
        <x:v>9</x:v>
      </x:c>
      <x:c r="K653" s="23" t="n">
        <x:v>183.90157298444936</x:v>
      </x:c>
      <x:c r="L653" s="23" t="n">
        <x:v>40</x:v>
      </x:c>
      <x:c r="M653" s="23" t="n">
        <x:v>25</x:v>
      </x:c>
      <x:c r="N653" s="23" t="n">
        <x:v>1.2517313561581886</x:v>
      </x:c>
      <x:c r="O653" s="23" t="n">
        <x:v>52.26113210662454</x:v>
      </x:c>
      <x:c r="P653" s="23" t="n">
        <x:v>1421.9057606882416</x:v>
      </x:c>
      <x:c r="Q653" s="23" t="n">
        <x:v>1.259335460832277</x:v>
      </x:c>
      <x:c r="R653" s="23" t="n">
        <x:v>52.13213435786435</x:v>
      </x:c>
      <x:c r="S653" s="23" t="n">
        <x:v>1409.0303735753978</x:v>
      </x:c>
      <x:c r="T653" s="23" t="n">
        <x:v>0.007604104674088452</x:v>
      </x:c>
      <x:c r="U653" s="23" t="n">
        <x:v>-0.12899774876018455</x:v>
      </x:c>
      <x:c r="V653" s="23" t="n">
        <x:v>-12.875387112843782</x:v>
      </x:c>
    </x:row>
    <x:row r="654">
      <x:c r="A654" s="23" t="n">
        <x:v>653</x:v>
      </x:c>
      <x:c r="B654" s="23" t="str">
        <x:v>Train</x:v>
      </x:c>
      <x:c r="C654" s="23" t="str">
        <x:v>Lightning</x:v>
      </x:c>
      <x:c r="D654" s="23" t="n">
        <x:v>1445.4153121914715</x:v>
      </x:c>
      <x:c r="E654" s="23" t="n">
        <x:v>634.3880548025481</x:v>
      </x:c>
      <x:c r="F654" s="23" t="n">
        <x:v>522.5319346413016</x:v>
      </x:c>
      <x:c r="G654" s="23" t="n">
        <x:v>213.0850010854192</x:v>
      </x:c>
      <x:c r="H654" s="23" t="n">
        <x:v>18.599485654383898</x:v>
      </x:c>
      <x:c r="I654" s="23" t="n">
        <x:v>0.8410756869637408</x:v>
      </x:c>
      <x:c r="J654" s="23" t="n">
        <x:v>9</x:v>
      </x:c>
      <x:c r="K654" s="23" t="n">
        <x:v>190.94797750530097</x:v>
      </x:c>
      <x:c r="L654" s="23" t="n">
        <x:v>55</x:v>
      </x:c>
      <x:c r="M654" s="23" t="n">
        <x:v>25</x:v>
      </x:c>
      <x:c r="N654" s="23" t="n">
        <x:v>1.2084088651798868</x:v>
      </x:c>
      <x:c r="O654" s="23" t="n">
        <x:v>52.18861802814828</x:v>
      </x:c>
      <x:c r="P654" s="23" t="n">
        <x:v>1445.4153121914715</x:v>
      </x:c>
      <x:c r="Q654" s="23" t="n">
        <x:v>1.1991516056480218</x:v>
      </x:c>
      <x:c r="R654" s="23" t="n">
        <x:v>50.49063718943843</x:v>
      </x:c>
      <x:c r="S654" s="23" t="n">
        <x:v>1456.1968808955367</x:v>
      </x:c>
      <x:c r="T654" s="23" t="n">
        <x:v>-0.009257259531864959</x:v>
      </x:c>
      <x:c r="U654" s="23" t="n">
        <x:v>-1.6979808387098458</x:v>
      </x:c>
      <x:c r="V654" s="23" t="n">
        <x:v>10.781568704065194</x:v>
      </x:c>
    </x:row>
    <x:row r="655">
      <x:c r="A655" s="23" t="n">
        <x:v>654</x:v>
      </x:c>
      <x:c r="B655" s="23" t="str">
        <x:v>Train</x:v>
      </x:c>
      <x:c r="C655" s="23" t="str">
        <x:v>Lightning</x:v>
      </x:c>
      <x:c r="D655" s="23" t="n">
        <x:v>1350.267180253286</x:v>
      </x:c>
      <x:c r="E655" s="23" t="n">
        <x:v>659.0256188763306</x:v>
      </x:c>
      <x:c r="F655" s="23" t="n">
        <x:v>547.9718809016049</x:v>
      </x:c>
      <x:c r="G655" s="23" t="n">
        <x:v>104.67808313667774</x:v>
      </x:c>
      <x:c r="H655" s="23" t="n">
        <x:v>16.390806312207133</x:v>
      </x:c>
      <x:c r="I655" s="23" t="n">
        <x:v>0.8284055699361489</x:v>
      </x:c>
      <x:c r="J655" s="23" t="n">
        <x:v>9</x:v>
      </x:c>
      <x:c r="K655" s="23" t="n">
        <x:v>181.10656439257573</x:v>
      </x:c>
      <x:c r="L655" s="23" t="n">
        <x:v>60</x:v>
      </x:c>
      <x:c r="M655" s="23" t="n">
        <x:v>25</x:v>
      </x:c>
      <x:c r="N655" s="23" t="n">
        <x:v>1.2446198220470808</x:v>
      </x:c>
      <x:c r="O655" s="23" t="n">
        <x:v>52.17952301526596</x:v>
      </x:c>
      <x:c r="P655" s="23" t="n">
        <x:v>1350.267180253286</x:v>
      </x:c>
      <x:c r="Q655" s="23" t="n">
        <x:v>1.2409970437916917</x:v>
      </x:c>
      <x:c r="R655" s="23" t="n">
        <x:v>50.763177571293916</x:v>
      </x:c>
      <x:c r="S655" s="23" t="n">
        <x:v>1368.1187241234795</x:v>
      </x:c>
      <x:c r="T655" s="23" t="n">
        <x:v>-0.0036227782553890364</x:v>
      </x:c>
      <x:c r="U655" s="23" t="n">
        <x:v>-1.416345443972041</x:v>
      </x:c>
      <x:c r="V655" s="23" t="n">
        <x:v>17.85154387019361</x:v>
      </x:c>
    </x:row>
    <x:row r="656">
      <x:c r="A656" s="23" t="n">
        <x:v>655</x:v>
      </x:c>
      <x:c r="B656" s="23" t="str">
        <x:v>Validation</x:v>
      </x:c>
      <x:c r="C656" s="23" t="str">
        <x:v>Lightning</x:v>
      </x:c>
      <x:c r="D656" s="23" t="n">
        <x:v>1432.1368543663993</x:v>
      </x:c>
      <x:c r="E656" s="23" t="n">
        <x:v>742.6725161378272</x:v>
      </x:c>
      <x:c r="F656" s="23" t="n">
        <x:v>395.1498456299305</x:v>
      </x:c>
      <x:c r="G656" s="23" t="n">
        <x:v>293.26521824812517</x:v>
      </x:c>
      <x:c r="H656" s="23" t="n">
        <x:v>16.485087930224836</x:v>
      </x:c>
      <x:c r="I656" s="23" t="n">
        <x:v>0.8542108501284383</x:v>
      </x:c>
      <x:c r="J656" s="23" t="n">
        <x:v>9</x:v>
      </x:c>
      <x:c r="K656" s="23" t="n">
        <x:v>186.2845890190883</x:v>
      </x:c>
      <x:c r="L656" s="23" t="n">
        <x:v>55</x:v>
      </x:c>
      <x:c r="M656" s="23" t="n">
        <x:v>25</x:v>
      </x:c>
      <x:c r="N656" s="23" t="n">
        <x:v>1.2505981727989839</x:v>
      </x:c>
      <x:c r="O656" s="23" t="n">
        <x:v>52.198142330913974</x:v>
      </x:c>
      <x:c r="P656" s="23" t="n">
        <x:v>1432.1368543663993</x:v>
      </x:c>
      <x:c r="Q656" s="23" t="n">
        <x:v>1.2475104075147831</x:v>
      </x:c>
      <x:c r="R656" s="23" t="n">
        <x:v>51.986412137162425</x:v>
      </x:c>
      <x:c r="S656" s="23" t="n">
        <x:v>1442.8410382261945</x:v>
      </x:c>
      <x:c r="T656" s="23" t="n">
        <x:v>-0.0030877652842007386</x:v>
      </x:c>
      <x:c r="U656" s="23" t="n">
        <x:v>-0.21173019375154922</x:v>
      </x:c>
      <x:c r="V656" s="23" t="n">
        <x:v>10.704183859795194</x:v>
      </x:c>
    </x:row>
    <x:row r="657">
      <x:c r="A657" s="23" t="n">
        <x:v>656</x:v>
      </x:c>
      <x:c r="B657" s="23" t="str">
        <x:v>Validation</x:v>
      </x:c>
      <x:c r="C657" s="23" t="str">
        <x:v>Lightning</x:v>
      </x:c>
      <x:c r="D657" s="23" t="n">
        <x:v>1467.105389374774</x:v>
      </x:c>
      <x:c r="E657" s="23" t="n">
        <x:v>745.8567133173347</x:v>
      </x:c>
      <x:c r="F657" s="23" t="n">
        <x:v>441.80228849872947</x:v>
      </x:c>
      <x:c r="G657" s="23" t="n">
        <x:v>141.68158550281078</x:v>
      </x:c>
      <x:c r="H657" s="23" t="n">
        <x:v>16.811093220021576</x:v>
      </x:c>
      <x:c r="I657" s="23" t="n">
        <x:v>0.8286131194140762</x:v>
      </x:c>
      <x:c r="J657" s="23" t="n">
        <x:v>9</x:v>
      </x:c>
      <x:c r="K657" s="23" t="n">
        <x:v>196.7283719159531</x:v>
      </x:c>
      <x:c r="L657" s="23" t="n">
        <x:v>55</x:v>
      </x:c>
      <x:c r="M657" s="23" t="n">
        <x:v>25</x:v>
      </x:c>
      <x:c r="N657" s="23" t="n">
        <x:v>1.167644387467336</x:v>
      </x:c>
      <x:c r="O657" s="23" t="n">
        <x:v>52.182277431077694</x:v>
      </x:c>
      <x:c r="P657" s="23" t="n">
        <x:v>1467.105389374774</x:v>
      </x:c>
      <x:c r="Q657" s="23" t="n">
        <x:v>1.1716247104952298</x:v>
      </x:c>
      <x:c r="R657" s="23" t="n">
        <x:v>51.568084256711664</x:v>
      </x:c>
      <x:c r="S657" s="23" t="n">
        <x:v>1485.2772219425062</x:v>
      </x:c>
      <x:c r="T657" s="23" t="n">
        <x:v>0.003980323027893862</x:v>
      </x:c>
      <x:c r="U657" s="23" t="n">
        <x:v>-0.6141931743660294</x:v>
      </x:c>
      <x:c r="V657" s="23" t="n">
        <x:v>18.17183256773228</x:v>
      </x:c>
    </x:row>
    <x:row r="658">
      <x:c r="A658" s="23" t="n">
        <x:v>657</x:v>
      </x:c>
      <x:c r="B658" s="23" t="str">
        <x:v>Validation</x:v>
      </x:c>
      <x:c r="C658" s="23" t="str">
        <x:v>Lightning</x:v>
      </x:c>
      <x:c r="D658" s="23" t="n">
        <x:v>1374.3018158711493</x:v>
      </x:c>
      <x:c r="E658" s="23" t="n">
        <x:v>883.7168564437889</x:v>
      </x:c>
      <x:c r="F658" s="23" t="n">
        <x:v>567.7946338430047</x:v>
      </x:c>
      <x:c r="G658" s="23" t="n">
        <x:v>272.0779478386976</x:v>
      </x:c>
      <x:c r="H658" s="23" t="n">
        <x:v>17.25260171480477</x:v>
      </x:c>
      <x:c r="I658" s="23" t="n">
        <x:v>0.8029271889408119</x:v>
      </x:c>
      <x:c r="J658" s="23" t="n">
        <x:v>9</x:v>
      </x:c>
      <x:c r="K658" s="23" t="n">
        <x:v>190.17938845102103</x:v>
      </x:c>
      <x:c r="L658" s="23" t="n">
        <x:v>45</x:v>
      </x:c>
      <x:c r="M658" s="23" t="n">
        <x:v>25</x:v>
      </x:c>
      <x:c r="N658" s="23" t="n">
        <x:v>1.2515198883664966</x:v>
      </x:c>
      <x:c r="O658" s="23" t="n">
        <x:v>52.243750683139716</x:v>
      </x:c>
      <x:c r="P658" s="23" t="n">
        <x:v>1374.3018158711493</x:v>
      </x:c>
      <x:c r="Q658" s="23" t="n">
        <x:v>1.2672064757845272</x:v>
      </x:c>
      <x:c r="R658" s="23" t="n">
        <x:v>52.72149235566843</x:v>
      </x:c>
      <x:c r="S658" s="23" t="n">
        <x:v>1376.0839933558264</x:v>
      </x:c>
      <x:c r="T658" s="23" t="n">
        <x:v>0.01568658741803053</x:v>
      </x:c>
      <x:c r="U658" s="23" t="n">
        <x:v>0.47774167252871536</x:v>
      </x:c>
      <x:c r="V658" s="23" t="n">
        <x:v>1.7821774846770495</x:v>
      </x:c>
    </x:row>
    <x:row r="659">
      <x:c r="A659" s="23" t="n">
        <x:v>658</x:v>
      </x:c>
      <x:c r="B659" s="23" t="str">
        <x:v>Hidden Test</x:v>
      </x:c>
      <x:c r="C659" s="23" t="str">
        <x:v>Lightning</x:v>
      </x:c>
      <x:c r="D659" s="23" t="n">
        <x:v>1372.3264854052104</x:v>
      </x:c>
      <x:c r="E659" s="23" t="n">
        <x:v>940.2936497004703</x:v>
      </x:c>
      <x:c r="F659" s="23" t="n">
        <x:v>682.7457585372031</x:v>
      </x:c>
      <x:c r="G659" s="23" t="n">
        <x:v>160.09770442731678</x:v>
      </x:c>
      <x:c r="H659" s="23" t="n">
        <x:v>24.762140796054155</x:v>
      </x:c>
      <x:c r="I659" s="23" t="n">
        <x:v>0.8332792418682948</x:v>
      </x:c>
      <x:c r="J659" s="23" t="n">
        <x:v>9</x:v>
      </x:c>
      <x:c r="K659" s="23" t="n">
        <x:v>182.98874247569398</x:v>
      </x:c>
      <x:c r="L659" s="23" t="n">
        <x:v>40</x:v>
      </x:c>
      <x:c r="M659" s="23" t="n">
        <x:v>25</x:v>
      </x:c>
      <x:c r="N659" s="23" t="n">
        <x:v>1.2070981739149278</x:v>
      </x:c>
      <x:c r="O659" s="23" t="n">
        <x:v>52.25303565429228</x:v>
      </x:c>
      <x:c r="P659" s="23" t="n">
        <x:v>1372.3264854052104</x:v>
      </x:c>
      <x:c r="Q659" s="23" t="n">
        <x:v>1.2001287636006757</x:v>
      </x:c>
      <x:c r="R659" s="23" t="n">
        <x:v>52.10648344203689</x:v>
      </x:c>
      <x:c r="S659" s="23" t="n">
        <x:v>1363.9996363839437</x:v>
      </x:c>
      <x:c r="T659" s="23" t="n">
        <x:v>-0.0069694103142521335</x:v>
      </x:c>
      <x:c r="U659" s="23" t="n">
        <x:v>-0.1465522122553935</x:v>
      </x:c>
      <x:c r="V659" s="23" t="n">
        <x:v>-8.326849021266753</x:v>
      </x:c>
    </x:row>
    <x:row r="660">
      <x:c r="A660" s="23" t="n">
        <x:v>659</x:v>
      </x:c>
      <x:c r="B660" s="23" t="str">
        <x:v>Hidden Test</x:v>
      </x:c>
      <x:c r="C660" s="23" t="str">
        <x:v>Lightning</x:v>
      </x:c>
      <x:c r="D660" s="23" t="n">
        <x:v>1481.9105373462662</x:v>
      </x:c>
      <x:c r="E660" s="23" t="n">
        <x:v>914.5414553233422</x:v>
      </x:c>
      <x:c r="F660" s="23" t="n">
        <x:v>515.763857588172</x:v>
      </x:c>
      <x:c r="G660" s="23" t="n">
        <x:v>192.17446316732094</x:v>
      </x:c>
      <x:c r="H660" s="23" t="n">
        <x:v>8.644210872240365</x:v>
      </x:c>
      <x:c r="I660" s="23" t="n">
        <x:v>0.8163951268489473</x:v>
      </x:c>
      <x:c r="J660" s="23" t="n">
        <x:v>10</x:v>
      </x:c>
      <x:c r="K660" s="23" t="n">
        <x:v>181.51878773039948</x:v>
      </x:c>
      <x:c r="L660" s="23" t="n">
        <x:v>45</x:v>
      </x:c>
      <x:c r="M660" s="23" t="n">
        <x:v>25</x:v>
      </x:c>
      <x:c r="N660" s="23" t="n">
        <x:v>1.2587545317399416</x:v>
      </x:c>
      <x:c r="O660" s="23" t="n">
        <x:v>52.256094621205655</x:v>
      </x:c>
      <x:c r="P660" s="23" t="n">
        <x:v>1481.9105373462662</x:v>
      </x:c>
      <x:c r="Q660" s="23" t="n">
        <x:v>1.2545827544665331</x:v>
      </x:c>
      <x:c r="R660" s="23" t="n">
        <x:v>52.12336523746866</x:v>
      </x:c>
      <x:c r="S660" s="23" t="n">
        <x:v>1483.5434898178426</x:v>
      </x:c>
      <x:c r="T660" s="23" t="n">
        <x:v>-0.00417177727340845</x:v>
      </x:c>
      <x:c r="U660" s="23" t="n">
        <x:v>-0.1327293837369936</x:v>
      </x:c>
      <x:c r="V660" s="23" t="n">
        <x:v>1.6329524715763455</x:v>
      </x:c>
    </x:row>
    <x:row r="661">
      <x:c r="A661" s="23" t="n">
        <x:v>660</x:v>
      </x:c>
      <x:c r="B661" s="23" t="str">
        <x:v>Hidden Test</x:v>
      </x:c>
      <x:c r="C661" s="23" t="str">
        <x:v>Lightning</x:v>
      </x:c>
      <x:c r="D661" s="23" t="n">
        <x:v>1396.5192606090568</x:v>
      </x:c>
      <x:c r="E661" s="23" t="n">
        <x:v>1066.5937735233456</x:v>
      </x:c>
      <x:c r="F661" s="23" t="n">
        <x:v>414.1957717947662</x:v>
      </x:c>
      <x:c r="G661" s="23" t="n">
        <x:v>305.92117020394653</x:v>
      </x:c>
      <x:c r="H661" s="23" t="n">
        <x:v>29.546863123308867</x:v>
      </x:c>
      <x:c r="I661" s="23" t="n">
        <x:v>0.8457894307561219</x:v>
      </x:c>
      <x:c r="J661" s="23" t="n">
        <x:v>9</x:v>
      </x:c>
      <x:c r="K661" s="23" t="n">
        <x:v>183.4603284125001</x:v>
      </x:c>
      <x:c r="L661" s="23" t="n">
        <x:v>40</x:v>
      </x:c>
      <x:c r="M661" s="23" t="n">
        <x:v>25</x:v>
      </x:c>
      <x:c r="N661" s="23" t="n">
        <x:v>1.2336608666267461</x:v>
      </x:c>
      <x:c r="O661" s="23" t="n">
        <x:v>52.253592868317774</x:v>
      </x:c>
      <x:c r="P661" s="23" t="n">
        <x:v>1396.5192606090568</x:v>
      </x:c>
      <x:c r="Q661" s="23" t="n">
        <x:v>1.223112190970486</x:v>
      </x:c>
      <x:c r="R661" s="23" t="n">
        <x:v>51.958042256189444</x:v>
      </x:c>
      <x:c r="S661" s="23" t="n">
        <x:v>1382.4338020118334</x:v>
      </x:c>
      <x:c r="T661" s="23" t="n">
        <x:v>-0.010548675656260054</x:v>
      </x:c>
      <x:c r="U661" s="23" t="n">
        <x:v>-0.29555061212833067</x:v>
      </x:c>
      <x:c r="V661" s="23" t="n">
        <x:v>-14.08545859722335</x:v>
      </x:c>
    </x:row>
    <x:row r="662">
      <x:c r="A662" s="23" t="n">
        <x:v>661</x:v>
      </x:c>
      <x:c r="B662" s="23" t="str">
        <x:v>Train</x:v>
      </x:c>
      <x:c r="C662" s="23" t="str">
        <x:v>Lightning</x:v>
      </x:c>
      <x:c r="D662" s="23" t="n">
        <x:v>1403.6268301773816</x:v>
      </x:c>
      <x:c r="E662" s="23" t="n">
        <x:v>751.2818757328205</x:v>
      </x:c>
      <x:c r="F662" s="23" t="n">
        <x:v>360.86052637547255</x:v>
      </x:c>
      <x:c r="G662" s="23" t="n">
        <x:v>150.0577016104944</x:v>
      </x:c>
      <x:c r="H662" s="23" t="n">
        <x:v>17.221537724137306</x:v>
      </x:c>
      <x:c r="I662" s="23" t="n">
        <x:v>0.8513256160751916</x:v>
      </x:c>
      <x:c r="J662" s="23" t="n">
        <x:v>9</x:v>
      </x:c>
      <x:c r="K662" s="23" t="n">
        <x:v>183.19493004965682</x:v>
      </x:c>
      <x:c r="L662" s="23" t="n">
        <x:v>60</x:v>
      </x:c>
      <x:c r="M662" s="23" t="n">
        <x:v>25</x:v>
      </x:c>
      <x:c r="N662" s="23" t="n">
        <x:v>1.202985337314514</x:v>
      </x:c>
      <x:c r="O662" s="23" t="n">
        <x:v>52.171808551172354</x:v>
      </x:c>
      <x:c r="P662" s="23" t="n">
        <x:v>1403.6268301773816</x:v>
      </x:c>
      <x:c r="Q662" s="23" t="n">
        <x:v>1.2010320134087928</x:v>
      </x:c>
      <x:c r="R662" s="23" t="n">
        <x:v>52.64271189570121</x:v>
      </x:c>
      <x:c r="S662" s="23" t="n">
        <x:v>1412.0026673869015</x:v>
      </x:c>
      <x:c r="T662" s="23" t="n">
        <x:v>-0.001953323905721227</x:v>
      </x:c>
      <x:c r="U662" s="23" t="n">
        <x:v>0.47090334452885685</x:v>
      </x:c>
      <x:c r="V662" s="23" t="n">
        <x:v>8.375837209519887</x:v>
      </x:c>
    </x:row>
    <x:row r="663">
      <x:c r="A663" s="23" t="n">
        <x:v>662</x:v>
      </x:c>
      <x:c r="B663" s="23" t="str">
        <x:v>Train</x:v>
      </x:c>
      <x:c r="C663" s="23" t="str">
        <x:v>Lightning</x:v>
      </x:c>
      <x:c r="D663" s="23" t="n">
        <x:v>1479.051115096081</x:v>
      </x:c>
      <x:c r="E663" s="23" t="n">
        <x:v>1218.6505010118708</x:v>
      </x:c>
      <x:c r="F663" s="23" t="n">
        <x:v>429.1636717505753</x:v>
      </x:c>
      <x:c r="G663" s="23" t="n">
        <x:v>83.2173846848309</x:v>
      </x:c>
      <x:c r="H663" s="23" t="n">
        <x:v>27.910837000701576</x:v>
      </x:c>
      <x:c r="I663" s="23" t="n">
        <x:v>0.8382111897086725</x:v>
      </x:c>
      <x:c r="J663" s="23" t="n">
        <x:v>9</x:v>
      </x:c>
      <x:c r="K663" s="23" t="n">
        <x:v>196.05919702118376</x:v>
      </x:c>
      <x:c r="L663" s="23" t="n">
        <x:v>40</x:v>
      </x:c>
      <x:c r="M663" s="23" t="n">
        <x:v>25</x:v>
      </x:c>
      <x:c r="N663" s="23" t="n">
        <x:v>1.191599585491406</x:v>
      </x:c>
      <x:c r="O663" s="23" t="n">
        <x:v>52.244911095594965</x:v>
      </x:c>
      <x:c r="P663" s="23" t="n">
        <x:v>1479.051115096081</x:v>
      </x:c>
      <x:c r="Q663" s="23" t="n">
        <x:v>1.1932535182747777</x:v>
      </x:c>
      <x:c r="R663" s="23" t="n">
        <x:v>52.93910449899505</x:v>
      </x:c>
      <x:c r="S663" s="23" t="n">
        <x:v>1464.4811006801165</x:v>
      </x:c>
      <x:c r="T663" s="23" t="n">
        <x:v>0.001653932783371559</x:v>
      </x:c>
      <x:c r="U663" s="23" t="n">
        <x:v>0.6941934034000852</x:v>
      </x:c>
      <x:c r="V663" s="23" t="n">
        <x:v>-14.570014415964579</x:v>
      </x:c>
    </x:row>
    <x:row r="664">
      <x:c r="A664" s="23" t="n">
        <x:v>663</x:v>
      </x:c>
      <x:c r="B664" s="23" t="str">
        <x:v>Train</x:v>
      </x:c>
      <x:c r="C664" s="23" t="str">
        <x:v>Lightning</x:v>
      </x:c>
      <x:c r="D664" s="23" t="n">
        <x:v>1428.2156405271962</x:v>
      </x:c>
      <x:c r="E664" s="23" t="n">
        <x:v>705.9878179919906</x:v>
      </x:c>
      <x:c r="F664" s="23" t="n">
        <x:v>612.2691079974174</x:v>
      </x:c>
      <x:c r="G664" s="23" t="n">
        <x:v>318.3853690116666</x:v>
      </x:c>
      <x:c r="H664" s="23" t="n">
        <x:v>26.95266010891646</x:v>
      </x:c>
      <x:c r="I664" s="23" t="n">
        <x:v>0.846513194104191</x:v>
      </x:c>
      <x:c r="J664" s="23" t="n">
        <x:v>9</x:v>
      </x:c>
      <x:c r="K664" s="23" t="n">
        <x:v>187.4638550591947</x:v>
      </x:c>
      <x:c r="L664" s="23" t="n">
        <x:v>45</x:v>
      </x:c>
      <x:c r="M664" s="23" t="n">
        <x:v>25</x:v>
      </x:c>
      <x:c r="N664" s="23" t="n">
        <x:v>1.2380960307804392</x:v>
      </x:c>
      <x:c r="O664" s="23" t="n">
        <x:v>52.230193449848045</x:v>
      </x:c>
      <x:c r="P664" s="23" t="n">
        <x:v>1428.2156405271962</x:v>
      </x:c>
      <x:c r="Q664" s="23" t="n">
        <x:v>1.231732752529415</x:v>
      </x:c>
      <x:c r="R664" s="23" t="n">
        <x:v>52.664240635894004</x:v>
      </x:c>
      <x:c r="S664" s="23" t="n">
        <x:v>1411.4552445155748</x:v>
      </x:c>
      <x:c r="T664" s="23" t="n">
        <x:v>-0.006363278251024118</x:v>
      </x:c>
      <x:c r="U664" s="23" t="n">
        <x:v>0.4340471860459587</x:v>
      </x:c>
      <x:c r="V664" s="23" t="n">
        <x:v>-16.760396011621424</x:v>
      </x:c>
    </x:row>
    <x:row r="665">
      <x:c r="A665" s="23" t="n">
        <x:v>664</x:v>
      </x:c>
      <x:c r="B665" s="23" t="str">
        <x:v>Train</x:v>
      </x:c>
      <x:c r="C665" s="23" t="str">
        <x:v>Lightning</x:v>
      </x:c>
      <x:c r="D665" s="23" t="n">
        <x:v>1426.6716296668164</x:v>
      </x:c>
      <x:c r="E665" s="23" t="n">
        <x:v>945.7191987894475</x:v>
      </x:c>
      <x:c r="F665" s="23" t="n">
        <x:v>597.8825769387186</x:v>
      </x:c>
      <x:c r="G665" s="23" t="n">
        <x:v>105.50381852779537</x:v>
      </x:c>
      <x:c r="H665" s="23" t="n">
        <x:v>12.624573518987745</x:v>
      </x:c>
      <x:c r="I665" s="23" t="n">
        <x:v>0.826368781523779</x:v>
      </x:c>
      <x:c r="J665" s="23" t="n">
        <x:v>9</x:v>
      </x:c>
      <x:c r="K665" s="23" t="n">
        <x:v>191.82606302077272</x:v>
      </x:c>
      <x:c r="L665" s="23" t="n">
        <x:v>45</x:v>
      </x:c>
      <x:c r="M665" s="23" t="n">
        <x:v>25</x:v>
      </x:c>
      <x:c r="N665" s="23" t="n">
        <x:v>1.178648809585958</x:v>
      </x:c>
      <x:c r="O665" s="23" t="n">
        <x:v>52.232136789784356</x:v>
      </x:c>
      <x:c r="P665" s="23" t="n">
        <x:v>1426.6716296668164</x:v>
      </x:c>
      <x:c r="Q665" s="23" t="n">
        <x:v>1.1949300596954826</x:v>
      </x:c>
      <x:c r="R665" s="23" t="n">
        <x:v>51.85466655801876</x:v>
      </x:c>
      <x:c r="S665" s="23" t="n">
        <x:v>1431.9766892583852</x:v>
      </x:c>
      <x:c r="T665" s="23" t="n">
        <x:v>0.016281250109524636</x:v>
      </x:c>
      <x:c r="U665" s="23" t="n">
        <x:v>-0.37747023176559935</x:v>
      </x:c>
      <x:c r="V665" s="23" t="n">
        <x:v>5.305059591568806</x:v>
      </x:c>
    </x:row>
    <x:row r="666">
      <x:c r="A666" s="23" t="n">
        <x:v>665</x:v>
      </x:c>
      <x:c r="B666" s="23" t="str">
        <x:v>Train</x:v>
      </x:c>
      <x:c r="C666" s="23" t="str">
        <x:v>Lightning</x:v>
      </x:c>
      <x:c r="D666" s="23" t="n">
        <x:v>1402.282440662384</x:v>
      </x:c>
      <x:c r="E666" s="23" t="n">
        <x:v>1098.1329197413288</x:v>
      </x:c>
      <x:c r="F666" s="23" t="n">
        <x:v>689.4933031871915</x:v>
      </x:c>
      <x:c r="G666" s="23" t="n">
        <x:v>320.5717806541361</x:v>
      </x:c>
      <x:c r="H666" s="23" t="n">
        <x:v>12.59450807981193</x:v>
      </x:c>
      <x:c r="I666" s="23" t="n">
        <x:v>0.843311504770536</x:v>
      </x:c>
      <x:c r="J666" s="23" t="n">
        <x:v>9</x:v>
      </x:c>
      <x:c r="K666" s="23" t="n">
        <x:v>184.75872698546155</x:v>
      </x:c>
      <x:c r="L666" s="23" t="n">
        <x:v>35</x:v>
      </x:c>
      <x:c r="M666" s="23" t="n">
        <x:v>25</x:v>
      </x:c>
      <x:c r="N666" s="23" t="n">
        <x:v>1.189556705373707</x:v>
      </x:c>
      <x:c r="O666" s="23" t="n">
        <x:v>52.303720773708626</x:v>
      </x:c>
      <x:c r="P666" s="23" t="n">
        <x:v>1402.282440662384</x:v>
      </x:c>
      <x:c r="Q666" s="23" t="n">
        <x:v>1.2109107660717298</x:v>
      </x:c>
      <x:c r="R666" s="23" t="n">
        <x:v>52.864593398849365</x:v>
      </x:c>
      <x:c r="S666" s="23" t="n">
        <x:v>1389.6882143699315</x:v>
      </x:c>
      <x:c r="T666" s="23" t="n">
        <x:v>0.021354060698022703</x:v>
      </x:c>
      <x:c r="U666" s="23" t="n">
        <x:v>0.560872625140739</x:v>
      </x:c>
      <x:c r="V666" s="23" t="n">
        <x:v>-12.594226292452504</x:v>
      </x:c>
    </x:row>
    <x:row r="667">
      <x:c r="A667" s="23" t="n">
        <x:v>666</x:v>
      </x:c>
      <x:c r="B667" s="23" t="str">
        <x:v>Train</x:v>
      </x:c>
      <x:c r="C667" s="23" t="str">
        <x:v>Lightning</x:v>
      </x:c>
      <x:c r="D667" s="23" t="n">
        <x:v>1498.760273179505</x:v>
      </x:c>
      <x:c r="E667" s="23" t="n">
        <x:v>726.2053499231115</x:v>
      </x:c>
      <x:c r="F667" s="23" t="n">
        <x:v>696.7845843173563</x:v>
      </x:c>
      <x:c r="G667" s="23" t="n">
        <x:v>145.39877294562757</x:v>
      </x:c>
      <x:c r="H667" s="23" t="n">
        <x:v>25.736779626924545</x:v>
      </x:c>
      <x:c r="I667" s="23" t="n">
        <x:v>0.7909609153913334</x:v>
      </x:c>
      <x:c r="J667" s="23" t="n">
        <x:v>10</x:v>
      </x:c>
      <x:c r="K667" s="23" t="n">
        <x:v>189.48600923447435</x:v>
      </x:c>
      <x:c r="L667" s="23" t="n">
        <x:v>40</x:v>
      </x:c>
      <x:c r="M667" s="23" t="n">
        <x:v>25</x:v>
      </x:c>
      <x:c r="N667" s="23" t="n">
        <x:v>1.1743414448973788</x:v>
      </x:c>
      <x:c r="O667" s="23" t="n">
        <x:v>52.24672334351998</x:v>
      </x:c>
      <x:c r="P667" s="23" t="n">
        <x:v>1498.760273179505</x:v>
      </x:c>
      <x:c r="Q667" s="23" t="n">
        <x:v>1.1749208248271217</x:v>
      </x:c>
      <x:c r="R667" s="23" t="n">
        <x:v>52.722636993114726</x:v>
      </x:c>
      <x:c r="S667" s="23" t="n">
        <x:v>1484.2791465179384</x:v>
      </x:c>
      <x:c r="T667" s="23" t="n">
        <x:v>0.0005793799297428848</x:v>
      </x:c>
      <x:c r="U667" s="23" t="n">
        <x:v>0.47591364959474447</x:v>
      </x:c>
      <x:c r="V667" s="23" t="n">
        <x:v>-14.481126661566577</x:v>
      </x:c>
    </x:row>
    <x:row r="668">
      <x:c r="A668" s="23" t="n">
        <x:v>667</x:v>
      </x:c>
      <x:c r="B668" s="23" t="str">
        <x:v>Train</x:v>
      </x:c>
      <x:c r="C668" s="23" t="str">
        <x:v>Lightning</x:v>
      </x:c>
      <x:c r="D668" s="23" t="n">
        <x:v>1472.4869549972937</x:v>
      </x:c>
      <x:c r="E668" s="23" t="n">
        <x:v>964.7672866121866</x:v>
      </x:c>
      <x:c r="F668" s="23" t="n">
        <x:v>393.8106659799814</x:v>
      </x:c>
      <x:c r="G668" s="23" t="n">
        <x:v>107.01094857184216</x:v>
      </x:c>
      <x:c r="H668" s="23" t="n">
        <x:v>26.32059141341597</x:v>
      </x:c>
      <x:c r="I668" s="23" t="n">
        <x:v>0.8142324460553937</x:v>
      </x:c>
      <x:c r="J668" s="23" t="n">
        <x:v>10</x:v>
      </x:c>
      <x:c r="K668" s="23" t="n">
        <x:v>180.8435615813224</x:v>
      </x:c>
      <x:c r="L668" s="23" t="n">
        <x:v>45</x:v>
      </x:c>
      <x:c r="M668" s="23" t="n">
        <x:v>25</x:v>
      </x:c>
      <x:c r="N668" s="23" t="n">
        <x:v>1.217380699788551</x:v>
      </x:c>
      <x:c r="O668" s="23" t="n">
        <x:v>52.228913277126665</x:v>
      </x:c>
      <x:c r="P668" s="23" t="n">
        <x:v>1472.4869549972937</x:v>
      </x:c>
      <x:c r="Q668" s="23" t="n">
        <x:v>1.2167798211088776</x:v>
      </x:c>
      <x:c r="R668" s="23" t="n">
        <x:v>51.33212810460602</x:v>
      </x:c>
      <x:c r="S668" s="23" t="n">
        <x:v>1470.7571151336574</x:v>
      </x:c>
      <x:c r="T668" s="23" t="n">
        <x:v>-0.0006008786796734</x:v>
      </x:c>
      <x:c r="U668" s="23" t="n">
        <x:v>-0.8967851725206444</x:v>
      </x:c>
      <x:c r="V668" s="23" t="n">
        <x:v>-1.7298398636362435</x:v>
      </x:c>
    </x:row>
    <x:row r="669">
      <x:c r="A669" s="23" t="n">
        <x:v>668</x:v>
      </x:c>
      <x:c r="B669" s="23" t="str">
        <x:v>Train</x:v>
      </x:c>
      <x:c r="C669" s="23" t="str">
        <x:v>Lightning</x:v>
      </x:c>
      <x:c r="D669" s="23" t="n">
        <x:v>1378.3918284229003</x:v>
      </x:c>
      <x:c r="E669" s="23" t="n">
        <x:v>1005.6685707997531</x:v>
      </x:c>
      <x:c r="F669" s="23" t="n">
        <x:v>523.079779278487</x:v>
      </x:c>
      <x:c r="G669" s="23" t="n">
        <x:v>151.26919541042298</x:v>
      </x:c>
      <x:c r="H669" s="23" t="n">
        <x:v>22.65266242204234</x:v>
      </x:c>
      <x:c r="I669" s="23" t="n">
        <x:v>0.7903549172729254</x:v>
      </x:c>
      <x:c r="J669" s="23" t="n">
        <x:v>9</x:v>
      </x:c>
      <x:c r="K669" s="23" t="n">
        <x:v>193.7795846592514</x:v>
      </x:c>
      <x:c r="L669" s="23" t="n">
        <x:v>45</x:v>
      </x:c>
      <x:c r="M669" s="23" t="n">
        <x:v>25</x:v>
      </x:c>
      <x:c r="N669" s="23" t="n">
        <x:v>1.247587251457165</x:v>
      </x:c>
      <x:c r="O669" s="23" t="n">
        <x:v>52.23695673578031</x:v>
      </x:c>
      <x:c r="P669" s="23" t="n">
        <x:v>1378.3918284229003</x:v>
      </x:c>
      <x:c r="Q669" s="23" t="n">
        <x:v>1.253296157731498</x:v>
      </x:c>
      <x:c r="R669" s="23" t="n">
        <x:v>53.21404086034808</x:v>
      </x:c>
      <x:c r="S669" s="23" t="n">
        <x:v>1374.1648239664084</x:v>
      </x:c>
      <x:c r="T669" s="23" t="n">
        <x:v>0.005708906274332959</x:v>
      </x:c>
      <x:c r="U669" s="23" t="n">
        <x:v>0.9770841245677673</x:v>
      </x:c>
      <x:c r="V669" s="23" t="n">
        <x:v>-4.227004456491841</x:v>
      </x:c>
    </x:row>
    <x:row r="670">
      <x:c r="A670" s="23" t="n">
        <x:v>669</x:v>
      </x:c>
      <x:c r="B670" s="23" t="str">
        <x:v>Train</x:v>
      </x:c>
      <x:c r="C670" s="23" t="str">
        <x:v>Lightning</x:v>
      </x:c>
      <x:c r="D670" s="23" t="n">
        <x:v>1378.3237501513213</x:v>
      </x:c>
      <x:c r="E670" s="23" t="n">
        <x:v>711.0669040004723</x:v>
      </x:c>
      <x:c r="F670" s="23" t="n">
        <x:v>437.2772729024291</x:v>
      </x:c>
      <x:c r="G670" s="23" t="n">
        <x:v>140.6906905886717</x:v>
      </x:c>
      <x:c r="H670" s="23" t="n">
        <x:v>28.30768097564578</x:v>
      </x:c>
      <x:c r="I670" s="23" t="n">
        <x:v>0.859584716076497</x:v>
      </x:c>
      <x:c r="J670" s="23" t="n">
        <x:v>9</x:v>
      </x:c>
      <x:c r="K670" s="23" t="n">
        <x:v>178.1640372215713</x:v>
      </x:c>
      <x:c r="L670" s="23" t="n">
        <x:v>55</x:v>
      </x:c>
      <x:c r="M670" s="23" t="n">
        <x:v>25</x:v>
      </x:c>
      <x:c r="N670" s="23" t="n">
        <x:v>1.1789303200908308</x:v>
      </x:c>
      <x:c r="O670" s="23" t="n">
        <x:v>52.175992761713616</x:v>
      </x:c>
      <x:c r="P670" s="23" t="n">
        <x:v>1378.3237501513213</x:v>
      </x:c>
      <x:c r="Q670" s="23" t="n">
        <x:v>1.1586545766263847</x:v>
      </x:c>
      <x:c r="R670" s="23" t="n">
        <x:v>51.32286464438011</x:v>
      </x:c>
      <x:c r="S670" s="23" t="n">
        <x:v>1369.183998710597</x:v>
      </x:c>
      <x:c r="T670" s="23" t="n">
        <x:v>-0.02027574346444605</x:v>
      </x:c>
      <x:c r="U670" s="23" t="n">
        <x:v>-0.8531281173335046</x:v>
      </x:c>
      <x:c r="V670" s="23" t="n">
        <x:v>-9.13975144072424</x:v>
      </x:c>
    </x:row>
    <x:row r="671">
      <x:c r="A671" s="23" t="n">
        <x:v>670</x:v>
      </x:c>
      <x:c r="B671" s="23" t="str">
        <x:v>Train</x:v>
      </x:c>
      <x:c r="C671" s="23" t="str">
        <x:v>Lightning</x:v>
      </x:c>
      <x:c r="D671" s="23" t="n">
        <x:v>1401.0396048543043</x:v>
      </x:c>
      <x:c r="E671" s="23" t="n">
        <x:v>745.9479964105412</x:v>
      </x:c>
      <x:c r="F671" s="23" t="n">
        <x:v>745.1811929233372</x:v>
      </x:c>
      <x:c r="G671" s="23" t="n">
        <x:v>248.48619189113379</x:v>
      </x:c>
      <x:c r="H671" s="23" t="n">
        <x:v>11.30656327540055</x:v>
      </x:c>
      <x:c r="I671" s="23" t="n">
        <x:v>0.8295483502326534</x:v>
      </x:c>
      <x:c r="J671" s="23" t="n">
        <x:v>9</x:v>
      </x:c>
      <x:c r="K671" s="23" t="n">
        <x:v>187.65761774147902</x:v>
      </x:c>
      <x:c r="L671" s="23" t="n">
        <x:v>45</x:v>
      </x:c>
      <x:c r="M671" s="23" t="n">
        <x:v>25</x:v>
      </x:c>
      <x:c r="N671" s="23" t="n">
        <x:v>1.2334905900325834</x:v>
      </x:c>
      <x:c r="O671" s="23" t="n">
        <x:v>52.24624952831751</x:v>
      </x:c>
      <x:c r="P671" s="23" t="n">
        <x:v>1401.0396048543043</x:v>
      </x:c>
      <x:c r="Q671" s="23" t="n">
        <x:v>1.2460253597495192</x:v>
      </x:c>
      <x:c r="R671" s="23" t="n">
        <x:v>51.13257463971666</x:v>
      </x:c>
      <x:c r="S671" s="23" t="n">
        <x:v>1407.4240489008657</x:v>
      </x:c>
      <x:c r="T671" s="23" t="n">
        <x:v>0.01253476971693579</x:v>
      </x:c>
      <x:c r="U671" s="23" t="n">
        <x:v>-1.1136748886008547</x:v>
      </x:c>
      <x:c r="V671" s="23" t="n">
        <x:v>6.384444046561384</x:v>
      </x:c>
    </x:row>
    <x:row r="672">
      <x:c r="A672" s="23" t="n">
        <x:v>671</x:v>
      </x:c>
      <x:c r="B672" s="23" t="str">
        <x:v>Train</x:v>
      </x:c>
      <x:c r="C672" s="23" t="str">
        <x:v>Lightning</x:v>
      </x:c>
      <x:c r="D672" s="23" t="n">
        <x:v>1421.9040151918307</x:v>
      </x:c>
      <x:c r="E672" s="23" t="n">
        <x:v>670.6219709594734</x:v>
      </x:c>
      <x:c r="F672" s="23" t="n">
        <x:v>559.0187691152096</x:v>
      </x:c>
      <x:c r="G672" s="23" t="n">
        <x:v>243.1804271019064</x:v>
      </x:c>
      <x:c r="H672" s="23" t="n">
        <x:v>26.430613867007196</x:v>
      </x:c>
      <x:c r="I672" s="23" t="n">
        <x:v>0.8369015131308698</x:v>
      </x:c>
      <x:c r="J672" s="23" t="n">
        <x:v>9</x:v>
      </x:c>
      <x:c r="K672" s="23" t="n">
        <x:v>188.77888561853882</x:v>
      </x:c>
      <x:c r="L672" s="23" t="n">
        <x:v>50</x:v>
      </x:c>
      <x:c r="M672" s="23" t="n">
        <x:v>25</x:v>
      </x:c>
      <x:c r="N672" s="23" t="n">
        <x:v>1.2233047660882004</x:v>
      </x:c>
      <x:c r="O672" s="23" t="n">
        <x:v>52.204649640492015</x:v>
      </x:c>
      <x:c r="P672" s="23" t="n">
        <x:v>1421.9040151918307</x:v>
      </x:c>
      <x:c r="Q672" s="23" t="n">
        <x:v>1.226018492097503</x:v>
      </x:c>
      <x:c r="R672" s="23" t="n">
        <x:v>51.88511897371674</x:v>
      </x:c>
      <x:c r="S672" s="23" t="n">
        <x:v>1414.1754482238102</x:v>
      </x:c>
      <x:c r="T672" s="23" t="n">
        <x:v>0.0027137260093026416</x:v>
      </x:c>
      <x:c r="U672" s="23" t="n">
        <x:v>-0.31953066677527175</x:v>
      </x:c>
      <x:c r="V672" s="23" t="n">
        <x:v>-7.728566968020459</x:v>
      </x:c>
    </x:row>
    <x:row r="673">
      <x:c r="A673" s="23" t="n">
        <x:v>672</x:v>
      </x:c>
      <x:c r="B673" s="23" t="str">
        <x:v>Train</x:v>
      </x:c>
      <x:c r="C673" s="23" t="str">
        <x:v>Lightning</x:v>
      </x:c>
      <x:c r="D673" s="23" t="n">
        <x:v>1434.3673659372143</x:v>
      </x:c>
      <x:c r="E673" s="23" t="n">
        <x:v>1142.5196297466755</x:v>
      </x:c>
      <x:c r="F673" s="23" t="n">
        <x:v>620.8604722283781</x:v>
      </x:c>
      <x:c r="G673" s="23" t="n">
        <x:v>156.2269563274458</x:v>
      </x:c>
      <x:c r="H673" s="23" t="n">
        <x:v>28.547818274702877</x:v>
      </x:c>
      <x:c r="I673" s="23" t="n">
        <x:v>0.8485683483909816</x:v>
      </x:c>
      <x:c r="J673" s="23" t="n">
        <x:v>9</x:v>
      </x:c>
      <x:c r="K673" s="23" t="n">
        <x:v>187.81533870901492</x:v>
      </x:c>
      <x:c r="L673" s="23" t="n">
        <x:v>35</x:v>
      </x:c>
      <x:c r="M673" s="23" t="n">
        <x:v>25</x:v>
      </x:c>
      <x:c r="N673" s="23" t="n">
        <x:v>1.183975610397408</x:v>
      </x:c>
      <x:c r="O673" s="23" t="n">
        <x:v>52.27431473056581</x:v>
      </x:c>
      <x:c r="P673" s="23" t="n">
        <x:v>1434.3673659372143</x:v>
      </x:c>
      <x:c r="Q673" s="23" t="n">
        <x:v>1.1933982250376218</x:v>
      </x:c>
      <x:c r="R673" s="23" t="n">
        <x:v>51.94648605638577</x:v>
      </x:c>
      <x:c r="S673" s="23" t="n">
        <x:v>1405.3861568007553</x:v>
      </x:c>
      <x:c r="T673" s="23" t="n">
        <x:v>0.009422614640213878</x:v>
      </x:c>
      <x:c r="U673" s="23" t="n">
        <x:v>-0.32782867418004</x:v>
      </x:c>
      <x:c r="V673" s="23" t="n">
        <x:v>-28.98120913645903</x:v>
      </x:c>
    </x:row>
    <x:row r="674">
      <x:c r="A674" s="23" t="n">
        <x:v>673</x:v>
      </x:c>
      <x:c r="B674" s="23" t="str">
        <x:v>Train</x:v>
      </x:c>
      <x:c r="C674" s="23" t="str">
        <x:v>Lightning</x:v>
      </x:c>
      <x:c r="D674" s="23" t="n">
        <x:v>1395.811530109495</x:v>
      </x:c>
      <x:c r="E674" s="23" t="n">
        <x:v>697.7847128524445</x:v>
      </x:c>
      <x:c r="F674" s="23" t="n">
        <x:v>382.3722446337342</x:v>
      </x:c>
      <x:c r="G674" s="23" t="n">
        <x:v>145.5788472504355</x:v>
      </x:c>
      <x:c r="H674" s="23" t="n">
        <x:v>24.696814144030213</x:v>
      </x:c>
      <x:c r="I674" s="23" t="n">
        <x:v>0.8592255050246604</x:v>
      </x:c>
      <x:c r="J674" s="23" t="n">
        <x:v>9</x:v>
      </x:c>
      <x:c r="K674" s="23" t="n">
        <x:v>180.4999608428929</x:v>
      </x:c>
      <x:c r="L674" s="23" t="n">
        <x:v>60</x:v>
      </x:c>
      <x:c r="M674" s="23" t="n">
        <x:v>25</x:v>
      </x:c>
      <x:c r="N674" s="23" t="n">
        <x:v>1.197038834957181</x:v>
      </x:c>
      <x:c r="O674" s="23" t="n">
        <x:v>52.16612285535356</x:v>
      </x:c>
      <x:c r="P674" s="23" t="n">
        <x:v>1395.811530109495</x:v>
      </x:c>
      <x:c r="Q674" s="23" t="n">
        <x:v>1.1851575480547185</x:v>
      </x:c>
      <x:c r="R674" s="23" t="n">
        <x:v>52.11392188981872</x:v>
      </x:c>
      <x:c r="S674" s="23" t="n">
        <x:v>1399.9004990924236</x:v>
      </x:c>
      <x:c r="T674" s="23" t="n">
        <x:v>-0.011881286902462485</x:v>
      </x:c>
      <x:c r="U674" s="23" t="n">
        <x:v>-0.052200965534836996</x:v>
      </x:c>
      <x:c r="V674" s="23" t="n">
        <x:v>4.088968982928691</x:v>
      </x:c>
    </x:row>
    <x:row r="675">
      <x:c r="A675" s="23" t="n">
        <x:v>674</x:v>
      </x:c>
      <x:c r="B675" s="23" t="str">
        <x:v>Train</x:v>
      </x:c>
      <x:c r="C675" s="23" t="str">
        <x:v>Lightning</x:v>
      </x:c>
      <x:c r="D675" s="23" t="n">
        <x:v>1467.5511331879534</x:v>
      </x:c>
      <x:c r="E675" s="23" t="n">
        <x:v>969.9794541345909</x:v>
      </x:c>
      <x:c r="F675" s="23" t="n">
        <x:v>537.2846537269652</x:v>
      </x:c>
      <x:c r="G675" s="23" t="n">
        <x:v>131.67004116810858</x:v>
      </x:c>
      <x:c r="H675" s="23" t="n">
        <x:v>19.817725845146924</x:v>
      </x:c>
      <x:c r="I675" s="23" t="n">
        <x:v>0.7941551000485197</x:v>
      </x:c>
      <x:c r="J675" s="23" t="n">
        <x:v>10</x:v>
      </x:c>
      <x:c r="K675" s="23" t="n">
        <x:v>184.7940198455304</x:v>
      </x:c>
      <x:c r="L675" s="23" t="n">
        <x:v>40</x:v>
      </x:c>
      <x:c r="M675" s="23" t="n">
        <x:v>25</x:v>
      </x:c>
      <x:c r="N675" s="23" t="n">
        <x:v>1.1937599830438954</x:v>
      </x:c>
      <x:c r="O675" s="23" t="n">
        <x:v>52.25894534131939</x:v>
      </x:c>
      <x:c r="P675" s="23" t="n">
        <x:v>1467.5511331879534</x:v>
      </x:c>
      <x:c r="Q675" s="23" t="n">
        <x:v>1.1828793633639758</x:v>
      </x:c>
      <x:c r="R675" s="23" t="n">
        <x:v>52.913951931250416</x:v>
      </x:c>
      <x:c r="S675" s="23" t="n">
        <x:v>1460.7475309609763</x:v>
      </x:c>
      <x:c r="T675" s="23" t="n">
        <x:v>-0.010880619679919601</x:v>
      </x:c>
      <x:c r="U675" s="23" t="n">
        <x:v>0.6550065899310269</x:v>
      </x:c>
      <x:c r="V675" s="23" t="n">
        <x:v>-6.803602226977091</x:v>
      </x:c>
    </x:row>
    <x:row r="676">
      <x:c r="A676" s="23" t="n">
        <x:v>675</x:v>
      </x:c>
      <x:c r="B676" s="23" t="str">
        <x:v>Validation</x:v>
      </x:c>
      <x:c r="C676" s="23" t="str">
        <x:v>Lightning</x:v>
      </x:c>
      <x:c r="D676" s="23" t="n">
        <x:v>1455.916367447935</x:v>
      </x:c>
      <x:c r="E676" s="23" t="n">
        <x:v>933.3913700305857</x:v>
      </x:c>
      <x:c r="F676" s="23" t="n">
        <x:v>518.3965187519789</x:v>
      </x:c>
      <x:c r="G676" s="23" t="n">
        <x:v>273.62676673335955</x:v>
      </x:c>
      <x:c r="H676" s="23" t="n">
        <x:v>21.456417788751423</x:v>
      </x:c>
      <x:c r="I676" s="23" t="n">
        <x:v>0.8504969172994606</x:v>
      </x:c>
      <x:c r="J676" s="23" t="n">
        <x:v>9</x:v>
      </x:c>
      <x:c r="K676" s="23" t="n">
        <x:v>190.2046697425406</x:v>
      </x:c>
      <x:c r="L676" s="23" t="n">
        <x:v>40</x:v>
      </x:c>
      <x:c r="M676" s="23" t="n">
        <x:v>25</x:v>
      </x:c>
      <x:c r="N676" s="23" t="n">
        <x:v>1.1550551919397813</x:v>
      </x:c>
      <x:c r="O676" s="23" t="n">
        <x:v>52.24403528016131</x:v>
      </x:c>
      <x:c r="P676" s="23" t="n">
        <x:v>1455.916367447935</x:v>
      </x:c>
      <x:c r="Q676" s="23" t="n">
        <x:v>1.1460035415411234</x:v>
      </x:c>
      <x:c r="R676" s="23" t="n">
        <x:v>53.28841949029383</x:v>
      </x:c>
      <x:c r="S676" s="23" t="n">
        <x:v>1441.1845198298745</x:v>
      </x:c>
      <x:c r="T676" s="23" t="n">
        <x:v>-0.009051650398657962</x:v>
      </x:c>
      <x:c r="U676" s="23" t="n">
        <x:v>1.0443842101325203</x:v>
      </x:c>
      <x:c r="V676" s="23" t="n">
        <x:v>-14.731847618060556</x:v>
      </x:c>
    </x:row>
    <x:row r="677">
      <x:c r="A677" s="23" t="n">
        <x:v>676</x:v>
      </x:c>
      <x:c r="B677" s="23" t="str">
        <x:v>Validation</x:v>
      </x:c>
      <x:c r="C677" s="23" t="str">
        <x:v>Lightning</x:v>
      </x:c>
      <x:c r="D677" s="23" t="n">
        <x:v>1386.2966384156607</x:v>
      </x:c>
      <x:c r="E677" s="23" t="n">
        <x:v>1239.0324354637414</x:v>
      </x:c>
      <x:c r="F677" s="23" t="n">
        <x:v>514.9750563316047</x:v>
      </x:c>
      <x:c r="G677" s="23" t="n">
        <x:v>80.04222092684358</x:v>
      </x:c>
      <x:c r="H677" s="23" t="n">
        <x:v>15.638861782383174</x:v>
      </x:c>
      <x:c r="I677" s="23" t="n">
        <x:v>0.8078239624015987</x:v>
      </x:c>
      <x:c r="J677" s="23" t="n">
        <x:v>9</x:v>
      </x:c>
      <x:c r="K677" s="23" t="n">
        <x:v>190.67639361183856</x:v>
      </x:c>
      <x:c r="L677" s="23" t="n">
        <x:v>40</x:v>
      </x:c>
      <x:c r="M677" s="23" t="n">
        <x:v>25</x:v>
      </x:c>
      <x:c r="N677" s="23" t="n">
        <x:v>1.1898637082788475</x:v>
      </x:c>
      <x:c r="O677" s="23" t="n">
        <x:v>52.26097420145621</x:v>
      </x:c>
      <x:c r="P677" s="23" t="n">
        <x:v>1386.2966384156607</x:v>
      </x:c>
      <x:c r="Q677" s="23" t="n">
        <x:v>1.2103489778712897</x:v>
      </x:c>
      <x:c r="R677" s="23" t="n">
        <x:v>53.06287338183789</x:v>
      </x:c>
      <x:c r="S677" s="23" t="n">
        <x:v>1388.2452606287875</x:v>
      </x:c>
      <x:c r="T677" s="23" t="n">
        <x:v>0.020485269592442235</x:v>
      </x:c>
      <x:c r="U677" s="23" t="n">
        <x:v>0.8018991803816817</x:v>
      </x:c>
      <x:c r="V677" s="23" t="n">
        <x:v>1.9486222131267823</x:v>
      </x:c>
    </x:row>
    <x:row r="678">
      <x:c r="A678" s="23" t="n">
        <x:v>677</x:v>
      </x:c>
      <x:c r="B678" s="23" t="str">
        <x:v>Validation</x:v>
      </x:c>
      <x:c r="C678" s="23" t="str">
        <x:v>Lightning</x:v>
      </x:c>
      <x:c r="D678" s="23" t="n">
        <x:v>1454.8872938845307</x:v>
      </x:c>
      <x:c r="E678" s="23" t="n">
        <x:v>635.8078254270367</x:v>
      </x:c>
      <x:c r="F678" s="23" t="n">
        <x:v>426.34653579443693</x:v>
      </x:c>
      <x:c r="G678" s="23" t="n">
        <x:v>87.45026516960934</x:v>
      </x:c>
      <x:c r="H678" s="23" t="n">
        <x:v>26.625062473118305</x:v>
      </x:c>
      <x:c r="I678" s="23" t="n">
        <x:v>0.8387026993394829</x:v>
      </x:c>
      <x:c r="J678" s="23" t="n">
        <x:v>9</x:v>
      </x:c>
      <x:c r="K678" s="23" t="n">
        <x:v>192.7430827303381</x:v>
      </x:c>
      <x:c r="L678" s="23" t="n">
        <x:v>65</x:v>
      </x:c>
      <x:c r="M678" s="23" t="n">
        <x:v>25</x:v>
      </x:c>
      <x:c r="N678" s="23" t="n">
        <x:v>1.2144036851742397</x:v>
      </x:c>
      <x:c r="O678" s="23" t="n">
        <x:v>52.15425210137003</x:v>
      </x:c>
      <x:c r="P678" s="23" t="n">
        <x:v>1454.8872938845307</x:v>
      </x:c>
      <x:c r="Q678" s="23" t="n">
        <x:v>1.192041318240565</x:v>
      </x:c>
      <x:c r="R678" s="23" t="n">
        <x:v>52.38428663944651</x:v>
      </x:c>
      <x:c r="S678" s="23" t="n">
        <x:v>1463.7192546875945</x:v>
      </x:c>
      <x:c r="T678" s="23" t="n">
        <x:v>-0.02236236693367477</x:v>
      </x:c>
      <x:c r="U678" s="23" t="n">
        <x:v>0.230034538076481</x:v>
      </x:c>
      <x:c r="V678" s="23" t="n">
        <x:v>8.831960803063794</x:v>
      </x:c>
    </x:row>
    <x:row r="679">
      <x:c r="A679" s="23" t="n">
        <x:v>678</x:v>
      </x:c>
      <x:c r="B679" s="23" t="str">
        <x:v>Hidden Test</x:v>
      </x:c>
      <x:c r="C679" s="23" t="str">
        <x:v>Lightning</x:v>
      </x:c>
      <x:c r="D679" s="23" t="n">
        <x:v>1464.5521800150163</x:v>
      </x:c>
      <x:c r="E679" s="23" t="n">
        <x:v>1045.681994385086</x:v>
      </x:c>
      <x:c r="F679" s="23" t="n">
        <x:v>396.24493392184377</x:v>
      </x:c>
      <x:c r="G679" s="23" t="n">
        <x:v>294.4146538339555</x:v>
      </x:c>
      <x:c r="H679" s="23" t="n">
        <x:v>17.740716306958348</x:v>
      </x:c>
      <x:c r="I679" s="23" t="n">
        <x:v>0.7931956121465191</x:v>
      </x:c>
      <x:c r="J679" s="23" t="n">
        <x:v>10</x:v>
      </x:c>
      <x:c r="K679" s="23" t="n">
        <x:v>184.63947071664893</x:v>
      </x:c>
      <x:c r="L679" s="23" t="n">
        <x:v>40</x:v>
      </x:c>
      <x:c r="M679" s="23" t="n">
        <x:v>25</x:v>
      </x:c>
      <x:c r="N679" s="23" t="n">
        <x:v>1.2490338426904442</x:v>
      </x:c>
      <x:c r="O679" s="23" t="n">
        <x:v>52.275821179105904</x:v>
      </x:c>
      <x:c r="P679" s="23" t="n">
        <x:v>1464.5521800150163</x:v>
      </x:c>
      <x:c r="Q679" s="23" t="n">
        <x:v>1.2528246867588086</x:v>
      </x:c>
      <x:c r="R679" s="23" t="n">
        <x:v>52.53785000038551</x:v>
      </x:c>
      <x:c r="S679" s="23" t="n">
        <x:v>1466.8927584776018</x:v>
      </x:c>
      <x:c r="T679" s="23" t="n">
        <x:v>0.003790844068364496</x:v>
      </x:c>
      <x:c r="U679" s="23" t="n">
        <x:v>0.2620288212796069</x:v>
      </x:c>
      <x:c r="V679" s="23" t="n">
        <x:v>2.3405784625854267</x:v>
      </x:c>
    </x:row>
    <x:row r="680">
      <x:c r="A680" s="23" t="n">
        <x:v>679</x:v>
      </x:c>
      <x:c r="B680" s="23" t="str">
        <x:v>Hidden Test</x:v>
      </x:c>
      <x:c r="C680" s="23" t="str">
        <x:v>Lightning</x:v>
      </x:c>
      <x:c r="D680" s="23" t="n">
        <x:v>1450.9231354342774</x:v>
      </x:c>
      <x:c r="E680" s="23" t="n">
        <x:v>892.1487245825119</x:v>
      </x:c>
      <x:c r="F680" s="23" t="n">
        <x:v>724.9107003211975</x:v>
      </x:c>
      <x:c r="G680" s="23" t="n">
        <x:v>284.9245815142058</x:v>
      </x:c>
      <x:c r="H680" s="23" t="n">
        <x:v>21.0294495401904</x:v>
      </x:c>
      <x:c r="I680" s="23" t="n">
        <x:v>0.8144662117189728</x:v>
      </x:c>
      <x:c r="J680" s="23" t="n">
        <x:v>9</x:v>
      </x:c>
      <x:c r="K680" s="23" t="n">
        <x:v>197.9378387897393</x:v>
      </x:c>
      <x:c r="L680" s="23" t="n">
        <x:v>40</x:v>
      </x:c>
      <x:c r="M680" s="23" t="n">
        <x:v>25</x:v>
      </x:c>
      <x:c r="N680" s="23" t="n">
        <x:v>1.2595252322009782</x:v>
      </x:c>
      <x:c r="O680" s="23" t="n">
        <x:v>52.27156685620071</x:v>
      </x:c>
      <x:c r="P680" s="23" t="n">
        <x:v>1450.9231354342774</x:v>
      </x:c>
      <x:c r="Q680" s="23" t="n">
        <x:v>1.2656335695618246</x:v>
      </x:c>
      <x:c r="R680" s="23" t="n">
        <x:v>52.762733502348894</x:v>
      </x:c>
      <x:c r="S680" s="23" t="n">
        <x:v>1448.9213482789912</x:v>
      </x:c>
      <x:c r="T680" s="23" t="n">
        <x:v>0.006108337360846372</x:v>
      </x:c>
      <x:c r="U680" s="23" t="n">
        <x:v>0.49116664614818717</x:v>
      </x:c>
      <x:c r="V680" s="23" t="n">
        <x:v>-2.001787155286138</x:v>
      </x:c>
    </x:row>
    <x:row r="681">
      <x:c r="A681" s="23" t="n">
        <x:v>680</x:v>
      </x:c>
      <x:c r="B681" s="23" t="str">
        <x:v>Hidden Test</x:v>
      </x:c>
      <x:c r="C681" s="23" t="str">
        <x:v>Lightning</x:v>
      </x:c>
      <x:c r="D681" s="23" t="n">
        <x:v>1355.234998546075</x:v>
      </x:c>
      <x:c r="E681" s="23" t="n">
        <x:v>692.5821066834033</x:v>
      </x:c>
      <x:c r="F681" s="23" t="n">
        <x:v>432.8131533227861</x:v>
      </x:c>
      <x:c r="G681" s="23" t="n">
        <x:v>241.53862478677183</x:v>
      </x:c>
      <x:c r="H681" s="23" t="n">
        <x:v>20.182737124618143</x:v>
      </x:c>
      <x:c r="I681" s="23" t="n">
        <x:v>0.852700433144346</x:v>
      </x:c>
      <x:c r="J681" s="23" t="n">
        <x:v>8</x:v>
      </x:c>
      <x:c r="K681" s="23" t="n">
        <x:v>198.66809987838067</x:v>
      </x:c>
      <x:c r="L681" s="23" t="n">
        <x:v>60</x:v>
      </x:c>
      <x:c r="M681" s="23" t="n">
        <x:v>25</x:v>
      </x:c>
      <x:c r="N681" s="23" t="n">
        <x:v>1.1802487587031119</x:v>
      </x:c>
      <x:c r="O681" s="23" t="n">
        <x:v>52.1644570364323</x:v>
      </x:c>
      <x:c r="P681" s="23" t="n">
        <x:v>1355.234998546075</x:v>
      </x:c>
      <x:c r="Q681" s="23" t="n">
        <x:v>1.1695755782956436</x:v>
      </x:c>
      <x:c r="R681" s="23" t="n">
        <x:v>52.49217778457751</x:v>
      </x:c>
      <x:c r="S681" s="23" t="n">
        <x:v>1355.7532099572848</x:v>
      </x:c>
      <x:c r="T681" s="23" t="n">
        <x:v>-0.01067318040746823</x:v>
      </x:c>
      <x:c r="U681" s="23" t="n">
        <x:v>0.3277207481452038</x:v>
      </x:c>
      <x:c r="V681" s="23" t="n">
        <x:v>0.518211411209677</x:v>
      </x:c>
    </x:row>
    <x:row r="682">
      <x:c r="A682" s="23" t="n">
        <x:v>681</x:v>
      </x:c>
      <x:c r="B682" s="23" t="str">
        <x:v>Train</x:v>
      </x:c>
      <x:c r="C682" s="23" t="str">
        <x:v>Lightning</x:v>
      </x:c>
      <x:c r="D682" s="23" t="n">
        <x:v>1496.799541823566</x:v>
      </x:c>
      <x:c r="E682" s="23" t="n">
        <x:v>785.3109572432004</x:v>
      </x:c>
      <x:c r="F682" s="23" t="n">
        <x:v>734.3381049111485</x:v>
      </x:c>
      <x:c r="G682" s="23" t="n">
        <x:v>129.06526167178527</x:v>
      </x:c>
      <x:c r="H682" s="23" t="n">
        <x:v>22.40570749901235</x:v>
      </x:c>
      <x:c r="I682" s="23" t="n">
        <x:v>0.8137627375242301</x:v>
      </x:c>
      <x:c r="J682" s="23" t="n">
        <x:v>10</x:v>
      </x:c>
      <x:c r="K682" s="23" t="n">
        <x:v>183.93562064261982</x:v>
      </x:c>
      <x:c r="L682" s="23" t="n">
        <x:v>40</x:v>
      </x:c>
      <x:c r="M682" s="23" t="n">
        <x:v>25</x:v>
      </x:c>
      <x:c r="N682" s="23" t="n">
        <x:v>1.2126465038496292</x:v>
      </x:c>
      <x:c r="O682" s="23" t="n">
        <x:v>52.260639756602885</x:v>
      </x:c>
      <x:c r="P682" s="23" t="n">
        <x:v>1496.799541823566</x:v>
      </x:c>
      <x:c r="Q682" s="23" t="n">
        <x:v>1.2149035206627499</x:v>
      </x:c>
      <x:c r="R682" s="23" t="n">
        <x:v>52.63037062817136</x:v>
      </x:c>
      <x:c r="S682" s="23" t="n">
        <x:v>1495.693678221328</x:v>
      </x:c>
      <x:c r="T682" s="23" t="n">
        <x:v>0.002257016813120627</x:v>
      </x:c>
      <x:c r="U682" s="23" t="n">
        <x:v>0.3697308715684784</x:v>
      </x:c>
      <x:c r="V682" s="23" t="n">
        <x:v>-1.1058636022380597</x:v>
      </x:c>
    </x:row>
    <x:row r="683">
      <x:c r="A683" s="23" t="n">
        <x:v>682</x:v>
      </x:c>
      <x:c r="B683" s="23" t="str">
        <x:v>Train</x:v>
      </x:c>
      <x:c r="C683" s="23" t="str">
        <x:v>Lightning</x:v>
      </x:c>
      <x:c r="D683" s="23" t="n">
        <x:v>1444.4670212105848</x:v>
      </x:c>
      <x:c r="E683" s="23" t="n">
        <x:v>616.8598931515589</x:v>
      </x:c>
      <x:c r="F683" s="23" t="n">
        <x:v>422.0567882992327</x:v>
      </x:c>
      <x:c r="G683" s="23" t="n">
        <x:v>92.48185592703521</x:v>
      </x:c>
      <x:c r="H683" s="23" t="n">
        <x:v>22.98234685184434</x:v>
      </x:c>
      <x:c r="I683" s="23" t="n">
        <x:v>0.7902770141931251</x:v>
      </x:c>
      <x:c r="J683" s="23" t="n">
        <x:v>10</x:v>
      </x:c>
      <x:c r="K683" s="23" t="n">
        <x:v>182.7798348260691</x:v>
      </x:c>
      <x:c r="L683" s="23" t="n">
        <x:v>60</x:v>
      </x:c>
      <x:c r="M683" s="23" t="n">
        <x:v>25</x:v>
      </x:c>
      <x:c r="N683" s="23" t="n">
        <x:v>1.2109838213848427</x:v>
      </x:c>
      <x:c r="O683" s="23" t="n">
        <x:v>52.1710147966007</x:v>
      </x:c>
      <x:c r="P683" s="23" t="n">
        <x:v>1444.4670212105848</x:v>
      </x:c>
      <x:c r="Q683" s="23" t="n">
        <x:v>1.1925667556989465</x:v>
      </x:c>
      <x:c r="R683" s="23" t="n">
        <x:v>50.88751091878533</x:v>
      </x:c>
      <x:c r="S683" s="23" t="n">
        <x:v>1451.7943436354426</x:v>
      </x:c>
      <x:c r="T683" s="23" t="n">
        <x:v>-0.018417065685896183</x:v>
      </x:c>
      <x:c r="U683" s="23" t="n">
        <x:v>-1.2835038778153702</x:v>
      </x:c>
      <x:c r="V683" s="23" t="n">
        <x:v>7.327322424857812</x:v>
      </x:c>
    </x:row>
    <x:row r="684">
      <x:c r="A684" s="23" t="n">
        <x:v>683</x:v>
      </x:c>
      <x:c r="B684" s="23" t="str">
        <x:v>Train</x:v>
      </x:c>
      <x:c r="C684" s="23" t="str">
        <x:v>Lightning</x:v>
      </x:c>
      <x:c r="D684" s="23" t="n">
        <x:v>1443.5756324557588</x:v>
      </x:c>
      <x:c r="E684" s="23" t="n">
        <x:v>881.7690102965571</x:v>
      </x:c>
      <x:c r="F684" s="23" t="n">
        <x:v>544.0357286483049</x:v>
      </x:c>
      <x:c r="G684" s="23" t="n">
        <x:v>214.78469307301566</x:v>
      </x:c>
      <x:c r="H684" s="23" t="n">
        <x:v>12.422383205033839</x:v>
      </x:c>
      <x:c r="I684" s="23" t="n">
        <x:v>0.842811354759615</x:v>
      </x:c>
      <x:c r="J684" s="23" t="n">
        <x:v>9</x:v>
      </x:c>
      <x:c r="K684" s="23" t="n">
        <x:v>190.3122111363017</x:v>
      </x:c>
      <x:c r="L684" s="23" t="n">
        <x:v>45</x:v>
      </x:c>
      <x:c r="M684" s="23" t="n">
        <x:v>25</x:v>
      </x:c>
      <x:c r="N684" s="23" t="n">
        <x:v>1.1718937361528372</x:v>
      </x:c>
      <x:c r="O684" s="23" t="n">
        <x:v>52.23080890718738</x:v>
      </x:c>
      <x:c r="P684" s="23" t="n">
        <x:v>1443.5756324557588</x:v>
      </x:c>
      <x:c r="Q684" s="23" t="n">
        <x:v>1.1824193700320187</x:v>
      </x:c>
      <x:c r="R684" s="23" t="n">
        <x:v>53.08659997428374</x:v>
      </x:c>
      <x:c r="S684" s="23" t="n">
        <x:v>1445.1488001331215</x:v>
      </x:c>
      <x:c r="T684" s="23" t="n">
        <x:v>0.010525633879181484</x:v>
      </x:c>
      <x:c r="U684" s="23" t="n">
        <x:v>0.8557910670963622</x:v>
      </x:c>
      <x:c r="V684" s="23" t="n">
        <x:v>1.5731676773627896</x:v>
      </x:c>
    </x:row>
    <x:row r="685">
      <x:c r="A685" s="23" t="n">
        <x:v>684</x:v>
      </x:c>
      <x:c r="B685" s="23" t="str">
        <x:v>Train</x:v>
      </x:c>
      <x:c r="C685" s="23" t="str">
        <x:v>Lightning</x:v>
      </x:c>
      <x:c r="D685" s="23" t="n">
        <x:v>1456.2279342091642</x:v>
      </x:c>
      <x:c r="E685" s="23" t="n">
        <x:v>1196.2653884198517</x:v>
      </x:c>
      <x:c r="F685" s="23" t="n">
        <x:v>441.75614519044757</x:v>
      </x:c>
      <x:c r="G685" s="23" t="n">
        <x:v>137.50019929837435</x:v>
      </x:c>
      <x:c r="H685" s="23" t="n">
        <x:v>14.88636254100129</x:v>
      </x:c>
      <x:c r="I685" s="23" t="n">
        <x:v>0.8593701768293978</x:v>
      </x:c>
      <x:c r="J685" s="23" t="n">
        <x:v>9</x:v>
      </x:c>
      <x:c r="K685" s="23" t="n">
        <x:v>188.28103204370265</x:v>
      </x:c>
      <x:c r="L685" s="23" t="n">
        <x:v>40</x:v>
      </x:c>
      <x:c r="M685" s="23" t="n">
        <x:v>25</x:v>
      </x:c>
      <x:c r="N685" s="23" t="n">
        <x:v>1.1505302861275837</x:v>
      </x:c>
      <x:c r="O685" s="23" t="n">
        <x:v>52.25184822620378</x:v>
      </x:c>
      <x:c r="P685" s="23" t="n">
        <x:v>1456.2279342091642</x:v>
      </x:c>
      <x:c r="Q685" s="23" t="n">
        <x:v>1.1640296940514447</x:v>
      </x:c>
      <x:c r="R685" s="23" t="n">
        <x:v>51.981920306057226</x:v>
      </x:c>
      <x:c r="S685" s="23" t="n">
        <x:v>1465.147626345756</x:v>
      </x:c>
      <x:c r="T685" s="23" t="n">
        <x:v>0.013499407923861062</x:v>
      </x:c>
      <x:c r="U685" s="23" t="n">
        <x:v>-0.2699279201465501</x:v>
      </x:c>
      <x:c r="V685" s="23" t="n">
        <x:v>8.91969213659172</x:v>
      </x:c>
    </x:row>
    <x:row r="686">
      <x:c r="A686" s="23" t="n">
        <x:v>685</x:v>
      </x:c>
      <x:c r="B686" s="23" t="str">
        <x:v>Train</x:v>
      </x:c>
      <x:c r="C686" s="23" t="str">
        <x:v>Lightning</x:v>
      </x:c>
      <x:c r="D686" s="23" t="n">
        <x:v>1433.0999282654375</x:v>
      </x:c>
      <x:c r="E686" s="23" t="n">
        <x:v>788.5269674356095</x:v>
      </x:c>
      <x:c r="F686" s="23" t="n">
        <x:v>567.7938094362617</x:v>
      </x:c>
      <x:c r="G686" s="23" t="n">
        <x:v>164.42442660452798</x:v>
      </x:c>
      <x:c r="H686" s="23" t="n">
        <x:v>19.238558772951365</x:v>
      </x:c>
      <x:c r="I686" s="23" t="n">
        <x:v>0.8002933163219131</x:v>
      </x:c>
      <x:c r="J686" s="23" t="n">
        <x:v>9</x:v>
      </x:c>
      <x:c r="K686" s="23" t="n">
        <x:v>198.96870574235277</x:v>
      </x:c>
      <x:c r="L686" s="23" t="n">
        <x:v>50</x:v>
      </x:c>
      <x:c r="M686" s="23" t="n">
        <x:v>25</x:v>
      </x:c>
      <x:c r="N686" s="23" t="n">
        <x:v>1.2288490769154687</x:v>
      </x:c>
      <x:c r="O686" s="23" t="n">
        <x:v>52.212122195852054</x:v>
      </x:c>
      <x:c r="P686" s="23" t="n">
        <x:v>1433.0999282654375</x:v>
      </x:c>
      <x:c r="Q686" s="23" t="n">
        <x:v>1.2206722765739246</x:v>
      </x:c>
      <x:c r="R686" s="23" t="n">
        <x:v>51.197896383359684</x:v>
      </x:c>
      <x:c r="S686" s="23" t="n">
        <x:v>1443.0583015698028</x:v>
      </x:c>
      <x:c r="T686" s="23" t="n">
        <x:v>-0.00817680034154411</x:v>
      </x:c>
      <x:c r="U686" s="23" t="n">
        <x:v>-1.01422581249237</x:v>
      </x:c>
      <x:c r="V686" s="23" t="n">
        <x:v>9.958373304365296</x:v>
      </x:c>
    </x:row>
    <x:row r="687">
      <x:c r="A687" s="23" t="n">
        <x:v>686</x:v>
      </x:c>
      <x:c r="B687" s="23" t="str">
        <x:v>Train</x:v>
      </x:c>
      <x:c r="C687" s="23" t="str">
        <x:v>Lightning</x:v>
      </x:c>
      <x:c r="D687" s="23" t="n">
        <x:v>1441.355026338715</x:v>
      </x:c>
      <x:c r="E687" s="23" t="n">
        <x:v>1079.3821313185617</x:v>
      </x:c>
      <x:c r="F687" s="23" t="n">
        <x:v>624.2013608105481</x:v>
      </x:c>
      <x:c r="G687" s="23" t="n">
        <x:v>276.58147916197777</x:v>
      </x:c>
      <x:c r="H687" s="23" t="n">
        <x:v>16.41447941446677</x:v>
      </x:c>
      <x:c r="I687" s="23" t="n">
        <x:v>0.8362663749558852</x:v>
      </x:c>
      <x:c r="J687" s="23" t="n">
        <x:v>9</x:v>
      </x:c>
      <x:c r="K687" s="23" t="n">
        <x:v>191.50663386475122</x:v>
      </x:c>
      <x:c r="L687" s="23" t="n">
        <x:v>35</x:v>
      </x:c>
      <x:c r="M687" s="23" t="n">
        <x:v>25</x:v>
      </x:c>
      <x:c r="N687" s="23" t="n">
        <x:v>1.1452900397602583</x:v>
      </x:c>
      <x:c r="O687" s="23" t="n">
        <x:v>52.283757223148555</x:v>
      </x:c>
      <x:c r="P687" s="23" t="n">
        <x:v>1441.355026338715</x:v>
      </x:c>
      <x:c r="Q687" s="23" t="n">
        <x:v>1.1456097494783872</x:v>
      </x:c>
      <x:c r="R687" s="23" t="n">
        <x:v>53.62929116992014</x:v>
      </x:c>
      <x:c r="S687" s="23" t="n">
        <x:v>1437.624630435734</x:v>
      </x:c>
      <x:c r="T687" s="23" t="n">
        <x:v>0.00031970971812889104</x:v>
      </x:c>
      <x:c r="U687" s="23" t="n">
        <x:v>1.3455339467715817</x:v>
      </x:c>
      <x:c r="V687" s="23" t="n">
        <x:v>-3.730395902981172</x:v>
      </x:c>
    </x:row>
    <x:row r="688">
      <x:c r="A688" s="23" t="n">
        <x:v>687</x:v>
      </x:c>
      <x:c r="B688" s="23" t="str">
        <x:v>Train</x:v>
      </x:c>
      <x:c r="C688" s="23" t="str">
        <x:v>Lightning</x:v>
      </x:c>
      <x:c r="D688" s="23" t="n">
        <x:v>1350.6717706331983</x:v>
      </x:c>
      <x:c r="E688" s="23" t="n">
        <x:v>1095.834821567405</x:v>
      </x:c>
      <x:c r="F688" s="23" t="n">
        <x:v>694.5007182657719</x:v>
      </x:c>
      <x:c r="G688" s="23" t="n">
        <x:v>175.31157690798864</x:v>
      </x:c>
      <x:c r="H688" s="23" t="n">
        <x:v>13.418139143846929</x:v>
      </x:c>
      <x:c r="I688" s="23" t="n">
        <x:v>0.8512560684024357</x:v>
      </x:c>
      <x:c r="J688" s="23" t="n">
        <x:v>8</x:v>
      </x:c>
      <x:c r="K688" s="23" t="n">
        <x:v>198.33511630172916</x:v>
      </x:c>
      <x:c r="L688" s="23" t="n">
        <x:v>45</x:v>
      </x:c>
      <x:c r="M688" s="23" t="n">
        <x:v>25</x:v>
      </x:c>
      <x:c r="N688" s="23" t="n">
        <x:v>1.2571481425997006</x:v>
      </x:c>
      <x:c r="O688" s="23" t="n">
        <x:v>52.24743869038032</x:v>
      </x:c>
      <x:c r="P688" s="23" t="n">
        <x:v>1350.6717706331983</x:v>
      </x:c>
      <x:c r="Q688" s="23" t="n">
        <x:v>1.2807782220504862</x:v>
      </x:c>
      <x:c r="R688" s="23" t="n">
        <x:v>52.816385150408834</x:v>
      </x:c>
      <x:c r="S688" s="23" t="n">
        <x:v>1346.7726158932994</x:v>
      </x:c>
      <x:c r="T688" s="23" t="n">
        <x:v>0.023630079450785546</x:v>
      </x:c>
      <x:c r="U688" s="23" t="n">
        <x:v>0.5689464600285135</x:v>
      </x:c>
      <x:c r="V688" s="23" t="n">
        <x:v>-3.899154739898904</x:v>
      </x:c>
    </x:row>
    <x:row r="689">
      <x:c r="A689" s="23" t="n">
        <x:v>688</x:v>
      </x:c>
      <x:c r="B689" s="23" t="str">
        <x:v>Train</x:v>
      </x:c>
      <x:c r="C689" s="23" t="str">
        <x:v>Lightning</x:v>
      </x:c>
      <x:c r="D689" s="23" t="n">
        <x:v>1365.8251065644436</x:v>
      </x:c>
      <x:c r="E689" s="23" t="n">
        <x:v>1123.962297476828</x:v>
      </x:c>
      <x:c r="F689" s="23" t="n">
        <x:v>717.1703382395208</x:v>
      </x:c>
      <x:c r="G689" s="23" t="n">
        <x:v>268.5533296735957</x:v>
      </x:c>
      <x:c r="H689" s="23" t="n">
        <x:v>11.528090292122215</x:v>
      </x:c>
      <x:c r="I689" s="23" t="n">
        <x:v>0.8144586049672217</x:v>
      </x:c>
      <x:c r="J689" s="23" t="n">
        <x:v>9</x:v>
      </x:c>
      <x:c r="K689" s="23" t="n">
        <x:v>186.33033557295974</x:v>
      </x:c>
      <x:c r="L689" s="23" t="n">
        <x:v>35</x:v>
      </x:c>
      <x:c r="M689" s="23" t="n">
        <x:v>25</x:v>
      </x:c>
      <x:c r="N689" s="23" t="n">
        <x:v>1.183734076792623</x:v>
      </x:c>
      <x:c r="O689" s="23" t="n">
        <x:v>52.303952784153424</x:v>
      </x:c>
      <x:c r="P689" s="23" t="n">
        <x:v>1365.8251065644436</x:v>
      </x:c>
      <x:c r="Q689" s="23" t="n">
        <x:v>1.2044771645833912</x:v>
      </x:c>
      <x:c r="R689" s="23" t="n">
        <x:v>51.83281858677216</x:v>
      </x:c>
      <x:c r="S689" s="23" t="n">
        <x:v>1361.2798463257366</x:v>
      </x:c>
      <x:c r="T689" s="23" t="n">
        <x:v>0.020743087790768167</x:v>
      </x:c>
      <x:c r="U689" s="23" t="n">
        <x:v>-0.47113419738126083</x:v>
      </x:c>
      <x:c r="V689" s="23" t="n">
        <x:v>-4.545260238706987</x:v>
      </x:c>
    </x:row>
    <x:row r="690">
      <x:c r="A690" s="23" t="n">
        <x:v>689</x:v>
      </x:c>
      <x:c r="B690" s="23" t="str">
        <x:v>Train</x:v>
      </x:c>
      <x:c r="C690" s="23" t="str">
        <x:v>Lightning</x:v>
      </x:c>
      <x:c r="D690" s="23" t="n">
        <x:v>1435.7281004078686</x:v>
      </x:c>
      <x:c r="E690" s="23" t="n">
        <x:v>1040.8802816062234</x:v>
      </x:c>
      <x:c r="F690" s="23" t="n">
        <x:v>691.0367885604501</x:v>
      </x:c>
      <x:c r="G690" s="23" t="n">
        <x:v>301.81610768893734</x:v>
      </x:c>
      <x:c r="H690" s="23" t="n">
        <x:v>9.378777103498578</x:v>
      </x:c>
      <x:c r="I690" s="23" t="n">
        <x:v>0.8477553975512274</x:v>
      </x:c>
      <x:c r="J690" s="23" t="n">
        <x:v>9</x:v>
      </x:c>
      <x:c r="K690" s="23" t="n">
        <x:v>188.17378804140674</x:v>
      </x:c>
      <x:c r="L690" s="23" t="n">
        <x:v>35</x:v>
      </x:c>
      <x:c r="M690" s="23" t="n">
        <x:v>25</x:v>
      </x:c>
      <x:c r="N690" s="23" t="n">
        <x:v>1.1302907843875158</x:v>
      </x:c>
      <x:c r="O690" s="23" t="n">
        <x:v>52.29210984575713</x:v>
      </x:c>
      <x:c r="P690" s="23" t="n">
        <x:v>1435.7281004078686</x:v>
      </x:c>
      <x:c r="Q690" s="23" t="n">
        <x:v>1.1514324611573108</x:v>
      </x:c>
      <x:c r="R690" s="23" t="n">
        <x:v>53.326684332871544</x:v>
      </x:c>
      <x:c r="S690" s="23" t="n">
        <x:v>1425.885084938414</x:v>
      </x:c>
      <x:c r="T690" s="23" t="n">
        <x:v>0.021141676769794948</x:v>
      </x:c>
      <x:c r="U690" s="23" t="n">
        <x:v>1.034574487114412</x:v>
      </x:c>
      <x:c r="V690" s="23" t="n">
        <x:v>-9.843015469454713</x:v>
      </x:c>
    </x:row>
    <x:row r="691">
      <x:c r="A691" s="23" t="n">
        <x:v>690</x:v>
      </x:c>
      <x:c r="B691" s="23" t="str">
        <x:v>Train</x:v>
      </x:c>
      <x:c r="C691" s="23" t="str">
        <x:v>Lightning</x:v>
      </x:c>
      <x:c r="D691" s="23" t="n">
        <x:v>1412.619032675866</x:v>
      </x:c>
      <x:c r="E691" s="23" t="n">
        <x:v>733.3582979859784</x:v>
      </x:c>
      <x:c r="F691" s="23" t="n">
        <x:v>426.55341112986207</x:v>
      </x:c>
      <x:c r="G691" s="23" t="n">
        <x:v>305.68007674999535</x:v>
      </x:c>
      <x:c r="H691" s="23" t="n">
        <x:v>24.61169657157734</x:v>
      </x:c>
      <x:c r="I691" s="23" t="n">
        <x:v>0.8581841369206086</x:v>
      </x:c>
      <x:c r="J691" s="23" t="n">
        <x:v>9</x:v>
      </x:c>
      <x:c r="K691" s="23" t="n">
        <x:v>182.8950962208694</x:v>
      </x:c>
      <x:c r="L691" s="23" t="n">
        <x:v>50</x:v>
      </x:c>
      <x:c r="M691" s="23" t="n">
        <x:v>25</x:v>
      </x:c>
      <x:c r="N691" s="23" t="n">
        <x:v>1.2101895629423955</x:v>
      </x:c>
      <x:c r="O691" s="23" t="n">
        <x:v>52.20352239921113</x:v>
      </x:c>
      <x:c r="P691" s="23" t="n">
        <x:v>1412.619032675866</x:v>
      </x:c>
      <x:c r="Q691" s="23" t="n">
        <x:v>1.2132990235952152</x:v>
      </x:c>
      <x:c r="R691" s="23" t="n">
        <x:v>50.82132022103615</x:v>
      </x:c>
      <x:c r="S691" s="23" t="n">
        <x:v>1404.1674311010383</x:v>
      </x:c>
      <x:c r="T691" s="23" t="n">
        <x:v>0.0031094606528196955</x:v>
      </x:c>
      <x:c r="U691" s="23" t="n">
        <x:v>-1.3822021781749783</x:v>
      </x:c>
      <x:c r="V691" s="23" t="n">
        <x:v>-8.451601574827691</x:v>
      </x:c>
    </x:row>
    <x:row r="692">
      <x:c r="A692" s="23" t="n">
        <x:v>691</x:v>
      </x:c>
      <x:c r="B692" s="23" t="str">
        <x:v>Train</x:v>
      </x:c>
      <x:c r="C692" s="23" t="str">
        <x:v>Lightning</x:v>
      </x:c>
      <x:c r="D692" s="23" t="n">
        <x:v>1401.1110169580206</x:v>
      </x:c>
      <x:c r="E692" s="23" t="n">
        <x:v>1037.286395917181</x:v>
      </x:c>
      <x:c r="F692" s="23" t="n">
        <x:v>590.9896787256002</x:v>
      </x:c>
      <x:c r="G692" s="23" t="n">
        <x:v>229.62994930101559</x:v>
      </x:c>
      <x:c r="H692" s="23" t="n">
        <x:v>16.833199423737824</x:v>
      </x:c>
      <x:c r="I692" s="23" t="n">
        <x:v>0.7978409310127609</x:v>
      </x:c>
      <x:c r="J692" s="23" t="n">
        <x:v>9</x:v>
      </x:c>
      <x:c r="K692" s="23" t="n">
        <x:v>195.12536375717048</x:v>
      </x:c>
      <x:c r="L692" s="23" t="n">
        <x:v>40</x:v>
      </x:c>
      <x:c r="M692" s="23" t="n">
        <x:v>25</x:v>
      </x:c>
      <x:c r="N692" s="23" t="n">
        <x:v>1.210653774008314</x:v>
      </x:c>
      <x:c r="O692" s="23" t="n">
        <x:v>52.264693996783436</x:v>
      </x:c>
      <x:c r="P692" s="23" t="n">
        <x:v>1401.1110169580206</x:v>
      </x:c>
      <x:c r="Q692" s="23" t="n">
        <x:v>1.2108434703523994</x:v>
      </x:c>
      <x:c r="R692" s="23" t="n">
        <x:v>52.830373002211964</x:v>
      </x:c>
      <x:c r="S692" s="23" t="n">
        <x:v>1395.2795117694684</x:v>
      </x:c>
      <x:c r="T692" s="23" t="n">
        <x:v>0.00018969634408527725</x:v>
      </x:c>
      <x:c r="U692" s="23" t="n">
        <x:v>0.5656790054285281</x:v>
      </x:c>
      <x:c r="V692" s="23" t="n">
        <x:v>-5.831505188552228</x:v>
      </x:c>
    </x:row>
    <x:row r="693">
      <x:c r="A693" s="23" t="n">
        <x:v>692</x:v>
      </x:c>
      <x:c r="B693" s="23" t="str">
        <x:v>Train</x:v>
      </x:c>
      <x:c r="C693" s="23" t="str">
        <x:v>Lightning</x:v>
      </x:c>
      <x:c r="D693" s="23" t="n">
        <x:v>1388.5689975111745</x:v>
      </x:c>
      <x:c r="E693" s="23" t="n">
        <x:v>1232.6340960804373</x:v>
      </x:c>
      <x:c r="F693" s="23" t="n">
        <x:v>548.2907521538436</x:v>
      </x:c>
      <x:c r="G693" s="23" t="n">
        <x:v>85.41004107799381</x:v>
      </x:c>
      <x:c r="H693" s="23" t="n">
        <x:v>26.27252599550411</x:v>
      </x:c>
      <x:c r="I693" s="23" t="n">
        <x:v>0.8394014241732657</x:v>
      </x:c>
      <x:c r="J693" s="23" t="n">
        <x:v>9</x:v>
      </x:c>
      <x:c r="K693" s="23" t="n">
        <x:v>183.80412484987795</x:v>
      </x:c>
      <x:c r="L693" s="23" t="n">
        <x:v>35</x:v>
      </x:c>
      <x:c r="M693" s="23" t="n">
        <x:v>25</x:v>
      </x:c>
      <x:c r="N693" s="23" t="n">
        <x:v>1.1427052789379615</x:v>
      </x:c>
      <x:c r="O693" s="23" t="n">
        <x:v>52.266008267616016</x:v>
      </x:c>
      <x:c r="P693" s="23" t="n">
        <x:v>1388.5689975111745</x:v>
      </x:c>
      <x:c r="Q693" s="23" t="n">
        <x:v>1.1353926132782652</x:v>
      </x:c>
      <x:c r="R693" s="23" t="n">
        <x:v>52.64874004733837</x:v>
      </x:c>
      <x:c r="S693" s="23" t="n">
        <x:v>1373.4804817349393</x:v>
      </x:c>
      <x:c r="T693" s="23" t="n">
        <x:v>-0.007312665659696238</x:v>
      </x:c>
      <x:c r="U693" s="23" t="n">
        <x:v>0.3827317797223557</x:v>
      </x:c>
      <x:c r="V693" s="23" t="n">
        <x:v>-15.088515776235226</x:v>
      </x:c>
    </x:row>
    <x:row r="694">
      <x:c r="A694" s="23" t="n">
        <x:v>693</x:v>
      </x:c>
      <x:c r="B694" s="23" t="str">
        <x:v>Train</x:v>
      </x:c>
      <x:c r="C694" s="23" t="str">
        <x:v>Lightning</x:v>
      </x:c>
      <x:c r="D694" s="23" t="n">
        <x:v>1412.203959049657</x:v>
      </x:c>
      <x:c r="E694" s="23" t="n">
        <x:v>731.5050803008489</x:v>
      </x:c>
      <x:c r="F694" s="23" t="n">
        <x:v>532.9119710251689</x:v>
      </x:c>
      <x:c r="G694" s="23" t="n">
        <x:v>106.87366149621084</x:v>
      </x:c>
      <x:c r="H694" s="23" t="n">
        <x:v>24.756869673728943</x:v>
      </x:c>
      <x:c r="I694" s="23" t="n">
        <x:v>0.8462773243174888</x:v>
      </x:c>
      <x:c r="J694" s="23" t="n">
        <x:v>9</x:v>
      </x:c>
      <x:c r="K694" s="23" t="n">
        <x:v>185.41386670387806</x:v>
      </x:c>
      <x:c r="L694" s="23" t="n">
        <x:v>55</x:v>
      </x:c>
      <x:c r="M694" s="23" t="n">
        <x:v>25</x:v>
      </x:c>
      <x:c r="N694" s="23" t="n">
        <x:v>1.2335711785783026</x:v>
      </x:c>
      <x:c r="O694" s="23" t="n">
        <x:v>52.1888185043968</x:v>
      </x:c>
      <x:c r="P694" s="23" t="n">
        <x:v>1412.203959049657</x:v>
      </x:c>
      <x:c r="Q694" s="23" t="n">
        <x:v>1.228172757114197</x:v>
      </x:c>
      <x:c r="R694" s="23" t="n">
        <x:v>51.01292877301602</x:v>
      </x:c>
      <x:c r="S694" s="23" t="n">
        <x:v>1415.921630611579</x:v>
      </x:c>
      <x:c r="T694" s="23" t="n">
        <x:v>-0.005398421464105629</x:v>
      </x:c>
      <x:c r="U694" s="23" t="n">
        <x:v>-1.175889731380778</x:v>
      </x:c>
      <x:c r="V694" s="23" t="n">
        <x:v>3.7176715619220886</x:v>
      </x:c>
    </x:row>
    <x:row r="695">
      <x:c r="A695" s="23" t="n">
        <x:v>694</x:v>
      </x:c>
      <x:c r="B695" s="23" t="str">
        <x:v>Train</x:v>
      </x:c>
      <x:c r="C695" s="23" t="str">
        <x:v>Lightning</x:v>
      </x:c>
      <x:c r="D695" s="23" t="n">
        <x:v>1466.7977036093362</x:v>
      </x:c>
      <x:c r="E695" s="23" t="n">
        <x:v>1176.3789469143376</x:v>
      </x:c>
      <x:c r="F695" s="23" t="n">
        <x:v>700.8041662164032</x:v>
      </x:c>
      <x:c r="G695" s="23" t="n">
        <x:v>329.49909234419465</x:v>
      </x:c>
      <x:c r="H695" s="23" t="n">
        <x:v>11.141706815455109</x:v>
      </x:c>
      <x:c r="I695" s="23" t="n">
        <x:v>0.8241424707835541</x:v>
      </x:c>
      <x:c r="J695" s="23" t="n">
        <x:v>9</x:v>
      </x:c>
      <x:c r="K695" s="23" t="n">
        <x:v>197.7540636491025</x:v>
      </x:c>
      <x:c r="L695" s="23" t="n">
        <x:v>35</x:v>
      </x:c>
      <x:c r="M695" s="23" t="n">
        <x:v>25</x:v>
      </x:c>
      <x:c r="N695" s="23" t="n">
        <x:v>1.2324513219556656</x:v>
      </x:c>
      <x:c r="O695" s="23" t="n">
        <x:v>52.31907692288868</x:v>
      </x:c>
      <x:c r="P695" s="23" t="n">
        <x:v>1466.7977036093362</x:v>
      </x:c>
      <x:c r="Q695" s="23" t="n">
        <x:v>1.2535537772331102</x:v>
      </x:c>
      <x:c r="R695" s="23" t="n">
        <x:v>52.570750291755914</x:v>
      </x:c>
      <x:c r="S695" s="23" t="n">
        <x:v>1457.0496129769865</x:v>
      </x:c>
      <x:c r="T695" s="23" t="n">
        <x:v>0.021102455277444587</x:v>
      </x:c>
      <x:c r="U695" s="23" t="n">
        <x:v>0.25167336886723746</x:v>
      </x:c>
      <x:c r="V695" s="23" t="n">
        <x:v>-9.748090632349658</x:v>
      </x:c>
    </x:row>
    <x:row r="696">
      <x:c r="A696" s="23" t="n">
        <x:v>695</x:v>
      </x:c>
      <x:c r="B696" s="23" t="str">
        <x:v>Validation</x:v>
      </x:c>
      <x:c r="C696" s="23" t="str">
        <x:v>Lightning</x:v>
      </x:c>
      <x:c r="D696" s="23" t="n">
        <x:v>1472.8786462219432</x:v>
      </x:c>
      <x:c r="E696" s="23" t="n">
        <x:v>660.722029034514</x:v>
      </x:c>
      <x:c r="F696" s="23" t="n">
        <x:v>620.0448349118233</x:v>
      </x:c>
      <x:c r="G696" s="23" t="n">
        <x:v>125.78674485674128</x:v>
      </x:c>
      <x:c r="H696" s="23" t="n">
        <x:v>29.163970123045146</x:v>
      </x:c>
      <x:c r="I696" s="23" t="n">
        <x:v>0.7917899544886313</x:v>
      </x:c>
      <x:c r="J696" s="23" t="n">
        <x:v>10</x:v>
      </x:c>
      <x:c r="K696" s="23" t="n">
        <x:v>186.0188599100358</x:v>
      </x:c>
      <x:c r="L696" s="23" t="n">
        <x:v>45</x:v>
      </x:c>
      <x:c r="M696" s="23" t="n">
        <x:v>25</x:v>
      </x:c>
      <x:c r="N696" s="23" t="n">
        <x:v>1.1846131928890558</x:v>
      </x:c>
      <x:c r="O696" s="23" t="n">
        <x:v>52.21868541272513</x:v>
      </x:c>
      <x:c r="P696" s="23" t="n">
        <x:v>1472.8786462219432</x:v>
      </x:c>
      <x:c r="Q696" s="23" t="n">
        <x:v>1.1722275502498358</x:v>
      </x:c>
      <x:c r="R696" s="23" t="n">
        <x:v>52.43153997627049</x:v>
      </x:c>
      <x:c r="S696" s="23" t="n">
        <x:v>1469.1193115643227</x:v>
      </x:c>
      <x:c r="T696" s="23" t="n">
        <x:v>-0.01238564263921993</x:v>
      </x:c>
      <x:c r="U696" s="23" t="n">
        <x:v>0.21285456354536336</x:v>
      </x:c>
      <x:c r="V696" s="23" t="n">
        <x:v>-3.7593346576204567</x:v>
      </x:c>
    </x:row>
    <x:row r="697">
      <x:c r="A697" s="23" t="n">
        <x:v>696</x:v>
      </x:c>
      <x:c r="B697" s="23" t="str">
        <x:v>Validation</x:v>
      </x:c>
      <x:c r="C697" s="23" t="str">
        <x:v>Lightning</x:v>
      </x:c>
      <x:c r="D697" s="23" t="n">
        <x:v>1406.0519165243022</x:v>
      </x:c>
      <x:c r="E697" s="23" t="n">
        <x:v>607.6388436369598</x:v>
      </x:c>
      <x:c r="F697" s="23" t="n">
        <x:v>688.2455340586603</x:v>
      </x:c>
      <x:c r="G697" s="23" t="n">
        <x:v>231.25386288855225</x:v>
      </x:c>
      <x:c r="H697" s="23" t="n">
        <x:v>20.772457336541265</x:v>
      </x:c>
      <x:c r="I697" s="23" t="n">
        <x:v>0.8082687328476459</x:v>
      </x:c>
      <x:c r="J697" s="23" t="n">
        <x:v>9</x:v>
      </x:c>
      <x:c r="K697" s="23" t="n">
        <x:v>193.28718825298242</x:v>
      </x:c>
      <x:c r="L697" s="23" t="n">
        <x:v>50</x:v>
      </x:c>
      <x:c r="M697" s="23" t="n">
        <x:v>25</x:v>
      </x:c>
      <x:c r="N697" s="23" t="n">
        <x:v>1.2402678103966909</x:v>
      </x:c>
      <x:c r="O697" s="23" t="n">
        <x:v>52.213119030163085</x:v>
      </x:c>
      <x:c r="P697" s="23" t="n">
        <x:v>1406.0519165243022</x:v>
      </x:c>
      <x:c r="Q697" s="23" t="n">
        <x:v>1.2272493725853488</x:v>
      </x:c>
      <x:c r="R697" s="23" t="n">
        <x:v>50.86942234953984</x:v>
      </x:c>
      <x:c r="S697" s="23" t="n">
        <x:v>1402.1223883309308</x:v>
      </x:c>
      <x:c r="T697" s="23" t="n">
        <x:v>-0.013018437811342043</x:v>
      </x:c>
      <x:c r="U697" s="23" t="n">
        <x:v>-1.3436966806232462</x:v>
      </x:c>
      <x:c r="V697" s="23" t="n">
        <x:v>-3.929528193371425</x:v>
      </x:c>
    </x:row>
    <x:row r="698">
      <x:c r="A698" s="23" t="n">
        <x:v>697</x:v>
      </x:c>
      <x:c r="B698" s="23" t="str">
        <x:v>Validation</x:v>
      </x:c>
      <x:c r="C698" s="23" t="str">
        <x:v>Lightning</x:v>
      </x:c>
      <x:c r="D698" s="23" t="n">
        <x:v>1477.646091207862</x:v>
      </x:c>
      <x:c r="E698" s="23" t="n">
        <x:v>1013.3045031107031</x:v>
      </x:c>
      <x:c r="F698" s="23" t="n">
        <x:v>584.7597079351544</x:v>
      </x:c>
      <x:c r="G698" s="23" t="n">
        <x:v>265.79872004920617</x:v>
      </x:c>
      <x:c r="H698" s="23" t="n">
        <x:v>23.26860703341663</x:v>
      </x:c>
      <x:c r="I698" s="23" t="n">
        <x:v>0.8260047965985723</x:v>
      </x:c>
      <x:c r="J698" s="23" t="n">
        <x:v>9</x:v>
      </x:c>
      <x:c r="K698" s="23" t="n">
        <x:v>198.76748863830937</x:v>
      </x:c>
      <x:c r="L698" s="23" t="n">
        <x:v>40</x:v>
      </x:c>
      <x:c r="M698" s="23" t="n">
        <x:v>25</x:v>
      </x:c>
      <x:c r="N698" s="23" t="n">
        <x:v>1.248208758820647</x:v>
      </x:c>
      <x:c r="O698" s="23" t="n">
        <x:v>52.26562282753099</x:v>
      </x:c>
      <x:c r="P698" s="23" t="n">
        <x:v>1477.646091207862</x:v>
      </x:c>
      <x:c r="Q698" s="23" t="n">
        <x:v>1.2562248399357472</x:v>
      </x:c>
      <x:c r="R698" s="23" t="n">
        <x:v>53.017255397330956</x:v>
      </x:c>
      <x:c r="S698" s="23" t="n">
        <x:v>1466.6329161846108</x:v>
      </x:c>
      <x:c r="T698" s="23" t="n">
        <x:v>0.008016081115100215</x:v>
      </x:c>
      <x:c r="U698" s="23" t="n">
        <x:v>0.7516325697999662</x:v>
      </x:c>
      <x:c r="V698" s="23" t="n">
        <x:v>-11.013175023251051</x:v>
      </x:c>
    </x:row>
    <x:row r="699">
      <x:c r="A699" s="23" t="n">
        <x:v>698</x:v>
      </x:c>
      <x:c r="B699" s="23" t="str">
        <x:v>Hidden Test</x:v>
      </x:c>
      <x:c r="C699" s="23" t="str">
        <x:v>Lightning</x:v>
      </x:c>
      <x:c r="D699" s="23" t="n">
        <x:v>1404.7856214107014</x:v>
      </x:c>
      <x:c r="E699" s="23" t="n">
        <x:v>694.8516560951248</x:v>
      </x:c>
      <x:c r="F699" s="23" t="n">
        <x:v>384.64979687705636</x:v>
      </x:c>
      <x:c r="G699" s="23" t="n">
        <x:v>297.2337321098894</x:v>
      </x:c>
      <x:c r="H699" s="23" t="n">
        <x:v>11.25223420234397</x:v>
      </x:c>
      <x:c r="I699" s="23" t="n">
        <x:v>0.7910473018186167</x:v>
      </x:c>
      <x:c r="J699" s="23" t="n">
        <x:v>9</x:v>
      </x:c>
      <x:c r="K699" s="23" t="n">
        <x:v>197.31726650101862</x:v>
      </x:c>
      <x:c r="L699" s="23" t="n">
        <x:v>55</x:v>
      </x:c>
      <x:c r="M699" s="23" t="n">
        <x:v>25</x:v>
      </x:c>
      <x:c r="N699" s="23" t="n">
        <x:v>1.1845806839285948</x:v>
      </x:c>
      <x:c r="O699" s="23" t="n">
        <x:v>52.18966743373392</x:v>
      </x:c>
      <x:c r="P699" s="23" t="n">
        <x:v>1404.7856214107014</x:v>
      </x:c>
      <x:c r="Q699" s="23" t="n">
        <x:v>1.1960306434177472</x:v>
      </x:c>
      <x:c r="R699" s="23" t="n">
        <x:v>52.1176406244004</x:v>
      </x:c>
      <x:c r="S699" s="23" t="n">
        <x:v>1427.1991946888425</x:v>
      </x:c>
      <x:c r="T699" s="23" t="n">
        <x:v>0.011449959489152395</x:v>
      </x:c>
      <x:c r="U699" s="23" t="n">
        <x:v>-0.07202680933352212</x:v>
      </x:c>
      <x:c r="V699" s="23" t="n">
        <x:v>22.41357327814103</x:v>
      </x:c>
    </x:row>
    <x:row r="700">
      <x:c r="A700" s="23" t="n">
        <x:v>699</x:v>
      </x:c>
      <x:c r="B700" s="23" t="str">
        <x:v>Hidden Test</x:v>
      </x:c>
      <x:c r="C700" s="23" t="str">
        <x:v>Lightning</x:v>
      </x:c>
      <x:c r="D700" s="23" t="n">
        <x:v>1465.528040821664</x:v>
      </x:c>
      <x:c r="E700" s="23" t="n">
        <x:v>1022.7551304385997</x:v>
      </x:c>
      <x:c r="F700" s="23" t="n">
        <x:v>680.4230723530054</x:v>
      </x:c>
      <x:c r="G700" s="23" t="n">
        <x:v>304.3347346666269</x:v>
      </x:c>
      <x:c r="H700" s="23" t="n">
        <x:v>15.324940511025488</x:v>
      </x:c>
      <x:c r="I700" s="23" t="n">
        <x:v>0.8529923957842402</x:v>
      </x:c>
      <x:c r="J700" s="23" t="n">
        <x:v>9</x:v>
      </x:c>
      <x:c r="K700" s="23" t="n">
        <x:v>190.9002352013622</x:v>
      </x:c>
      <x:c r="L700" s="23" t="n">
        <x:v>35</x:v>
      </x:c>
      <x:c r="M700" s="23" t="n">
        <x:v>25</x:v>
      </x:c>
      <x:c r="N700" s="23" t="n">
        <x:v>1.1531468222454477</x:v>
      </x:c>
      <x:c r="O700" s="23" t="n">
        <x:v>52.28802145477318</x:v>
      </x:c>
      <x:c r="P700" s="23" t="n">
        <x:v>1465.528040821664</x:v>
      </x:c>
      <x:c r="Q700" s="23" t="n">
        <x:v>1.1763075303216906</x:v>
      </x:c>
      <x:c r="R700" s="23" t="n">
        <x:v>51.91500187103004</x:v>
      </x:c>
      <x:c r="S700" s="23" t="n">
        <x:v>1454.858479086196</x:v>
      </x:c>
      <x:c r="T700" s="23" t="n">
        <x:v>0.02316070807624282</x:v>
      </x:c>
      <x:c r="U700" s="23" t="n">
        <x:v>-0.3730195837431367</x:v>
      </x:c>
      <x:c r="V700" s="23" t="n">
        <x:v>-10.66956173546805</x:v>
      </x:c>
    </x:row>
    <x:row r="701">
      <x:c r="A701" s="23" t="n">
        <x:v>700</x:v>
      </x:c>
      <x:c r="B701" s="23" t="str">
        <x:v>Hidden Test</x:v>
      </x:c>
      <x:c r="C701" s="23" t="str">
        <x:v>Lightning</x:v>
      </x:c>
      <x:c r="D701" s="23" t="n">
        <x:v>1479.6351168653928</x:v>
      </x:c>
      <x:c r="E701" s="23" t="n">
        <x:v>939.3457766156644</x:v>
      </x:c>
      <x:c r="F701" s="23" t="n">
        <x:v>554.4709975831211</x:v>
      </x:c>
      <x:c r="G701" s="23" t="n">
        <x:v>318.54952107649297</x:v>
      </x:c>
      <x:c r="H701" s="23" t="n">
        <x:v>25.65164215443656</x:v>
      </x:c>
      <x:c r="I701" s="23" t="n">
        <x:v>0.8245246647298337</x:v>
      </x:c>
      <x:c r="J701" s="23" t="n">
        <x:v>9</x:v>
      </x:c>
      <x:c r="K701" s="23" t="n">
        <x:v>199.39233949757175</x:v>
      </x:c>
      <x:c r="L701" s="23" t="n">
        <x:v>40</x:v>
      </x:c>
      <x:c r="M701" s="23" t="n">
        <x:v>25</x:v>
      </x:c>
      <x:c r="N701" s="23" t="n">
        <x:v>1.2293728190157411</x:v>
      </x:c>
      <x:c r="O701" s="23" t="n">
        <x:v>52.25759321459079</x:v>
      </x:c>
      <x:c r="P701" s="23" t="n">
        <x:v>1479.6351168653928</x:v>
      </x:c>
      <x:c r="Q701" s="23" t="n">
        <x:v>1.2360519954043026</x:v>
      </x:c>
      <x:c r="R701" s="23" t="n">
        <x:v>51.69260173575668</x:v>
      </x:c>
      <x:c r="S701" s="23" t="n">
        <x:v>1455.555515775584</x:v>
      </x:c>
      <x:c r="T701" s="23" t="n">
        <x:v>0.006679176388561414</x:v>
      </x:c>
      <x:c r="U701" s="23" t="n">
        <x:v>-0.5649914788341093</x:v>
      </x:c>
      <x:c r="V701" s="23" t="n">
        <x:v>-24.079601089808875</x:v>
      </x:c>
    </x:row>
    <x:row r="702">
      <x:c r="A702" s="23" t="n">
        <x:v>701</x:v>
      </x:c>
      <x:c r="B702" s="23" t="str">
        <x:v>Train</x:v>
      </x:c>
      <x:c r="C702" s="23" t="str">
        <x:v>Lightning</x:v>
      </x:c>
      <x:c r="D702" s="23" t="n">
        <x:v>1372.835124609992</x:v>
      </x:c>
      <x:c r="E702" s="23" t="n">
        <x:v>1125.2071183989756</x:v>
      </x:c>
      <x:c r="F702" s="23" t="n">
        <x:v>615.9675305709243</x:v>
      </x:c>
      <x:c r="G702" s="23" t="n">
        <x:v>141.40672304900363</x:v>
      </x:c>
      <x:c r="H702" s="23" t="n">
        <x:v>15.453611966222525</x:v>
      </x:c>
      <x:c r="I702" s="23" t="n">
        <x:v>0.8048004562058486</x:v>
      </x:c>
      <x:c r="J702" s="23" t="n">
        <x:v>9</x:v>
      </x:c>
      <x:c r="K702" s="23" t="n">
        <x:v>189.53423161176926</x:v>
      </x:c>
      <x:c r="L702" s="23" t="n">
        <x:v>40</x:v>
      </x:c>
      <x:c r="M702" s="23" t="n">
        <x:v>25</x:v>
      </x:c>
      <x:c r="N702" s="23" t="n">
        <x:v>1.218125864562652</x:v>
      </x:c>
      <x:c r="O702" s="23" t="n">
        <x:v>52.26854150043204</x:v>
      </x:c>
      <x:c r="P702" s="23" t="n">
        <x:v>1372.835124609992</x:v>
      </x:c>
      <x:c r="Q702" s="23" t="n">
        <x:v>1.221414460473031</x:v>
      </x:c>
      <x:c r="R702" s="23" t="n">
        <x:v>52.62325667391104</x:v>
      </x:c>
      <x:c r="S702" s="23" t="n">
        <x:v>1375.3705664717393</x:v>
      </x:c>
      <x:c r="T702" s="23" t="n">
        <x:v>0.0032885959103789997</x:v>
      </x:c>
      <x:c r="U702" s="23" t="n">
        <x:v>0.3547151734789935</x:v>
      </x:c>
      <x:c r="V702" s="23" t="n">
        <x:v>2.5354418617473584</x:v>
      </x:c>
    </x:row>
    <x:row r="703">
      <x:c r="A703" s="23" t="n">
        <x:v>702</x:v>
      </x:c>
      <x:c r="B703" s="23" t="str">
        <x:v>Train</x:v>
      </x:c>
      <x:c r="C703" s="23" t="str">
        <x:v>Lightning</x:v>
      </x:c>
      <x:c r="D703" s="23" t="n">
        <x:v>1489.3248643842526</x:v>
      </x:c>
      <x:c r="E703" s="23" t="n">
        <x:v>622.9640404460952</x:v>
      </x:c>
      <x:c r="F703" s="23" t="n">
        <x:v>640.9955193288624</x:v>
      </x:c>
      <x:c r="G703" s="23" t="n">
        <x:v>212.02378991991282</x:v>
      </x:c>
      <x:c r="H703" s="23" t="n">
        <x:v>26.298142375890166</x:v>
      </x:c>
      <x:c r="I703" s="23" t="n">
        <x:v>0.8492827581195161</x:v>
      </x:c>
      <x:c r="J703" s="23" t="n">
        <x:v>9</x:v>
      </x:c>
      <x:c r="K703" s="23" t="n">
        <x:v>194.847403771091</x:v>
      </x:c>
      <x:c r="L703" s="23" t="n">
        <x:v>50</x:v>
      </x:c>
      <x:c r="M703" s="23" t="n">
        <x:v>25</x:v>
      </x:c>
      <x:c r="N703" s="23" t="n">
        <x:v>1.2251367874157526</x:v>
      </x:c>
      <x:c r="O703" s="23" t="n">
        <x:v>52.20514270380117</x:v>
      </x:c>
      <x:c r="P703" s="23" t="n">
        <x:v>1489.3248643842526</x:v>
      </x:c>
      <x:c r="Q703" s="23" t="n">
        <x:v>1.2214759831774344</x:v>
      </x:c>
      <x:c r="R703" s="23" t="n">
        <x:v>51.08233649092853</x:v>
      </x:c>
      <x:c r="S703" s="23" t="n">
        <x:v>1485.9584856210993</x:v>
      </x:c>
      <x:c r="T703" s="23" t="n">
        <x:v>-0.0036608042383181605</x:v>
      </x:c>
      <x:c r="U703" s="23" t="n">
        <x:v>-1.1228062128726393</x:v>
      </x:c>
      <x:c r="V703" s="23" t="n">
        <x:v>-3.366378763153307</x:v>
      </x:c>
    </x:row>
    <x:row r="704">
      <x:c r="A704" s="23" t="n">
        <x:v>703</x:v>
      </x:c>
      <x:c r="B704" s="23" t="str">
        <x:v>Train</x:v>
      </x:c>
      <x:c r="C704" s="23" t="str">
        <x:v>Lightning</x:v>
      </x:c>
      <x:c r="D704" s="23" t="n">
        <x:v>1426.129787438549</x:v>
      </x:c>
      <x:c r="E704" s="23" t="n">
        <x:v>1119.3341697682627</x:v>
      </x:c>
      <x:c r="F704" s="23" t="n">
        <x:v>419.15550753474236</x:v>
      </x:c>
      <x:c r="G704" s="23" t="n">
        <x:v>308.50403509801254</x:v>
      </x:c>
      <x:c r="H704" s="23" t="n">
        <x:v>28.94738910254091</x:v>
      </x:c>
      <x:c r="I704" s="23" t="n">
        <x:v>0.8219435528083705</x:v>
      </x:c>
      <x:c r="J704" s="23" t="n">
        <x:v>9</x:v>
      </x:c>
      <x:c r="K704" s="23" t="n">
        <x:v>192.78558087053128</x:v>
      </x:c>
      <x:c r="L704" s="23" t="n">
        <x:v>35</x:v>
      </x:c>
      <x:c r="M704" s="23" t="n">
        <x:v>25</x:v>
      </x:c>
      <x:c r="N704" s="23" t="n">
        <x:v>1.1475207473953695</x:v>
      </x:c>
      <x:c r="O704" s="23" t="n">
        <x:v>52.262992494606124</x:v>
      </x:c>
      <x:c r="P704" s="23" t="n">
        <x:v>1426.129787438549</x:v>
      </x:c>
      <x:c r="Q704" s="23" t="n">
        <x:v>1.1525740371329212</x:v>
      </x:c>
      <x:c r="R704" s="23" t="n">
        <x:v>53.42852926163482</x:v>
      </x:c>
      <x:c r="S704" s="23" t="n">
        <x:v>1402.5904848079656</x:v>
      </x:c>
      <x:c r="T704" s="23" t="n">
        <x:v>0.005053289737551703</x:v>
      </x:c>
      <x:c r="U704" s="23" t="n">
        <x:v>1.1655367670286978</x:v>
      </x:c>
      <x:c r="V704" s="23" t="n">
        <x:v>-23.539302630583506</x:v>
      </x:c>
    </x:row>
    <x:row r="705">
      <x:c r="A705" s="23" t="n">
        <x:v>704</x:v>
      </x:c>
      <x:c r="B705" s="23" t="str">
        <x:v>Train</x:v>
      </x:c>
      <x:c r="C705" s="23" t="str">
        <x:v>Lightning</x:v>
      </x:c>
      <x:c r="D705" s="23" t="n">
        <x:v>1465.423771168571</x:v>
      </x:c>
      <x:c r="E705" s="23" t="n">
        <x:v>981.8297665566206</x:v>
      </x:c>
      <x:c r="F705" s="23" t="n">
        <x:v>685.7672869227827</x:v>
      </x:c>
      <x:c r="G705" s="23" t="n">
        <x:v>291.05770871508867</x:v>
      </x:c>
      <x:c r="H705" s="23" t="n">
        <x:v>20.462205903138965</x:v>
      </x:c>
      <x:c r="I705" s="23" t="n">
        <x:v>0.8296913293283433</x:v>
      </x:c>
      <x:c r="J705" s="23" t="n">
        <x:v>9</x:v>
      </x:c>
      <x:c r="K705" s="23" t="n">
        <x:v>196.24751724835488</x:v>
      </x:c>
      <x:c r="L705" s="23" t="n">
        <x:v>35</x:v>
      </x:c>
      <x:c r="M705" s="23" t="n">
        <x:v>25</x:v>
      </x:c>
      <x:c r="N705" s="23" t="n">
        <x:v>1.1580407687309502</x:v>
      </x:c>
      <x:c r="O705" s="23" t="n">
        <x:v>52.28040324379518</x:v>
      </x:c>
      <x:c r="P705" s="23" t="n">
        <x:v>1465.423771168571</x:v>
      </x:c>
      <x:c r="Q705" s="23" t="n">
        <x:v>1.16546638785729</x:v>
      </x:c>
      <x:c r="R705" s="23" t="n">
        <x:v>51.627509548123896</x:v>
      </x:c>
      <x:c r="S705" s="23" t="n">
        <x:v>1462.647997857112</x:v>
      </x:c>
      <x:c r="T705" s="23" t="n">
        <x:v>0.007425619126339766</x:v>
      </x:c>
      <x:c r="U705" s="23" t="n">
        <x:v>-0.6528936956712812</x:v>
      </x:c>
      <x:c r="V705" s="23" t="n">
        <x:v>-2.7757733114590337</x:v>
      </x:c>
    </x:row>
    <x:row r="706">
      <x:c r="A706" s="23" t="n">
        <x:v>705</x:v>
      </x:c>
      <x:c r="B706" s="23" t="str">
        <x:v>Train</x:v>
      </x:c>
      <x:c r="C706" s="23" t="str">
        <x:v>Lightning</x:v>
      </x:c>
      <x:c r="D706" s="23" t="n">
        <x:v>1465.0407540611923</x:v>
      </x:c>
      <x:c r="E706" s="23" t="n">
        <x:v>801.7769086523913</x:v>
      </x:c>
      <x:c r="F706" s="23" t="n">
        <x:v>388.35003320127726</x:v>
      </x:c>
      <x:c r="G706" s="23" t="n">
        <x:v>257.1509657264687</x:v>
      </x:c>
      <x:c r="H706" s="23" t="n">
        <x:v>9.781370231881738</x:v>
      </x:c>
      <x:c r="I706" s="23" t="n">
        <x:v>0.7978868311201223</x:v>
      </x:c>
      <x:c r="J706" s="23" t="n">
        <x:v>10</x:v>
      </x:c>
      <x:c r="K706" s="23" t="n">
        <x:v>183.61510641859806</x:v>
      </x:c>
      <x:c r="L706" s="23" t="n">
        <x:v>50</x:v>
      </x:c>
      <x:c r="M706" s="23" t="n">
        <x:v>25</x:v>
      </x:c>
      <x:c r="N706" s="23" t="n">
        <x:v>1.2486466575831572</x:v>
      </x:c>
      <x:c r="O706" s="23" t="n">
        <x:v>52.22574089748826</x:v>
      </x:c>
      <x:c r="P706" s="23" t="n">
        <x:v>1465.0407540611923</x:v>
      </x:c>
      <x:c r="Q706" s="23" t="n">
        <x:v>1.2540182783999827</x:v>
      </x:c>
      <x:c r="R706" s="23" t="n">
        <x:v>52.18521658503895</x:v>
      </x:c>
      <x:c r="S706" s="23" t="n">
        <x:v>1472.670500179241</x:v>
      </x:c>
      <x:c r="T706" s="23" t="n">
        <x:v>0.0053716208168255175</x:v>
      </x:c>
      <x:c r="U706" s="23" t="n">
        <x:v>-0.040524312449306876</x:v>
      </x:c>
      <x:c r="V706" s="23" t="n">
        <x:v>7.629746118048615</x:v>
      </x:c>
    </x:row>
    <x:row r="707">
      <x:c r="A707" s="23" t="n">
        <x:v>706</x:v>
      </x:c>
      <x:c r="B707" s="23" t="str">
        <x:v>Train</x:v>
      </x:c>
      <x:c r="C707" s="23" t="str">
        <x:v>Lightning</x:v>
      </x:c>
      <x:c r="D707" s="23" t="n">
        <x:v>1445.1118183904327</x:v>
      </x:c>
      <x:c r="E707" s="23" t="n">
        <x:v>751.3049676315859</x:v>
      </x:c>
      <x:c r="F707" s="23" t="n">
        <x:v>414.4253217615187</x:v>
      </x:c>
      <x:c r="G707" s="23" t="n">
        <x:v>113.20767567493021</x:v>
      </x:c>
      <x:c r="H707" s="23" t="n">
        <x:v>13.752542965579778</x:v>
      </x:c>
      <x:c r="I707" s="23" t="n">
        <x:v>0.8560967907169834</x:v>
      </x:c>
      <x:c r="J707" s="23" t="n">
        <x:v>9</x:v>
      </x:c>
      <x:c r="K707" s="23" t="n">
        <x:v>187.55820785951443</x:v>
      </x:c>
      <x:c r="L707" s="23" t="n">
        <x:v>60</x:v>
      </x:c>
      <x:c r="M707" s="23" t="n">
        <x:v>25</x:v>
      </x:c>
      <x:c r="N707" s="23" t="n">
        <x:v>1.205338146947702</x:v>
      </x:c>
      <x:c r="O707" s="23" t="n">
        <x:v>52.17441840220323</x:v>
      </x:c>
      <x:c r="P707" s="23" t="n">
        <x:v>1445.1118183904327</x:v>
      </x:c>
      <x:c r="Q707" s="23" t="n">
        <x:v>1.1921552052638384</x:v>
      </x:c>
      <x:c r="R707" s="23" t="n">
        <x:v>52.57329283162648</x:v>
      </x:c>
      <x:c r="S707" s="23" t="n">
        <x:v>1455.3007453208436</x:v>
      </x:c>
      <x:c r="T707" s="23" t="n">
        <x:v>-0.01318294168386358</x:v>
      </x:c>
      <x:c r="U707" s="23" t="n">
        <x:v>0.3988744294232518</x:v>
      </x:c>
      <x:c r="V707" s="23" t="n">
        <x:v>10.188926930410844</x:v>
      </x:c>
    </x:row>
    <x:row r="708">
      <x:c r="A708" s="23" t="n">
        <x:v>707</x:v>
      </x:c>
      <x:c r="B708" s="23" t="str">
        <x:v>Train</x:v>
      </x:c>
      <x:c r="C708" s="23" t="str">
        <x:v>Lightning</x:v>
      </x:c>
      <x:c r="D708" s="23" t="n">
        <x:v>1384.1563205933198</x:v>
      </x:c>
      <x:c r="E708" s="23" t="n">
        <x:v>751.4317636960186</x:v>
      </x:c>
      <x:c r="F708" s="23" t="n">
        <x:v>694.5601832121611</x:v>
      </x:c>
      <x:c r="G708" s="23" t="n">
        <x:v>288.3677572081797</x:v>
      </x:c>
      <x:c r="H708" s="23" t="n">
        <x:v>21.20738658774644</x:v>
      </x:c>
      <x:c r="I708" s="23" t="n">
        <x:v>0.7974882946978323</x:v>
      </x:c>
      <x:c r="J708" s="23" t="n">
        <x:v>9</x:v>
      </x:c>
      <x:c r="K708" s="23" t="n">
        <x:v>192.84940952125694</x:v>
      </x:c>
      <x:c r="L708" s="23" t="n">
        <x:v>40</x:v>
      </x:c>
      <x:c r="M708" s="23" t="n">
        <x:v>25</x:v>
      </x:c>
      <x:c r="N708" s="23" t="n">
        <x:v>1.1591657018874564</x:v>
      </x:c>
      <x:c r="O708" s="23" t="n">
        <x:v>52.24543003686434</x:v>
      </x:c>
      <x:c r="P708" s="23" t="n">
        <x:v>1384.1563205933198</x:v>
      </x:c>
      <x:c r="Q708" s="23" t="n">
        <x:v>1.169301478878329</x:v>
      </x:c>
      <x:c r="R708" s="23" t="n">
        <x:v>51.24057877311692</x:v>
      </x:c>
      <x:c r="S708" s="23" t="n">
        <x:v>1383.3986390669913</x:v>
      </x:c>
      <x:c r="T708" s="23" t="n">
        <x:v>0.010135776990872536</x:v>
      </x:c>
      <x:c r="U708" s="23" t="n">
        <x:v>-1.004851263747419</x:v>
      </x:c>
      <x:c r="V708" s="23" t="n">
        <x:v>-0.7576815263284971</x:v>
      </x:c>
    </x:row>
    <x:row r="709">
      <x:c r="A709" s="23" t="n">
        <x:v>708</x:v>
      </x:c>
      <x:c r="B709" s="23" t="str">
        <x:v>Train</x:v>
      </x:c>
      <x:c r="C709" s="23" t="str">
        <x:v>Lightning</x:v>
      </x:c>
      <x:c r="D709" s="23" t="n">
        <x:v>1387.5915564014576</x:v>
      </x:c>
      <x:c r="E709" s="23" t="n">
        <x:v>906.9271062035114</x:v>
      </x:c>
      <x:c r="F709" s="23" t="n">
        <x:v>562.244665902108</x:v>
      </x:c>
      <x:c r="G709" s="23" t="n">
        <x:v>234.33618461247534</x:v>
      </x:c>
      <x:c r="H709" s="23" t="n">
        <x:v>29.710398487281054</x:v>
      </x:c>
      <x:c r="I709" s="23" t="n">
        <x:v>0.8543857992254198</x:v>
      </x:c>
      <x:c r="J709" s="23" t="n">
        <x:v>9</x:v>
      </x:c>
      <x:c r="K709" s="23" t="n">
        <x:v>180.45342015274318</x:v>
      </x:c>
      <x:c r="L709" s="23" t="n">
        <x:v>40</x:v>
      </x:c>
      <x:c r="M709" s="23" t="n">
        <x:v>25</x:v>
      </x:c>
      <x:c r="N709" s="23" t="n">
        <x:v>1.183959442665608</x:v>
      </x:c>
      <x:c r="O709" s="23" t="n">
        <x:v>52.24061947815127</x:v>
      </x:c>
      <x:c r="P709" s="23" t="n">
        <x:v>1387.5915564014576</x:v>
      </x:c>
      <x:c r="Q709" s="23" t="n">
        <x:v>1.1821944722686037</x:v>
      </x:c>
      <x:c r="R709" s="23" t="n">
        <x:v>52.415135754578294</x:v>
      </x:c>
      <x:c r="S709" s="23" t="n">
        <x:v>1364.908038148363</x:v>
      </x:c>
      <x:c r="T709" s="23" t="n">
        <x:v>-0.0017649703970041841</x:v>
      </x:c>
      <x:c r="U709" s="23" t="n">
        <x:v>0.1745162764270276</x:v>
      </x:c>
      <x:c r="V709" s="23" t="n">
        <x:v>-22.68351825309469</x:v>
      </x:c>
    </x:row>
    <x:row r="710">
      <x:c r="A710" s="23" t="n">
        <x:v>709</x:v>
      </x:c>
      <x:c r="B710" s="23" t="str">
        <x:v>Train</x:v>
      </x:c>
      <x:c r="C710" s="23" t="str">
        <x:v>Lightning</x:v>
      </x:c>
      <x:c r="D710" s="23" t="n">
        <x:v>1405.8311896864325</x:v>
      </x:c>
      <x:c r="E710" s="23" t="n">
        <x:v>1017.8330214577727</x:v>
      </x:c>
      <x:c r="F710" s="23" t="n">
        <x:v>450.60688089579344</x:v>
      </x:c>
      <x:c r="G710" s="23" t="n">
        <x:v>306.78141231881455</x:v>
      </x:c>
      <x:c r="H710" s="23" t="n">
        <x:v>20.263413183391094</x:v>
      </x:c>
      <x:c r="I710" s="23" t="n">
        <x:v>0.8505263892025687</x:v>
      </x:c>
      <x:c r="J710" s="23" t="n">
        <x:v>9</x:v>
      </x:c>
      <x:c r="K710" s="23" t="n">
        <x:v>183.65504880708875</x:v>
      </x:c>
      <x:c r="L710" s="23" t="n">
        <x:v>40</x:v>
      </x:c>
      <x:c r="M710" s="23" t="n">
        <x:v>25</x:v>
      </x:c>
      <x:c r="N710" s="23" t="n">
        <x:v>1.1789217548217166</x:v>
      </x:c>
      <x:c r="O710" s="23" t="n">
        <x:v>52.251801383490296</x:v>
      </x:c>
      <x:c r="P710" s="23" t="n">
        <x:v>1405.8311896864325</x:v>
      </x:c>
      <x:c r="Q710" s="23" t="n">
        <x:v>1.1924748895157582</x:v>
      </x:c>
      <x:c r="R710" s="23" t="n">
        <x:v>52.28848726820821</x:v>
      </x:c>
      <x:c r="S710" s="23" t="n">
        <x:v>1402.1780249636322</x:v>
      </x:c>
      <x:c r="T710" s="23" t="n">
        <x:v>0.013553134694041624</x:v>
      </x:c>
      <x:c r="U710" s="23" t="n">
        <x:v>0.036685884717911676</x:v>
      </x:c>
      <x:c r="V710" s="23" t="n">
        <x:v>-3.653164722800284</x:v>
      </x:c>
    </x:row>
    <x:row r="711">
      <x:c r="A711" s="23" t="n">
        <x:v>710</x:v>
      </x:c>
      <x:c r="B711" s="23" t="str">
        <x:v>Train</x:v>
      </x:c>
      <x:c r="C711" s="23" t="str">
        <x:v>Lightning</x:v>
      </x:c>
      <x:c r="D711" s="23" t="n">
        <x:v>1479.3629727442749</x:v>
      </x:c>
      <x:c r="E711" s="23" t="n">
        <x:v>979.6752270078287</x:v>
      </x:c>
      <x:c r="F711" s="23" t="n">
        <x:v>541.1873158998787</x:v>
      </x:c>
      <x:c r="G711" s="23" t="n">
        <x:v>180.8908967487514</x:v>
      </x:c>
      <x:c r="H711" s="23" t="n">
        <x:v>28.145638360176235</x:v>
      </x:c>
      <x:c r="I711" s="23" t="n">
        <x:v>0.8469067155709491</x:v>
      </x:c>
      <x:c r="J711" s="23" t="n">
        <x:v>9</x:v>
      </x:c>
      <x:c r="K711" s="23" t="n">
        <x:v>194.0870943825719</x:v>
      </x:c>
      <x:c r="L711" s="23" t="n">
        <x:v>40</x:v>
      </x:c>
      <x:c r="M711" s="23" t="n">
        <x:v>25</x:v>
      </x:c>
      <x:c r="N711" s="23" t="n">
        <x:v>1.1750196145901093</x:v>
      </x:c>
      <x:c r="O711" s="23" t="n">
        <x:v>52.24034590507843</x:v>
      </x:c>
      <x:c r="P711" s="23" t="n">
        <x:v>1479.3629727442749</x:v>
      </x:c>
      <x:c r="Q711" s="23" t="n">
        <x:v>1.1831408413890057</x:v>
      </x:c>
      <x:c r="R711" s="23" t="n">
        <x:v>52.83849635853484</x:v>
      </x:c>
      <x:c r="S711" s="23" t="n">
        <x:v>1457.6542277489634</x:v>
      </x:c>
      <x:c r="T711" s="23" t="n">
        <x:v>0.008121226798896375</x:v>
      </x:c>
      <x:c r="U711" s="23" t="n">
        <x:v>0.5981504534564124</x:v>
      </x:c>
      <x:c r="V711" s="23" t="n">
        <x:v>-21.708744995311463</x:v>
      </x:c>
    </x:row>
    <x:row r="712">
      <x:c r="A712" s="23" t="n">
        <x:v>711</x:v>
      </x:c>
      <x:c r="B712" s="23" t="str">
        <x:v>Train</x:v>
      </x:c>
      <x:c r="C712" s="23" t="str">
        <x:v>Lightning</x:v>
      </x:c>
      <x:c r="D712" s="23" t="n">
        <x:v>1488.2708630757406</x:v>
      </x:c>
      <x:c r="E712" s="23" t="n">
        <x:v>1223.0091534671374</x:v>
      </x:c>
      <x:c r="F712" s="23" t="n">
        <x:v>697.4578887224197</x:v>
      </x:c>
      <x:c r="G712" s="23" t="n">
        <x:v>102.90804678341374</x:v>
      </x:c>
      <x:c r="H712" s="23" t="n">
        <x:v>14.65184563677758</x:v>
      </x:c>
      <x:c r="I712" s="23" t="n">
        <x:v>0.8172110764659011</x:v>
      </x:c>
      <x:c r="J712" s="23" t="n">
        <x:v>10</x:v>
      </x:c>
      <x:c r="K712" s="23" t="n">
        <x:v>182.11584570193236</x:v>
      </x:c>
      <x:c r="L712" s="23" t="n">
        <x:v>35</x:v>
      </x:c>
      <x:c r="M712" s="23" t="n">
        <x:v>25</x:v>
      </x:c>
      <x:c r="N712" s="23" t="n">
        <x:v>1.267040540083479</x:v>
      </x:c>
      <x:c r="O712" s="23" t="n">
        <x:v>52.32554973416456</x:v>
      </x:c>
      <x:c r="P712" s="23" t="n">
        <x:v>1488.2708630757406</x:v>
      </x:c>
      <x:c r="Q712" s="23" t="n">
        <x:v>1.2801251411327885</x:v>
      </x:c>
      <x:c r="R712" s="23" t="n">
        <x:v>53.62665483564336</x:v>
      </x:c>
      <x:c r="S712" s="23" t="n">
        <x:v>1474.440050011699</x:v>
      </x:c>
      <x:c r="T712" s="23" t="n">
        <x:v>0.01308460104930953</x:v>
      </x:c>
      <x:c r="U712" s="23" t="n">
        <x:v>1.3011051014787967</x:v>
      </x:c>
      <x:c r="V712" s="23" t="n">
        <x:v>-13.83081306404165</x:v>
      </x:c>
    </x:row>
    <x:row r="713">
      <x:c r="A713" s="23" t="n">
        <x:v>712</x:v>
      </x:c>
      <x:c r="B713" s="23" t="str">
        <x:v>Train</x:v>
      </x:c>
      <x:c r="C713" s="23" t="str">
        <x:v>Lightning</x:v>
      </x:c>
      <x:c r="D713" s="23" t="n">
        <x:v>1353.6485982011072</x:v>
      </x:c>
      <x:c r="E713" s="23" t="n">
        <x:v>679.4338737614453</x:v>
      </x:c>
      <x:c r="F713" s="23" t="n">
        <x:v>394.4104320369661</x:v>
      </x:c>
      <x:c r="G713" s="23" t="n">
        <x:v>310.50845006946474</x:v>
      </x:c>
      <x:c r="H713" s="23" t="n">
        <x:v>20.044460473116487</x:v>
      </x:c>
      <x:c r="I713" s="23" t="n">
        <x:v>0.849698894256726</x:v>
      </x:c>
      <x:c r="J713" s="23" t="n">
        <x:v>8</x:v>
      </x:c>
      <x:c r="K713" s="23" t="n">
        <x:v>199.13651285041556</x:v>
      </x:c>
      <x:c r="L713" s="23" t="n">
        <x:v>60</x:v>
      </x:c>
      <x:c r="M713" s="23" t="n">
        <x:v>25</x:v>
      </x:c>
      <x:c r="N713" s="23" t="n">
        <x:v>1.1936909198046146</x:v>
      </x:c>
      <x:c r="O713" s="23" t="n">
        <x:v>52.16687129196329</x:v>
      </x:c>
      <x:c r="P713" s="23" t="n">
        <x:v>1353.6485982011072</x:v>
      </x:c>
      <x:c r="Q713" s="23" t="n">
        <x:v>1.1990874922208272</x:v>
      </x:c>
      <x:c r="R713" s="23" t="n">
        <x:v>50.6096114301466</x:v>
      </x:c>
      <x:c r="S713" s="23" t="n">
        <x:v>1353.5867386051004</x:v>
      </x:c>
      <x:c r="T713" s="23" t="n">
        <x:v>0.005396572416212608</x:v>
      </x:c>
      <x:c r="U713" s="23" t="n">
        <x:v>-1.5572598618166893</x:v>
      </x:c>
      <x:c r="V713" s="23" t="n">
        <x:v>-0.0618595960067978</x:v>
      </x:c>
    </x:row>
    <x:row r="714">
      <x:c r="A714" s="23" t="n">
        <x:v>713</x:v>
      </x:c>
      <x:c r="B714" s="23" t="str">
        <x:v>Train</x:v>
      </x:c>
      <x:c r="C714" s="23" t="str">
        <x:v>Lightning</x:v>
      </x:c>
      <x:c r="D714" s="23" t="n">
        <x:v>1407.5837770476937</x:v>
      </x:c>
      <x:c r="E714" s="23" t="n">
        <x:v>1128.2355361036025</x:v>
      </x:c>
      <x:c r="F714" s="23" t="n">
        <x:v>694.1089423373342</x:v>
      </x:c>
      <x:c r="G714" s="23" t="n">
        <x:v>99.79452517116442</x:v>
      </x:c>
      <x:c r="H714" s="23" t="n">
        <x:v>11.610422259196639</x:v>
      </x:c>
      <x:c r="I714" s="23" t="n">
        <x:v>0.8323324512806721</x:v>
      </x:c>
      <x:c r="J714" s="23" t="n">
        <x:v>9</x:v>
      </x:c>
      <x:c r="K714" s="23" t="n">
        <x:v>187.90352005271563</x:v>
      </x:c>
      <x:c r="L714" s="23" t="n">
        <x:v>40</x:v>
      </x:c>
      <x:c r="M714" s="23" t="n">
        <x:v>25</x:v>
      </x:c>
      <x:c r="N714" s="23" t="n">
        <x:v>1.221059704615445</x:v>
      </x:c>
      <x:c r="O714" s="23" t="n">
        <x:v>52.27470952413822</x:v>
      </x:c>
      <x:c r="P714" s="23" t="n">
        <x:v>1407.5837770476937</x:v>
      </x:c>
      <x:c r="Q714" s="23" t="n">
        <x:v>1.2361935431120032</x:v>
      </x:c>
      <x:c r="R714" s="23" t="n">
        <x:v>52.30198855149663</x:v>
      </x:c>
      <x:c r="S714" s="23" t="n">
        <x:v>1407.0038702656511</x:v>
      </x:c>
      <x:c r="T714" s="23" t="n">
        <x:v>0.01513383849655825</x:v>
      </x:c>
      <x:c r="U714" s="23" t="n">
        <x:v>0.0272790273584107</x:v>
      </x:c>
      <x:c r="V714" s="23" t="n">
        <x:v>-0.5799067820425989</x:v>
      </x:c>
    </x:row>
    <x:row r="715">
      <x:c r="A715" s="23" t="n">
        <x:v>714</x:v>
      </x:c>
      <x:c r="B715" s="23" t="str">
        <x:v>Train</x:v>
      </x:c>
      <x:c r="C715" s="23" t="str">
        <x:v>Lightning</x:v>
      </x:c>
      <x:c r="D715" s="23" t="n">
        <x:v>1350.1834504888393</x:v>
      </x:c>
      <x:c r="E715" s="23" t="n">
        <x:v>1221.1189016932622</x:v>
      </x:c>
      <x:c r="F715" s="23" t="n">
        <x:v>468.94471356645226</x:v>
      </x:c>
      <x:c r="G715" s="23" t="n">
        <x:v>169.86024255864322</x:v>
      </x:c>
      <x:c r="H715" s="23" t="n">
        <x:v>23.77504885615781</x:v>
      </x:c>
      <x:c r="I715" s="23" t="n">
        <x:v>0.7912434274377301</x:v>
      </x:c>
      <x:c r="J715" s="23" t="n">
        <x:v>9</x:v>
      </x:c>
      <x:c r="K715" s="23" t="n">
        <x:v>189.6007956406756</x:v>
      </x:c>
      <x:c r="L715" s="23" t="n">
        <x:v>40</x:v>
      </x:c>
      <x:c r="M715" s="23" t="n">
        <x:v>25</x:v>
      </x:c>
      <x:c r="N715" s="23" t="n">
        <x:v>1.248459769167897</x:v>
      </x:c>
      <x:c r="O715" s="23" t="n">
        <x:v>52.26500862753033</x:v>
      </x:c>
      <x:c r="P715" s="23" t="n">
        <x:v>1350.1834504888393</x:v>
      </x:c>
      <x:c r="Q715" s="23" t="n">
        <x:v>1.2531691069776492</x:v>
      </x:c>
      <x:c r="R715" s="23" t="n">
        <x:v>54.145587887111695</x:v>
      </x:c>
      <x:c r="S715" s="23" t="n">
        <x:v>1334.8664544365552</x:v>
      </x:c>
      <x:c r="T715" s="23" t="n">
        <x:v>0.004709337809752245</x:v>
      </x:c>
      <x:c r="U715" s="23" t="n">
        <x:v>1.880579259581367</x:v>
      </x:c>
      <x:c r="V715" s="23" t="n">
        <x:v>-15.31699605228414</x:v>
      </x:c>
    </x:row>
    <x:row r="716">
      <x:c r="A716" s="23" t="n">
        <x:v>715</x:v>
      </x:c>
      <x:c r="B716" s="23" t="str">
        <x:v>Validation</x:v>
      </x:c>
      <x:c r="C716" s="23" t="str">
        <x:v>Lightning</x:v>
      </x:c>
      <x:c r="D716" s="23" t="n">
        <x:v>1425.4894132493064</x:v>
      </x:c>
      <x:c r="E716" s="23" t="n">
        <x:v>1037.6623230637051</x:v>
      </x:c>
      <x:c r="F716" s="23" t="n">
        <x:v>461.84110529720783</x:v>
      </x:c>
      <x:c r="G716" s="23" t="n">
        <x:v>86.38876500306651</x:v>
      </x:c>
      <x:c r="H716" s="23" t="n">
        <x:v>13.991367579437792</x:v>
      </x:c>
      <x:c r="I716" s="23" t="n">
        <x:v>0.822816188025754</x:v>
      </x:c>
      <x:c r="J716" s="23" t="n">
        <x:v>9</x:v>
      </x:c>
      <x:c r="K716" s="23" t="n">
        <x:v>192.4946481221864</x:v>
      </x:c>
      <x:c r="L716" s="23" t="n">
        <x:v>50</x:v>
      </x:c>
      <x:c r="M716" s="23" t="n">
        <x:v>25</x:v>
      </x:c>
      <x:c r="N716" s="23" t="n">
        <x:v>1.2550252181302377</x:v>
      </x:c>
      <x:c r="O716" s="23" t="n">
        <x:v>52.22228024025028</x:v>
      </x:c>
      <x:c r="P716" s="23" t="n">
        <x:v>1425.4894132493064</x:v>
      </x:c>
      <x:c r="Q716" s="23" t="n">
        <x:v>1.2471849424192631</x:v>
      </x:c>
      <x:c r="R716" s="23" t="n">
        <x:v>52.3756787507303</x:v>
      </x:c>
      <x:c r="S716" s="23" t="n">
        <x:v>1439.529883522716</x:v>
      </x:c>
      <x:c r="T716" s="23" t="n">
        <x:v>-0.007840275710974565</x:v>
      </x:c>
      <x:c r="U716" s="23" t="n">
        <x:v>0.15339851048002373</x:v>
      </x:c>
      <x:c r="V716" s="23" t="n">
        <x:v>14.04047027340971</x:v>
      </x:c>
    </x:row>
    <x:row r="717">
      <x:c r="A717" s="23" t="n">
        <x:v>716</x:v>
      </x:c>
      <x:c r="B717" s="23" t="str">
        <x:v>Validation</x:v>
      </x:c>
      <x:c r="C717" s="23" t="str">
        <x:v>Lightning</x:v>
      </x:c>
      <x:c r="D717" s="23" t="n">
        <x:v>1482.7465245849453</x:v>
      </x:c>
      <x:c r="E717" s="23" t="n">
        <x:v>791.7281252797693</x:v>
      </x:c>
      <x:c r="F717" s="23" t="n">
        <x:v>387.64645559713244</x:v>
      </x:c>
      <x:c r="G717" s="23" t="n">
        <x:v>305.58125376235694</x:v>
      </x:c>
      <x:c r="H717" s="23" t="n">
        <x:v>25.19834867445752</x:v>
      </x:c>
      <x:c r="I717" s="23" t="n">
        <x:v>0.80438451256603</x:v>
      </x:c>
      <x:c r="J717" s="23" t="n">
        <x:v>10</x:v>
      </x:c>
      <x:c r="K717" s="23" t="n">
        <x:v>184.33305234270406</x:v>
      </x:c>
      <x:c r="L717" s="23" t="n">
        <x:v>45</x:v>
      </x:c>
      <x:c r="M717" s="23" t="n">
        <x:v>25</x:v>
      </x:c>
      <x:c r="N717" s="23" t="n">
        <x:v>1.2272825204758855</x:v>
      </x:c>
      <x:c r="O717" s="23" t="n">
        <x:v>52.232268598351254</x:v>
      </x:c>
      <x:c r="P717" s="23" t="n">
        <x:v>1482.7465245849453</x:v>
      </x:c>
      <x:c r="Q717" s="23" t="n">
        <x:v>1.2199447077541552</x:v>
      </x:c>
      <x:c r="R717" s="23" t="n">
        <x:v>52.92114360073554</x:v>
      </x:c>
      <x:c r="S717" s="23" t="n">
        <x:v>1476.7232608498198</x:v>
      </x:c>
      <x:c r="T717" s="23" t="n">
        <x:v>-0.007337812721730286</x:v>
      </x:c>
      <x:c r="U717" s="23" t="n">
        <x:v>0.688875002384286</x:v>
      </x:c>
      <x:c r="V717" s="23" t="n">
        <x:v>-6.023263735125511</x:v>
      </x:c>
    </x:row>
    <x:row r="718">
      <x:c r="A718" s="23" t="n">
        <x:v>717</x:v>
      </x:c>
      <x:c r="B718" s="23" t="str">
        <x:v>Validation</x:v>
      </x:c>
      <x:c r="C718" s="23" t="str">
        <x:v>Lightning</x:v>
      </x:c>
      <x:c r="D718" s="23" t="n">
        <x:v>1387.9155391361564</x:v>
      </x:c>
      <x:c r="E718" s="23" t="n">
        <x:v>1025.493495806586</x:v>
      </x:c>
      <x:c r="F718" s="23" t="n">
        <x:v>451.262547634542</x:v>
      </x:c>
      <x:c r="G718" s="23" t="n">
        <x:v>165.3303594631143</x:v>
      </x:c>
      <x:c r="H718" s="23" t="n">
        <x:v>14.653005350381136</x:v>
      </x:c>
      <x:c r="I718" s="23" t="n">
        <x:v>0.7993047136091628</x:v>
      </x:c>
      <x:c r="J718" s="23" t="n">
        <x:v>9</x:v>
      </x:c>
      <x:c r="K718" s="23" t="n">
        <x:v>192.93372734594035</x:v>
      </x:c>
      <x:c r="L718" s="23" t="n">
        <x:v>45</x:v>
      </x:c>
      <x:c r="M718" s="23" t="n">
        <x:v>25</x:v>
      </x:c>
      <x:c r="N718" s="23" t="n">
        <x:v>1.1837444816277178</x:v>
      </x:c>
      <x:c r="O718" s="23" t="n">
        <x:v>52.23104232237284</x:v>
      </x:c>
      <x:c r="P718" s="23" t="n">
        <x:v>1387.9155391361564</x:v>
      </x:c>
      <x:c r="Q718" s="23" t="n">
        <x:v>1.1850970148122046</x:v>
      </x:c>
      <x:c r="R718" s="23" t="n">
        <x:v>53.21419154736249</x:v>
      </x:c>
      <x:c r="S718" s="23" t="n">
        <x:v>1397.0917735486962</x:v>
      </x:c>
      <x:c r="T718" s="23" t="n">
        <x:v>0.0013525331844868038</x:v>
      </x:c>
      <x:c r="U718" s="23" t="n">
        <x:v>0.9831492249896456</x:v>
      </x:c>
      <x:c r="V718" s="23" t="n">
        <x:v>9.17623441253977</x:v>
      </x:c>
    </x:row>
    <x:row r="719">
      <x:c r="A719" s="23" t="n">
        <x:v>718</x:v>
      </x:c>
      <x:c r="B719" s="23" t="str">
        <x:v>Hidden Test</x:v>
      </x:c>
      <x:c r="C719" s="23" t="str">
        <x:v>Lightning</x:v>
      </x:c>
      <x:c r="D719" s="23" t="n">
        <x:v>1497.5820230436511</x:v>
      </x:c>
      <x:c r="E719" s="23" t="n">
        <x:v>826.7066937638447</x:v>
      </x:c>
      <x:c r="F719" s="23" t="n">
        <x:v>542.5424282439053</x:v>
      </x:c>
      <x:c r="G719" s="23" t="n">
        <x:v>192.37492226064205</x:v>
      </x:c>
      <x:c r="H719" s="23" t="n">
        <x:v>23.531374181155115</x:v>
      </x:c>
      <x:c r="I719" s="23" t="n">
        <x:v>0.8275530356122182</x:v>
      </x:c>
      <x:c r="J719" s="23" t="n">
        <x:v>10</x:v>
      </x:c>
      <x:c r="K719" s="23" t="n">
        <x:v>180.9650812211389</x:v>
      </x:c>
      <x:c r="L719" s="23" t="n">
        <x:v>40</x:v>
      </x:c>
      <x:c r="M719" s="23" t="n">
        <x:v>25</x:v>
      </x:c>
      <x:c r="N719" s="23" t="n">
        <x:v>1.1594840717951669</x:v>
      </x:c>
      <x:c r="O719" s="23" t="n">
        <x:v>52.245551365669506</x:v>
      </x:c>
      <x:c r="P719" s="23" t="n">
        <x:v>1497.5820230436511</x:v>
      </x:c>
      <x:c r="Q719" s="23" t="n">
        <x:v>1.1464655605039056</x:v>
      </x:c>
      <x:c r="R719" s="23" t="n">
        <x:v>52.34997531251595</x:v>
      </x:c>
      <x:c r="S719" s="23" t="n">
        <x:v>1490.0775089853125</x:v>
      </x:c>
      <x:c r="T719" s="23" t="n">
        <x:v>-0.013018511291261303</x:v>
      </x:c>
      <x:c r="U719" s="23" t="n">
        <x:v>0.1044239468464454</x:v>
      </x:c>
      <x:c r="V719" s="23" t="n">
        <x:v>-7.5045140583386</x:v>
      </x:c>
    </x:row>
    <x:row r="720">
      <x:c r="A720" s="23" t="n">
        <x:v>719</x:v>
      </x:c>
      <x:c r="B720" s="23" t="str">
        <x:v>Hidden Test</x:v>
      </x:c>
      <x:c r="C720" s="23" t="str">
        <x:v>Lightning</x:v>
      </x:c>
      <x:c r="D720" s="23" t="n">
        <x:v>1440.68452923093</x:v>
      </x:c>
      <x:c r="E720" s="23" t="n">
        <x:v>822.856007993687</x:v>
      </x:c>
      <x:c r="F720" s="23" t="n">
        <x:v>596.246076375246</x:v>
      </x:c>
      <x:c r="G720" s="23" t="n">
        <x:v>107.94105972861871</x:v>
      </x:c>
      <x:c r="H720" s="23" t="n">
        <x:v>21.328635959886014</x:v>
      </x:c>
      <x:c r="I720" s="23" t="n">
        <x:v>0.8503419875889086</x:v>
      </x:c>
      <x:c r="J720" s="23" t="n">
        <x:v>9</x:v>
      </x:c>
      <x:c r="K720" s="23" t="n">
        <x:v>188.24903525853438</x:v>
      </x:c>
      <x:c r="L720" s="23" t="n">
        <x:v>50</x:v>
      </x:c>
      <x:c r="M720" s="23" t="n">
        <x:v>25</x:v>
      </x:c>
      <x:c r="N720" s="23" t="n">
        <x:v>1.242581198087139</x:v>
      </x:c>
      <x:c r="O720" s="23" t="n">
        <x:v>52.21310420224341</x:v>
      </x:c>
      <x:c r="P720" s="23" t="n">
        <x:v>1440.68452923093</x:v>
      </x:c>
      <x:c r="Q720" s="23" t="n">
        <x:v>1.22702285207043</x:v>
      </x:c>
      <x:c r="R720" s="23" t="n">
        <x:v>51.95556689051881</x:v>
      </x:c>
      <x:c r="S720" s="23" t="n">
        <x:v>1438.3506579082477</x:v>
      </x:c>
      <x:c r="T720" s="23" t="n">
        <x:v>-0.015558346016709024</x:v>
      </x:c>
      <x:c r="U720" s="23" t="n">
        <x:v>-0.2575373117245974</x:v>
      </x:c>
      <x:c r="V720" s="23" t="n">
        <x:v>-2.333871322682171</x:v>
      </x:c>
    </x:row>
    <x:row r="721">
      <x:c r="A721" s="23" t="n">
        <x:v>720</x:v>
      </x:c>
      <x:c r="B721" s="23" t="str">
        <x:v>Hidden Test</x:v>
      </x:c>
      <x:c r="C721" s="23" t="str">
        <x:v>Lightning</x:v>
      </x:c>
      <x:c r="D721" s="23" t="n">
        <x:v>1455.614379036706</x:v>
      </x:c>
      <x:c r="E721" s="23" t="n">
        <x:v>858.5971651598811</x:v>
      </x:c>
      <x:c r="F721" s="23" t="n">
        <x:v>688.3273436687887</x:v>
      </x:c>
      <x:c r="G721" s="23" t="n">
        <x:v>90.09217475075275</x:v>
      </x:c>
      <x:c r="H721" s="23" t="n">
        <x:v>28.785071113612503</x:v>
      </x:c>
      <x:c r="I721" s="23" t="n">
        <x:v>0.8208282585348934</x:v>
      </x:c>
      <x:c r="J721" s="23" t="n">
        <x:v>9</x:v>
      </x:c>
      <x:c r="K721" s="23" t="n">
        <x:v>197.03869758670484</x:v>
      </x:c>
      <x:c r="L721" s="23" t="n">
        <x:v>45</x:v>
      </x:c>
      <x:c r="M721" s="23" t="n">
        <x:v>25</x:v>
      </x:c>
      <x:c r="N721" s="23" t="n">
        <x:v>1.2467667650566356</x:v>
      </x:c>
      <x:c r="O721" s="23" t="n">
        <x:v>52.230251826387125</x:v>
      </x:c>
      <x:c r="P721" s="23" t="n">
        <x:v>1455.614379036706</x:v>
      </x:c>
      <x:c r="Q721" s="23" t="n">
        <x:v>1.2340832293573938</x:v>
      </x:c>
      <x:c r="R721" s="23" t="n">
        <x:v>51.41064580333292</x:v>
      </x:c>
      <x:c r="S721" s="23" t="n">
        <x:v>1439.3459981211772</x:v>
      </x:c>
      <x:c r="T721" s="23" t="n">
        <x:v>-0.012683535699241855</x:v>
      </x:c>
      <x:c r="U721" s="23" t="n">
        <x:v>-0.8196060230542059</x:v>
      </x:c>
      <x:c r="V721" s="23" t="n">
        <x:v>-16.268380915528724</x:v>
      </x:c>
    </x:row>
    <x:row r="722">
      <x:c r="A722" s="23" t="n">
        <x:v>721</x:v>
      </x:c>
      <x:c r="B722" s="23" t="str">
        <x:v>Train</x:v>
      </x:c>
      <x:c r="C722" s="23" t="str">
        <x:v>Lightning</x:v>
      </x:c>
      <x:c r="D722" s="23" t="n">
        <x:v>1368.7523902393878</x:v>
      </x:c>
      <x:c r="E722" s="23" t="n">
        <x:v>850.3514555632137</x:v>
      </x:c>
      <x:c r="F722" s="23" t="n">
        <x:v>417.70187113434076</x:v>
      </x:c>
      <x:c r="G722" s="23" t="n">
        <x:v>299.67317356029525</x:v>
      </x:c>
      <x:c r="H722" s="23" t="n">
        <x:v>12.244895042851567</x:v>
      </x:c>
      <x:c r="I722" s="23" t="n">
        <x:v>0.8571831297059543</x:v>
      </x:c>
      <x:c r="J722" s="23" t="n">
        <x:v>8</x:v>
      </x:c>
      <x:c r="K722" s="23" t="n">
        <x:v>199.60034542282125</x:v>
      </x:c>
      <x:c r="L722" s="23" t="n">
        <x:v>55</x:v>
      </x:c>
      <x:c r="M722" s="23" t="n">
        <x:v>25</x:v>
      </x:c>
      <x:c r="N722" s="23" t="n">
        <x:v>1.2086637976054813</x:v>
      </x:c>
      <x:c r="O722" s="23" t="n">
        <x:v>52.19228689293573</x:v>
      </x:c>
      <x:c r="P722" s="23" t="n">
        <x:v>1368.7523902393878</x:v>
      </x:c>
      <x:c r="Q722" s="23" t="n">
        <x:v>1.2026476238945047</x:v>
      </x:c>
      <x:c r="R722" s="23" t="n">
        <x:v>51.2687991873036</x:v>
      </x:c>
      <x:c r="S722" s="23" t="n">
        <x:v>1373.7313520062278</x:v>
      </x:c>
      <x:c r="T722" s="23" t="n">
        <x:v>-0.006016173710976513</x:v>
      </x:c>
      <x:c r="U722" s="23" t="n">
        <x:v>-0.9234877056321338</x:v>
      </x:c>
      <x:c r="V722" s="23" t="n">
        <x:v>4.97896176684003</x:v>
      </x:c>
    </x:row>
    <x:row r="723">
      <x:c r="A723" s="23" t="n">
        <x:v>722</x:v>
      </x:c>
      <x:c r="B723" s="23" t="str">
        <x:v>Train</x:v>
      </x:c>
      <x:c r="C723" s="23" t="str">
        <x:v>Lightning</x:v>
      </x:c>
      <x:c r="D723" s="23" t="n">
        <x:v>1439.4763592281379</x:v>
      </x:c>
      <x:c r="E723" s="23" t="n">
        <x:v>913.1024525733665</x:v>
      </x:c>
      <x:c r="F723" s="23" t="n">
        <x:v>512.0393016375601</x:v>
      </x:c>
      <x:c r="G723" s="23" t="n">
        <x:v>181.8659055698663</x:v>
      </x:c>
      <x:c r="H723" s="23" t="n">
        <x:v>21.682739392388612</x:v>
      </x:c>
      <x:c r="I723" s="23" t="n">
        <x:v>0.818574671545066</x:v>
      </x:c>
      <x:c r="J723" s="23" t="n">
        <x:v>9</x:v>
      </x:c>
      <x:c r="K723" s="23" t="n">
        <x:v>195.39062623343074</x:v>
      </x:c>
      <x:c r="L723" s="23" t="n">
        <x:v>45</x:v>
      </x:c>
      <x:c r="M723" s="23" t="n">
        <x:v>25</x:v>
      </x:c>
      <x:c r="N723" s="23" t="n">
        <x:v>1.1934379645001238</x:v>
      </x:c>
      <x:c r="O723" s="23" t="n">
        <x:v>52.225572669351315</x:v>
      </x:c>
      <x:c r="P723" s="23" t="n">
        <x:v>1439.4763592281379</x:v>
      </x:c>
      <x:c r="Q723" s="23" t="n">
        <x:v>1.1861313435463663</x:v>
      </x:c>
      <x:c r="R723" s="23" t="n">
        <x:v>51.59542849583417</x:v>
      </x:c>
      <x:c r="S723" s="23" t="n">
        <x:v>1431.4774721686342</x:v>
      </x:c>
      <x:c r="T723" s="23" t="n">
        <x:v>-0.007306620953757559</x:v>
      </x:c>
      <x:c r="U723" s="23" t="n">
        <x:v>-0.6301441735171451</x:v>
      </x:c>
      <x:c r="V723" s="23" t="n">
        <x:v>-7.998887059503659</x:v>
      </x:c>
    </x:row>
    <x:row r="724">
      <x:c r="A724" s="23" t="n">
        <x:v>723</x:v>
      </x:c>
      <x:c r="B724" s="23" t="str">
        <x:v>Train</x:v>
      </x:c>
      <x:c r="C724" s="23" t="str">
        <x:v>Lightning</x:v>
      </x:c>
      <x:c r="D724" s="23" t="n">
        <x:v>1461.8996599456295</x:v>
      </x:c>
      <x:c r="E724" s="23" t="n">
        <x:v>673.1518447049893</x:v>
      </x:c>
      <x:c r="F724" s="23" t="n">
        <x:v>367.07800291478634</x:v>
      </x:c>
      <x:c r="G724" s="23" t="n">
        <x:v>115.76807741774246</x:v>
      </x:c>
      <x:c r="H724" s="23" t="n">
        <x:v>22.79110696632415</x:v>
      </x:c>
      <x:c r="I724" s="23" t="n">
        <x:v>0.8425528694386595</x:v>
      </x:c>
      <x:c r="J724" s="23" t="n">
        <x:v>9</x:v>
      </x:c>
      <x:c r="K724" s="23" t="n">
        <x:v>192.78706588197082</x:v>
      </x:c>
      <x:c r="L724" s="23" t="n">
        <x:v>65</x:v>
      </x:c>
      <x:c r="M724" s="23" t="n">
        <x:v>25</x:v>
      </x:c>
      <x:c r="N724" s="23" t="n">
        <x:v>1.2079447513377437</x:v>
      </x:c>
      <x:c r="O724" s="23" t="n">
        <x:v>52.15524897646147</x:v>
      </x:c>
      <x:c r="P724" s="23" t="n">
        <x:v>1461.8996599456295</x:v>
      </x:c>
      <x:c r="Q724" s="23" t="n">
        <x:v>1.1857995105455694</x:v>
      </x:c>
      <x:c r="R724" s="23" t="n">
        <x:v>51.20274088275917</x:v>
      </x:c>
      <x:c r="S724" s="23" t="n">
        <x:v>1478.972015568405</x:v>
      </x:c>
      <x:c r="T724" s="23" t="n">
        <x:v>-0.02214524079217428</x:v>
      </x:c>
      <x:c r="U724" s="23" t="n">
        <x:v>-0.9525080937022992</x:v>
      </x:c>
      <x:c r="V724" s="23" t="n">
        <x:v>17.072355622775376</x:v>
      </x:c>
    </x:row>
    <x:row r="725">
      <x:c r="A725" s="23" t="n">
        <x:v>724</x:v>
      </x:c>
      <x:c r="B725" s="23" t="str">
        <x:v>Train</x:v>
      </x:c>
      <x:c r="C725" s="23" t="str">
        <x:v>Lightning</x:v>
      </x:c>
      <x:c r="D725" s="23" t="n">
        <x:v>1432.2191429673694</x:v>
      </x:c>
      <x:c r="E725" s="23" t="n">
        <x:v>835.5511447880417</x:v>
      </x:c>
      <x:c r="F725" s="23" t="n">
        <x:v>517.8292292170227</x:v>
      </x:c>
      <x:c r="G725" s="23" t="n">
        <x:v>106.36853361036628</x:v>
      </x:c>
      <x:c r="H725" s="23" t="n">
        <x:v>20.53338135732338</x:v>
      </x:c>
      <x:c r="I725" s="23" t="n">
        <x:v>0.8402641175873578</x:v>
      </x:c>
      <x:c r="J725" s="23" t="n">
        <x:v>9</x:v>
      </x:c>
      <x:c r="K725" s="23" t="n">
        <x:v>189.3874283084131</x:v>
      </x:c>
      <x:c r="L725" s="23" t="n">
        <x:v>50</x:v>
      </x:c>
      <x:c r="M725" s="23" t="n">
        <x:v>25</x:v>
      </x:c>
      <x:c r="N725" s="23" t="n">
        <x:v>1.1884423256123808</x:v>
      </x:c>
      <x:c r="O725" s="23" t="n">
        <x:v>52.202611348419936</x:v>
      </x:c>
      <x:c r="P725" s="23" t="n">
        <x:v>1432.2191429673694</x:v>
      </x:c>
      <x:c r="Q725" s="23" t="n">
        <x:v>1.1731686461394562</x:v>
      </x:c>
      <x:c r="R725" s="23" t="n">
        <x:v>50.9260374620422</x:v>
      </x:c>
      <x:c r="S725" s="23" t="n">
        <x:v>1442.6099912506254</x:v>
      </x:c>
      <x:c r="T725" s="23" t="n">
        <x:v>-0.015273679472924684</x:v>
      </x:c>
      <x:c r="U725" s="23" t="n">
        <x:v>-1.276573886377733</x:v>
      </x:c>
      <x:c r="V725" s="23" t="n">
        <x:v>10.390848283255991</x:v>
      </x:c>
    </x:row>
    <x:row r="726">
      <x:c r="A726" s="23" t="n">
        <x:v>725</x:v>
      </x:c>
      <x:c r="B726" s="23" t="str">
        <x:v>Train</x:v>
      </x:c>
      <x:c r="C726" s="23" t="str">
        <x:v>Lightning</x:v>
      </x:c>
      <x:c r="D726" s="23" t="n">
        <x:v>1454.255771683529</x:v>
      </x:c>
      <x:c r="E726" s="23" t="n">
        <x:v>703.0107956263237</x:v>
      </x:c>
      <x:c r="F726" s="23" t="n">
        <x:v>379.55943923443556</x:v>
      </x:c>
      <x:c r="G726" s="23" t="n">
        <x:v>155.01180499093607</x:v>
      </x:c>
      <x:c r="H726" s="23" t="n">
        <x:v>15.367318734526634</x:v>
      </x:c>
      <x:c r="I726" s="23" t="n">
        <x:v>0.8072139015630819</x:v>
      </x:c>
      <x:c r="J726" s="23" t="n">
        <x:v>10</x:v>
      </x:c>
      <x:c r="K726" s="23" t="n">
        <x:v>180.15742405668695</x:v>
      </x:c>
      <x:c r="L726" s="23" t="n">
        <x:v>55</x:v>
      </x:c>
      <x:c r="M726" s="23" t="n">
        <x:v>25</x:v>
      </x:c>
      <x:c r="N726" s="23" t="n">
        <x:v>1.193620871905408</x:v>
      </x:c>
      <x:c r="O726" s="23" t="n">
        <x:v>52.189411088404306</x:v>
      </x:c>
      <x:c r="P726" s="23" t="n">
        <x:v>1454.255771683529</x:v>
      </x:c>
      <x:c r="Q726" s="23" t="n">
        <x:v>1.1851380205013318</x:v>
      </x:c>
      <x:c r="R726" s="23" t="n">
        <x:v>50.98360902340935</x:v>
      </x:c>
      <x:c r="S726" s="23" t="n">
        <x:v>1472.0927457024666</x:v>
      </x:c>
      <x:c r="T726" s="23" t="n">
        <x:v>-0.00848285140407623</x:v>
      </x:c>
      <x:c r="U726" s="23" t="n">
        <x:v>-1.2058020649949555</x:v>
      </x:c>
      <x:c r="V726" s="23" t="n">
        <x:v>17.836974018937553</x:v>
      </x:c>
    </x:row>
    <x:row r="727">
      <x:c r="A727" s="23" t="n">
        <x:v>726</x:v>
      </x:c>
      <x:c r="B727" s="23" t="str">
        <x:v>Train</x:v>
      </x:c>
      <x:c r="C727" s="23" t="str">
        <x:v>Lightning</x:v>
      </x:c>
      <x:c r="D727" s="23" t="n">
        <x:v>1472.5322586600669</x:v>
      </x:c>
      <x:c r="E727" s="23" t="n">
        <x:v>787.4441561987624</x:v>
      </x:c>
      <x:c r="F727" s="23" t="n">
        <x:v>619.2559552378953</x:v>
      </x:c>
      <x:c r="G727" s="23" t="n">
        <x:v>182.0747167058289</x:v>
      </x:c>
      <x:c r="H727" s="23" t="n">
        <x:v>27.962075150106102</x:v>
      </x:c>
      <x:c r="I727" s="23" t="n">
        <x:v>0.816513218334876</x:v>
      </x:c>
      <x:c r="J727" s="23" t="n">
        <x:v>10</x:v>
      </x:c>
      <x:c r="K727" s="23" t="n">
        <x:v>180.34395838232936</x:v>
      </x:c>
      <x:c r="L727" s="23" t="n">
        <x:v>40</x:v>
      </x:c>
      <x:c r="M727" s="23" t="n">
        <x:v>25</x:v>
      </x:c>
      <x:c r="N727" s="23" t="n">
        <x:v>1.1983765421362553</x:v>
      </x:c>
      <x:c r="O727" s="23" t="n">
        <x:v>52.25025523897568</x:v>
      </x:c>
      <x:c r="P727" s="23" t="n">
        <x:v>1472.5322586600669</x:v>
      </x:c>
      <x:c r="Q727" s="23" t="n">
        <x:v>1.1836223352161792</x:v>
      </x:c>
      <x:c r="R727" s="23" t="n">
        <x:v>52.56316554743676</x:v>
      </x:c>
      <x:c r="S727" s="23" t="n">
        <x:v>1462.5653214459196</x:v>
      </x:c>
      <x:c r="T727" s="23" t="n">
        <x:v>-0.014754206920076118</x:v>
      </x:c>
      <x:c r="U727" s="23" t="n">
        <x:v>0.3129103084610776</x:v>
      </x:c>
      <x:c r="V727" s="23" t="n">
        <x:v>-9.966937214147265</x:v>
      </x:c>
    </x:row>
    <x:row r="728">
      <x:c r="A728" s="23" t="n">
        <x:v>727</x:v>
      </x:c>
      <x:c r="B728" s="23" t="str">
        <x:v>Train</x:v>
      </x:c>
      <x:c r="C728" s="23" t="str">
        <x:v>Lightning</x:v>
      </x:c>
      <x:c r="D728" s="23" t="n">
        <x:v>1474.4427730562165</x:v>
      </x:c>
      <x:c r="E728" s="23" t="n">
        <x:v>1216.3369106245227</x:v>
      </x:c>
      <x:c r="F728" s="23" t="n">
        <x:v>565.1393637061119</x:v>
      </x:c>
      <x:c r="G728" s="23" t="n">
        <x:v>169.87506566336378</x:v>
      </x:c>
      <x:c r="H728" s="23" t="n">
        <x:v>17.036746735684574</x:v>
      </x:c>
      <x:c r="I728" s="23" t="n">
        <x:v>0.8283527160785161</x:v>
      </x:c>
      <x:c r="J728" s="23" t="n">
        <x:v>9</x:v>
      </x:c>
      <x:c r="K728" s="23" t="n">
        <x:v>197.77441614436088</x:v>
      </x:c>
      <x:c r="L728" s="23" t="n">
        <x:v>35</x:v>
      </x:c>
      <x:c r="M728" s="23" t="n">
        <x:v>25</x:v>
      </x:c>
      <x:c r="N728" s="23" t="n">
        <x:v>1.1338031790339689</x:v>
      </x:c>
      <x:c r="O728" s="23" t="n">
        <x:v>52.27926445768856</x:v>
      </x:c>
      <x:c r="P728" s="23" t="n">
        <x:v>1474.4427730562165</x:v>
      </x:c>
      <x:c r="Q728" s="23" t="n">
        <x:v>1.1497394279952986</x:v>
      </x:c>
      <x:c r="R728" s="23" t="n">
        <x:v>53.162298485892514</x:v>
      </x:c>
      <x:c r="S728" s="23" t="n">
        <x:v>1477.149404845484</x:v>
      </x:c>
      <x:c r="T728" s="23" t="n">
        <x:v>0.015936248961329724</x:v>
      </x:c>
      <x:c r="U728" s="23" t="n">
        <x:v>0.8830340282039515</x:v>
      </x:c>
      <x:c r="V728" s="23" t="n">
        <x:v>2.706631789267476</x:v>
      </x:c>
    </x:row>
    <x:row r="729">
      <x:c r="A729" s="23" t="n">
        <x:v>728</x:v>
      </x:c>
      <x:c r="B729" s="23" t="str">
        <x:v>Train</x:v>
      </x:c>
      <x:c r="C729" s="23" t="str">
        <x:v>Lightning</x:v>
      </x:c>
      <x:c r="D729" s="23" t="n">
        <x:v>1470.7446175510995</x:v>
      </x:c>
      <x:c r="E729" s="23" t="n">
        <x:v>686.4042392931879</x:v>
      </x:c>
      <x:c r="F729" s="23" t="n">
        <x:v>700.6791851483285</x:v>
      </x:c>
      <x:c r="G729" s="23" t="n">
        <x:v>308.17888169083744</x:v>
      </x:c>
      <x:c r="H729" s="23" t="n">
        <x:v>9.061582227703184</x:v>
      </x:c>
      <x:c r="I729" s="23" t="n">
        <x:v>0.8452079278696328</x:v>
      </x:c>
      <x:c r="J729" s="23" t="n">
        <x:v>9</x:v>
      </x:c>
      <x:c r="K729" s="23" t="n">
        <x:v>193.34422126006675</x:v>
      </x:c>
      <x:c r="L729" s="23" t="n">
        <x:v>45</x:v>
      </x:c>
      <x:c r="M729" s="23" t="n">
        <x:v>25</x:v>
      </x:c>
      <x:c r="N729" s="23" t="n">
        <x:v>1.1923825585820436</x:v>
      </x:c>
      <x:c r="O729" s="23" t="n">
        <x:v>52.239333775083686</x:v>
      </x:c>
      <x:c r="P729" s="23" t="n">
        <x:v>1470.7446175510995</x:v>
      </x:c>
      <x:c r="Q729" s="23" t="n">
        <x:v>1.2035425741286765</x:v>
      </x:c>
      <x:c r="R729" s="23" t="n">
        <x:v>52.56566532481162</x:v>
      </x:c>
      <x:c r="S729" s="23" t="n">
        <x:v>1480.9990443862612</x:v>
      </x:c>
      <x:c r="T729" s="23" t="n">
        <x:v>0.011160015546632929</x:v>
      </x:c>
      <x:c r="U729" s="23" t="n">
        <x:v>0.3263315497279322</x:v>
      </x:c>
      <x:c r="V729" s="23" t="n">
        <x:v>10.254426835161667</x:v>
      </x:c>
    </x:row>
    <x:row r="730">
      <x:c r="A730" s="23" t="n">
        <x:v>729</x:v>
      </x:c>
      <x:c r="B730" s="23" t="str">
        <x:v>Train</x:v>
      </x:c>
      <x:c r="C730" s="23" t="str">
        <x:v>Lightning</x:v>
      </x:c>
      <x:c r="D730" s="23" t="n">
        <x:v>1399.3254594504833</x:v>
      </x:c>
      <x:c r="E730" s="23" t="n">
        <x:v>1015.1420506066643</x:v>
      </x:c>
      <x:c r="F730" s="23" t="n">
        <x:v>427.0647631958127</x:v>
      </x:c>
      <x:c r="G730" s="23" t="n">
        <x:v>279.61606204742566</x:v>
      </x:c>
      <x:c r="H730" s="23" t="n">
        <x:v>28.653290627524257</x:v>
      </x:c>
      <x:c r="I730" s="23" t="n">
        <x:v>0.8529213302326389</x:v>
      </x:c>
      <x:c r="J730" s="23" t="n">
        <x:v>9</x:v>
      </x:c>
      <x:c r="K730" s="23" t="n">
        <x:v>182.29184931182468</x:v>
      </x:c>
      <x:c r="L730" s="23" t="n">
        <x:v>40</x:v>
      </x:c>
      <x:c r="M730" s="23" t="n">
        <x:v>25</x:v>
      </x:c>
      <x:c r="N730" s="23" t="n">
        <x:v>1.1897639317589468</x:v>
      </x:c>
      <x:c r="O730" s="23" t="n">
        <x:v>52.24347523191689</x:v>
      </x:c>
      <x:c r="P730" s="23" t="n">
        <x:v>1399.3254594504833</x:v>
      </x:c>
      <x:c r="Q730" s="23" t="n">
        <x:v>1.1757094649567863</x:v>
      </x:c>
      <x:c r="R730" s="23" t="n">
        <x:v>52.2911502273624</x:v>
      </x:c>
      <x:c r="S730" s="23" t="n">
        <x:v>1378.6167399635474</x:v>
      </x:c>
      <x:c r="T730" s="23" t="n">
        <x:v>-0.014054466802160492</x:v>
      </x:c>
      <x:c r="U730" s="23" t="n">
        <x:v>0.04767499544551157</x:v>
      </x:c>
      <x:c r="V730" s="23" t="n">
        <x:v>-20.708719486935934</x:v>
      </x:c>
    </x:row>
    <x:row r="731">
      <x:c r="A731" s="23" t="n">
        <x:v>730</x:v>
      </x:c>
      <x:c r="B731" s="23" t="str">
        <x:v>Train</x:v>
      </x:c>
      <x:c r="C731" s="23" t="str">
        <x:v>Lightning</x:v>
      </x:c>
      <x:c r="D731" s="23" t="n">
        <x:v>1455.1806195289828</x:v>
      </x:c>
      <x:c r="E731" s="23" t="n">
        <x:v>626.5705960104242</x:v>
      </x:c>
      <x:c r="F731" s="23" t="n">
        <x:v>519.0882668830454</x:v>
      </x:c>
      <x:c r="G731" s="23" t="n">
        <x:v>168.66293146274984</x:v>
      </x:c>
      <x:c r="H731" s="23" t="n">
        <x:v>27.800882366020232</x:v>
      </x:c>
      <x:c r="I731" s="23" t="n">
        <x:v>0.8247257120953874</x:v>
      </x:c>
      <x:c r="J731" s="23" t="n">
        <x:v>9</x:v>
      </x:c>
      <x:c r="K731" s="23" t="n">
        <x:v>196.0491023038696</x:v>
      </x:c>
      <x:c r="L731" s="23" t="n">
        <x:v>55</x:v>
      </x:c>
      <x:c r="M731" s="23" t="n">
        <x:v>25</x:v>
      </x:c>
      <x:c r="N731" s="23" t="n">
        <x:v>1.198002044054578</x:v>
      </x:c>
      <x:c r="O731" s="23" t="n">
        <x:v>52.17993562578499</x:v>
      </x:c>
      <x:c r="P731" s="23" t="n">
        <x:v>1455.1806195289828</x:v>
      </x:c>
      <x:c r="Q731" s="23" t="n">
        <x:v>1.1841464911534254</x:v>
      </x:c>
      <x:c r="R731" s="23" t="n">
        <x:v>51.21268281318396</x:v>
      </x:c>
      <x:c r="S731" s="23" t="n">
        <x:v>1444.3428687627315</x:v>
      </x:c>
      <x:c r="T731" s="23" t="n">
        <x:v>-0.01385555290115259</x:v>
      </x:c>
      <x:c r="U731" s="23" t="n">
        <x:v>-0.967252812601032</x:v>
      </x:c>
      <x:c r="V731" s="23" t="n">
        <x:v>-10.837750766251247</x:v>
      </x:c>
    </x:row>
    <x:row r="732">
      <x:c r="A732" s="23" t="n">
        <x:v>731</x:v>
      </x:c>
      <x:c r="B732" s="23" t="str">
        <x:v>Train</x:v>
      </x:c>
      <x:c r="C732" s="23" t="str">
        <x:v>Lightning</x:v>
      </x:c>
      <x:c r="D732" s="23" t="n">
        <x:v>1374.2280297679827</x:v>
      </x:c>
      <x:c r="E732" s="23" t="n">
        <x:v>1018.8589048222639</x:v>
      </x:c>
      <x:c r="F732" s="23" t="n">
        <x:v>486.6113606840372</x:v>
      </x:c>
      <x:c r="G732" s="23" t="n">
        <x:v>279.7311163577251</x:v>
      </x:c>
      <x:c r="H732" s="23" t="n">
        <x:v>29.601565533317626</x:v>
      </x:c>
      <x:c r="I732" s="23" t="n">
        <x:v>0.8315635847556405</x:v>
      </x:c>
      <x:c r="J732" s="23" t="n">
        <x:v>9</x:v>
      </x:c>
      <x:c r="K732" s="23" t="n">
        <x:v>183.6203582103983</x:v>
      </x:c>
      <x:c r="L732" s="23" t="n">
        <x:v>40</x:v>
      </x:c>
      <x:c r="M732" s="23" t="n">
        <x:v>25</x:v>
      </x:c>
      <x:c r="N732" s="23" t="n">
        <x:v>1.2330208704601484</x:v>
      </x:c>
      <x:c r="O732" s="23" t="n">
        <x:v>52.253357525467145</x:v>
      </x:c>
      <x:c r="P732" s="23" t="n">
        <x:v>1374.2280297679827</x:v>
      </x:c>
      <x:c r="Q732" s="23" t="n">
        <x:v>1.2380499172589983</x:v>
      </x:c>
      <x:c r="R732" s="23" t="n">
        <x:v>52.78422480971645</x:v>
      </x:c>
      <x:c r="S732" s="23" t="n">
        <x:v>1354.6593423120132</x:v>
      </x:c>
      <x:c r="T732" s="23" t="n">
        <x:v>0.005029046798849857</x:v>
      </x:c>
      <x:c r="U732" s="23" t="n">
        <x:v>0.5308672842493039</x:v>
      </x:c>
      <x:c r="V732" s="23" t="n">
        <x:v>-19.56868745596944</x:v>
      </x:c>
    </x:row>
    <x:row r="733">
      <x:c r="A733" s="23" t="n">
        <x:v>732</x:v>
      </x:c>
      <x:c r="B733" s="23" t="str">
        <x:v>Train</x:v>
      </x:c>
      <x:c r="C733" s="23" t="str">
        <x:v>Lightning</x:v>
      </x:c>
      <x:c r="D733" s="23" t="n">
        <x:v>1418.9824149361812</x:v>
      </x:c>
      <x:c r="E733" s="23" t="n">
        <x:v>988.4046524297446</x:v>
      </x:c>
      <x:c r="F733" s="23" t="n">
        <x:v>693.0952633731067</x:v>
      </x:c>
      <x:c r="G733" s="23" t="n">
        <x:v>291.0583184985444</x:v>
      </x:c>
      <x:c r="H733" s="23" t="n">
        <x:v>21.78218888817355</x:v>
      </x:c>
      <x:c r="I733" s="23" t="n">
        <x:v>0.8445763988047839</x:v>
      </x:c>
      <x:c r="J733" s="23" t="n">
        <x:v>9</x:v>
      </x:c>
      <x:c r="K733" s="23" t="n">
        <x:v>186.67904169925728</x:v>
      </x:c>
      <x:c r="L733" s="23" t="n">
        <x:v>35</x:v>
      </x:c>
      <x:c r="M733" s="23" t="n">
        <x:v>25</x:v>
      </x:c>
      <x:c r="N733" s="23" t="n">
        <x:v>1.1731671845662093</x:v>
      </x:c>
      <x:c r="O733" s="23" t="n">
        <x:v>52.282571142683445</x:v>
      </x:c>
      <x:c r="P733" s="23" t="n">
        <x:v>1418.9824149361812</x:v>
      </x:c>
      <x:c r="Q733" s="23" t="n">
        <x:v>1.1797407050981668</x:v>
      </x:c>
      <x:c r="R733" s="23" t="n">
        <x:v>53.3711519239518</x:v>
      </x:c>
      <x:c r="S733" s="23" t="n">
        <x:v>1412.157677417897</x:v>
      </x:c>
      <x:c r="T733" s="23" t="n">
        <x:v>0.006573520531957477</x:v>
      </x:c>
      <x:c r="U733" s="23" t="n">
        <x:v>1.0885807812683552</x:v>
      </x:c>
      <x:c r="V733" s="23" t="n">
        <x:v>-6.82473751828411</x:v>
      </x:c>
    </x:row>
    <x:row r="734">
      <x:c r="A734" s="23" t="n">
        <x:v>733</x:v>
      </x:c>
      <x:c r="B734" s="23" t="str">
        <x:v>Train</x:v>
      </x:c>
      <x:c r="C734" s="23" t="str">
        <x:v>Lightning</x:v>
      </x:c>
      <x:c r="D734" s="23" t="n">
        <x:v>1467.897293670103</x:v>
      </x:c>
      <x:c r="E734" s="23" t="n">
        <x:v>1155.3445041994564</x:v>
      </x:c>
      <x:c r="F734" s="23" t="n">
        <x:v>635.7210969552398</x:v>
      </x:c>
      <x:c r="G734" s="23" t="n">
        <x:v>82.08538101287559</x:v>
      </x:c>
      <x:c r="H734" s="23" t="n">
        <x:v>28.050575595349073</x:v>
      </x:c>
      <x:c r="I734" s="23" t="n">
        <x:v>0.8139792757877149</x:v>
      </x:c>
      <x:c r="J734" s="23" t="n">
        <x:v>10</x:v>
      </x:c>
      <x:c r="K734" s="23" t="n">
        <x:v>180.33595416167933</x:v>
      </x:c>
      <x:c r="L734" s="23" t="n">
        <x:v>35</x:v>
      </x:c>
      <x:c r="M734" s="23" t="n">
        <x:v>25</x:v>
      </x:c>
      <x:c r="N734" s="23" t="n">
        <x:v>1.2510211734248753</x:v>
      </x:c>
      <x:c r="O734" s="23" t="n">
        <x:v>52.29952340766053</x:v>
      </x:c>
      <x:c r="P734" s="23" t="n">
        <x:v>1467.897293670103</x:v>
      </x:c>
      <x:c r="Q734" s="23" t="n">
        <x:v>1.2572686418549144</x:v>
      </x:c>
      <x:c r="R734" s="23" t="n">
        <x:v>52.30553369064204</x:v>
      </x:c>
      <x:c r="S734" s="23" t="n">
        <x:v>1446.0441355595403</x:v>
      </x:c>
      <x:c r="T734" s="23" t="n">
        <x:v>0.006247468430039094</x:v>
      </x:c>
      <x:c r="U734" s="23" t="n">
        <x:v>0.006010282981506521</x:v>
      </x:c>
      <x:c r="V734" s="23" t="n">
        <x:v>-21.853158110562617</x:v>
      </x:c>
    </x:row>
    <x:row r="735">
      <x:c r="A735" s="23" t="n">
        <x:v>734</x:v>
      </x:c>
      <x:c r="B735" s="23" t="str">
        <x:v>Train</x:v>
      </x:c>
      <x:c r="C735" s="23" t="str">
        <x:v>Lightning</x:v>
      </x:c>
      <x:c r="D735" s="23" t="n">
        <x:v>1437.6558907446451</x:v>
      </x:c>
      <x:c r="E735" s="23" t="n">
        <x:v>630.1250143675134</x:v>
      </x:c>
      <x:c r="F735" s="23" t="n">
        <x:v>591.8364723213017</x:v>
      </x:c>
      <x:c r="G735" s="23" t="n">
        <x:v>172.8236274048686</x:v>
      </x:c>
      <x:c r="H735" s="23" t="n">
        <x:v>13.053231226745993</x:v>
      </x:c>
      <x:c r="I735" s="23" t="n">
        <x:v>0.850140165197663</x:v>
      </x:c>
      <x:c r="J735" s="23" t="n">
        <x:v>9</x:v>
      </x:c>
      <x:c r="K735" s="23" t="n">
        <x:v>187.8978902013543</x:v>
      </x:c>
      <x:c r="L735" s="23" t="n">
        <x:v>55</x:v>
      </x:c>
      <x:c r="M735" s="23" t="n">
        <x:v>25</x:v>
      </x:c>
      <x:c r="N735" s="23" t="n">
        <x:v>1.2067919859571203</x:v>
      </x:c>
      <x:c r="O735" s="23" t="n">
        <x:v>52.19248186891505</x:v>
      </x:c>
      <x:c r="P735" s="23" t="n">
        <x:v>1437.6558907446451</x:v>
      </x:c>
      <x:c r="Q735" s="23" t="n">
        <x:v>1.2173115056526236</x:v>
      </x:c>
      <x:c r="R735" s="23" t="n">
        <x:v>50.53470604843786</x:v>
      </x:c>
      <x:c r="S735" s="23" t="n">
        <x:v>1450.7599503904016</x:v>
      </x:c>
      <x:c r="T735" s="23" t="n">
        <x:v>0.010519519695503243</x:v>
      </x:c>
      <x:c r="U735" s="23" t="n">
        <x:v>-1.657775820477191</x:v>
      </x:c>
      <x:c r="V735" s="23" t="n">
        <x:v>13.104059645756479</x:v>
      </x:c>
    </x:row>
    <x:row r="736">
      <x:c r="A736" s="23" t="n">
        <x:v>735</x:v>
      </x:c>
      <x:c r="B736" s="23" t="str">
        <x:v>Validation</x:v>
      </x:c>
      <x:c r="C736" s="23" t="str">
        <x:v>Lightning</x:v>
      </x:c>
      <x:c r="D736" s="23" t="n">
        <x:v>1418.3342565083876</x:v>
      </x:c>
      <x:c r="E736" s="23" t="n">
        <x:v>659.4742193003185</x:v>
      </x:c>
      <x:c r="F736" s="23" t="n">
        <x:v>459.73848924040794</x:v>
      </x:c>
      <x:c r="G736" s="23" t="n">
        <x:v>175.7687994814478</x:v>
      </x:c>
      <x:c r="H736" s="23" t="n">
        <x:v>18.557698807679117</x:v>
      </x:c>
      <x:c r="I736" s="23" t="n">
        <x:v>0.7989133783592843</x:v>
      </x:c>
      <x:c r="J736" s="23" t="n">
        <x:v>9</x:v>
      </x:c>
      <x:c r="K736" s="23" t="n">
        <x:v>197.25880106206787</x:v>
      </x:c>
      <x:c r="L736" s="23" t="n">
        <x:v>60</x:v>
      </x:c>
      <x:c r="M736" s="23" t="n">
        <x:v>25</x:v>
      </x:c>
      <x:c r="N736" s="23" t="n">
        <x:v>1.23747587779206</x:v>
      </x:c>
      <x:c r="O736" s="23" t="n">
        <x:v>52.17691999163836</x:v>
      </x:c>
      <x:c r="P736" s="23" t="n">
        <x:v>1418.3342565083876</x:v>
      </x:c>
      <x:c r="Q736" s="23" t="n">
        <x:v>1.2384707688306589</x:v>
      </x:c>
      <x:c r="R736" s="23" t="n">
        <x:v>52.57178266602316</x:v>
      </x:c>
      <x:c r="S736" s="23" t="n">
        <x:v>1436.3539855373392</x:v>
      </x:c>
      <x:c r="T736" s="23" t="n">
        <x:v>0.000994891038598844</x:v>
      </x:c>
      <x:c r="U736" s="23" t="n">
        <x:v>0.3948626743848038</x:v>
      </x:c>
      <x:c r="V736" s="23" t="n">
        <x:v>18.019729028951588</x:v>
      </x:c>
    </x:row>
    <x:row r="737">
      <x:c r="A737" s="23" t="n">
        <x:v>736</x:v>
      </x:c>
      <x:c r="B737" s="23" t="str">
        <x:v>Validation</x:v>
      </x:c>
      <x:c r="C737" s="23" t="str">
        <x:v>Lightning</x:v>
      </x:c>
      <x:c r="D737" s="23" t="n">
        <x:v>1486.7288088309579</x:v>
      </x:c>
      <x:c r="E737" s="23" t="n">
        <x:v>625.6946995854378</x:v>
      </x:c>
      <x:c r="F737" s="23" t="n">
        <x:v>518.1671588681638</x:v>
      </x:c>
      <x:c r="G737" s="23" t="n">
        <x:v>164.0888872044161</x:v>
      </x:c>
      <x:c r="H737" s="23" t="n">
        <x:v>18.031201304402202</x:v>
      </x:c>
      <x:c r="I737" s="23" t="n">
        <x:v>0.8044604265224189</x:v>
      </x:c>
      <x:c r="J737" s="23" t="n">
        <x:v>10</x:v>
      </x:c>
      <x:c r="K737" s="23" t="n">
        <x:v>184.81068301369393</x:v>
      </x:c>
      <x:c r="L737" s="23" t="n">
        <x:v>50</x:v>
      </x:c>
      <x:c r="M737" s="23" t="n">
        <x:v>25</x:v>
      </x:c>
      <x:c r="N737" s="23" t="n">
        <x:v>1.1649894100665705</x:v>
      </x:c>
      <x:c r="O737" s="23" t="n">
        <x:v>52.201602466685245</x:v>
      </x:c>
      <x:c r="P737" s="23" t="n">
        <x:v>1486.7288088309579</x:v>
      </x:c>
      <x:c r="Q737" s="23" t="n">
        <x:v>1.1633392115257453</x:v>
      </x:c>
      <x:c r="R737" s="23" t="n">
        <x:v>51.47129963575238</x:v>
      </x:c>
      <x:c r="S737" s="23" t="n">
        <x:v>1504.5973325946861</x:v>
      </x:c>
      <x:c r="T737" s="23" t="n">
        <x:v>-0.001650198540825265</x:v>
      </x:c>
      <x:c r="U737" s="23" t="n">
        <x:v>-0.7303028309328639</x:v>
      </x:c>
      <x:c r="V737" s="23" t="n">
        <x:v>17.868523763728263</x:v>
      </x:c>
    </x:row>
    <x:row r="738">
      <x:c r="A738" s="23" t="n">
        <x:v>737</x:v>
      </x:c>
      <x:c r="B738" s="23" t="str">
        <x:v>Validation</x:v>
      </x:c>
      <x:c r="C738" s="23" t="str">
        <x:v>Lightning</x:v>
      </x:c>
      <x:c r="D738" s="23" t="n">
        <x:v>1367.754579987377</x:v>
      </x:c>
      <x:c r="E738" s="23" t="n">
        <x:v>1153.2092995359562</x:v>
      </x:c>
      <x:c r="F738" s="23" t="n">
        <x:v>696.3103199377656</x:v>
      </x:c>
      <x:c r="G738" s="23" t="n">
        <x:v>254.8259990126826</x:v>
      </x:c>
      <x:c r="H738" s="23" t="n">
        <x:v>12.842074925079942</x:v>
      </x:c>
      <x:c r="I738" s="23" t="n">
        <x:v>0.8407759766583331</x:v>
      </x:c>
      <x:c r="J738" s="23" t="n">
        <x:v>9</x:v>
      </x:c>
      <x:c r="K738" s="23" t="n">
        <x:v>180.75294172143768</x:v>
      </x:c>
      <x:c r="L738" s="23" t="n">
        <x:v>35</x:v>
      </x:c>
      <x:c r="M738" s="23" t="n">
        <x:v>25</x:v>
      </x:c>
      <x:c r="N738" s="23" t="n">
        <x:v>1.1890535438490581</x:v>
      </x:c>
      <x:c r="O738" s="23" t="n">
        <x:v>52.303120090562494</x:v>
      </x:c>
      <x:c r="P738" s="23" t="n">
        <x:v>1367.754579987377</x:v>
      </x:c>
      <x:c r="Q738" s="23" t="n">
        <x:v>1.2066705536211548</x:v>
      </x:c>
      <x:c r="R738" s="23" t="n">
        <x:v>53.660293925341335</x:v>
      </x:c>
      <x:c r="S738" s="23" t="n">
        <x:v>1354.9844063963365</x:v>
      </x:c>
      <x:c r="T738" s="23" t="n">
        <x:v>0.01761700977209668</x:v>
      </x:c>
      <x:c r="U738" s="23" t="n">
        <x:v>1.3571738347788411</x:v>
      </x:c>
      <x:c r="V738" s="23" t="n">
        <x:v>-12.770173591040475</x:v>
      </x:c>
    </x:row>
    <x:row r="739">
      <x:c r="A739" s="23" t="n">
        <x:v>738</x:v>
      </x:c>
      <x:c r="B739" s="23" t="str">
        <x:v>Hidden Test</x:v>
      </x:c>
      <x:c r="C739" s="23" t="str">
        <x:v>Lightning</x:v>
      </x:c>
      <x:c r="D739" s="23" t="n">
        <x:v>1441.3997584604658</x:v>
      </x:c>
      <x:c r="E739" s="23" t="n">
        <x:v>679.5669454382733</x:v>
      </x:c>
      <x:c r="F739" s="23" t="n">
        <x:v>702.7998917736113</x:v>
      </x:c>
      <x:c r="G739" s="23" t="n">
        <x:v>288.92603718675673</x:v>
      </x:c>
      <x:c r="H739" s="23" t="n">
        <x:v>23.053744592238218</x:v>
      </x:c>
      <x:c r="I739" s="23" t="n">
        <x:v>0.8581255613872781</x:v>
      </x:c>
      <x:c r="J739" s="23" t="n">
        <x:v>9</x:v>
      </x:c>
      <x:c r="K739" s="23" t="n">
        <x:v>186.63414297893198</x:v>
      </x:c>
      <x:c r="L739" s="23" t="n">
        <x:v>45</x:v>
      </x:c>
      <x:c r="M739" s="23" t="n">
        <x:v>25</x:v>
      </x:c>
      <x:c r="N739" s="23" t="n">
        <x:v>1.2435410151014499</x:v>
      </x:c>
      <x:c r="O739" s="23" t="n">
        <x:v>52.235596341440605</x:v>
      </x:c>
      <x:c r="P739" s="23" t="n">
        <x:v>1441.3997584604658</x:v>
      </x:c>
      <x:c r="Q739" s="23" t="n">
        <x:v>1.231354052449661</x:v>
      </x:c>
      <x:c r="R739" s="23" t="n">
        <x:v>52.19295000287319</x:v>
      </x:c>
      <x:c r="S739" s="23" t="n">
        <x:v>1436.7776907799887</x:v>
      </x:c>
      <x:c r="T739" s="23" t="n">
        <x:v>-0.01218696265178898</x:v>
      </x:c>
      <x:c r="U739" s="23" t="n">
        <x:v>-0.0426463385674154</x:v>
      </x:c>
      <x:c r="V739" s="23" t="n">
        <x:v>-4.62206768047713</x:v>
      </x:c>
    </x:row>
    <x:row r="740">
      <x:c r="A740" s="23" t="n">
        <x:v>739</x:v>
      </x:c>
      <x:c r="B740" s="23" t="str">
        <x:v>Hidden Test</x:v>
      </x:c>
      <x:c r="C740" s="23" t="str">
        <x:v>Lightning</x:v>
      </x:c>
      <x:c r="D740" s="23" t="n">
        <x:v>1428.2489634817466</x:v>
      </x:c>
      <x:c r="E740" s="23" t="n">
        <x:v>1212.5151509069838</x:v>
      </x:c>
      <x:c r="F740" s="23" t="n">
        <x:v>648.4662335366011</x:v>
      </x:c>
      <x:c r="G740" s="23" t="n">
        <x:v>206.12793751759455</x:v>
      </x:c>
      <x:c r="H740" s="23" t="n">
        <x:v>22.450785120017827</x:v>
      </x:c>
      <x:c r="I740" s="23" t="n">
        <x:v>0.8545762506942265</x:v>
      </x:c>
      <x:c r="J740" s="23" t="n">
        <x:v>9</x:v>
      </x:c>
      <x:c r="K740" s="23" t="n">
        <x:v>185.69943775857587</x:v>
      </x:c>
      <x:c r="L740" s="23" t="n">
        <x:v>35</x:v>
      </x:c>
      <x:c r="M740" s="23" t="n">
        <x:v>25</x:v>
      </x:c>
      <x:c r="N740" s="23" t="n">
        <x:v>1.2271979218970428</x:v>
      </x:c>
      <x:c r="O740" s="23" t="n">
        <x:v>52.29731402102679</x:v>
      </x:c>
      <x:c r="P740" s="23" t="n">
        <x:v>1428.2489634817466</x:v>
      </x:c>
      <x:c r="Q740" s="23" t="n">
        <x:v>1.2290250757305026</x:v>
      </x:c>
      <x:c r="R740" s="23" t="n">
        <x:v>53.308099855197305</x:v>
      </x:c>
      <x:c r="S740" s="23" t="n">
        <x:v>1410.0473148055326</x:v>
      </x:c>
      <x:c r="T740" s="23" t="n">
        <x:v>0.0018271538334597714</x:v>
      </x:c>
      <x:c r="U740" s="23" t="n">
        <x:v>1.0107858341705125</x:v>
      </x:c>
      <x:c r="V740" s="23" t="n">
        <x:v>-18.201648676214063</x:v>
      </x:c>
    </x:row>
    <x:row r="741">
      <x:c r="A741" s="23" t="n">
        <x:v>740</x:v>
      </x:c>
      <x:c r="B741" s="23" t="str">
        <x:v>Hidden Test</x:v>
      </x:c>
      <x:c r="C741" s="23" t="str">
        <x:v>Lightning</x:v>
      </x:c>
      <x:c r="D741" s="23" t="n">
        <x:v>1495.2811944647692</x:v>
      </x:c>
      <x:c r="E741" s="23" t="n">
        <x:v>884.3822189141065</x:v>
      </x:c>
      <x:c r="F741" s="23" t="n">
        <x:v>513.9274987392128</x:v>
      </x:c>
      <x:c r="G741" s="23" t="n">
        <x:v>276.4162982767448</x:v>
      </x:c>
      <x:c r="H741" s="23" t="n">
        <x:v>21.01573608024046</x:v>
      </x:c>
      <x:c r="I741" s="23" t="n">
        <x:v>0.8450214561633766</x:v>
      </x:c>
      <x:c r="J741" s="23" t="n">
        <x:v>9</x:v>
      </x:c>
      <x:c r="K741" s="23" t="n">
        <x:v>196.6131791432381</x:v>
      </x:c>
      <x:c r="L741" s="23" t="n">
        <x:v>45</x:v>
      </x:c>
      <x:c r="M741" s="23" t="n">
        <x:v>25</x:v>
      </x:c>
      <x:c r="N741" s="23" t="n">
        <x:v>1.2362863516439841</x:v>
      </x:c>
      <x:c r="O741" s="23" t="n">
        <x:v>52.23613165403389</x:v>
      </x:c>
      <x:c r="P741" s="23" t="n">
        <x:v>1495.2811944647692</x:v>
      </x:c>
      <x:c r="Q741" s="23" t="n">
        <x:v>1.2363830057791327</x:v>
      </x:c>
      <x:c r="R741" s="23" t="n">
        <x:v>51.901284604610495</x:v>
      </x:c>
      <x:c r="S741" s="23" t="n">
        <x:v>1500.0857504776052</x:v>
      </x:c>
      <x:c r="T741" s="23" t="n">
        <x:v>0.00009665413514858834</x:v>
      </x:c>
      <x:c r="U741" s="23" t="n">
        <x:v>-0.33484704942339505</x:v>
      </x:c>
      <x:c r="V741" s="23" t="n">
        <x:v>4.804556012835974</x:v>
      </x:c>
    </x:row>
    <x:row r="742">
      <x:c r="A742" s="23" t="n">
        <x:v>741</x:v>
      </x:c>
      <x:c r="B742" s="23" t="str">
        <x:v>Train</x:v>
      </x:c>
      <x:c r="C742" s="23" t="str">
        <x:v>Lightning</x:v>
      </x:c>
      <x:c r="D742" s="23" t="n">
        <x:v>1436.0719128046185</x:v>
      </x:c>
      <x:c r="E742" s="23" t="n">
        <x:v>1189.6423151600175</x:v>
      </x:c>
      <x:c r="F742" s="23" t="n">
        <x:v>674.9759448692203</x:v>
      </x:c>
      <x:c r="G742" s="23" t="n">
        <x:v>254.41289249109104</x:v>
      </x:c>
      <x:c r="H742" s="23" t="n">
        <x:v>23.742383934557438</x:v>
      </x:c>
      <x:c r="I742" s="23" t="n">
        <x:v>0.8307659783423879</x:v>
      </x:c>
      <x:c r="J742" s="23" t="n">
        <x:v>9</x:v>
      </x:c>
      <x:c r="K742" s="23" t="n">
        <x:v>192.06798307455253</x:v>
      </x:c>
      <x:c r="L742" s="23" t="n">
        <x:v>35</x:v>
      </x:c>
      <x:c r="M742" s="23" t="n">
        <x:v>25</x:v>
      </x:c>
      <x:c r="N742" s="23" t="n">
        <x:v>1.2622885351406157</x:v>
      </x:c>
      <x:c r="O742" s="23" t="n">
        <x:v>52.30540993245673</x:v>
      </x:c>
      <x:c r="P742" s="23" t="n">
        <x:v>1436.0719128046185</x:v>
      </x:c>
      <x:c r="Q742" s="23" t="n">
        <x:v>1.2698412608245755</x:v>
      </x:c>
      <x:c r="R742" s="23" t="n">
        <x:v>52.76550212218126</x:v>
      </x:c>
      <x:c r="S742" s="23" t="n">
        <x:v>1419.7990389919357</x:v>
      </x:c>
      <x:c r="T742" s="23" t="n">
        <x:v>0.007552725683959816</x:v>
      </x:c>
      <x:c r="U742" s="23" t="n">
        <x:v>0.46009218972452715</x:v>
      </x:c>
      <x:c r="V742" s="23" t="n">
        <x:v>-16.272873812682747</x:v>
      </x:c>
    </x:row>
    <x:row r="743">
      <x:c r="A743" s="23" t="n">
        <x:v>742</x:v>
      </x:c>
      <x:c r="B743" s="23" t="str">
        <x:v>Train</x:v>
      </x:c>
      <x:c r="C743" s="23" t="str">
        <x:v>Lightning</x:v>
      </x:c>
      <x:c r="D743" s="23" t="n">
        <x:v>1477.6738169719465</x:v>
      </x:c>
      <x:c r="E743" s="23" t="n">
        <x:v>797.6235091453418</x:v>
      </x:c>
      <x:c r="F743" s="23" t="n">
        <x:v>365.3872814960778</x:v>
      </x:c>
      <x:c r="G743" s="23" t="n">
        <x:v>210.72465499863029</x:v>
      </x:c>
      <x:c r="H743" s="23" t="n">
        <x:v>9.353315769229084</x:v>
      </x:c>
      <x:c r="I743" s="23" t="n">
        <x:v>0.8190317727765069</x:v>
      </x:c>
      <x:c r="J743" s="23" t="n">
        <x:v>10</x:v>
      </x:c>
      <x:c r="K743" s="23" t="n">
        <x:v>180.41715426529206</x:v>
      </x:c>
      <x:c r="L743" s="23" t="n">
        <x:v>50</x:v>
      </x:c>
      <x:c r="M743" s="23" t="n">
        <x:v>25</x:v>
      </x:c>
      <x:c r="N743" s="23" t="n">
        <x:v>1.1854762014290368</x:v>
      </x:c>
      <x:c r="O743" s="23" t="n">
        <x:v>52.21299966595713</x:v>
      </x:c>
      <x:c r="P743" s="23" t="n">
        <x:v>1477.6738169719465</x:v>
      </x:c>
      <x:c r="Q743" s="23" t="n">
        <x:v>1.1905326128236198</x:v>
      </x:c>
      <x:c r="R743" s="23" t="n">
        <x:v>51.32278625782519</x:v>
      </x:c>
      <x:c r="S743" s="23" t="n">
        <x:v>1494.5976720691958</x:v>
      </x:c>
      <x:c r="T743" s="23" t="n">
        <x:v>0.005056411394583016</x:v>
      </x:c>
      <x:c r="U743" s="23" t="n">
        <x:v>-0.8902134081319346</x:v>
      </x:c>
      <x:c r="V743" s="23" t="n">
        <x:v>16.923855097249316</x:v>
      </x:c>
    </x:row>
    <x:row r="744">
      <x:c r="A744" s="23" t="n">
        <x:v>743</x:v>
      </x:c>
      <x:c r="B744" s="23" t="str">
        <x:v>Train</x:v>
      </x:c>
      <x:c r="C744" s="23" t="str">
        <x:v>Lightning</x:v>
      </x:c>
      <x:c r="D744" s="23" t="n">
        <x:v>1438.7666600989178</x:v>
      </x:c>
      <x:c r="E744" s="23" t="n">
        <x:v>644.6825038758107</x:v>
      </x:c>
      <x:c r="F744" s="23" t="n">
        <x:v>564.2818868160248</x:v>
      </x:c>
      <x:c r="G744" s="23" t="n">
        <x:v>112.54977049073204</x:v>
      </x:c>
      <x:c r="H744" s="23" t="n">
        <x:v>26.985390949063003</x:v>
      </x:c>
      <x:c r="I744" s="23" t="n">
        <x:v>0.8061094961292111</x:v>
      </x:c>
      <x:c r="J744" s="23" t="n">
        <x:v>9</x:v>
      </x:c>
      <x:c r="K744" s="23" t="n">
        <x:v>198.31420297223332</x:v>
      </x:c>
      <x:c r="L744" s="23" t="n">
        <x:v>55</x:v>
      </x:c>
      <x:c r="M744" s="23" t="n">
        <x:v>25</x:v>
      </x:c>
      <x:c r="N744" s="23" t="n">
        <x:v>1.200851378782486</x:v>
      </x:c>
      <x:c r="O744" s="23" t="n">
        <x:v>52.18105709558239</x:v>
      </x:c>
      <x:c r="P744" s="23" t="n">
        <x:v>1438.7666600989178</x:v>
      </x:c>
      <x:c r="Q744" s="23" t="n">
        <x:v>1.195529710482</x:v>
      </x:c>
      <x:c r="R744" s="23" t="n">
        <x:v>50.55617212832101</x:v>
      </x:c>
      <x:c r="S744" s="23" t="n">
        <x:v>1432.3311696144915</x:v>
      </x:c>
      <x:c r="T744" s="23" t="n">
        <x:v>-0.005321668300485971</x:v>
      </x:c>
      <x:c r="U744" s="23" t="n">
        <x:v>-1.62488496726138</x:v>
      </x:c>
      <x:c r="V744" s="23" t="n">
        <x:v>-6.435490484426282</x:v>
      </x:c>
    </x:row>
    <x:row r="745">
      <x:c r="A745" s="23" t="n">
        <x:v>744</x:v>
      </x:c>
      <x:c r="B745" s="23" t="str">
        <x:v>Train</x:v>
      </x:c>
      <x:c r="C745" s="23" t="str">
        <x:v>Lightning</x:v>
      </x:c>
      <x:c r="D745" s="23" t="n">
        <x:v>1487.6279079238884</x:v>
      </x:c>
      <x:c r="E745" s="23" t="n">
        <x:v>725.0045605935156</x:v>
      </x:c>
      <x:c r="F745" s="23" t="n">
        <x:v>700.5637562833726</x:v>
      </x:c>
      <x:c r="G745" s="23" t="n">
        <x:v>224.28423123899847</x:v>
      </x:c>
      <x:c r="H745" s="23" t="n">
        <x:v>9.67376766866073</x:v>
      </x:c>
      <x:c r="I745" s="23" t="n">
        <x:v>0.8514796410594136</x:v>
      </x:c>
      <x:c r="J745" s="23" t="n">
        <x:v>9</x:v>
      </x:c>
      <x:c r="K745" s="23" t="n">
        <x:v>194.12324358532416</x:v>
      </x:c>
      <x:c r="L745" s="23" t="n">
        <x:v>45</x:v>
      </x:c>
      <x:c r="M745" s="23" t="n">
        <x:v>25</x:v>
      </x:c>
      <x:c r="N745" s="23" t="n">
        <x:v>1.1646726292144793</x:v>
      </x:c>
      <x:c r="O745" s="23" t="n">
        <x:v>52.23225325856497</x:v>
      </x:c>
      <x:c r="P745" s="23" t="n">
        <x:v>1487.6279079238884</x:v>
      </x:c>
      <x:c r="Q745" s="23" t="n">
        <x:v>1.1651826442581164</x:v>
      </x:c>
      <x:c r="R745" s="23" t="n">
        <x:v>51.306294235576736</x:v>
      </x:c>
      <x:c r="S745" s="23" t="n">
        <x:v>1502.7193111779122</x:v>
      </x:c>
      <x:c r="T745" s="23" t="n">
        <x:v>0.0005100150436370132</x:v>
      </x:c>
      <x:c r="U745" s="23" t="n">
        <x:v>-0.9259590229882306</x:v>
      </x:c>
      <x:c r="V745" s="23" t="n">
        <x:v>15.091403254023817</x:v>
      </x:c>
    </x:row>
    <x:row r="746">
      <x:c r="A746" s="23" t="n">
        <x:v>745</x:v>
      </x:c>
      <x:c r="B746" s="23" t="str">
        <x:v>Train</x:v>
      </x:c>
      <x:c r="C746" s="23" t="str">
        <x:v>Lightning</x:v>
      </x:c>
      <x:c r="D746" s="23" t="n">
        <x:v>1437.4101703986526</x:v>
      </x:c>
      <x:c r="E746" s="23" t="n">
        <x:v>813.603056629654</x:v>
      </x:c>
      <x:c r="F746" s="23" t="n">
        <x:v>584.6342505887151</x:v>
      </x:c>
      <x:c r="G746" s="23" t="n">
        <x:v>248.9927313127555</x:v>
      </x:c>
      <x:c r="H746" s="23" t="n">
        <x:v>24.289271464571357</x:v>
      </x:c>
      <x:c r="I746" s="23" t="n">
        <x:v>0.805202921491582</x:v>
      </x:c>
      <x:c r="J746" s="23" t="n">
        <x:v>9</x:v>
      </x:c>
      <x:c r="K746" s="23" t="n">
        <x:v>198.35030014490025</x:v>
      </x:c>
      <x:c r="L746" s="23" t="n">
        <x:v>45</x:v>
      </x:c>
      <x:c r="M746" s="23" t="n">
        <x:v>25</x:v>
      </x:c>
      <x:c r="N746" s="23" t="n">
        <x:v>1.2329589000798968</x:v>
      </x:c>
      <x:c r="O746" s="23" t="n">
        <x:v>52.23184434375796</x:v>
      </x:c>
      <x:c r="P746" s="23" t="n">
        <x:v>1437.4101703986526</x:v>
      </x:c>
      <x:c r="Q746" s="23" t="n">
        <x:v>1.227454334705991</x:v>
      </x:c>
      <x:c r="R746" s="23" t="n">
        <x:v>50.89587684082577</x:v>
      </x:c>
      <x:c r="S746" s="23" t="n">
        <x:v>1425.581175138014</x:v>
      </x:c>
      <x:c r="T746" s="23" t="n">
        <x:v>-0.0055045653739058675</x:v>
      </x:c>
      <x:c r="U746" s="23" t="n">
        <x:v>-1.335967502932192</x:v>
      </x:c>
      <x:c r="V746" s="23" t="n">
        <x:v>-11.828995260638521</x:v>
      </x:c>
    </x:row>
    <x:row r="747">
      <x:c r="A747" s="23" t="n">
        <x:v>746</x:v>
      </x:c>
      <x:c r="B747" s="23" t="str">
        <x:v>Train</x:v>
      </x:c>
      <x:c r="C747" s="23" t="str">
        <x:v>Lightning</x:v>
      </x:c>
      <x:c r="D747" s="23" t="n">
        <x:v>1432.7249739901163</x:v>
      </x:c>
      <x:c r="E747" s="23" t="n">
        <x:v>915.211408236064</x:v>
      </x:c>
      <x:c r="F747" s="23" t="n">
        <x:v>363.99281034246087</x:v>
      </x:c>
      <x:c r="G747" s="23" t="n">
        <x:v>253.16404613666236</x:v>
      </x:c>
      <x:c r="H747" s="23" t="n">
        <x:v>24.976310659665614</x:v>
      </x:c>
      <x:c r="I747" s="23" t="n">
        <x:v>0.84311814871151</x:v>
      </x:c>
      <x:c r="J747" s="23" t="n">
        <x:v>9</x:v>
      </x:c>
      <x:c r="K747" s="23" t="n">
        <x:v>188.8129961618822</x:v>
      </x:c>
      <x:c r="L747" s="23" t="n">
        <x:v>45</x:v>
      </x:c>
      <x:c r="M747" s="23" t="n">
        <x:v>25</x:v>
      </x:c>
      <x:c r="N747" s="23" t="n">
        <x:v>1.1580194459917295</x:v>
      </x:c>
      <x:c r="O747" s="23" t="n">
        <x:v>52.21393452167571</x:v>
      </x:c>
      <x:c r="P747" s="23" t="n">
        <x:v>1432.7249739901163</x:v>
      </x:c>
      <x:c r="Q747" s="23" t="n">
        <x:v>1.1611726926402994</x:v>
      </x:c>
      <x:c r="R747" s="23" t="n">
        <x:v>52.513874528268865</x:v>
      </x:c>
      <x:c r="S747" s="23" t="n">
        <x:v>1432.1695618709673</x:v>
      </x:c>
      <x:c r="T747" s="23" t="n">
        <x:v>0.003153246648569974</x:v>
      </x:c>
      <x:c r="U747" s="23" t="n">
        <x:v>0.2999400065931539</x:v>
      </x:c>
      <x:c r="V747" s="23" t="n">
        <x:v>-0.5554121191489685</x:v>
      </x:c>
    </x:row>
    <x:row r="748">
      <x:c r="A748" s="23" t="n">
        <x:v>747</x:v>
      </x:c>
      <x:c r="B748" s="23" t="str">
        <x:v>Train</x:v>
      </x:c>
      <x:c r="C748" s="23" t="str">
        <x:v>Lightning</x:v>
      </x:c>
      <x:c r="D748" s="23" t="n">
        <x:v>1423.0102172819898</x:v>
      </x:c>
      <x:c r="E748" s="23" t="n">
        <x:v>891.7698329896666</x:v>
      </x:c>
      <x:c r="F748" s="23" t="n">
        <x:v>617.5084967166185</x:v>
      </x:c>
      <x:c r="G748" s="23" t="n">
        <x:v>251.82776163099334</x:v>
      </x:c>
      <x:c r="H748" s="23" t="n">
        <x:v>22.427232370711863</x:v>
      </x:c>
      <x:c r="I748" s="23" t="n">
        <x:v>0.8541306736203842</x:v>
      </x:c>
      <x:c r="J748" s="23" t="n">
        <x:v>9</x:v>
      </x:c>
      <x:c r="K748" s="23" t="n">
        <x:v>185.11482053967077</x:v>
      </x:c>
      <x:c r="L748" s="23" t="n">
        <x:v>40</x:v>
      </x:c>
      <x:c r="M748" s="23" t="n">
        <x:v>25</x:v>
      </x:c>
      <x:c r="N748" s="23" t="n">
        <x:v>1.1816893890605022</x:v>
      </x:c>
      <x:c r="O748" s="23" t="n">
        <x:v>52.24960046729176</x:v>
      </x:c>
      <x:c r="P748" s="23" t="n">
        <x:v>1423.0102172819898</x:v>
      </x:c>
      <x:c r="Q748" s="23" t="n">
        <x:v>1.1934741981636063</x:v>
      </x:c>
      <x:c r="R748" s="23" t="n">
        <x:v>52.79994197882824</x:v>
      </x:c>
      <x:c r="S748" s="23" t="n">
        <x:v>1410.7520763806488</x:v>
      </x:c>
      <x:c r="T748" s="23" t="n">
        <x:v>0.011784809103104088</x:v>
      </x:c>
      <x:c r="U748" s="23" t="n">
        <x:v>0.5503415115364731</x:v>
      </x:c>
      <x:c r="V748" s="23" t="n">
        <x:v>-12.258140901340994</x:v>
      </x:c>
    </x:row>
    <x:row r="749">
      <x:c r="A749" s="23" t="n">
        <x:v>748</x:v>
      </x:c>
      <x:c r="B749" s="23" t="str">
        <x:v>Train</x:v>
      </x:c>
      <x:c r="C749" s="23" t="str">
        <x:v>Lightning</x:v>
      </x:c>
      <x:c r="D749" s="23" t="n">
        <x:v>1470.4251548624597</x:v>
      </x:c>
      <x:c r="E749" s="23" t="n">
        <x:v>670.6664042081684</x:v>
      </x:c>
      <x:c r="F749" s="23" t="n">
        <x:v>473.0207900516689</x:v>
      </x:c>
      <x:c r="G749" s="23" t="n">
        <x:v>126.86746455263346</x:v>
      </x:c>
      <x:c r="H749" s="23" t="n">
        <x:v>19.039728957694024</x:v>
      </x:c>
      <x:c r="I749" s="23" t="n">
        <x:v>0.8346625487878919</x:v>
      </x:c>
      <x:c r="J749" s="23" t="n">
        <x:v>9</x:v>
      </x:c>
      <x:c r="K749" s="23" t="n">
        <x:v>195.74446343586274</x:v>
      </x:c>
      <x:c r="L749" s="23" t="n">
        <x:v>60</x:v>
      </x:c>
      <x:c r="M749" s="23" t="n">
        <x:v>25</x:v>
      </x:c>
      <x:c r="N749" s="23" t="n">
        <x:v>1.2171654816900774</x:v>
      </x:c>
      <x:c r="O749" s="23" t="n">
        <x:v>52.173111235175334</x:v>
      </x:c>
      <x:c r="P749" s="23" t="n">
        <x:v>1470.4251548624597</x:v>
      </x:c>
      <x:c r="Q749" s="23" t="n">
        <x:v>1.216416332633281</x:v>
      </x:c>
      <x:c r="R749" s="23" t="n">
        <x:v>52.21198663712174</x:v>
      </x:c>
      <x:c r="S749" s="23" t="n">
        <x:v>1481.442788735731</x:v>
      </x:c>
      <x:c r="T749" s="23" t="n">
        <x:v>-0.0007491490567963499</x:v>
      </x:c>
      <x:c r="U749" s="23" t="n">
        <x:v>0.03887540194640593</x:v>
      </x:c>
      <x:c r="V749" s="23" t="n">
        <x:v>11.01763387327128</x:v>
      </x:c>
    </x:row>
    <x:row r="750">
      <x:c r="A750" s="23" t="n">
        <x:v>749</x:v>
      </x:c>
      <x:c r="B750" s="23" t="str">
        <x:v>Train</x:v>
      </x:c>
      <x:c r="C750" s="23" t="str">
        <x:v>Lightning</x:v>
      </x:c>
      <x:c r="D750" s="23" t="n">
        <x:v>1373.3814319130033</x:v>
      </x:c>
      <x:c r="E750" s="23" t="n">
        <x:v>657.9158137436025</x:v>
      </x:c>
      <x:c r="F750" s="23" t="n">
        <x:v>548.9635398611426</x:v>
      </x:c>
      <x:c r="G750" s="23" t="n">
        <x:v>255.38409848930314</x:v>
      </x:c>
      <x:c r="H750" s="23" t="n">
        <x:v>10.248831246048212</x:v>
      </x:c>
      <x:c r="I750" s="23" t="n">
        <x:v>0.8123469393723645</x:v>
      </x:c>
      <x:c r="J750" s="23" t="n">
        <x:v>9</x:v>
      </x:c>
      <x:c r="K750" s="23" t="n">
        <x:v>187.8482326739888</x:v>
      </x:c>
      <x:c r="L750" s="23" t="n">
        <x:v>55</x:v>
      </x:c>
      <x:c r="M750" s="23" t="n">
        <x:v>25</x:v>
      </x:c>
      <x:c r="N750" s="23" t="n">
        <x:v>1.2512549111342237</x:v>
      </x:c>
      <x:c r="O750" s="23" t="n">
        <x:v>52.203003428767765</x:v>
      </x:c>
      <x:c r="P750" s="23" t="n">
        <x:v>1373.3814319130033</x:v>
      </x:c>
      <x:c r="Q750" s="23" t="n">
        <x:v>1.2539814635653022</x:v>
      </x:c>
      <x:c r="R750" s="23" t="n">
        <x:v>51.681855684470754</x:v>
      </x:c>
      <x:c r="S750" s="23" t="n">
        <x:v>1379.9803317156693</x:v>
      </x:c>
      <x:c r="T750" s="23" t="n">
        <x:v>0.002726552431078444</x:v>
      </x:c>
      <x:c r="U750" s="23" t="n">
        <x:v>-0.5211477442970107</x:v>
      </x:c>
      <x:c r="V750" s="23" t="n">
        <x:v>6.598899802665983</x:v>
      </x:c>
    </x:row>
    <x:row r="751">
      <x:c r="A751" s="23" t="n">
        <x:v>750</x:v>
      </x:c>
      <x:c r="B751" s="23" t="str">
        <x:v>Train</x:v>
      </x:c>
      <x:c r="C751" s="23" t="str">
        <x:v>Lightning</x:v>
      </x:c>
      <x:c r="D751" s="23" t="n">
        <x:v>1384.347340289969</x:v>
      </x:c>
      <x:c r="E751" s="23" t="n">
        <x:v>1215.3608784778044</x:v>
      </x:c>
      <x:c r="F751" s="23" t="n">
        <x:v>392.8876613266766</x:v>
      </x:c>
      <x:c r="G751" s="23" t="n">
        <x:v>129.3106096982956</x:v>
      </x:c>
      <x:c r="H751" s="23" t="n">
        <x:v>12.543004284147173</x:v>
      </x:c>
      <x:c r="I751" s="23" t="n">
        <x:v>0.8580895265145227</x:v>
      </x:c>
      <x:c r="J751" s="23" t="n">
        <x:v>9</x:v>
      </x:c>
      <x:c r="K751" s="23" t="n">
        <x:v>179.2544558469525</x:v>
      </x:c>
      <x:c r="L751" s="23" t="n">
        <x:v>45</x:v>
      </x:c>
      <x:c r="M751" s="23" t="n">
        <x:v>25</x:v>
      </x:c>
      <x:c r="N751" s="23" t="n">
        <x:v>1.238162081542871</x:v>
      </x:c>
      <x:c r="O751" s="23" t="n">
        <x:v>52.24592891038622</x:v>
      </x:c>
      <x:c r="P751" s="23" t="n">
        <x:v>1384.347340289969</x:v>
      </x:c>
      <x:c r="Q751" s="23" t="n">
        <x:v>1.2399502525811446</x:v>
      </x:c>
      <x:c r="R751" s="23" t="n">
        <x:v>53.10181695409381</x:v>
      </x:c>
      <x:c r="S751" s="23" t="n">
        <x:v>1385.537327482482</x:v>
      </x:c>
      <x:c r="T751" s="23" t="n">
        <x:v>0.001788171038273445</x:v>
      </x:c>
      <x:c r="U751" s="23" t="n">
        <x:v>0.8558880437075942</x:v>
      </x:c>
      <x:c r="V751" s="23" t="n">
        <x:v>1.1899871925129446</x:v>
      </x:c>
    </x:row>
    <x:row r="752">
      <x:c r="A752" s="23" t="n">
        <x:v>751</x:v>
      </x:c>
      <x:c r="B752" s="23" t="str">
        <x:v>Train</x:v>
      </x:c>
      <x:c r="C752" s="23" t="str">
        <x:v>Lightning</x:v>
      </x:c>
      <x:c r="D752" s="23" t="n">
        <x:v>1361.5440266439691</x:v>
      </x:c>
      <x:c r="E752" s="23" t="n">
        <x:v>844.225577369798</x:v>
      </x:c>
      <x:c r="F752" s="23" t="n">
        <x:v>739.301935583353</x:v>
      </x:c>
      <x:c r="G752" s="23" t="n">
        <x:v>141.7212936631404</x:v>
      </x:c>
      <x:c r="H752" s="23" t="n">
        <x:v>25.190943612717092</x:v>
      </x:c>
      <x:c r="I752" s="23" t="n">
        <x:v>0.855578715109732</x:v>
      </x:c>
      <x:c r="J752" s="23" t="n">
        <x:v>8</x:v>
      </x:c>
      <x:c r="K752" s="23" t="n">
        <x:v>198.92150228242656</x:v>
      </x:c>
      <x:c r="L752" s="23" t="n">
        <x:v>45</x:v>
      </x:c>
      <x:c r="M752" s="23" t="n">
        <x:v>25</x:v>
      </x:c>
      <x:c r="N752" s="23" t="n">
        <x:v>1.1742414348537358</x:v>
      </x:c>
      <x:c r="O752" s="23" t="n">
        <x:v>52.21411948459702</x:v>
      </x:c>
      <x:c r="P752" s="23" t="n">
        <x:v>1361.5440266439691</x:v>
      </x:c>
      <x:c r="Q752" s="23" t="n">
        <x:v>1.180164883243314</x:v>
      </x:c>
      <x:c r="R752" s="23" t="n">
        <x:v>51.55815919193338</x:v>
      </x:c>
      <x:c r="S752" s="23" t="n">
        <x:v>1348.1441433208865</x:v>
      </x:c>
      <x:c r="T752" s="23" t="n">
        <x:v>0.005923448389578256</x:v>
      </x:c>
      <x:c r="U752" s="23" t="n">
        <x:v>-0.655960292663643</x:v>
      </x:c>
      <x:c r="V752" s="23" t="n">
        <x:v>-13.399883323082577</x:v>
      </x:c>
    </x:row>
    <x:row r="753">
      <x:c r="A753" s="23" t="n">
        <x:v>752</x:v>
      </x:c>
      <x:c r="B753" s="23" t="str">
        <x:v>Train</x:v>
      </x:c>
      <x:c r="C753" s="23" t="str">
        <x:v>Lightning</x:v>
      </x:c>
      <x:c r="D753" s="23" t="n">
        <x:v>1396.354798588436</x:v>
      </x:c>
      <x:c r="E753" s="23" t="n">
        <x:v>1061.6326542571187</x:v>
      </x:c>
      <x:c r="F753" s="23" t="n">
        <x:v>625.2440079115331</x:v>
      </x:c>
      <x:c r="G753" s="23" t="n">
        <x:v>221.68508362490684</x:v>
      </x:c>
      <x:c r="H753" s="23" t="n">
        <x:v>23.20972123136744</x:v>
      </x:c>
      <x:c r="I753" s="23" t="n">
        <x:v>0.8040831641014665</x:v>
      </x:c>
      <x:c r="J753" s="23" t="n">
        <x:v>9</x:v>
      </x:c>
      <x:c r="K753" s="23" t="n">
        <x:v>192.9533412751751</x:v>
      </x:c>
      <x:c r="L753" s="23" t="n">
        <x:v>35</x:v>
      </x:c>
      <x:c r="M753" s="23" t="n">
        <x:v>25</x:v>
      </x:c>
      <x:c r="N753" s="23" t="n">
        <x:v>1.1475473234673688</x:v>
      </x:c>
      <x:c r="O753" s="23" t="n">
        <x:v>52.27259249021286</x:v>
      </x:c>
      <x:c r="P753" s="23" t="n">
        <x:v>1396.354798588436</x:v>
      </x:c>
      <x:c r="Q753" s="23" t="n">
        <x:v>1.158250888442734</x:v>
      </x:c>
      <x:c r="R753" s="23" t="n">
        <x:v>53.62066154940834</x:v>
      </x:c>
      <x:c r="S753" s="23" t="n">
        <x:v>1382.5397581324482</x:v>
      </x:c>
      <x:c r="T753" s="23" t="n">
        <x:v>0.010703564975365287</x:v>
      </x:c>
      <x:c r="U753" s="23" t="n">
        <x:v>1.3480690591954811</x:v>
      </x:c>
      <x:c r="V753" s="23" t="n">
        <x:v>-13.815040455987855</x:v>
      </x:c>
    </x:row>
    <x:row r="754">
      <x:c r="A754" s="23" t="n">
        <x:v>753</x:v>
      </x:c>
      <x:c r="B754" s="23" t="str">
        <x:v>Train</x:v>
      </x:c>
      <x:c r="C754" s="23" t="str">
        <x:v>Lightning</x:v>
      </x:c>
      <x:c r="D754" s="23" t="n">
        <x:v>1390.7025662250817</x:v>
      </x:c>
      <x:c r="E754" s="23" t="n">
        <x:v>1139.3093333928846</x:v>
      </x:c>
      <x:c r="F754" s="23" t="n">
        <x:v>640.2215221896768</x:v>
      </x:c>
      <x:c r="G754" s="23" t="n">
        <x:v>251.03122553089634</x:v>
      </x:c>
      <x:c r="H754" s="23" t="n">
        <x:v>13.253055142238736</x:v>
      </x:c>
      <x:c r="I754" s="23" t="n">
        <x:v>0.8307404147018679</x:v>
      </x:c>
      <x:c r="J754" s="23" t="n">
        <x:v>9</x:v>
      </x:c>
      <x:c r="K754" s="23" t="n">
        <x:v>186.0057662101304</x:v>
      </x:c>
      <x:c r="L754" s="23" t="n">
        <x:v>35</x:v>
      </x:c>
      <x:c r="M754" s="23" t="n">
        <x:v>25</x:v>
      </x:c>
      <x:c r="N754" s="23" t="n">
        <x:v>1.1526637705586065</x:v>
      </x:c>
      <x:c r="O754" s="23" t="n">
        <x:v>52.29161539249761</x:v>
      </x:c>
      <x:c r="P754" s="23" t="n">
        <x:v>1390.7025662250817</x:v>
      </x:c>
      <x:c r="Q754" s="23" t="n">
        <x:v>1.171022774629802</x:v>
      </x:c>
      <x:c r="R754" s="23" t="n">
        <x:v>52.96144685981706</x:v>
      </x:c>
      <x:c r="S754" s="23" t="n">
        <x:v>1391.217313469223</x:v>
      </x:c>
      <x:c r="T754" s="23" t="n">
        <x:v>0.018359004071195617</x:v>
      </x:c>
      <x:c r="U754" s="23" t="n">
        <x:v>0.6698314673194474</x:v>
      </x:c>
      <x:c r="V754" s="23" t="n">
        <x:v>0.5147472441412901</x:v>
      </x:c>
    </x:row>
    <x:row r="755">
      <x:c r="A755" s="23" t="n">
        <x:v>754</x:v>
      </x:c>
      <x:c r="B755" s="23" t="str">
        <x:v>Train</x:v>
      </x:c>
      <x:c r="C755" s="23" t="str">
        <x:v>Lightning</x:v>
      </x:c>
      <x:c r="D755" s="23" t="n">
        <x:v>1452.184353733901</x:v>
      </x:c>
      <x:c r="E755" s="23" t="n">
        <x:v>1236.1728419782594</x:v>
      </x:c>
      <x:c r="F755" s="23" t="n">
        <x:v>567.3772581852973</x:v>
      </x:c>
      <x:c r="G755" s="23" t="n">
        <x:v>314.44254440255463</x:v>
      </x:c>
      <x:c r="H755" s="23" t="n">
        <x:v>11.10100168036297</x:v>
      </x:c>
      <x:c r="I755" s="23" t="n">
        <x:v>0.8409584141010419</x:v>
      </x:c>
      <x:c r="J755" s="23" t="n">
        <x:v>9</x:v>
      </x:c>
      <x:c r="K755" s="23" t="n">
        <x:v>191.8689609093533</x:v>
      </x:c>
      <x:c r="L755" s="23" t="n">
        <x:v>35</x:v>
      </x:c>
      <x:c r="M755" s="23" t="n">
        <x:v>25</x:v>
      </x:c>
      <x:c r="N755" s="23" t="n">
        <x:v>1.185455727996192</x:v>
      </x:c>
      <x:c r="O755" s="23" t="n">
        <x:v>52.30524800310397</x:v>
      </x:c>
      <x:c r="P755" s="23" t="n">
        <x:v>1452.184353733901</x:v>
      </x:c>
      <x:c r="Q755" s="23" t="n">
        <x:v>1.2081748498506277</x:v>
      </x:c>
      <x:c r="R755" s="23" t="n">
        <x:v>53.22413244311934</x:v>
      </x:c>
      <x:c r="S755" s="23" t="n">
        <x:v>1450.0406498028412</x:v>
      </x:c>
      <x:c r="T755" s="23" t="n">
        <x:v>0.02271912185443581</x:v>
      </x:c>
      <x:c r="U755" s="23" t="n">
        <x:v>0.9188844400153684</x:v>
      </x:c>
      <x:c r="V755" s="23" t="n">
        <x:v>-2.14370393105969</x:v>
      </x:c>
    </x:row>
    <x:row r="756">
      <x:c r="A756" s="23" t="n">
        <x:v>755</x:v>
      </x:c>
      <x:c r="B756" s="23" t="str">
        <x:v>Validation</x:v>
      </x:c>
      <x:c r="C756" s="23" t="str">
        <x:v>Lightning</x:v>
      </x:c>
      <x:c r="D756" s="23" t="n">
        <x:v>1461.047706543468</x:v>
      </x:c>
      <x:c r="E756" s="23" t="n">
        <x:v>682.9593348898925</x:v>
      </x:c>
      <x:c r="F756" s="23" t="n">
        <x:v>405.60109578073025</x:v>
      </x:c>
      <x:c r="G756" s="23" t="n">
        <x:v>272.73850572062656</x:v>
      </x:c>
      <x:c r="H756" s="23" t="n">
        <x:v>18.582142484374344</x:v>
      </x:c>
      <x:c r="I756" s="23" t="n">
        <x:v>0.8279027682985179</x:v>
      </x:c>
      <x:c r="J756" s="23" t="n">
        <x:v>9</x:v>
      </x:c>
      <x:c r="K756" s="23" t="n">
        <x:v>196.08417833173698</x:v>
      </x:c>
      <x:c r="L756" s="23" t="n">
        <x:v>55</x:v>
      </x:c>
      <x:c r="M756" s="23" t="n">
        <x:v>25</x:v>
      </x:c>
      <x:c r="N756" s="23" t="n">
        <x:v>1.2011282486445576</x:v>
      </x:c>
      <x:c r="O756" s="23" t="n">
        <x:v>52.1872605366568</x:v>
      </x:c>
      <x:c r="P756" s="23" t="n">
        <x:v>1461.047706543468</x:v>
      </x:c>
      <x:c r="Q756" s="23" t="n">
        <x:v>1.1943873376024834</x:v>
      </x:c>
      <x:c r="R756" s="23" t="n">
        <x:v>51.59105273406667</x:v>
      </x:c>
      <x:c r="S756" s="23" t="n">
        <x:v>1467.5115092928381</x:v>
      </x:c>
      <x:c r="T756" s="23" t="n">
        <x:v>-0.0067409110420741936</x:v>
      </x:c>
      <x:c r="U756" s="23" t="n">
        <x:v>-0.5962078025901292</x:v>
      </x:c>
      <x:c r="V756" s="23" t="n">
        <x:v>6.463802749370188</x:v>
      </x:c>
    </x:row>
    <x:row r="757">
      <x:c r="A757" s="23" t="n">
        <x:v>756</x:v>
      </x:c>
      <x:c r="B757" s="23" t="str">
        <x:v>Validation</x:v>
      </x:c>
      <x:c r="C757" s="23" t="str">
        <x:v>Lightning</x:v>
      </x:c>
      <x:c r="D757" s="23" t="n">
        <x:v>1482.9567575245164</x:v>
      </x:c>
      <x:c r="E757" s="23" t="n">
        <x:v>739.6576637867838</x:v>
      </x:c>
      <x:c r="F757" s="23" t="n">
        <x:v>612.3131561093032</x:v>
      </x:c>
      <x:c r="G757" s="23" t="n">
        <x:v>142.87501694168895</x:v>
      </x:c>
      <x:c r="H757" s="23" t="n">
        <x:v>16.50008350564167</x:v>
      </x:c>
      <x:c r="I757" s="23" t="n">
        <x:v>0.8240159387327731</x:v>
      </x:c>
      <x:c r="J757" s="23" t="n">
        <x:v>9</x:v>
      </x:c>
      <x:c r="K757" s="23" t="n">
        <x:v>199.96333239825253</x:v>
      </x:c>
      <x:c r="L757" s="23" t="n">
        <x:v>50</x:v>
      </x:c>
      <x:c r="M757" s="23" t="n">
        <x:v>25</x:v>
      </x:c>
      <x:c r="N757" s="23" t="n">
        <x:v>1.1974749273323873</x:v>
      </x:c>
      <x:c r="O757" s="23" t="n">
        <x:v>52.20808383710893</x:v>
      </x:c>
      <x:c r="P757" s="23" t="n">
        <x:v>1482.9567575245164</x:v>
      </x:c>
      <x:c r="Q757" s="23" t="n">
        <x:v>1.2049181261518729</x:v>
      </x:c>
      <x:c r="R757" s="23" t="n">
        <x:v>52.462952659726255</x:v>
      </x:c>
      <x:c r="S757" s="23" t="n">
        <x:v>1496.5737889962002</x:v>
      </x:c>
      <x:c r="T757" s="23" t="n">
        <x:v>0.00744319881948563</x:v>
      </x:c>
      <x:c r="U757" s="23" t="n">
        <x:v>0.25486882261732546</x:v>
      </x:c>
      <x:c r="V757" s="23" t="n">
        <x:v>13.617031471683731</x:v>
      </x:c>
    </x:row>
    <x:row r="758">
      <x:c r="A758" s="23" t="n">
        <x:v>757</x:v>
      </x:c>
      <x:c r="B758" s="23" t="str">
        <x:v>Validation</x:v>
      </x:c>
      <x:c r="C758" s="23" t="str">
        <x:v>Lightning</x:v>
      </x:c>
      <x:c r="D758" s="23" t="n">
        <x:v>1361.8562426883727</x:v>
      </x:c>
      <x:c r="E758" s="23" t="n">
        <x:v>1240.3412580373697</x:v>
      </x:c>
      <x:c r="F758" s="23" t="n">
        <x:v>372.14082162827253</x:v>
      </x:c>
      <x:c r="G758" s="23" t="n">
        <x:v>108.46749342279509</x:v>
      </x:c>
      <x:c r="H758" s="23" t="n">
        <x:v>22.38857826590538</x:v>
      </x:c>
      <x:c r="I758" s="23" t="n">
        <x:v>0.8136458458588459</x:v>
      </x:c>
      <x:c r="J758" s="23" t="n">
        <x:v>9</x:v>
      </x:c>
      <x:c r="K758" s="23" t="n">
        <x:v>185.9744765721561</x:v>
      </x:c>
      <x:c r="L758" s="23" t="n">
        <x:v>40</x:v>
      </x:c>
      <x:c r="M758" s="23" t="n">
        <x:v>25</x:v>
      </x:c>
      <x:c r="N758" s="23" t="n">
        <x:v>1.1571981007989258</x:v>
      </x:c>
      <x:c r="O758" s="23" t="n">
        <x:v>52.243339062183814</x:v>
      </x:c>
      <x:c r="P758" s="23" t="n">
        <x:v>1361.8562426883727</x:v>
      </x:c>
      <x:c r="Q758" s="23" t="n">
        <x:v>1.1473342054440936</x:v>
      </x:c>
      <x:c r="R758" s="23" t="n">
        <x:v>53.707124597958405</x:v>
      </x:c>
      <x:c r="S758" s="23" t="n">
        <x:v>1354.7793404742897</x:v>
      </x:c>
      <x:c r="T758" s="23" t="n">
        <x:v>-0.00986389535483223</x:v>
      </x:c>
      <x:c r="U758" s="23" t="n">
        <x:v>1.4637855357745906</x:v>
      </x:c>
      <x:c r="V758" s="23" t="n">
        <x:v>-7.07690221408302</x:v>
      </x:c>
    </x:row>
    <x:row r="759">
      <x:c r="A759" s="23" t="n">
        <x:v>758</x:v>
      </x:c>
      <x:c r="B759" s="23" t="str">
        <x:v>Hidden Test</x:v>
      </x:c>
      <x:c r="C759" s="23" t="str">
        <x:v>Lightning</x:v>
      </x:c>
      <x:c r="D759" s="23" t="n">
        <x:v>1371.6148876701482</x:v>
      </x:c>
      <x:c r="E759" s="23" t="n">
        <x:v>627.3405136307701</x:v>
      </x:c>
      <x:c r="F759" s="23" t="n">
        <x:v>363.4741169400513</x:v>
      </x:c>
      <x:c r="G759" s="23" t="n">
        <x:v>141.82926753535867</x:v>
      </x:c>
      <x:c r="H759" s="23" t="n">
        <x:v>23.009393176529557</x:v>
      </x:c>
      <x:c r="I759" s="23" t="n">
        <x:v>0.8134520944720135</x:v>
      </x:c>
      <x:c r="J759" s="23" t="n">
        <x:v>9</x:v>
      </x:c>
      <x:c r="K759" s="23" t="n">
        <x:v>187.35172632936818</x:v>
      </x:c>
      <x:c r="L759" s="23" t="n">
        <x:v>65</x:v>
      </x:c>
      <x:c r="M759" s="23" t="n">
        <x:v>25</x:v>
      </x:c>
      <x:c r="N759" s="23" t="n">
        <x:v>1.1858034682361989</x:v>
      </x:c>
      <x:c r="O759" s="23" t="n">
        <x:v>52.1516074998122</x:v>
      </x:c>
      <x:c r="P759" s="23" t="n">
        <x:v>1371.6148876701482</x:v>
      </x:c>
      <x:c r="Q759" s="23" t="n">
        <x:v>1.1818513825565202</x:v>
      </x:c>
      <x:c r="R759" s="23" t="n">
        <x:v>52.07161631377795</x:v>
      </x:c>
      <x:c r="S759" s="23" t="n">
        <x:v>1388.281107457877</x:v>
      </x:c>
      <x:c r="T759" s="23" t="n">
        <x:v>-0.003952085679678641</x:v>
      </x:c>
      <x:c r="U759" s="23" t="n">
        <x:v>-0.07999118603424904</x:v>
      </x:c>
      <x:c r="V759" s="23" t="n">
        <x:v>16.666219787728778</x:v>
      </x:c>
    </x:row>
    <x:row r="760">
      <x:c r="A760" s="23" t="n">
        <x:v>759</x:v>
      </x:c>
      <x:c r="B760" s="23" t="str">
        <x:v>Hidden Test</x:v>
      </x:c>
      <x:c r="C760" s="23" t="str">
        <x:v>Lightning</x:v>
      </x:c>
      <x:c r="D760" s="23" t="n">
        <x:v>1465.5191050143912</x:v>
      </x:c>
      <x:c r="E760" s="23" t="n">
        <x:v>919.2985272151418</x:v>
      </x:c>
      <x:c r="F760" s="23" t="n">
        <x:v>494.28121000528336</x:v>
      </x:c>
      <x:c r="G760" s="23" t="n">
        <x:v>189.69452088465914</x:v>
      </x:c>
      <x:c r="H760" s="23" t="n">
        <x:v>15.162542681209743</x:v>
      </x:c>
      <x:c r="I760" s="23" t="n">
        <x:v>0.8490225237957202</x:v>
      </x:c>
      <x:c r="J760" s="23" t="n">
        <x:v>9</x:v>
      </x:c>
      <x:c r="K760" s="23" t="n">
        <x:v>191.7916799011675</x:v>
      </x:c>
      <x:c r="L760" s="23" t="n">
        <x:v>45</x:v>
      </x:c>
      <x:c r="M760" s="23" t="n">
        <x:v>25</x:v>
      </x:c>
      <x:c r="N760" s="23" t="n">
        <x:v>1.1598972190228178</x:v>
      </x:c>
      <x:c r="O760" s="23" t="n">
        <x:v>52.22499053869503</x:v>
      </x:c>
      <x:c r="P760" s="23" t="n">
        <x:v>1465.5191050143912</x:v>
      </x:c>
      <x:c r="Q760" s="23" t="n">
        <x:v>1.1662785209761346</x:v>
      </x:c>
      <x:c r="R760" s="23" t="n">
        <x:v>51.27183577005533</x:v>
      </x:c>
      <x:c r="S760" s="23" t="n">
        <x:v>1468.2336108753789</x:v>
      </x:c>
      <x:c r="T760" s="23" t="n">
        <x:v>0.006381301953316765</x:v>
      </x:c>
      <x:c r="U760" s="23" t="n">
        <x:v>-0.9531547686396991</x:v>
      </x:c>
      <x:c r="V760" s="23" t="n">
        <x:v>2.7145058609876287</x:v>
      </x:c>
    </x:row>
    <x:row r="761">
      <x:c r="A761" s="23" t="n">
        <x:v>760</x:v>
      </x:c>
      <x:c r="B761" s="23" t="str">
        <x:v>Hidden Test</x:v>
      </x:c>
      <x:c r="C761" s="23" t="str">
        <x:v>Lightning</x:v>
      </x:c>
      <x:c r="D761" s="23" t="n">
        <x:v>1351.5297620440833</x:v>
      </x:c>
      <x:c r="E761" s="23" t="n">
        <x:v>1087.8320361487567</x:v>
      </x:c>
      <x:c r="F761" s="23" t="n">
        <x:v>456.7167333327234</x:v>
      </x:c>
      <x:c r="G761" s="23" t="n">
        <x:v>308.11115032527596</x:v>
      </x:c>
      <x:c r="H761" s="23" t="n">
        <x:v>9.893071239348501</x:v>
      </x:c>
      <x:c r="I761" s="23" t="n">
        <x:v>0.820539638074115</x:v>
      </x:c>
      <x:c r="J761" s="23" t="n">
        <x:v>9</x:v>
      </x:c>
      <x:c r="K761" s="23" t="n">
        <x:v>183.01367367567642</x:v>
      </x:c>
      <x:c r="L761" s="23" t="n">
        <x:v>40</x:v>
      </x:c>
      <x:c r="M761" s="23" t="n">
        <x:v>25</x:v>
      </x:c>
      <x:c r="N761" s="23" t="n">
        <x:v>1.1697794430023918</x:v>
      </x:c>
      <x:c r="O761" s="23" t="n">
        <x:v>52.26387599799587</x:v>
      </x:c>
      <x:c r="P761" s="23" t="n">
        <x:v>1351.5297620440833</x:v>
      </x:c>
      <x:c r="Q761" s="23" t="n">
        <x:v>1.172200713020356</x:v>
      </x:c>
      <x:c r="R761" s="23" t="n">
        <x:v>51.81848191968977</x:v>
      </x:c>
      <x:c r="S761" s="23" t="n">
        <x:v>1360.1997494476063</x:v>
      </x:c>
      <x:c r="T761" s="23" t="n">
        <x:v>0.0024212700179642166</x:v>
      </x:c>
      <x:c r="U761" s="23" t="n">
        <x:v>-0.44539407830609434</x:v>
      </x:c>
      <x:c r="V761" s="23" t="n">
        <x:v>8.66998740352301</x:v>
      </x:c>
    </x:row>
    <x:row r="762">
      <x:c r="A762" s="23" t="n">
        <x:v>761</x:v>
      </x:c>
      <x:c r="B762" s="23" t="str">
        <x:v>Train</x:v>
      </x:c>
      <x:c r="C762" s="23" t="str">
        <x:v>Lightning</x:v>
      </x:c>
      <x:c r="D762" s="23" t="n">
        <x:v>1350.0781137496233</x:v>
      </x:c>
      <x:c r="E762" s="23" t="n">
        <x:v>633.3635798073374</x:v>
      </x:c>
      <x:c r="F762" s="23" t="n">
        <x:v>729.1526095941663</x:v>
      </x:c>
      <x:c r="G762" s="23" t="n">
        <x:v>262.44494922691956</x:v>
      </x:c>
      <x:c r="H762" s="23" t="n">
        <x:v>28.955345971509814</x:v>
      </x:c>
      <x:c r="I762" s="23" t="n">
        <x:v>0.8232395724696108</x:v>
      </x:c>
      <x:c r="J762" s="23" t="n">
        <x:v>9</x:v>
      </x:c>
      <x:c r="K762" s="23" t="n">
        <x:v>182.21752734201945</x:v>
      </x:c>
      <x:c r="L762" s="23" t="n">
        <x:v>45</x:v>
      </x:c>
      <x:c r="M762" s="23" t="n">
        <x:v>25</x:v>
      </x:c>
      <x:c r="N762" s="23" t="n">
        <x:v>1.239333632289516</x:v>
      </x:c>
      <x:c r="O762" s="23" t="n">
        <x:v>52.22837206554063</x:v>
      </x:c>
      <x:c r="P762" s="23" t="n">
        <x:v>1350.0781137496233</x:v>
      </x:c>
      <x:c r="Q762" s="23" t="n">
        <x:v>1.2379030166205685</x:v>
      </x:c>
      <x:c r="R762" s="23" t="n">
        <x:v>50.47086330400915</x:v>
      </x:c>
      <x:c r="S762" s="23" t="n">
        <x:v>1329.1616724645219</x:v>
      </x:c>
      <x:c r="T762" s="23" t="n">
        <x:v>-0.0014306156689476435</x:v>
      </x:c>
      <x:c r="U762" s="23" t="n">
        <x:v>-1.7575087615314828</x:v>
      </x:c>
      <x:c r="V762" s="23" t="n">
        <x:v>-20.916441285101428</x:v>
      </x:c>
    </x:row>
    <x:row r="763">
      <x:c r="A763" s="23" t="n">
        <x:v>762</x:v>
      </x:c>
      <x:c r="B763" s="23" t="str">
        <x:v>Train</x:v>
      </x:c>
      <x:c r="C763" s="23" t="str">
        <x:v>Lightning</x:v>
      </x:c>
      <x:c r="D763" s="23" t="n">
        <x:v>1368.5670937062241</x:v>
      </x:c>
      <x:c r="E763" s="23" t="n">
        <x:v>717.2667106846347</x:v>
      </x:c>
      <x:c r="F763" s="23" t="n">
        <x:v>642.3363224603236</x:v>
      </x:c>
      <x:c r="G763" s="23" t="n">
        <x:v>87.23153701983392</x:v>
      </x:c>
      <x:c r="H763" s="23" t="n">
        <x:v>19.71939403982833</x:v>
      </x:c>
      <x:c r="I763" s="23" t="n">
        <x:v>0.8076834020810202</x:v>
      </x:c>
      <x:c r="J763" s="23" t="n">
        <x:v>9</x:v>
      </x:c>
      <x:c r="K763" s="23" t="n">
        <x:v>188.27056495157365</x:v>
      </x:c>
      <x:c r="L763" s="23" t="n">
        <x:v>50</x:v>
      </x:c>
      <x:c r="M763" s="23" t="n">
        <x:v>25</x:v>
      </x:c>
      <x:c r="N763" s="23" t="n">
        <x:v>1.1752174955952726</x:v>
      </x:c>
      <x:c r="O763" s="23" t="n">
        <x:v>52.200597680352935</x:v>
      </x:c>
      <x:c r="P763" s="23" t="n">
        <x:v>1368.5670937062241</x:v>
      </x:c>
      <x:c r="Q763" s="23" t="n">
        <x:v>1.1727501457512541</x:v>
      </x:c>
      <x:c r="R763" s="23" t="n">
        <x:v>52.23225563526797</x:v>
      </x:c>
      <x:c r="S763" s="23" t="n">
        <x:v>1374.4335125273312</x:v>
      </x:c>
      <x:c r="T763" s="23" t="n">
        <x:v>-0.0024673498440184183</x:v>
      </x:c>
      <x:c r="U763" s="23" t="n">
        <x:v>0.031657954915033315</x:v>
      </x:c>
      <x:c r="V763" s="23" t="n">
        <x:v>5.866418821107118</x:v>
      </x:c>
    </x:row>
    <x:row r="764">
      <x:c r="A764" s="23" t="n">
        <x:v>763</x:v>
      </x:c>
      <x:c r="B764" s="23" t="str">
        <x:v>Train</x:v>
      </x:c>
      <x:c r="C764" s="23" t="str">
        <x:v>Lightning</x:v>
      </x:c>
      <x:c r="D764" s="23" t="n">
        <x:v>1490.4753495706245</x:v>
      </x:c>
      <x:c r="E764" s="23" t="n">
        <x:v>1105.501705466304</x:v>
      </x:c>
      <x:c r="F764" s="23" t="n">
        <x:v>706.7602965980768</x:v>
      </x:c>
      <x:c r="G764" s="23" t="n">
        <x:v>159.4513143482618</x:v>
      </x:c>
      <x:c r="H764" s="23" t="n">
        <x:v>8.70686296466738</x:v>
      </x:c>
      <x:c r="I764" s="23" t="n">
        <x:v>0.8354037766414695</x:v>
      </x:c>
      <x:c r="J764" s="23" t="n">
        <x:v>9</x:v>
      </x:c>
      <x:c r="K764" s="23" t="n">
        <x:v>198.23751915546825</x:v>
      </x:c>
      <x:c r="L764" s="23" t="n">
        <x:v>40</x:v>
      </x:c>
      <x:c r="M764" s="23" t="n">
        <x:v>25</x:v>
      </x:c>
      <x:c r="N764" s="23" t="n">
        <x:v>1.2348500763449948</x:v>
      </x:c>
      <x:c r="O764" s="23" t="n">
        <x:v>52.282439398861634</x:v>
      </x:c>
      <x:c r="P764" s="23" t="n">
        <x:v>1490.4753495706245</x:v>
      </x:c>
      <x:c r="Q764" s="23" t="n">
        <x:v>1.2470005154356973</x:v>
      </x:c>
      <x:c r="R764" s="23" t="n">
        <x:v>52.720725187802266</x:v>
      </x:c>
      <x:c r="S764" s="23" t="n">
        <x:v>1489.6097463215604</x:v>
      </x:c>
      <x:c r="T764" s="23" t="n">
        <x:v>0.01215043909070257</x:v>
      </x:c>
      <x:c r="U764" s="23" t="n">
        <x:v>0.4382857889406324</x:v>
      </x:c>
      <x:c r="V764" s="23" t="n">
        <x:v>-0.8656032490641792</x:v>
      </x:c>
    </x:row>
    <x:row r="765">
      <x:c r="A765" s="23" t="n">
        <x:v>764</x:v>
      </x:c>
      <x:c r="B765" s="23" t="str">
        <x:v>Train</x:v>
      </x:c>
      <x:c r="C765" s="23" t="str">
        <x:v>Lightning</x:v>
      </x:c>
      <x:c r="D765" s="23" t="n">
        <x:v>1457.1942206821404</x:v>
      </x:c>
      <x:c r="E765" s="23" t="n">
        <x:v>1014.2282548826188</x:v>
      </x:c>
      <x:c r="F765" s="23" t="n">
        <x:v>405.01702977344394</x:v>
      </x:c>
      <x:c r="G765" s="23" t="n">
        <x:v>152.44426931720227</x:v>
      </x:c>
      <x:c r="H765" s="23" t="n">
        <x:v>17.363394420128316</x:v>
      </x:c>
      <x:c r="I765" s="23" t="n">
        <x:v>0.8450157347321511</x:v>
      </x:c>
      <x:c r="J765" s="23" t="n">
        <x:v>9</x:v>
      </x:c>
      <x:c r="K765" s="23" t="n">
        <x:v>191.60645454253446</x:v>
      </x:c>
      <x:c r="L765" s="23" t="n">
        <x:v>45</x:v>
      </x:c>
      <x:c r="M765" s="23" t="n">
        <x:v>25</x:v>
      </x:c>
      <x:c r="N765" s="23" t="n">
        <x:v>1.1490286186244085</x:v>
      </x:c>
      <x:c r="O765" s="23" t="n">
        <x:v>52.22006569370328</x:v>
      </x:c>
      <x:c r="P765" s="23" t="n">
        <x:v>1457.1942206821404</x:v>
      </x:c>
      <x:c r="Q765" s="23" t="n">
        <x:v>1.1488362552631217</x:v>
      </x:c>
      <x:c r="R765" s="23" t="n">
        <x:v>53.617546082251174</x:v>
      </x:c>
      <x:c r="S765" s="23" t="n">
        <x:v>1462.4986243845985</x:v>
      </x:c>
      <x:c r="T765" s="23" t="n">
        <x:v>-0.00019236336128680698</x:v>
      </x:c>
      <x:c r="U765" s="23" t="n">
        <x:v>1.3974803885478906</x:v>
      </x:c>
      <x:c r="V765" s="23" t="n">
        <x:v>5.304403702458103</x:v>
      </x:c>
    </x:row>
    <x:row r="766">
      <x:c r="A766" s="23" t="n">
        <x:v>765</x:v>
      </x:c>
      <x:c r="B766" s="23" t="str">
        <x:v>Train</x:v>
      </x:c>
      <x:c r="C766" s="23" t="str">
        <x:v>Lightning</x:v>
      </x:c>
      <x:c r="D766" s="23" t="n">
        <x:v>1357.8889194410294</x:v>
      </x:c>
      <x:c r="E766" s="23" t="n">
        <x:v>769.1853602300398</x:v>
      </x:c>
      <x:c r="F766" s="23" t="n">
        <x:v>513.1883626803756</x:v>
      </x:c>
      <x:c r="G766" s="23" t="n">
        <x:v>82.38608830841258</x:v>
      </x:c>
      <x:c r="H766" s="23" t="n">
        <x:v>9.113952722400427</x:v>
      </x:c>
      <x:c r="I766" s="23" t="n">
        <x:v>0.8006551103689709</x:v>
      </x:c>
      <x:c r="J766" s="23" t="n">
        <x:v>9</x:v>
      </x:c>
      <x:c r="K766" s="23" t="n">
        <x:v>188.44137088568567</x:v>
      </x:c>
      <x:c r="L766" s="23" t="n">
        <x:v>55</x:v>
      </x:c>
      <x:c r="M766" s="23" t="n">
        <x:v>25</x:v>
      </x:c>
      <x:c r="N766" s="23" t="n">
        <x:v>1.1659804907814149</x:v>
      </x:c>
      <x:c r="O766" s="23" t="n">
        <x:v>52.18780017356429</x:v>
      </x:c>
      <x:c r="P766" s="23" t="n">
        <x:v>1357.8889194410294</x:v>
      </x:c>
      <x:c r="Q766" s="23" t="n">
        <x:v>1.1622525964649812</x:v>
      </x:c>
      <x:c r="R766" s="23" t="n">
        <x:v>52.699661806206514</x:v>
      </x:c>
      <x:c r="S766" s="23" t="n">
        <x:v>1376.5592352828621</x:v>
      </x:c>
      <x:c r="T766" s="23" t="n">
        <x:v>-0.003727894316433611</x:v>
      </x:c>
      <x:c r="U766" s="23" t="n">
        <x:v>0.5118616326422227</x:v>
      </x:c>
      <x:c r="V766" s="23" t="n">
        <x:v>18.67031584183269</x:v>
      </x:c>
    </x:row>
    <x:row r="767">
      <x:c r="A767" s="23" t="n">
        <x:v>766</x:v>
      </x:c>
      <x:c r="B767" s="23" t="str">
        <x:v>Train</x:v>
      </x:c>
      <x:c r="C767" s="23" t="str">
        <x:v>Lightning</x:v>
      </x:c>
      <x:c r="D767" s="23" t="n">
        <x:v>1450.103728857357</x:v>
      </x:c>
      <x:c r="E767" s="23" t="n">
        <x:v>1010.3081154404208</x:v>
      </x:c>
      <x:c r="F767" s="23" t="n">
        <x:v>515.721630025655</x:v>
      </x:c>
      <x:c r="G767" s="23" t="n">
        <x:v>261.65352661162615</x:v>
      </x:c>
      <x:c r="H767" s="23" t="n">
        <x:v>20.79521849984303</x:v>
      </x:c>
      <x:c r="I767" s="23" t="n">
        <x:v>0.8163039210764692</x:v>
      </x:c>
      <x:c r="J767" s="23" t="n">
        <x:v>9</x:v>
      </x:c>
      <x:c r="K767" s="23" t="n">
        <x:v>197.38069655139242</x:v>
      </x:c>
      <x:c r="L767" s="23" t="n">
        <x:v>40</x:v>
      </x:c>
      <x:c r="M767" s="23" t="n">
        <x:v>25</x:v>
      </x:c>
      <x:c r="N767" s="23" t="n">
        <x:v>1.189240909124005</x:v>
      </x:c>
      <x:c r="O767" s="23" t="n">
        <x:v>52.253744514198715</x:v>
      </x:c>
      <x:c r="P767" s="23" t="n">
        <x:v>1450.103728857357</x:v>
      </x:c>
      <x:c r="Q767" s="23" t="n">
        <x:v>1.1869552387782727</x:v>
      </x:c>
      <x:c r="R767" s="23" t="n">
        <x:v>52.82807330268639</x:v>
      </x:c>
      <x:c r="S767" s="23" t="n">
        <x:v>1449.4692535481292</x:v>
      </x:c>
      <x:c r="T767" s="23" t="n">
        <x:v>-0.002285670345732349</x:v>
      </x:c>
      <x:c r="U767" s="23" t="n">
        <x:v>0.5743287884876764</x:v>
      </x:c>
      <x:c r="V767" s="23" t="n">
        <x:v>-0.6344753092278097</x:v>
      </x:c>
    </x:row>
    <x:row r="768">
      <x:c r="A768" s="23" t="n">
        <x:v>767</x:v>
      </x:c>
      <x:c r="B768" s="23" t="str">
        <x:v>Train</x:v>
      </x:c>
      <x:c r="C768" s="23" t="str">
        <x:v>Lightning</x:v>
      </x:c>
      <x:c r="D768" s="23" t="n">
        <x:v>1448.1206938857213</x:v>
      </x:c>
      <x:c r="E768" s="23" t="n">
        <x:v>744.734746508766</x:v>
      </x:c>
      <x:c r="F768" s="23" t="n">
        <x:v>385.30872985720634</x:v>
      </x:c>
      <x:c r="G768" s="23" t="n">
        <x:v>303.74547220533714</x:v>
      </x:c>
      <x:c r="H768" s="23" t="n">
        <x:v>29.220283216796815</x:v>
      </x:c>
      <x:c r="I768" s="23" t="n">
        <x:v>0.8380929722054862</x:v>
      </x:c>
      <x:c r="J768" s="23" t="n">
        <x:v>9</x:v>
      </x:c>
      <x:c r="K768" s="23" t="n">
        <x:v>191.98621711051072</x:v>
      </x:c>
      <x:c r="L768" s="23" t="n">
        <x:v>50</x:v>
      </x:c>
      <x:c r="M768" s="23" t="n">
        <x:v>25</x:v>
      </x:c>
      <x:c r="N768" s="23" t="n">
        <x:v>1.2054448510025748</x:v>
      </x:c>
      <x:c r="O768" s="23" t="n">
        <x:v>52.198563541805974</x:v>
      </x:c>
      <x:c r="P768" s="23" t="n">
        <x:v>1448.1206938857213</x:v>
      </x:c>
      <x:c r="Q768" s="23" t="n">
        <x:v>1.1974970661584592</x:v>
      </x:c>
      <x:c r="R768" s="23" t="n">
        <x:v>52.379577016220274</x:v>
      </x:c>
      <x:c r="S768" s="23" t="n">
        <x:v>1432.011730229153</x:v>
      </x:c>
      <x:c r="T768" s="23" t="n">
        <x:v>-0.007947784844115624</x:v>
      </x:c>
      <x:c r="U768" s="23" t="n">
        <x:v>0.18101347441429994</x:v>
      </x:c>
      <x:c r="V768" s="23" t="n">
        <x:v>-16.10896365656822</x:v>
      </x:c>
    </x:row>
    <x:row r="769">
      <x:c r="A769" s="23" t="n">
        <x:v>768</x:v>
      </x:c>
      <x:c r="B769" s="23" t="str">
        <x:v>Train</x:v>
      </x:c>
      <x:c r="C769" s="23" t="str">
        <x:v>Lightning</x:v>
      </x:c>
      <x:c r="D769" s="23" t="n">
        <x:v>1468.71094572125</x:v>
      </x:c>
      <x:c r="E769" s="23" t="n">
        <x:v>1130.126391723752</x:v>
      </x:c>
      <x:c r="F769" s="23" t="n">
        <x:v>741.1557911895216</x:v>
      </x:c>
      <x:c r="G769" s="23" t="n">
        <x:v>259.8480796860531</x:v>
      </x:c>
      <x:c r="H769" s="23" t="n">
        <x:v>24.179365025367588</x:v>
      </x:c>
      <x:c r="I769" s="23" t="n">
        <x:v>0.8369710989575834</x:v>
      </x:c>
      <x:c r="J769" s="23" t="n">
        <x:v>9</x:v>
      </x:c>
      <x:c r="K769" s="23" t="n">
        <x:v>194.9769893887449</x:v>
      </x:c>
      <x:c r="L769" s="23" t="n">
        <x:v>30</x:v>
      </x:c>
      <x:c r="M769" s="23" t="n">
        <x:v>25</x:v>
      </x:c>
      <x:c r="N769" s="23" t="n">
        <x:v>1.1325439038668075</x:v>
      </x:c>
      <x:c r="O769" s="23" t="n">
        <x:v>52.307296486195796</x:v>
      </x:c>
      <x:c r="P769" s="23" t="n">
        <x:v>1468.71094572125</x:v>
      </x:c>
      <x:c r="Q769" s="23" t="n">
        <x:v>1.1429916421684474</x:v>
      </x:c>
      <x:c r="R769" s="23" t="n">
        <x:v>52.561826859173024</x:v>
      </x:c>
      <x:c r="S769" s="23" t="n">
        <x:v>1439.2275026502662</x:v>
      </x:c>
      <x:c r="T769" s="23" t="n">
        <x:v>0.01044773830163992</x:v>
      </x:c>
      <x:c r="U769" s="23" t="n">
        <x:v>0.2545303729772286</x:v>
      </x:c>
      <x:c r="V769" s="23" t="n">
        <x:v>-29.483443070983867</x:v>
      </x:c>
    </x:row>
    <x:row r="770">
      <x:c r="A770" s="23" t="n">
        <x:v>769</x:v>
      </x:c>
      <x:c r="B770" s="23" t="str">
        <x:v>Train</x:v>
      </x:c>
      <x:c r="C770" s="23" t="str">
        <x:v>Lightning</x:v>
      </x:c>
      <x:c r="D770" s="23" t="n">
        <x:v>1495.890263747424</x:v>
      </x:c>
      <x:c r="E770" s="23" t="n">
        <x:v>715.5889655812643</x:v>
      </x:c>
      <x:c r="F770" s="23" t="n">
        <x:v>489.30974546819925</x:v>
      </x:c>
      <x:c r="G770" s="23" t="n">
        <x:v>235.31415218720213</x:v>
      </x:c>
      <x:c r="H770" s="23" t="n">
        <x:v>16.640402832999825</x:v>
      </x:c>
      <x:c r="I770" s="23" t="n">
        <x:v>0.795469845936168</x:v>
      </x:c>
      <x:c r="J770" s="23" t="n">
        <x:v>10</x:v>
      </x:c>
      <x:c r="K770" s="23" t="n">
        <x:v>188.05115887038423</x:v>
      </x:c>
      <x:c r="L770" s="23" t="n">
        <x:v>45</x:v>
      </x:c>
      <x:c r="M770" s="23" t="n">
        <x:v>25</x:v>
      </x:c>
      <x:c r="N770" s="23" t="n">
        <x:v>1.1569405849226861</x:v>
      </x:c>
      <x:c r="O770" s="23" t="n">
        <x:v>52.224516878555754</x:v>
      </x:c>
      <x:c r="P770" s="23" t="n">
        <x:v>1495.890263747424</x:v>
      </x:c>
      <x:c r="Q770" s="23" t="n">
        <x:v>1.1503582776398888</x:v>
      </x:c>
      <x:c r="R770" s="23" t="n">
        <x:v>52.11531164684901</x:v>
      </x:c>
      <x:c r="S770" s="23" t="n">
        <x:v>1502.5644590797997</x:v>
      </x:c>
      <x:c r="T770" s="23" t="n">
        <x:v>-0.006582307282797295</x:v>
      </x:c>
      <x:c r="U770" s="23" t="n">
        <x:v>-0.10920523170674556</x:v>
      </x:c>
      <x:c r="V770" s="23" t="n">
        <x:v>6.6741953323758025</x:v>
      </x:c>
    </x:row>
    <x:row r="771">
      <x:c r="A771" s="23" t="n">
        <x:v>770</x:v>
      </x:c>
      <x:c r="B771" s="23" t="str">
        <x:v>Train</x:v>
      </x:c>
      <x:c r="C771" s="23" t="str">
        <x:v>Lightning</x:v>
      </x:c>
      <x:c r="D771" s="23" t="n">
        <x:v>1363.1227170699276</x:v>
      </x:c>
      <x:c r="E771" s="23" t="n">
        <x:v>1146.177741070278</x:v>
      </x:c>
      <x:c r="F771" s="23" t="n">
        <x:v>508.70719188824296</x:v>
      </x:c>
      <x:c r="G771" s="23" t="n">
        <x:v>194.37810421921313</x:v>
      </x:c>
      <x:c r="H771" s="23" t="n">
        <x:v>10.018938146997243</x:v>
      </x:c>
      <x:c r="I771" s="23" t="n">
        <x:v>0.828858355418779</x:v>
      </x:c>
      <x:c r="J771" s="23" t="n">
        <x:v>9</x:v>
      </x:c>
      <x:c r="K771" s="23" t="n">
        <x:v>182.7309560002113</x:v>
      </x:c>
      <x:c r="L771" s="23" t="n">
        <x:v>40</x:v>
      </x:c>
      <x:c r="M771" s="23" t="n">
        <x:v>25</x:v>
      </x:c>
      <x:c r="N771" s="23" t="n">
        <x:v>1.1684294507272186</x:v>
      </x:c>
      <x:c r="O771" s="23" t="n">
        <x:v>52.26334633907194</x:v>
      </x:c>
      <x:c r="P771" s="23" t="n">
        <x:v>1363.1227170699276</x:v>
      </x:c>
      <x:c r="Q771" s="23" t="n">
        <x:v>1.1754011908121758</x:v>
      </x:c>
      <x:c r="R771" s="23" t="n">
        <x:v>53.586332672082186</x:v>
      </x:c>
      <x:c r="S771" s="23" t="n">
        <x:v>1362.04971831014</x:v>
      </x:c>
      <x:c r="T771" s="23" t="n">
        <x:v>0.0069717400849571565</x:v>
      </x:c>
      <x:c r="U771" s="23" t="n">
        <x:v>1.322986333010249</x:v>
      </x:c>
      <x:c r="V771" s="23" t="n">
        <x:v>-1.0729987597876516</x:v>
      </x:c>
    </x:row>
    <x:row r="772">
      <x:c r="A772" s="23" t="n">
        <x:v>771</x:v>
      </x:c>
      <x:c r="B772" s="23" t="str">
        <x:v>Train</x:v>
      </x:c>
      <x:c r="C772" s="23" t="str">
        <x:v>Lightning</x:v>
      </x:c>
      <x:c r="D772" s="23" t="n">
        <x:v>1418.9499113475904</x:v>
      </x:c>
      <x:c r="E772" s="23" t="n">
        <x:v>1191.9161898666061</x:v>
      </x:c>
      <x:c r="F772" s="23" t="n">
        <x:v>657.3119353502989</x:v>
      </x:c>
      <x:c r="G772" s="23" t="n">
        <x:v>138.51009086472914</x:v>
      </x:c>
      <x:c r="H772" s="23" t="n">
        <x:v>13.985197369940579</x:v>
      </x:c>
      <x:c r="I772" s="23" t="n">
        <x:v>0.8340544864605182</x:v>
      </x:c>
      <x:c r="J772" s="23" t="n">
        <x:v>9</x:v>
      </x:c>
      <x:c r="K772" s="23" t="n">
        <x:v>189.0297382487692</x:v>
      </x:c>
      <x:c r="L772" s="23" t="n">
        <x:v>35</x:v>
      </x:c>
      <x:c r="M772" s="23" t="n">
        <x:v>25</x:v>
      </x:c>
      <x:c r="N772" s="23" t="n">
        <x:v>1.1345502326119985</x:v>
      </x:c>
      <x:c r="O772" s="23" t="n">
        <x:v>52.284938081342524</x:v>
      </x:c>
      <x:c r="P772" s="23" t="n">
        <x:v>1418.9499113475904</x:v>
      </x:c>
      <x:c r="Q772" s="23" t="n">
        <x:v>1.1535325819356195</x:v>
      </x:c>
      <x:c r="R772" s="23" t="n">
        <x:v>53.61299670023524</x:v>
      </x:c>
      <x:c r="S772" s="23" t="n">
        <x:v>1416.2853861407084</x:v>
      </x:c>
      <x:c r="T772" s="23" t="n">
        <x:v>0.018982349323620973</x:v>
      </x:c>
      <x:c r="U772" s="23" t="n">
        <x:v>1.3280586188927188</x:v>
      </x:c>
      <x:c r="V772" s="23" t="n">
        <x:v>-2.66452520688199</x:v>
      </x:c>
    </x:row>
    <x:row r="773">
      <x:c r="A773" s="23" t="n">
        <x:v>772</x:v>
      </x:c>
      <x:c r="B773" s="23" t="str">
        <x:v>Train</x:v>
      </x:c>
      <x:c r="C773" s="23" t="str">
        <x:v>Lightning</x:v>
      </x:c>
      <x:c r="D773" s="23" t="n">
        <x:v>1394.1494881524704</x:v>
      </x:c>
      <x:c r="E773" s="23" t="n">
        <x:v>1086.1011427361518</x:v>
      </x:c>
      <x:c r="F773" s="23" t="n">
        <x:v>662.6505079679191</x:v>
      </x:c>
      <x:c r="G773" s="23" t="n">
        <x:v>255.75155606027693</x:v>
      </x:c>
      <x:c r="H773" s="23" t="n">
        <x:v>22.772403858136386</x:v>
      </x:c>
      <x:c r="I773" s="23" t="n">
        <x:v>0.8368537359498441</x:v>
      </x:c>
      <x:c r="J773" s="23" t="n">
        <x:v>9</x:v>
      </x:c>
      <x:c r="K773" s="23" t="n">
        <x:v>185.10462704427948</x:v>
      </x:c>
      <x:c r="L773" s="23" t="n">
        <x:v>35</x:v>
      </x:c>
      <x:c r="M773" s="23" t="n">
        <x:v>25</x:v>
      </x:c>
      <x:c r="N773" s="23" t="n">
        <x:v>1.1958969303302818</x:v>
      </x:c>
      <x:c r="O773" s="23" t="n">
        <x:v>52.28755216251473</x:v>
      </x:c>
      <x:c r="P773" s="23" t="n">
        <x:v>1394.1494881524704</x:v>
      </x:c>
      <x:c r="Q773" s="23" t="n">
        <x:v>1.2110407185680097</x:v>
      </x:c>
      <x:c r="R773" s="23" t="n">
        <x:v>52.0512978204515</x:v>
      </x:c>
      <x:c r="S773" s="23" t="n">
        <x:v>1370.7096847592632</x:v>
      </x:c>
      <x:c r="T773" s="23" t="n">
        <x:v>0.015143788237727884</x:v>
      </x:c>
      <x:c r="U773" s="23" t="n">
        <x:v>-0.23625434206322637</x:v>
      </x:c>
      <x:c r="V773" s="23" t="n">
        <x:v>-23.439803393207285</x:v>
      </x:c>
    </x:row>
    <x:row r="774">
      <x:c r="A774" s="23" t="n">
        <x:v>773</x:v>
      </x:c>
      <x:c r="B774" s="23" t="str">
        <x:v>Train</x:v>
      </x:c>
      <x:c r="C774" s="23" t="str">
        <x:v>Lightning</x:v>
      </x:c>
      <x:c r="D774" s="23" t="n">
        <x:v>1496.0428128484637</x:v>
      </x:c>
      <x:c r="E774" s="23" t="n">
        <x:v>1243.356067861896</x:v>
      </x:c>
      <x:c r="F774" s="23" t="n">
        <x:v>511.4166183397174</x:v>
      </x:c>
      <x:c r="G774" s="23" t="n">
        <x:v>136.91819201456383</x:v>
      </x:c>
      <x:c r="H774" s="23" t="n">
        <x:v>13.507043085992336</x:v>
      </x:c>
      <x:c r="I774" s="23" t="n">
        <x:v>0.8157288398058155</x:v>
      </x:c>
      <x:c r="J774" s="23" t="n">
        <x:v>10</x:v>
      </x:c>
      <x:c r="K774" s="23" t="n">
        <x:v>183.39952443076515</x:v>
      </x:c>
      <x:c r="L774" s="23" t="n">
        <x:v>35</x:v>
      </x:c>
      <x:c r="M774" s="23" t="n">
        <x:v>25</x:v>
      </x:c>
      <x:c r="N774" s="23" t="n">
        <x:v>1.1835145631278805</x:v>
      </x:c>
      <x:c r="O774" s="23" t="n">
        <x:v>52.30273544465095</x:v>
      </x:c>
      <x:c r="P774" s="23" t="n">
        <x:v>1496.0428128484637</x:v>
      </x:c>
      <x:c r="Q774" s="23" t="n">
        <x:v>1.1947741395223133</x:v>
      </x:c>
      <x:c r="R774" s="23" t="n">
        <x:v>53.06288387809778</x:v>
      </x:c>
      <x:c r="S774" s="23" t="n">
        <x:v>1488.2911791465958</x:v>
      </x:c>
      <x:c r="T774" s="23" t="n">
        <x:v>0.011259576394432758</x:v>
      </x:c>
      <x:c r="U774" s="23" t="n">
        <x:v>0.7601484334468296</x:v>
      </x:c>
      <x:c r="V774" s="23" t="n">
        <x:v>-7.751633701867831</x:v>
      </x:c>
    </x:row>
    <x:row r="775">
      <x:c r="A775" s="23" t="n">
        <x:v>774</x:v>
      </x:c>
      <x:c r="B775" s="23" t="str">
        <x:v>Train</x:v>
      </x:c>
      <x:c r="C775" s="23" t="str">
        <x:v>Lightning</x:v>
      </x:c>
      <x:c r="D775" s="23" t="n">
        <x:v>1411.0166951199062</x:v>
      </x:c>
      <x:c r="E775" s="23" t="n">
        <x:v>816.0368505632505</x:v>
      </x:c>
      <x:c r="F775" s="23" t="n">
        <x:v>375.9249088354409</x:v>
      </x:c>
      <x:c r="G775" s="23" t="n">
        <x:v>300.8165633492172</x:v>
      </x:c>
      <x:c r="H775" s="23" t="n">
        <x:v>29.923074705991894</x:v>
      </x:c>
      <x:c r="I775" s="23" t="n">
        <x:v>0.7935588208725677</x:v>
      </x:c>
      <x:c r="J775" s="23" t="n">
        <x:v>9</x:v>
      </x:c>
      <x:c r="K775" s="23" t="n">
        <x:v>197.56523230213944</x:v>
      </x:c>
      <x:c r="L775" s="23" t="n">
        <x:v>45</x:v>
      </x:c>
      <x:c r="M775" s="23" t="n">
        <x:v>25</x:v>
      </x:c>
      <x:c r="N775" s="23" t="n">
        <x:v>1.1536092268403233</x:v>
      </x:c>
      <x:c r="O775" s="23" t="n">
        <x:v>52.20776145997446</x:v>
      </x:c>
      <x:c r="P775" s="23" t="n">
        <x:v>1411.0166951199062</x:v>
      </x:c>
      <x:c r="Q775" s="23" t="n">
        <x:v>1.1371834490094275</x:v>
      </x:c>
      <x:c r="R775" s="23" t="n">
        <x:v>51.40830848098926</x:v>
      </x:c>
      <x:c r="S775" s="23" t="n">
        <x:v>1396.8037879525855</x:v>
      </x:c>
      <x:c r="T775" s="23" t="n">
        <x:v>-0.016425777830895827</x:v>
      </x:c>
      <x:c r="U775" s="23" t="n">
        <x:v>-0.799452978985201</x:v>
      </x:c>
      <x:c r="V775" s="23" t="n">
        <x:v>-14.212907167320736</x:v>
      </x:c>
    </x:row>
    <x:row r="776">
      <x:c r="A776" s="23" t="n">
        <x:v>775</x:v>
      </x:c>
      <x:c r="B776" s="23" t="str">
        <x:v>Validation</x:v>
      </x:c>
      <x:c r="C776" s="23" t="str">
        <x:v>Lightning</x:v>
      </x:c>
      <x:c r="D776" s="23" t="n">
        <x:v>1462.7559854881838</x:v>
      </x:c>
      <x:c r="E776" s="23" t="n">
        <x:v>999.3379652616568</x:v>
      </x:c>
      <x:c r="F776" s="23" t="n">
        <x:v>737.7362102270126</x:v>
      </x:c>
      <x:c r="G776" s="23" t="n">
        <x:v>273.5970670892857</x:v>
      </x:c>
      <x:c r="H776" s="23" t="n">
        <x:v>27.10601321142167</x:v>
      </x:c>
      <x:c r="I776" s="23" t="n">
        <x:v>0.827654390630778</x:v>
      </x:c>
      <x:c r="J776" s="23" t="n">
        <x:v>9</x:v>
      </x:c>
      <x:c r="K776" s="23" t="n">
        <x:v>196.3723562296976</x:v>
      </x:c>
      <x:c r="L776" s="23" t="n">
        <x:v>35</x:v>
      </x:c>
      <x:c r="M776" s="23" t="n">
        <x:v>25</x:v>
      </x:c>
      <x:c r="N776" s="23" t="n">
        <x:v>1.2242363468989015</x:v>
      </x:c>
      <x:c r="O776" s="23" t="n">
        <x:v>52.28851391349897</x:v>
      </x:c>
      <x:c r="P776" s="23" t="n">
        <x:v>1462.7559854881838</x:v>
      </x:c>
      <x:c r="Q776" s="23" t="n">
        <x:v>1.2228766604997203</x:v>
      </x:c>
      <x:c r="R776" s="23" t="n">
        <x:v>53.332636392878</x:v>
      </x:c>
      <x:c r="S776" s="23" t="n">
        <x:v>1447.8295928415446</x:v>
      </x:c>
      <x:c r="T776" s="23" t="n">
        <x:v>-0.0013596863991811592</x:v>
      </x:c>
      <x:c r="U776" s="23" t="n">
        <x:v>1.044122479379034</x:v>
      </x:c>
      <x:c r="V776" s="23" t="n">
        <x:v>-14.926392646639215</x:v>
      </x:c>
    </x:row>
    <x:row r="777">
      <x:c r="A777" s="23" t="n">
        <x:v>776</x:v>
      </x:c>
      <x:c r="B777" s="23" t="str">
        <x:v>Validation</x:v>
      </x:c>
      <x:c r="C777" s="23" t="str">
        <x:v>Lightning</x:v>
      </x:c>
      <x:c r="D777" s="23" t="n">
        <x:v>1385.9998320112936</x:v>
      </x:c>
      <x:c r="E777" s="23" t="n">
        <x:v>841.7514425702393</x:v>
      </x:c>
      <x:c r="F777" s="23" t="n">
        <x:v>425.93132918700576</x:v>
      </x:c>
      <x:c r="G777" s="23" t="n">
        <x:v>136.33886868599802</x:v>
      </x:c>
      <x:c r="H777" s="23" t="n">
        <x:v>9.268656758125871</x:v>
      </x:c>
      <x:c r="I777" s="23" t="n">
        <x:v>0.7966303200367838</x:v>
      </x:c>
      <x:c r="J777" s="23" t="n">
        <x:v>9</x:v>
      </x:c>
      <x:c r="K777" s="23" t="n">
        <x:v>193.31423555091067</x:v>
      </x:c>
      <x:c r="L777" s="23" t="n">
        <x:v>55</x:v>
      </x:c>
      <x:c r="M777" s="23" t="n">
        <x:v>25</x:v>
      </x:c>
      <x:c r="N777" s="23" t="n">
        <x:v>1.199085092137386</x:v>
      </x:c>
      <x:c r="O777" s="23" t="n">
        <x:v>52.19392207428611</x:v>
      </x:c>
      <x:c r="P777" s="23" t="n">
        <x:v>1385.9998320112936</x:v>
      </x:c>
      <x:c r="Q777" s="23" t="n">
        <x:v>1.1912369938486822</x:v>
      </x:c>
      <x:c r="R777" s="23" t="n">
        <x:v>52.51195017227817</x:v>
      </x:c>
      <x:c r="S777" s="23" t="n">
        <x:v>1392.5399699177046</x:v>
      </x:c>
      <x:c r="T777" s="23" t="n">
        <x:v>-0.007848098288703698</x:v>
      </x:c>
      <x:c r="U777" s="23" t="n">
        <x:v>0.31802809799206244</x:v>
      </x:c>
      <x:c r="V777" s="23" t="n">
        <x:v>6.540137906411019</x:v>
      </x:c>
    </x:row>
    <x:row r="778">
      <x:c r="A778" s="23" t="n">
        <x:v>777</x:v>
      </x:c>
      <x:c r="B778" s="23" t="str">
        <x:v>Validation</x:v>
      </x:c>
      <x:c r="C778" s="23" t="str">
        <x:v>Lightning</x:v>
      </x:c>
      <x:c r="D778" s="23" t="n">
        <x:v>1381.1456652358174</x:v>
      </x:c>
      <x:c r="E778" s="23" t="n">
        <x:v>919.95966139948</x:v>
      </x:c>
      <x:c r="F778" s="23" t="n">
        <x:v>509.2831702902913</x:v>
      </x:c>
      <x:c r="G778" s="23" t="n">
        <x:v>150.90914767468348</x:v>
      </x:c>
      <x:c r="H778" s="23" t="n">
        <x:v>17.508417224511504</x:v>
      </x:c>
      <x:c r="I778" s="23" t="n">
        <x:v>0.8070994899538346</x:v>
      </x:c>
      <x:c r="J778" s="23" t="n">
        <x:v>9</x:v>
      </x:c>
      <x:c r="K778" s="23" t="n">
        <x:v>190.13842950071023</x:v>
      </x:c>
      <x:c r="L778" s="23" t="n">
        <x:v>45</x:v>
      </x:c>
      <x:c r="M778" s="23" t="n">
        <x:v>25</x:v>
      </x:c>
      <x:c r="N778" s="23" t="n">
        <x:v>1.1554610257470335</x:v>
      </x:c>
      <x:c r="O778" s="23" t="n">
        <x:v>52.2213851973824</x:v>
      </x:c>
      <x:c r="P778" s="23" t="n">
        <x:v>1381.1456652358174</x:v>
      </x:c>
      <x:c r="Q778" s="23" t="n">
        <x:v>1.1634379852095689</x:v>
      </x:c>
      <x:c r="R778" s="23" t="n">
        <x:v>52.009014751321665</x:v>
      </x:c>
      <x:c r="S778" s="23" t="n">
        <x:v>1392.7207779099783</x:v>
      </x:c>
      <x:c r="T778" s="23" t="n">
        <x:v>0.007976959462535405</x:v>
      </x:c>
      <x:c r="U778" s="23" t="n">
        <x:v>-0.21237044606073852</x:v>
      </x:c>
      <x:c r="V778" s="23" t="n">
        <x:v>11.575112674160891</x:v>
      </x:c>
    </x:row>
    <x:row r="779">
      <x:c r="A779" s="23" t="n">
        <x:v>778</x:v>
      </x:c>
      <x:c r="B779" s="23" t="str">
        <x:v>Hidden Test</x:v>
      </x:c>
      <x:c r="C779" s="23" t="str">
        <x:v>Lightning</x:v>
      </x:c>
      <x:c r="D779" s="23" t="n">
        <x:v>1355.6352928862907</x:v>
      </x:c>
      <x:c r="E779" s="23" t="n">
        <x:v>692.3075787955895</x:v>
      </x:c>
      <x:c r="F779" s="23" t="n">
        <x:v>427.56240675225854</x:v>
      </x:c>
      <x:c r="G779" s="23" t="n">
        <x:v>242.20405767671764</x:v>
      </x:c>
      <x:c r="H779" s="23" t="n">
        <x:v>9.594677184242755</x:v>
      </x:c>
      <x:c r="I779" s="23" t="n">
        <x:v>0.8511978088738397</x:v>
      </x:c>
      <x:c r="J779" s="23" t="n">
        <x:v>8</x:v>
      </x:c>
      <x:c r="K779" s="23" t="n">
        <x:v>199.07759376751642</x:v>
      </x:c>
      <x:c r="L779" s="23" t="n">
        <x:v>65</x:v>
      </x:c>
      <x:c r="M779" s="23" t="n">
        <x:v>25</x:v>
      </x:c>
      <x:c r="N779" s="23" t="n">
        <x:v>1.22073469068071</x:v>
      </x:c>
      <x:c r="O779" s="23" t="n">
        <x:v>52.163783462390924</x:v>
      </x:c>
      <x:c r="P779" s="23" t="n">
        <x:v>1355.6352928862907</x:v>
      </x:c>
      <x:c r="Q779" s="23" t="n">
        <x:v>1.2223895657014965</x:v>
      </x:c>
      <x:c r="R779" s="23" t="n">
        <x:v>52.37183596516374</x:v>
      </x:c>
      <x:c r="S779" s="23" t="n">
        <x:v>1373.6252484299077</x:v>
      </x:c>
      <x:c r="T779" s="23" t="n">
        <x:v>0.0016548750207865393</x:v>
      </x:c>
      <x:c r="U779" s="23" t="n">
        <x:v>0.20805250277281573</x:v>
      </x:c>
      <x:c r="V779" s="23" t="n">
        <x:v>17.989955543617043</x:v>
      </x:c>
    </x:row>
    <x:row r="780">
      <x:c r="A780" s="23" t="n">
        <x:v>779</x:v>
      </x:c>
      <x:c r="B780" s="23" t="str">
        <x:v>Hidden Test</x:v>
      </x:c>
      <x:c r="C780" s="23" t="str">
        <x:v>Lightning</x:v>
      </x:c>
      <x:c r="D780" s="23" t="n">
        <x:v>1499.5108472881839</x:v>
      </x:c>
      <x:c r="E780" s="23" t="n">
        <x:v>723.4677607775666</x:v>
      </x:c>
      <x:c r="F780" s="23" t="n">
        <x:v>521.047668531537</x:v>
      </x:c>
      <x:c r="G780" s="23" t="n">
        <x:v>89.30602865992114</x:v>
      </x:c>
      <x:c r="H780" s="23" t="n">
        <x:v>23.52074906323105</x:v>
      </x:c>
      <x:c r="I780" s="23" t="n">
        <x:v>0.8346344502153806</x:v>
      </x:c>
      <x:c r="J780" s="23" t="n">
        <x:v>9</x:v>
      </x:c>
      <x:c r="K780" s="23" t="n">
        <x:v>199.62310005578948</x:v>
      </x:c>
      <x:c r="L780" s="23" t="n">
        <x:v>55</x:v>
      </x:c>
      <x:c r="M780" s="23" t="n">
        <x:v>25</x:v>
      </x:c>
      <x:c r="N780" s="23" t="n">
        <x:v>1.1976941465595194</x:v>
      </x:c>
      <x:c r="O780" s="23" t="n">
        <x:v>52.18297611083382</x:v>
      </x:c>
      <x:c r="P780" s="23" t="n">
        <x:v>1499.5108472881839</x:v>
      </x:c>
      <x:c r="Q780" s="23" t="n">
        <x:v>1.1904371267033933</x:v>
      </x:c>
      <x:c r="R780" s="23" t="n">
        <x:v>51.323020191838296</x:v>
      </x:c>
      <x:c r="S780" s="23" t="n">
        <x:v>1500.7548812355587</x:v>
      </x:c>
      <x:c r="T780" s="23" t="n">
        <x:v>-0.007257019856126146</x:v>
      </x:c>
      <x:c r="U780" s="23" t="n">
        <x:v>-0.8599559189955244</x:v>
      </x:c>
      <x:c r="V780" s="23" t="n">
        <x:v>1.2440339473748736</x:v>
      </x:c>
    </x:row>
    <x:row r="781">
      <x:c r="A781" s="23" t="n">
        <x:v>780</x:v>
      </x:c>
      <x:c r="B781" s="23" t="str">
        <x:v>Hidden Test</x:v>
      </x:c>
      <x:c r="C781" s="23" t="str">
        <x:v>Lightning</x:v>
      </x:c>
      <x:c r="D781" s="23" t="n">
        <x:v>1446.8211980885826</x:v>
      </x:c>
      <x:c r="E781" s="23" t="n">
        <x:v>1207.353906845674</x:v>
      </x:c>
      <x:c r="F781" s="23" t="n">
        <x:v>667.0686016790569</x:v>
      </x:c>
      <x:c r="G781" s="23" t="n">
        <x:v>272.89813830982894</x:v>
      </x:c>
      <x:c r="H781" s="23" t="n">
        <x:v>15.2764701875858</x:v>
      </x:c>
      <x:c r="I781" s="23" t="n">
        <x:v>0.8336942757293583</x:v>
      </x:c>
      <x:c r="J781" s="23" t="n">
        <x:v>9</x:v>
      </x:c>
      <x:c r="K781" s="23" t="n">
        <x:v>192.8259741955073</x:v>
      </x:c>
      <x:c r="L781" s="23" t="n">
        <x:v>35</x:v>
      </x:c>
      <x:c r="M781" s="23" t="n">
        <x:v>25</x:v>
      </x:c>
      <x:c r="N781" s="23" t="n">
        <x:v>1.226664486847658</x:v>
      </x:c>
      <x:c r="O781" s="23" t="n">
        <x:v>52.309820971857675</x:v>
      </x:c>
      <x:c r="P781" s="23" t="n">
        <x:v>1446.8211980885826</x:v>
      </x:c>
      <x:c r="Q781" s="23" t="n">
        <x:v>1.2367387001106105</x:v>
      </x:c>
      <x:c r="R781" s="23" t="n">
        <x:v>53.40856534028664</x:v>
      </x:c>
      <x:c r="S781" s="23" t="n">
        <x:v>1430.4992387607726</x:v>
      </x:c>
      <x:c r="T781" s="23" t="n">
        <x:v>0.010074213262952547</x:v>
      </x:c>
      <x:c r="U781" s="23" t="n">
        <x:v>1.0987443684289673</x:v>
      </x:c>
      <x:c r="V781" s="23" t="n">
        <x:v>-16.321959327809964</x:v>
      </x:c>
    </x:row>
    <x:row r="782">
      <x:c r="A782" s="23" t="n">
        <x:v>781</x:v>
      </x:c>
      <x:c r="B782" s="23" t="str">
        <x:v>Train</x:v>
      </x:c>
      <x:c r="C782" s="23" t="str">
        <x:v>Lightning</x:v>
      </x:c>
      <x:c r="D782" s="23" t="n">
        <x:v>1389.7356437053531</x:v>
      </x:c>
      <x:c r="E782" s="23" t="n">
        <x:v>633.578345074784</x:v>
      </x:c>
      <x:c r="F782" s="23" t="n">
        <x:v>718.1721767410636</x:v>
      </x:c>
      <x:c r="G782" s="23" t="n">
        <x:v>259.32319251121953</x:v>
      </x:c>
      <x:c r="H782" s="23" t="n">
        <x:v>29.650792319327593</x:v>
      </x:c>
      <x:c r="I782" s="23" t="n">
        <x:v>0.7972508041583933</x:v>
      </x:c>
      <x:c r="J782" s="23" t="n">
        <x:v>9</x:v>
      </x:c>
      <x:c r="K782" s="23" t="n">
        <x:v>193.68443495748258</x:v>
      </x:c>
      <x:c r="L782" s="23" t="n">
        <x:v>45</x:v>
      </x:c>
      <x:c r="M782" s="23" t="n">
        <x:v>25</x:v>
      </x:c>
      <x:c r="N782" s="23" t="n">
        <x:v>1.2330442657687704</x:v>
      </x:c>
      <x:c r="O782" s="23" t="n">
        <x:v>52.22620666890645</x:v>
      </x:c>
      <x:c r="P782" s="23" t="n">
        <x:v>1389.7356437053531</x:v>
      </x:c>
      <x:c r="Q782" s="23" t="n">
        <x:v>1.229742085527986</x:v>
      </x:c>
      <x:c r="R782" s="23" t="n">
        <x:v>51.59070611222157</x:v>
      </x:c>
      <x:c r="S782" s="23" t="n">
        <x:v>1371.480720310989</x:v>
      </x:c>
      <x:c r="T782" s="23" t="n">
        <x:v>-0.003302180240784436</x:v>
      </x:c>
      <x:c r="U782" s="23" t="n">
        <x:v>-0.6355005566848817</x:v>
      </x:c>
      <x:c r="V782" s="23" t="n">
        <x:v>-18.25492339436414</x:v>
      </x:c>
    </x:row>
    <x:row r="783">
      <x:c r="A783" s="23" t="n">
        <x:v>782</x:v>
      </x:c>
      <x:c r="B783" s="23" t="str">
        <x:v>Train</x:v>
      </x:c>
      <x:c r="C783" s="23" t="str">
        <x:v>Lightning</x:v>
      </x:c>
      <x:c r="D783" s="23" t="n">
        <x:v>1419.3938979995437</x:v>
      </x:c>
      <x:c r="E783" s="23" t="n">
        <x:v>1091.7375077260658</x:v>
      </x:c>
      <x:c r="F783" s="23" t="n">
        <x:v>521.379638183862</x:v>
      </x:c>
      <x:c r="G783" s="23" t="n">
        <x:v>196.6719887405634</x:v>
      </x:c>
      <x:c r="H783" s="23" t="n">
        <x:v>8.094633395317942</x:v>
      </x:c>
      <x:c r="I783" s="23" t="n">
        <x:v>0.8054185722721741</x:v>
      </x:c>
      <x:c r="J783" s="23" t="n">
        <x:v>9</x:v>
      </x:c>
      <x:c r="K783" s="23" t="n">
        <x:v>195.81176613067413</x:v>
      </x:c>
      <x:c r="L783" s="23" t="n">
        <x:v>45</x:v>
      </x:c>
      <x:c r="M783" s="23" t="n">
        <x:v>25</x:v>
      </x:c>
      <x:c r="N783" s="23" t="n">
        <x:v>1.2650854085631267</x:v>
      </x:c>
      <x:c r="O783" s="23" t="n">
        <x:v>52.25719137082038</x:v>
      </x:c>
      <x:c r="P783" s="23" t="n">
        <x:v>1419.3938979995437</x:v>
      </x:c>
      <x:c r="Q783" s="23" t="n">
        <x:v>1.272797270755772</x:v>
      </x:c>
      <x:c r="R783" s="23" t="n">
        <x:v>52.33208386235415</x:v>
      </x:c>
      <x:c r="S783" s="23" t="n">
        <x:v>1421.1966971733161</x:v>
      </x:c>
      <x:c r="T783" s="23" t="n">
        <x:v>0.007711862192645302</x:v>
      </x:c>
      <x:c r="U783" s="23" t="n">
        <x:v>0.07489249153377386</x:v>
      </x:c>
      <x:c r="V783" s="23" t="n">
        <x:v>1.8027991737724278</x:v>
      </x:c>
    </x:row>
    <x:row r="784">
      <x:c r="A784" s="23" t="n">
        <x:v>783</x:v>
      </x:c>
      <x:c r="B784" s="23" t="str">
        <x:v>Train</x:v>
      </x:c>
      <x:c r="C784" s="23" t="str">
        <x:v>Lightning</x:v>
      </x:c>
      <x:c r="D784" s="23" t="n">
        <x:v>1478.087909356691</x:v>
      </x:c>
      <x:c r="E784" s="23" t="n">
        <x:v>871.8392816488631</x:v>
      </x:c>
      <x:c r="F784" s="23" t="n">
        <x:v>493.83431151509285</x:v>
      </x:c>
      <x:c r="G784" s="23" t="n">
        <x:v>268.62615566467866</x:v>
      </x:c>
      <x:c r="H784" s="23" t="n">
        <x:v>8.948177336715162</x:v>
      </x:c>
      <x:c r="I784" s="23" t="n">
        <x:v>0.8284201083867812</x:v>
      </x:c>
      <x:c r="J784" s="23" t="n">
        <x:v>9</x:v>
      </x:c>
      <x:c r="K784" s="23" t="n">
        <x:v>198.24722778438755</x:v>
      </x:c>
      <x:c r="L784" s="23" t="n">
        <x:v>45</x:v>
      </x:c>
      <x:c r="M784" s="23" t="n">
        <x:v>25</x:v>
      </x:c>
      <x:c r="N784" s="23" t="n">
        <x:v>1.1505563540920951</x:v>
      </x:c>
      <x:c r="O784" s="23" t="n">
        <x:v>52.2298281883361</x:v>
      </x:c>
      <x:c r="P784" s="23" t="n">
        <x:v>1478.087909356691</x:v>
      </x:c>
      <x:c r="Q784" s="23" t="n">
        <x:v>1.1511463179609034</x:v>
      </x:c>
      <x:c r="R784" s="23" t="n">
        <x:v>52.61639317619645</x:v>
      </x:c>
      <x:c r="S784" s="23" t="n">
        <x:v>1489.9807118224712</x:v>
      </x:c>
      <x:c r="T784" s="23" t="n">
        <x:v>0.0005899638688082742</x:v>
      </x:c>
      <x:c r="U784" s="23" t="n">
        <x:v>0.3865649878603534</x:v>
      </x:c>
      <x:c r="V784" s="23" t="n">
        <x:v>11.892802465780278</x:v>
      </x:c>
    </x:row>
    <x:row r="785">
      <x:c r="A785" s="23" t="n">
        <x:v>784</x:v>
      </x:c>
      <x:c r="B785" s="23" t="str">
        <x:v>Train</x:v>
      </x:c>
      <x:c r="C785" s="23" t="str">
        <x:v>Lightning</x:v>
      </x:c>
      <x:c r="D785" s="23" t="n">
        <x:v>1394.021707016509</x:v>
      </x:c>
      <x:c r="E785" s="23" t="n">
        <x:v>1108.2213526591659</x:v>
      </x:c>
      <x:c r="F785" s="23" t="n">
        <x:v>504.1410340927541</x:v>
      </x:c>
      <x:c r="G785" s="23" t="n">
        <x:v>142.000269186683</x:v>
      </x:c>
      <x:c r="H785" s="23" t="n">
        <x:v>13.023476192262024</x:v>
      </x:c>
      <x:c r="I785" s="23" t="n">
        <x:v>0.8310531556513161</x:v>
      </x:c>
      <x:c r="J785" s="23" t="n">
        <x:v>9</x:v>
      </x:c>
      <x:c r="K785" s="23" t="n">
        <x:v>186.37953508307191</x:v>
      </x:c>
      <x:c r="L785" s="23" t="n">
        <x:v>45</x:v>
      </x:c>
      <x:c r="M785" s="23" t="n">
        <x:v>25</x:v>
      </x:c>
      <x:c r="N785" s="23" t="n">
        <x:v>1.2518919515825375</x:v>
      </x:c>
      <x:c r="O785" s="23" t="n">
        <x:v>52.24854899712723</x:v>
      </x:c>
      <x:c r="P785" s="23" t="n">
        <x:v>1394.021707016509</x:v>
      </x:c>
      <x:c r="Q785" s="23" t="n">
        <x:v>1.2555492214673725</x:v>
      </x:c>
      <x:c r="R785" s="23" t="n">
        <x:v>53.77125454465913</x:v>
      </x:c>
      <x:c r="S785" s="23" t="n">
        <x:v>1392.081312050111</x:v>
      </x:c>
      <x:c r="T785" s="23" t="n">
        <x:v>0.003657269884834946</x:v>
      </x:c>
      <x:c r="U785" s="23" t="n">
        <x:v>1.5227055475318991</x:v>
      </x:c>
      <x:c r="V785" s="23" t="n">
        <x:v>-1.9403949663981166</x:v>
      </x:c>
    </x:row>
    <x:row r="786">
      <x:c r="A786" s="23" t="n">
        <x:v>785</x:v>
      </x:c>
      <x:c r="B786" s="23" t="str">
        <x:v>Train</x:v>
      </x:c>
      <x:c r="C786" s="23" t="str">
        <x:v>Lightning</x:v>
      </x:c>
      <x:c r="D786" s="23" t="n">
        <x:v>1393.1252592243254</x:v>
      </x:c>
      <x:c r="E786" s="23" t="n">
        <x:v>632.5891201733612</x:v>
      </x:c>
      <x:c r="F786" s="23" t="n">
        <x:v>632.2773823514581</x:v>
      </x:c>
      <x:c r="G786" s="23" t="n">
        <x:v>238.92859367886558</x:v>
      </x:c>
      <x:c r="H786" s="23" t="n">
        <x:v>23.524107011035085</x:v>
      </x:c>
      <x:c r="I786" s="23" t="n">
        <x:v>0.839051031835843</x:v>
      </x:c>
      <x:c r="J786" s="23" t="n">
        <x:v>9</x:v>
      </x:c>
      <x:c r="K786" s="23" t="n">
        <x:v>184.4842442189546</x:v>
      </x:c>
      <x:c r="L786" s="23" t="n">
        <x:v>50</x:v>
      </x:c>
      <x:c r="M786" s="23" t="n">
        <x:v>25</x:v>
      </x:c>
      <x:c r="N786" s="23" t="n">
        <x:v>1.2344136068751437</x:v>
      </x:c>
      <x:c r="O786" s="23" t="n">
        <x:v>52.20947925037556</x:v>
      </x:c>
      <x:c r="P786" s="23" t="n">
        <x:v>1393.1252592243254</x:v>
      </x:c>
      <x:c r="Q786" s="23" t="n">
        <x:v>1.2207006081120826</x:v>
      </x:c>
      <x:c r="R786" s="23" t="n">
        <x:v>51.10788520946704</x:v>
      </x:c>
      <x:c r="S786" s="23" t="n">
        <x:v>1395.2873594636276</x:v>
      </x:c>
      <x:c r="T786" s="23" t="n">
        <x:v>-0.01371299876306109</x:v>
      </x:c>
      <x:c r="U786" s="23" t="n">
        <x:v>-1.101594040908516</x:v>
      </x:c>
      <x:c r="V786" s="23" t="n">
        <x:v>2.1621002393021627</x:v>
      </x:c>
    </x:row>
    <x:row r="787">
      <x:c r="A787" s="23" t="n">
        <x:v>786</x:v>
      </x:c>
      <x:c r="B787" s="23" t="str">
        <x:v>Train</x:v>
      </x:c>
      <x:c r="C787" s="23" t="str">
        <x:v>Lightning</x:v>
      </x:c>
      <x:c r="D787" s="23" t="n">
        <x:v>1489.8726548650302</x:v>
      </x:c>
      <x:c r="E787" s="23" t="n">
        <x:v>1103.7474447162822</x:v>
      </x:c>
      <x:c r="F787" s="23" t="n">
        <x:v>576.9911088980734</x:v>
      </x:c>
      <x:c r="G787" s="23" t="n">
        <x:v>123.72859676368535</x:v>
      </x:c>
      <x:c r="H787" s="23" t="n">
        <x:v>21.335965857375413</x:v>
      </x:c>
      <x:c r="I787" s="23" t="n">
        <x:v>0.8210616829479114</x:v>
      </x:c>
      <x:c r="J787" s="23" t="n">
        <x:v>10</x:v>
      </x:c>
      <x:c r="K787" s="23" t="n">
        <x:v>181.45684859094177</x:v>
      </x:c>
      <x:c r="L787" s="23" t="n">
        <x:v>35</x:v>
      </x:c>
      <x:c r="M787" s="23" t="n">
        <x:v>25</x:v>
      </x:c>
      <x:c r="N787" s="23" t="n">
        <x:v>1.1750946208380628</x:v>
      </x:c>
      <x:c r="O787" s="23" t="n">
        <x:v>52.28762393380299</x:v>
      </x:c>
      <x:c r="P787" s="23" t="n">
        <x:v>1489.8726548650302</x:v>
      </x:c>
      <x:c r="Q787" s="23" t="n">
        <x:v>1.1846967646717068</x:v>
      </x:c>
      <x:c r="R787" s="23" t="n">
        <x:v>53.37288006205119</x:v>
      </x:c>
      <x:c r="S787" s="23" t="n">
        <x:v>1476.1874659950445</x:v>
      </x:c>
      <x:c r="T787" s="23" t="n">
        <x:v>0.009602143833643995</x:v>
      </x:c>
      <x:c r="U787" s="23" t="n">
        <x:v>1.0852561282481972</x:v>
      </x:c>
      <x:c r="V787" s="23" t="n">
        <x:v>-13.685188869985723</x:v>
      </x:c>
    </x:row>
    <x:row r="788">
      <x:c r="A788" s="23" t="n">
        <x:v>787</x:v>
      </x:c>
      <x:c r="B788" s="23" t="str">
        <x:v>Train</x:v>
      </x:c>
      <x:c r="C788" s="23" t="str">
        <x:v>Lightning</x:v>
      </x:c>
      <x:c r="D788" s="23" t="n">
        <x:v>1488.2951469859108</x:v>
      </x:c>
      <x:c r="E788" s="23" t="n">
        <x:v>881.4366496750154</x:v>
      </x:c>
      <x:c r="F788" s="23" t="n">
        <x:v>499.38122294843197</x:v>
      </x:c>
      <x:c r="G788" s="23" t="n">
        <x:v>126.59714241279289</x:v>
      </x:c>
      <x:c r="H788" s="23" t="n">
        <x:v>22.739264962263405</x:v>
      </x:c>
      <x:c r="I788" s="23" t="n">
        <x:v>0.8161062037642114</x:v>
      </x:c>
      <x:c r="J788" s="23" t="n">
        <x:v>10</x:v>
      </x:c>
      <x:c r="K788" s="23" t="n">
        <x:v>182.36537599166536</x:v>
      </x:c>
      <x:c r="L788" s="23" t="n">
        <x:v>45</x:v>
      </x:c>
      <x:c r="M788" s="23" t="n">
        <x:v>25</x:v>
      </x:c>
      <x:c r="N788" s="23" t="n">
        <x:v>1.23380627263599</x:v>
      </x:c>
      <x:c r="O788" s="23" t="n">
        <x:v>52.236159651355024</x:v>
      </x:c>
      <x:c r="P788" s="23" t="n">
        <x:v>1488.2951469859108</x:v>
      </x:c>
      <x:c r="Q788" s="23" t="n">
        <x:v>1.2350825895188389</x:v>
      </x:c>
      <x:c r="R788" s="23" t="n">
        <x:v>51.354284518167304</x:v>
      </x:c>
      <x:c r="S788" s="23" t="n">
        <x:v>1480.5535702979398</x:v>
      </x:c>
      <x:c r="T788" s="23" t="n">
        <x:v>0.0012763168828489047</x:v>
      </x:c>
      <x:c r="U788" s="23" t="n">
        <x:v>-0.8818751331877195</x:v>
      </x:c>
      <x:c r="V788" s="23" t="n">
        <x:v>-7.741576687971019</x:v>
      </x:c>
    </x:row>
    <x:row r="789">
      <x:c r="A789" s="23" t="n">
        <x:v>788</x:v>
      </x:c>
      <x:c r="B789" s="23" t="str">
        <x:v>Train</x:v>
      </x:c>
      <x:c r="C789" s="23" t="str">
        <x:v>Lightning</x:v>
      </x:c>
      <x:c r="D789" s="23" t="n">
        <x:v>1479.8626517294906</x:v>
      </x:c>
      <x:c r="E789" s="23" t="n">
        <x:v>885.0476472172886</x:v>
      </x:c>
      <x:c r="F789" s="23" t="n">
        <x:v>527.4944859556854</x:v>
      </x:c>
      <x:c r="G789" s="23" t="n">
        <x:v>144.78911021258682</x:v>
      </x:c>
      <x:c r="H789" s="23" t="n">
        <x:v>21.437036737333983</x:v>
      </x:c>
      <x:c r="I789" s="23" t="n">
        <x:v>0.8242640653438866</x:v>
      </x:c>
      <x:c r="J789" s="23" t="n">
        <x:v>9</x:v>
      </x:c>
      <x:c r="K789" s="23" t="n">
        <x:v>199.4860511805745</x:v>
      </x:c>
      <x:c r="L789" s="23" t="n">
        <x:v>45</x:v>
      </x:c>
      <x:c r="M789" s="23" t="n">
        <x:v>25</x:v>
      </x:c>
      <x:c r="N789" s="23" t="n">
        <x:v>1.1585372311177002</x:v>
      </x:c>
      <x:c r="O789" s="23" t="n">
        <x:v>52.217826874124896</x:v>
      </x:c>
      <x:c r="P789" s="23" t="n">
        <x:v>1479.8626517294906</x:v>
      </x:c>
      <x:c r="Q789" s="23" t="n">
        <x:v>1.1673945440717786</x:v>
      </x:c>
      <x:c r="R789" s="23" t="n">
        <x:v>51.629691243300236</x:v>
      </x:c>
      <x:c r="S789" s="23" t="n">
        <x:v>1485.9491363285124</x:v>
      </x:c>
      <x:c r="T789" s="23" t="n">
        <x:v>0.008857312954078322</x:v>
      </x:c>
      <x:c r="U789" s="23" t="n">
        <x:v>-0.5881356308246595</x:v>
      </x:c>
      <x:c r="V789" s="23" t="n">
        <x:v>6.086484599021787</x:v>
      </x:c>
    </x:row>
    <x:row r="790">
      <x:c r="A790" s="23" t="n">
        <x:v>789</x:v>
      </x:c>
      <x:c r="B790" s="23" t="str">
        <x:v>Train</x:v>
      </x:c>
      <x:c r="C790" s="23" t="str">
        <x:v>Lightning</x:v>
      </x:c>
      <x:c r="D790" s="23" t="n">
        <x:v>1428.7980966735631</x:v>
      </x:c>
      <x:c r="E790" s="23" t="n">
        <x:v>978.194953862112</x:v>
      </x:c>
      <x:c r="F790" s="23" t="n">
        <x:v>663.2440088316798</x:v>
      </x:c>
      <x:c r="G790" s="23" t="n">
        <x:v>191.3923381199129</x:v>
      </x:c>
      <x:c r="H790" s="23" t="n">
        <x:v>20.37509162724018</x:v>
      </x:c>
      <x:c r="I790" s="23" t="n">
        <x:v>0.8236774052516558</x:v>
      </x:c>
      <x:c r="J790" s="23" t="n">
        <x:v>9</x:v>
      </x:c>
      <x:c r="K790" s="23" t="n">
        <x:v>192.7397098216337</x:v>
      </x:c>
      <x:c r="L790" s="23" t="n">
        <x:v>40</x:v>
      </x:c>
      <x:c r="M790" s="23" t="n">
        <x:v>25</x:v>
      </x:c>
      <x:c r="N790" s="23" t="n">
        <x:v>1.2143113421584601</x:v>
      </x:c>
      <x:c r="O790" s="23" t="n">
        <x:v>52.260784220579374</x:v>
      </x:c>
      <x:c r="P790" s="23" t="n">
        <x:v>1428.7980966735631</x:v>
      </x:c>
      <x:c r="Q790" s="23" t="n">
        <x:v>1.2273282954064741</x:v>
      </x:c>
      <x:c r="R790" s="23" t="n">
        <x:v>52.90390302706264</x:v>
      </x:c>
      <x:c r="S790" s="23" t="n">
        <x:v>1419.2185945162619</x:v>
      </x:c>
      <x:c r="T790" s="23" t="n">
        <x:v>0.013016953248013996</x:v>
      </x:c>
      <x:c r="U790" s="23" t="n">
        <x:v>0.6431188064832654</x:v>
      </x:c>
      <x:c r="V790" s="23" t="n">
        <x:v>-9.579502157301249</x:v>
      </x:c>
    </x:row>
    <x:row r="791">
      <x:c r="A791" s="23" t="n">
        <x:v>790</x:v>
      </x:c>
      <x:c r="B791" s="23" t="str">
        <x:v>Train</x:v>
      </x:c>
      <x:c r="C791" s="23" t="str">
        <x:v>Lightning</x:v>
      </x:c>
      <x:c r="D791" s="23" t="n">
        <x:v>1416.749448061455</x:v>
      </x:c>
      <x:c r="E791" s="23" t="n">
        <x:v>1078.593653975986</x:v>
      </x:c>
      <x:c r="F791" s="23" t="n">
        <x:v>568.6637294478714</x:v>
      </x:c>
      <x:c r="G791" s="23" t="n">
        <x:v>166.67900459840894</x:v>
      </x:c>
      <x:c r="H791" s="23" t="n">
        <x:v>23.76486206660047</x:v>
      </x:c>
      <x:c r="I791" s="23" t="n">
        <x:v>0.8098065113043413</x:v>
      </x:c>
      <x:c r="J791" s="23" t="n">
        <x:v>9</x:v>
      </x:c>
      <x:c r="K791" s="23" t="n">
        <x:v>194.38792247621407</x:v>
      </x:c>
      <x:c r="L791" s="23" t="n">
        <x:v>40</x:v>
      </x:c>
      <x:c r="M791" s="23" t="n">
        <x:v>25</x:v>
      </x:c>
      <x:c r="N791" s="23" t="n">
        <x:v>1.2205874544747672</x:v>
      </x:c>
      <x:c r="O791" s="23" t="n">
        <x:v>52.25783803130237</x:v>
      </x:c>
      <x:c r="P791" s="23" t="n">
        <x:v>1416.749448061455</x:v>
      </x:c>
      <x:c r="Q791" s="23" t="n">
        <x:v>1.2303804664923648</x:v>
      </x:c>
      <x:c r="R791" s="23" t="n">
        <x:v>52.122013805084215</x:v>
      </x:c>
      <x:c r="S791" s="23" t="n">
        <x:v>1396.2268621674127</x:v>
      </x:c>
      <x:c r="T791" s="23" t="n">
        <x:v>0.009793012017597524</x:v>
      </x:c>
      <x:c r="U791" s="23" t="n">
        <x:v>-0.13582422621815482</x:v>
      </x:c>
      <x:c r="V791" s="23" t="n">
        <x:v>-20.522585894042322</x:v>
      </x:c>
    </x:row>
    <x:row r="792">
      <x:c r="A792" s="23" t="n">
        <x:v>791</x:v>
      </x:c>
      <x:c r="B792" s="23" t="str">
        <x:v>Train</x:v>
      </x:c>
      <x:c r="C792" s="23" t="str">
        <x:v>Lightning</x:v>
      </x:c>
      <x:c r="D792" s="23" t="n">
        <x:v>1359.1874760808423</x:v>
      </x:c>
      <x:c r="E792" s="23" t="n">
        <x:v>682.4791932594962</x:v>
      </x:c>
      <x:c r="F792" s="23" t="n">
        <x:v>585.4488894343376</x:v>
      </x:c>
      <x:c r="G792" s="23" t="n">
        <x:v>240.69554997375235</x:v>
      </x:c>
      <x:c r="H792" s="23" t="n">
        <x:v>14.101660693995655</x:v>
      </x:c>
      <x:c r="I792" s="23" t="n">
        <x:v>0.8089641725621186</x:v>
      </x:c>
      <x:c r="J792" s="23" t="n">
        <x:v>9</x:v>
      </x:c>
      <x:c r="K792" s="23" t="n">
        <x:v>186.68420159738605</x:v>
      </x:c>
      <x:c r="L792" s="23" t="n">
        <x:v>50</x:v>
      </x:c>
      <x:c r="M792" s="23" t="n">
        <x:v>25</x:v>
      </x:c>
      <x:c r="N792" s="23" t="n">
        <x:v>1.197361074677993</x:v>
      </x:c>
      <x:c r="O792" s="23" t="n">
        <x:v>52.2102321399237</x:v>
      </x:c>
      <x:c r="P792" s="23" t="n">
        <x:v>1359.1874760808423</x:v>
      </x:c>
      <x:c r="Q792" s="23" t="n">
        <x:v>1.2103132964399734</x:v>
      </x:c>
      <x:c r="R792" s="23" t="n">
        <x:v>50.53982887615014</x:v>
      </x:c>
      <x:c r="S792" s="23" t="n">
        <x:v>1368.523166719971</x:v>
      </x:c>
      <x:c r="T792" s="23" t="n">
        <x:v>0.01295222176198041</x:v>
      </x:c>
      <x:c r="U792" s="23" t="n">
        <x:v>-1.670403263773558</x:v>
      </x:c>
      <x:c r="V792" s="23" t="n">
        <x:v>9.335690639128643</x:v>
      </x:c>
    </x:row>
    <x:row r="793">
      <x:c r="A793" s="23" t="n">
        <x:v>792</x:v>
      </x:c>
      <x:c r="B793" s="23" t="str">
        <x:v>Train</x:v>
      </x:c>
      <x:c r="C793" s="23" t="str">
        <x:v>Lightning</x:v>
      </x:c>
      <x:c r="D793" s="23" t="n">
        <x:v>1400.2811293001287</x:v>
      </x:c>
      <x:c r="E793" s="23" t="n">
        <x:v>956.0201345942914</x:v>
      </x:c>
      <x:c r="F793" s="23" t="n">
        <x:v>484.1413817368448</x:v>
      </x:c>
      <x:c r="G793" s="23" t="n">
        <x:v>191.1641941824928</x:v>
      </x:c>
      <x:c r="H793" s="23" t="n">
        <x:v>20.261797418352216</x:v>
      </x:c>
      <x:c r="I793" s="23" t="n">
        <x:v>0.8330858849454672</x:v>
      </x:c>
      <x:c r="J793" s="23" t="n">
        <x:v>9</x:v>
      </x:c>
      <x:c r="K793" s="23" t="n">
        <x:v>186.75960660963938</x:v>
      </x:c>
      <x:c r="L793" s="23" t="n">
        <x:v>45</x:v>
      </x:c>
      <x:c r="M793" s="23" t="n">
        <x:v>25</x:v>
      </x:c>
      <x:c r="N793" s="23" t="n">
        <x:v>1.2032592493657461</x:v>
      </x:c>
      <x:c r="O793" s="23" t="n">
        <x:v>52.22936446141183</x:v>
      </x:c>
      <x:c r="P793" s="23" t="n">
        <x:v>1400.2811293001287</x:v>
      </x:c>
      <x:c r="Q793" s="23" t="n">
        <x:v>1.200580568262758</x:v>
      </x:c>
      <x:c r="R793" s="23" t="n">
        <x:v>52.774315585528846</x:v>
      </x:c>
      <x:c r="S793" s="23" t="n">
        <x:v>1394.0757835402846</x:v>
      </x:c>
      <x:c r="T793" s="23" t="n">
        <x:v>-0.0026786811029881896</x:v>
      </x:c>
      <x:c r="U793" s="23" t="n">
        <x:v>0.5449511241170129</x:v>
      </x:c>
      <x:c r="V793" s="23" t="n">
        <x:v>-6.205345759844022</x:v>
      </x:c>
    </x:row>
    <x:row r="794">
      <x:c r="A794" s="23" t="n">
        <x:v>793</x:v>
      </x:c>
      <x:c r="B794" s="23" t="str">
        <x:v>Train</x:v>
      </x:c>
      <x:c r="C794" s="23" t="str">
        <x:v>Lightning</x:v>
      </x:c>
      <x:c r="D794" s="23" t="n">
        <x:v>1411.8803724646568</x:v>
      </x:c>
      <x:c r="E794" s="23" t="n">
        <x:v>870.3433582908474</x:v>
      </x:c>
      <x:c r="F794" s="23" t="n">
        <x:v>585.0173877552152</x:v>
      </x:c>
      <x:c r="G794" s="23" t="n">
        <x:v>87.36277416581288</x:v>
      </x:c>
      <x:c r="H794" s="23" t="n">
        <x:v>15.100310174748302</x:v>
      </x:c>
      <x:c r="I794" s="23" t="n">
        <x:v>0.8122317401063629</x:v>
      </x:c>
      <x:c r="J794" s="23" t="n">
        <x:v>9</x:v>
      </x:c>
      <x:c r="K794" s="23" t="n">
        <x:v>193.14142650959977</x:v>
      </x:c>
      <x:c r="L794" s="23" t="n">
        <x:v>50</x:v>
      </x:c>
      <x:c r="M794" s="23" t="n">
        <x:v>25</x:v>
      </x:c>
      <x:c r="N794" s="23" t="n">
        <x:v>1.227408159294575</x:v>
      </x:c>
      <x:c r="O794" s="23" t="n">
        <x:v>52.21554916488903</x:v>
      </x:c>
      <x:c r="P794" s="23" t="n">
        <x:v>1411.8803724646568</x:v>
      </x:c>
      <x:c r="Q794" s="23" t="n">
        <x:v>1.2218504790570845</x:v>
      </x:c>
      <x:c r="R794" s="23" t="n">
        <x:v>51.48430324512242</x:v>
      </x:c>
      <x:c r="S794" s="23" t="n">
        <x:v>1411.954464836589</x:v>
      </x:c>
      <x:c r="T794" s="23" t="n">
        <x:v>-0.00555768023749037</x:v>
      </x:c>
      <x:c r="U794" s="23" t="n">
        <x:v>-0.7312459197666143</x:v>
      </x:c>
      <x:c r="V794" s="23" t="n">
        <x:v>0.07409237193223817</x:v>
      </x:c>
    </x:row>
    <x:row r="795">
      <x:c r="A795" s="23" t="n">
        <x:v>794</x:v>
      </x:c>
      <x:c r="B795" s="23" t="str">
        <x:v>Train</x:v>
      </x:c>
      <x:c r="C795" s="23" t="str">
        <x:v>Lightning</x:v>
      </x:c>
      <x:c r="D795" s="23" t="n">
        <x:v>1428.4106201143004</x:v>
      </x:c>
      <x:c r="E795" s="23" t="n">
        <x:v>1132.3757911333814</x:v>
      </x:c>
      <x:c r="F795" s="23" t="n">
        <x:v>452.8802917338908</x:v>
      </x:c>
      <x:c r="G795" s="23" t="n">
        <x:v>150.01596479676664</x:v>
      </x:c>
      <x:c r="H795" s="23" t="n">
        <x:v>19.688189145643264</x:v>
      </x:c>
      <x:c r="I795" s="23" t="n">
        <x:v>0.8098263776348904</x:v>
      </x:c>
      <x:c r="J795" s="23" t="n">
        <x:v>9</x:v>
      </x:c>
      <x:c r="K795" s="23" t="n">
        <x:v>195.9831088576451</x:v>
      </x:c>
      <x:c r="L795" s="23" t="n">
        <x:v>40</x:v>
      </x:c>
      <x:c r="M795" s="23" t="n">
        <x:v>25</x:v>
      </x:c>
      <x:c r="N795" s="23" t="n">
        <x:v>1.151765504384058</x:v>
      </x:c>
      <x:c r="O795" s="23" t="n">
        <x:v>52.245572294032016</x:v>
      </x:c>
      <x:c r="P795" s="23" t="n">
        <x:v>1428.4106201143004</x:v>
      </x:c>
      <x:c r="Q795" s="23" t="n">
        <x:v>1.1482073160175499</x:v>
      </x:c>
      <x:c r="R795" s="23" t="n">
        <x:v>53.82558020940207</x:v>
      </x:c>
      <x:c r="S795" s="23" t="n">
        <x:v>1430.6478859756714</x:v>
      </x:c>
      <x:c r="T795" s="23" t="n">
        <x:v>-0.0035581883665081193</x:v>
      </x:c>
      <x:c r="U795" s="23" t="n">
        <x:v>1.5800079153700537</x:v>
      </x:c>
      <x:c r="V795" s="23" t="n">
        <x:v>2.2372658613710428</x:v>
      </x:c>
    </x:row>
    <x:row r="796">
      <x:c r="A796" s="23" t="n">
        <x:v>795</x:v>
      </x:c>
      <x:c r="B796" s="23" t="str">
        <x:v>Validation</x:v>
      </x:c>
      <x:c r="C796" s="23" t="str">
        <x:v>Lightning</x:v>
      </x:c>
      <x:c r="D796" s="23" t="n">
        <x:v>1424.1271779639646</x:v>
      </x:c>
      <x:c r="E796" s="23" t="n">
        <x:v>714.0128780738451</x:v>
      </x:c>
      <x:c r="F796" s="23" t="n">
        <x:v>466.50464572012424</x:v>
      </x:c>
      <x:c r="G796" s="23" t="n">
        <x:v>198.65279934136197</x:v>
      </x:c>
      <x:c r="H796" s="23" t="n">
        <x:v>17.66597928944975</x:v>
      </x:c>
      <x:c r="I796" s="23" t="n">
        <x:v>0.8198144851136022</x:v>
      </x:c>
      <x:c r="J796" s="23" t="n">
        <x:v>9</x:v>
      </x:c>
      <x:c r="K796" s="23" t="n">
        <x:v>193.01482955034672</x:v>
      </x:c>
      <x:c r="L796" s="23" t="n">
        <x:v>55</x:v>
      </x:c>
      <x:c r="M796" s="23" t="n">
        <x:v>25</x:v>
      </x:c>
      <x:c r="N796" s="23" t="n">
        <x:v>1.2123046125018977</x:v>
      </x:c>
      <x:c r="O796" s="23" t="n">
        <x:v>52.190047132634874</x:v>
      </x:c>
      <x:c r="P796" s="23" t="n">
        <x:v>1424.1271779639646</x:v>
      </x:c>
      <x:c r="Q796" s="23" t="n">
        <x:v>1.214182675569368</x:v>
      </x:c>
      <x:c r="R796" s="23" t="n">
        <x:v>52.1613517850323</x:v>
      </x:c>
      <x:c r="S796" s="23" t="n">
        <x:v>1442.3310029483969</x:v>
      </x:c>
      <x:c r="T796" s="23" t="n">
        <x:v>0.0018780630674704035</x:v>
      </x:c>
      <x:c r="U796" s="23" t="n">
        <x:v>-0.02869534760257153</x:v>
      </x:c>
      <x:c r="V796" s="23" t="n">
        <x:v>18.20382498443223</x:v>
      </x:c>
    </x:row>
    <x:row r="797">
      <x:c r="A797" s="23" t="n">
        <x:v>796</x:v>
      </x:c>
      <x:c r="B797" s="23" t="str">
        <x:v>Validation</x:v>
      </x:c>
      <x:c r="C797" s="23" t="str">
        <x:v>Lightning</x:v>
      </x:c>
      <x:c r="D797" s="23" t="n">
        <x:v>1463.6247821501456</x:v>
      </x:c>
      <x:c r="E797" s="23" t="n">
        <x:v>928.9808906149119</x:v>
      </x:c>
      <x:c r="F797" s="23" t="n">
        <x:v>362.5507499091327</x:v>
      </x:c>
      <x:c r="G797" s="23" t="n">
        <x:v>287.1373051730916</x:v>
      </x:c>
      <x:c r="H797" s="23" t="n">
        <x:v>10.808100547175854</x:v>
      </x:c>
      <x:c r="I797" s="23" t="n">
        <x:v>0.8433170377463103</x:v>
      </x:c>
      <x:c r="J797" s="23" t="n">
        <x:v>9</x:v>
      </x:c>
      <x:c r="K797" s="23" t="n">
        <x:v>192.83966588539633</x:v>
      </x:c>
      <x:c r="L797" s="23" t="n">
        <x:v>50</x:v>
      </x:c>
      <x:c r="M797" s="23" t="n">
        <x:v>25</x:v>
      </x:c>
      <x:c r="N797" s="23" t="n">
        <x:v>1.2354903893231028</x:v>
      </x:c>
      <x:c r="O797" s="23" t="n">
        <x:v>52.22115395535782</x:v>
      </x:c>
      <x:c r="P797" s="23" t="n">
        <x:v>1463.6247821501456</x:v>
      </x:c>
      <x:c r="Q797" s="23" t="n">
        <x:v>1.2349902273393567</x:v>
      </x:c>
      <x:c r="R797" s="23" t="n">
        <x:v>51.38460938311056</x:v>
      </x:c>
      <x:c r="S797" s="23" t="n">
        <x:v>1468.38940357233</x:v>
      </x:c>
      <x:c r="T797" s="23" t="n">
        <x:v>-0.0005001619837461391</x:v>
      </x:c>
      <x:c r="U797" s="23" t="n">
        <x:v>-0.8365445722472629</x:v>
      </x:c>
      <x:c r="V797" s="23" t="n">
        <x:v>4.764621422184291</x:v>
      </x:c>
    </x:row>
    <x:row r="798">
      <x:c r="A798" s="23" t="n">
        <x:v>797</x:v>
      </x:c>
      <x:c r="B798" s="23" t="str">
        <x:v>Validation</x:v>
      </x:c>
      <x:c r="C798" s="23" t="str">
        <x:v>Lightning</x:v>
      </x:c>
      <x:c r="D798" s="23" t="n">
        <x:v>1423.9074140321463</x:v>
      </x:c>
      <x:c r="E798" s="23" t="n">
        <x:v>919.5922353188507</x:v>
      </x:c>
      <x:c r="F798" s="23" t="n">
        <x:v>546.2697183713317</x:v>
      </x:c>
      <x:c r="G798" s="23" t="n">
        <x:v>297.1245187637396</x:v>
      </x:c>
      <x:c r="H798" s="23" t="n">
        <x:v>29.877874206751585</x:v>
      </x:c>
      <x:c r="I798" s="23" t="n">
        <x:v>0.8019556454964913</x:v>
      </x:c>
      <x:c r="J798" s="23" t="n">
        <x:v>9</x:v>
      </x:c>
      <x:c r="K798" s="23" t="n">
        <x:v>197.28264995816767</x:v>
      </x:c>
      <x:c r="L798" s="23" t="n">
        <x:v>40</x:v>
      </x:c>
      <x:c r="M798" s="23" t="n">
        <x:v>25</x:v>
      </x:c>
      <x:c r="N798" s="23" t="n">
        <x:v>1.220926756190336</x:v>
      </x:c>
      <x:c r="O798" s="23" t="n">
        <x:v>52.24989366571737</x:v>
      </x:c>
      <x:c r="P798" s="23" t="n">
        <x:v>1423.9074140321463</x:v>
      </x:c>
      <x:c r="Q798" s="23" t="n">
        <x:v>1.2236655715246822</x:v>
      </x:c>
      <x:c r="R798" s="23" t="n">
        <x:v>53.36237055057655</x:v>
      </x:c>
      <x:c r="S798" s="23" t="n">
        <x:v>1407.5736217254846</x:v>
      </x:c>
      <x:c r="T798" s="23" t="n">
        <x:v>0.0027388153343461674</x:v>
      </x:c>
      <x:c r="U798" s="23" t="n">
        <x:v>1.112476884859177</x:v>
      </x:c>
      <x:c r="V798" s="23" t="n">
        <x:v>-16.333792306661735</x:v>
      </x:c>
    </x:row>
    <x:row r="799">
      <x:c r="A799" s="23" t="n">
        <x:v>798</x:v>
      </x:c>
      <x:c r="B799" s="23" t="str">
        <x:v>Hidden Test</x:v>
      </x:c>
      <x:c r="C799" s="23" t="str">
        <x:v>Lightning</x:v>
      </x:c>
      <x:c r="D799" s="23" t="n">
        <x:v>1433.0831736442633</x:v>
      </x:c>
      <x:c r="E799" s="23" t="n">
        <x:v>838.4217909304425</x:v>
      </x:c>
      <x:c r="F799" s="23" t="n">
        <x:v>586.9185705669224</x:v>
      </x:c>
      <x:c r="G799" s="23" t="n">
        <x:v>191.31255980581045</x:v>
      </x:c>
      <x:c r="H799" s="23" t="n">
        <x:v>16.59124286705628</x:v>
      </x:c>
      <x:c r="I799" s="23" t="n">
        <x:v>0.8336761253653094</x:v>
      </x:c>
      <x:c r="J799" s="23" t="n">
        <x:v>9</x:v>
      </x:c>
      <x:c r="K799" s="23" t="n">
        <x:v>190.99918888582502</x:v>
      </x:c>
      <x:c r="L799" s="23" t="n">
        <x:v>45</x:v>
      </x:c>
      <x:c r="M799" s="23" t="n">
        <x:v>25</x:v>
      </x:c>
      <x:c r="N799" s="23" t="n">
        <x:v>1.1758341515727837</x:v>
      </x:c>
      <x:c r="O799" s="23" t="n">
        <x:v>52.227076606754196</x:v>
      </x:c>
      <x:c r="P799" s="23" t="n">
        <x:v>1433.0831736442633</x:v>
      </x:c>
      <x:c r="Q799" s="23" t="n">
        <x:v>1.1835028178335838</x:v>
      </x:c>
      <x:c r="R799" s="23" t="n">
        <x:v>52.64029321704914</x:v>
      </x:c>
      <x:c r="S799" s="23" t="n">
        <x:v>1435.43335979308</x:v>
      </x:c>
      <x:c r="T799" s="23" t="n">
        <x:v>0.007668666260800094</x:v>
      </x:c>
      <x:c r="U799" s="23" t="n">
        <x:v>0.4132166102949455</x:v>
      </x:c>
      <x:c r="V799" s="23" t="n">
        <x:v>2.350186148816647</x:v>
      </x:c>
    </x:row>
    <x:row r="800">
      <x:c r="A800" s="23" t="n">
        <x:v>799</x:v>
      </x:c>
      <x:c r="B800" s="23" t="str">
        <x:v>Hidden Test</x:v>
      </x:c>
      <x:c r="C800" s="23" t="str">
        <x:v>Lightning</x:v>
      </x:c>
      <x:c r="D800" s="23" t="n">
        <x:v>1370.561121054925</x:v>
      </x:c>
      <x:c r="E800" s="23" t="n">
        <x:v>970.21462834673</x:v>
      </x:c>
      <x:c r="F800" s="23" t="n">
        <x:v>631.6572450101376</x:v>
      </x:c>
      <x:c r="G800" s="23" t="n">
        <x:v>92.61105522280559</x:v>
      </x:c>
      <x:c r="H800" s="23" t="n">
        <x:v>27.862632564269006</x:v>
      </x:c>
      <x:c r="I800" s="23" t="n">
        <x:v>0.8271080667688512</x:v>
      </x:c>
      <x:c r="J800" s="23" t="n">
        <x:v>9</x:v>
      </x:c>
      <x:c r="K800" s="23" t="n">
        <x:v>184.11689490710916</x:v>
      </x:c>
      <x:c r="L800" s="23" t="n">
        <x:v>40</x:v>
      </x:c>
      <x:c r="M800" s="23" t="n">
        <x:v>25</x:v>
      </x:c>
      <x:c r="N800" s="23" t="n">
        <x:v>1.169177472324563</x:v>
      </x:c>
      <x:c r="O800" s="23" t="n">
        <x:v>52.239212250638786</x:v>
      </x:c>
      <x:c r="P800" s="23" t="n">
        <x:v>1370.561121054925</x:v>
      </x:c>
      <x:c r="Q800" s="23" t="n">
        <x:v>1.1607362122698472</x:v>
      </x:c>
      <x:c r="R800" s="23" t="n">
        <x:v>53.02417252285452</x:v>
      </x:c>
      <x:c r="S800" s="23" t="n">
        <x:v>1362.6267001794827</x:v>
      </x:c>
      <x:c r="T800" s="23" t="n">
        <x:v>-0.008441260054715682</x:v>
      </x:c>
      <x:c r="U800" s="23" t="n">
        <x:v>0.7849602722157343</x:v>
      </x:c>
      <x:c r="V800" s="23" t="n">
        <x:v>-7.934420875442356</x:v>
      </x:c>
    </x:row>
    <x:row r="801">
      <x:c r="A801" s="23" t="n">
        <x:v>800</x:v>
      </x:c>
      <x:c r="B801" s="23" t="str">
        <x:v>Hidden Test</x:v>
      </x:c>
      <x:c r="C801" s="23" t="str">
        <x:v>Lightning</x:v>
      </x:c>
      <x:c r="D801" s="23" t="n">
        <x:v>1477.8923986363225</x:v>
      </x:c>
      <x:c r="E801" s="23" t="n">
        <x:v>1164.4180558621883</x:v>
      </x:c>
      <x:c r="F801" s="23" t="n">
        <x:v>484.07888701185584</x:v>
      </x:c>
      <x:c r="G801" s="23" t="n">
        <x:v>176.14412405062467</x:v>
      </x:c>
      <x:c r="H801" s="23" t="n">
        <x:v>17.42500761291012</x:v>
      </x:c>
      <x:c r="I801" s="23" t="n">
        <x:v>0.8217875556182117</x:v>
      </x:c>
      <x:c r="J801" s="23" t="n">
        <x:v>9</x:v>
      </x:c>
      <x:c r="K801" s="23" t="n">
        <x:v>199.82082399825995</x:v>
      </x:c>
      <x:c r="L801" s="23" t="n">
        <x:v>40</x:v>
      </x:c>
      <x:c r="M801" s="23" t="n">
        <x:v>25</x:v>
      </x:c>
      <x:c r="N801" s="23" t="n">
        <x:v>1.1937465448621607</x:v>
      </x:c>
      <x:c r="O801" s="23" t="n">
        <x:v>52.25950715836022</x:v>
      </x:c>
      <x:c r="P801" s="23" t="n">
        <x:v>1477.8923986363225</x:v>
      </x:c>
      <x:c r="Q801" s="23" t="n">
        <x:v>1.1945081163955271</x:v>
      </x:c>
      <x:c r="R801" s="23" t="n">
        <x:v>52.917600933304215</x:v>
      </x:c>
      <x:c r="S801" s="23" t="n">
        <x:v>1471.161913134737</x:v>
      </x:c>
      <x:c r="T801" s="23" t="n">
        <x:v>0.000761571533366423</x:v>
      </x:c>
      <x:c r="U801" s="23" t="n">
        <x:v>0.6580937749439926</x:v>
      </x:c>
      <x:c r="V801" s="23" t="n">
        <x:v>-6.730485501585463</x:v>
      </x:c>
    </x:row>
    <x:row r="802">
      <x:c r="A802" s="23" t="n">
        <x:v>801</x:v>
      </x:c>
      <x:c r="B802" s="23" t="str">
        <x:v>Train</x:v>
      </x:c>
      <x:c r="C802" s="23" t="str">
        <x:v>Lightning</x:v>
      </x:c>
      <x:c r="D802" s="23" t="n">
        <x:v>1465.6038112007082</x:v>
      </x:c>
      <x:c r="E802" s="23" t="n">
        <x:v>900.0792368664406</x:v>
      </x:c>
      <x:c r="F802" s="23" t="n">
        <x:v>531.6549504175782</x:v>
      </x:c>
      <x:c r="G802" s="23" t="n">
        <x:v>142.98188032815233</x:v>
      </x:c>
      <x:c r="H802" s="23" t="n">
        <x:v>27.65657856501639</x:v>
      </x:c>
      <x:c r="I802" s="23" t="n">
        <x:v>0.8206390932505019</x:v>
      </x:c>
      <x:c r="J802" s="23" t="n">
        <x:v>9</x:v>
      </x:c>
      <x:c r="K802" s="23" t="n">
        <x:v>198.43664437940814</x:v>
      </x:c>
      <x:c r="L802" s="23" t="n">
        <x:v>45</x:v>
      </x:c>
      <x:c r="M802" s="23" t="n">
        <x:v>25</x:v>
      </x:c>
      <x:c r="N802" s="23" t="n">
        <x:v>1.1991669561955014</x:v>
      </x:c>
      <x:c r="O802" s="23" t="n">
        <x:v>52.22053760284242</x:v>
      </x:c>
      <x:c r="P802" s="23" t="n">
        <x:v>1465.6038112007082</x:v>
      </x:c>
      <x:c r="Q802" s="23" t="n">
        <x:v>1.1811979791683724</x:v>
      </x:c>
      <x:c r="R802" s="23" t="n">
        <x:v>51.38995147357659</x:v>
      </x:c>
      <x:c r="S802" s="23" t="n">
        <x:v>1455.0251781398267</x:v>
      </x:c>
      <x:c r="T802" s="23" t="n">
        <x:v>-0.017968977027128963</x:v>
      </x:c>
      <x:c r="U802" s="23" t="n">
        <x:v>-0.8305861292658321</x:v>
      </x:c>
      <x:c r="V802" s="23" t="n">
        <x:v>-10.57863306088143</x:v>
      </x:c>
    </x:row>
    <x:row r="803">
      <x:c r="A803" s="23" t="n">
        <x:v>802</x:v>
      </x:c>
      <x:c r="B803" s="23" t="str">
        <x:v>Train</x:v>
      </x:c>
      <x:c r="C803" s="23" t="str">
        <x:v>Lightning</x:v>
      </x:c>
      <x:c r="D803" s="23" t="n">
        <x:v>1456.832207890693</x:v>
      </x:c>
      <x:c r="E803" s="23" t="n">
        <x:v>887.0809580432251</x:v>
      </x:c>
      <x:c r="F803" s="23" t="n">
        <x:v>494.6960502304137</x:v>
      </x:c>
      <x:c r="G803" s="23" t="n">
        <x:v>259.6481052879244</x:v>
      </x:c>
      <x:c r="H803" s="23" t="n">
        <x:v>14.289481051731855</x:v>
      </x:c>
      <x:c r="I803" s="23" t="n">
        <x:v>0.8461308661708609</x:v>
      </x:c>
      <x:c r="J803" s="23" t="n">
        <x:v>9</x:v>
      </x:c>
      <x:c r="K803" s="23" t="n">
        <x:v>191.30639454594882</x:v>
      </x:c>
      <x:c r="L803" s="23" t="n">
        <x:v>45</x:v>
      </x:c>
      <x:c r="M803" s="23" t="n">
        <x:v>25</x:v>
      </x:c>
      <x:c r="N803" s="23" t="n">
        <x:v>1.181537061372271</x:v>
      </x:c>
      <x:c r="O803" s="23" t="n">
        <x:v>52.230939210832084</x:v>
      </x:c>
      <x:c r="P803" s="23" t="n">
        <x:v>1456.832207890693</x:v>
      </x:c>
      <x:c r="Q803" s="23" t="n">
        <x:v>1.1765695519696604</x:v>
      </x:c>
      <x:c r="R803" s="23" t="n">
        <x:v>51.88288985857104</x:v>
      </x:c>
      <x:c r="S803" s="23" t="n">
        <x:v>1463.1642116366595</x:v>
      </x:c>
      <x:c r="T803" s="23" t="n">
        <x:v>-0.004967509402610704</x:v>
      </x:c>
      <x:c r="U803" s="23" t="n">
        <x:v>-0.34804935226104305</x:v>
      </x:c>
      <x:c r="V803" s="23" t="n">
        <x:v>6.332003745966404</x:v>
      </x:c>
    </x:row>
    <x:row r="804">
      <x:c r="A804" s="23" t="n">
        <x:v>803</x:v>
      </x:c>
      <x:c r="B804" s="23" t="str">
        <x:v>Train</x:v>
      </x:c>
      <x:c r="C804" s="23" t="str">
        <x:v>Lightning</x:v>
      </x:c>
      <x:c r="D804" s="23" t="n">
        <x:v>1479.9835294252262</x:v>
      </x:c>
      <x:c r="E804" s="23" t="n">
        <x:v>1118.8157887780108</x:v>
      </x:c>
      <x:c r="F804" s="23" t="n">
        <x:v>629.5445542782545</x:v>
      </x:c>
      <x:c r="G804" s="23" t="n">
        <x:v>201.02325045270845</x:v>
      </x:c>
      <x:c r="H804" s="23" t="n">
        <x:v>11.077957321889699</x:v>
      </x:c>
      <x:c r="I804" s="23" t="n">
        <x:v>0.8030604531685822</x:v>
      </x:c>
      <x:c r="J804" s="23" t="n">
        <x:v>10</x:v>
      </x:c>
      <x:c r="K804" s="23" t="n">
        <x:v>184.2929163783067</x:v>
      </x:c>
      <x:c r="L804" s="23" t="n">
        <x:v>35</x:v>
      </x:c>
      <x:c r="M804" s="23" t="n">
        <x:v>25</x:v>
      </x:c>
      <x:c r="N804" s="23" t="n">
        <x:v>1.2036747623780066</x:v>
      </x:c>
      <x:c r="O804" s="23" t="n">
        <x:v>52.312730707575426</x:v>
      </x:c>
      <x:c r="P804" s="23" t="n">
        <x:v>1479.9835294252262</x:v>
      </x:c>
      <x:c r="Q804" s="23" t="n">
        <x:v>1.22573094202031</x:v>
      </x:c>
      <x:c r="R804" s="23" t="n">
        <x:v>53.283527806523075</x:v>
      </x:c>
      <x:c r="S804" s="23" t="n">
        <x:v>1478.1518589105458</x:v>
      </x:c>
      <x:c r="T804" s="23" t="n">
        <x:v>0.02205617964230333</x:v>
      </x:c>
      <x:c r="U804" s="23" t="n">
        <x:v>0.9707970989476493</x:v>
      </x:c>
      <x:c r="V804" s="23" t="n">
        <x:v>-1.8316705146803542</x:v>
      </x:c>
    </x:row>
    <x:row r="805">
      <x:c r="A805" s="23" t="n">
        <x:v>804</x:v>
      </x:c>
      <x:c r="B805" s="23" t="str">
        <x:v>Train</x:v>
      </x:c>
      <x:c r="C805" s="23" t="str">
        <x:v>Lightning</x:v>
      </x:c>
      <x:c r="D805" s="23" t="n">
        <x:v>1352.5741230114363</x:v>
      </x:c>
      <x:c r="E805" s="23" t="n">
        <x:v>1152.5684968102723</x:v>
      </x:c>
      <x:c r="F805" s="23" t="n">
        <x:v>707.290646713227</x:v>
      </x:c>
      <x:c r="G805" s="23" t="n">
        <x:v>147.59220210369676</x:v>
      </x:c>
      <x:c r="H805" s="23" t="n">
        <x:v>27.291681117843837</x:v>
      </x:c>
      <x:c r="I805" s="23" t="n">
        <x:v>0.8049741913191975</x:v>
      </x:c>
      <x:c r="J805" s="23" t="n">
        <x:v>9</x:v>
      </x:c>
      <x:c r="K805" s="23" t="n">
        <x:v>186.6966857926806</x:v>
      </x:c>
      <x:c r="L805" s="23" t="n">
        <x:v>35</x:v>
      </x:c>
      <x:c r="M805" s="23" t="n">
        <x:v>25</x:v>
      </x:c>
      <x:c r="N805" s="23" t="n">
        <x:v>1.2235867353329721</x:v>
      </x:c>
      <x:c r="O805" s="23" t="n">
        <x:v>52.28801185106692</x:v>
      </x:c>
      <x:c r="P805" s="23" t="n">
        <x:v>1352.5741230114363</x:v>
      </x:c>
      <x:c r="Q805" s="23" t="n">
        <x:v>1.2261486482039867</x:v>
      </x:c>
      <x:c r="R805" s="23" t="n">
        <x:v>52.29108354024787</x:v>
      </x:c>
      <x:c r="S805" s="23" t="n">
        <x:v>1326.4353315905228</x:v>
      </x:c>
      <x:c r="T805" s="23" t="n">
        <x:v>0.0025619128710145933</x:v>
      </x:c>
      <x:c r="U805" s="23" t="n">
        <x:v>0.003071689180949022</x:v>
      </x:c>
      <x:c r="V805" s="23" t="n">
        <x:v>-26.13879142091355</x:v>
      </x:c>
    </x:row>
    <x:row r="806">
      <x:c r="A806" s="23" t="n">
        <x:v>805</x:v>
      </x:c>
      <x:c r="B806" s="23" t="str">
        <x:v>Train</x:v>
      </x:c>
      <x:c r="C806" s="23" t="str">
        <x:v>Lightning</x:v>
      </x:c>
      <x:c r="D806" s="23" t="n">
        <x:v>1397.895989427343</x:v>
      </x:c>
      <x:c r="E806" s="23" t="n">
        <x:v>631.2508908915333</x:v>
      </x:c>
      <x:c r="F806" s="23" t="n">
        <x:v>653.1417919322848</x:v>
      </x:c>
      <x:c r="G806" s="23" t="n">
        <x:v>321.0270472173579</x:v>
      </x:c>
      <x:c r="H806" s="23" t="n">
        <x:v>17.22120899707079</x:v>
      </x:c>
      <x:c r="I806" s="23" t="n">
        <x:v>0.7903160966397264</x:v>
      </x:c>
      <x:c r="J806" s="23" t="n">
        <x:v>9</x:v>
      </x:c>
      <x:c r="K806" s="23" t="n">
        <x:v>196.5312072769829</x:v>
      </x:c>
      <x:c r="L806" s="23" t="n">
        <x:v>45</x:v>
      </x:c>
      <x:c r="M806" s="23" t="n">
        <x:v>25</x:v>
      </x:c>
      <x:c r="N806" s="23" t="n">
        <x:v>1.1712305398751237</x:v>
      </x:c>
      <x:c r="O806" s="23" t="n">
        <x:v>52.225325071406665</x:v>
      </x:c>
      <x:c r="P806" s="23" t="n">
        <x:v>1397.895989427343</x:v>
      </x:c>
      <x:c r="Q806" s="23" t="n">
        <x:v>1.1773654755035787</x:v>
      </x:c>
      <x:c r="R806" s="23" t="n">
        <x:v>50.56946185126245</x:v>
      </x:c>
      <x:c r="S806" s="23" t="n">
        <x:v>1403.0170296430426</x:v>
      </x:c>
      <x:c r="T806" s="23" t="n">
        <x:v>0.006134935628455018</x:v>
      </x:c>
      <x:c r="U806" s="23" t="n">
        <x:v>-1.6558632201442123</x:v>
      </x:c>
      <x:c r="V806" s="23" t="n">
        <x:v>5.121040215699622</x:v>
      </x:c>
    </x:row>
    <x:row r="807">
      <x:c r="A807" s="23" t="n">
        <x:v>806</x:v>
      </x:c>
      <x:c r="B807" s="23" t="str">
        <x:v>Train</x:v>
      </x:c>
      <x:c r="C807" s="23" t="str">
        <x:v>Lightning</x:v>
      </x:c>
      <x:c r="D807" s="23" t="n">
        <x:v>1458.267339610029</x:v>
      </x:c>
      <x:c r="E807" s="23" t="n">
        <x:v>1158.4565110271797</x:v>
      </x:c>
      <x:c r="F807" s="23" t="n">
        <x:v>736.130276042968</x:v>
      </x:c>
      <x:c r="G807" s="23" t="n">
        <x:v>325.0985065661371</x:v>
      </x:c>
      <x:c r="H807" s="23" t="n">
        <x:v>21.257991342339665</x:v>
      </x:c>
      <x:c r="I807" s="23" t="n">
        <x:v>0.8511946469685063</x:v>
      </x:c>
      <x:c r="J807" s="23" t="n">
        <x:v>9</x:v>
      </x:c>
      <x:c r="K807" s="23" t="n">
        <x:v>190.3556430696272</x:v>
      </x:c>
      <x:c r="L807" s="23" t="n">
        <x:v>30</x:v>
      </x:c>
      <x:c r="M807" s="23" t="n">
        <x:v>25</x:v>
      </x:c>
      <x:c r="N807" s="23" t="n">
        <x:v>1.153562253665555</x:v>
      </x:c>
      <x:c r="O807" s="23" t="n">
        <x:v>52.32110442941024</x:v>
      </x:c>
      <x:c r="P807" s="23" t="n">
        <x:v>1458.267339610029</x:v>
      </x:c>
      <x:c r="Q807" s="23" t="n">
        <x:v>1.160862969033403</x:v>
      </x:c>
      <x:c r="R807" s="23" t="n">
        <x:v>53.97968111723385</x:v>
      </x:c>
      <x:c r="S807" s="23" t="n">
        <x:v>1441.61344252654</x:v>
      </x:c>
      <x:c r="T807" s="23" t="n">
        <x:v>0.007300715367847932</x:v>
      </x:c>
      <x:c r="U807" s="23" t="n">
        <x:v>1.6585766878236115</x:v>
      </x:c>
      <x:c r="V807" s="23" t="n">
        <x:v>-16.653897083489028</x:v>
      </x:c>
    </x:row>
    <x:row r="808">
      <x:c r="A808" s="23" t="n">
        <x:v>807</x:v>
      </x:c>
      <x:c r="B808" s="23" t="str">
        <x:v>Train</x:v>
      </x:c>
      <x:c r="C808" s="23" t="str">
        <x:v>Lightning</x:v>
      </x:c>
      <x:c r="D808" s="23" t="n">
        <x:v>1451.0530482279137</x:v>
      </x:c>
      <x:c r="E808" s="23" t="n">
        <x:v>645.5509770778008</x:v>
      </x:c>
      <x:c r="F808" s="23" t="n">
        <x:v>561.4243745803833</x:v>
      </x:c>
      <x:c r="G808" s="23" t="n">
        <x:v>112.20350103219971</x:v>
      </x:c>
      <x:c r="H808" s="23" t="n">
        <x:v>16.058390158228576</x:v>
      </x:c>
      <x:c r="I808" s="23" t="n">
        <x:v>0.8506824298924767</x:v>
      </x:c>
      <x:c r="J808" s="23" t="n">
        <x:v>9</x:v>
      </x:c>
      <x:c r="K808" s="23" t="n">
        <x:v>189.52797284192982</x:v>
      </x:c>
      <x:c r="L808" s="23" t="n">
        <x:v>55</x:v>
      </x:c>
      <x:c r="M808" s="23" t="n">
        <x:v>25</x:v>
      </x:c>
      <x:c r="N808" s="23" t="n">
        <x:v>1.156238673509645</x:v>
      </x:c>
      <x:c r="O808" s="23" t="n">
        <x:v>52.18069296260575</x:v>
      </x:c>
      <x:c r="P808" s="23" t="n">
        <x:v>1451.0530482279137</x:v>
      </x:c>
      <x:c r="Q808" s="23" t="n">
        <x:v>1.1496236594159728</x:v>
      </x:c>
      <x:c r="R808" s="23" t="n">
        <x:v>52.039243543562435</x:v>
      </x:c>
      <x:c r="S808" s="23" t="n">
        <x:v>1458.7049413586012</x:v>
      </x:c>
      <x:c r="T808" s="23" t="n">
        <x:v>-0.006615014093672267</x:v>
      </x:c>
      <x:c r="U808" s="23" t="n">
        <x:v>-0.14144941904331176</x:v>
      </x:c>
      <x:c r="V808" s="23" t="n">
        <x:v>7.65189313068754</x:v>
      </x:c>
    </x:row>
    <x:row r="809">
      <x:c r="A809" s="23" t="n">
        <x:v>808</x:v>
      </x:c>
      <x:c r="B809" s="23" t="str">
        <x:v>Train</x:v>
      </x:c>
      <x:c r="C809" s="23" t="str">
        <x:v>Lightning</x:v>
      </x:c>
      <x:c r="D809" s="23" t="n">
        <x:v>1448.6850247601978</x:v>
      </x:c>
      <x:c r="E809" s="23" t="n">
        <x:v>930.4130450822413</x:v>
      </x:c>
      <x:c r="F809" s="23" t="n">
        <x:v>551.4213538728654</x:v>
      </x:c>
      <x:c r="G809" s="23" t="n">
        <x:v>188.4265128010884</x:v>
      </x:c>
      <x:c r="H809" s="23" t="n">
        <x:v>25.62087578838691</x:v>
      </x:c>
      <x:c r="I809" s="23" t="n">
        <x:v>0.8392073276732117</x:v>
      </x:c>
      <x:c r="J809" s="23" t="n">
        <x:v>9</x:v>
      </x:c>
      <x:c r="K809" s="23" t="n">
        <x:v>191.80600245403608</x:v>
      </x:c>
      <x:c r="L809" s="23" t="n">
        <x:v>45</x:v>
      </x:c>
      <x:c r="M809" s="23" t="n">
        <x:v>25</x:v>
      </x:c>
      <x:c r="N809" s="23" t="n">
        <x:v>1.2548093079223293</x:v>
      </x:c>
      <x:c r="O809" s="23" t="n">
        <x:v>52.23543543266558</x:v>
      </x:c>
      <x:c r="P809" s="23" t="n">
        <x:v>1448.6850247601978</x:v>
      </x:c>
      <x:c r="Q809" s="23" t="n">
        <x:v>1.257837213950939</x:v>
      </x:c>
      <x:c r="R809" s="23" t="n">
        <x:v>52.63449307858226</x:v>
      </x:c>
      <x:c r="S809" s="23" t="n">
        <x:v>1435.3599542359043</x:v>
      </x:c>
      <x:c r="T809" s="23" t="n">
        <x:v>0.003027906028609806</x:v>
      </x:c>
      <x:c r="U809" s="23" t="n">
        <x:v>0.3990576459166775</x:v>
      </x:c>
      <x:c r="V809" s="23" t="n">
        <x:v>-13.325070524293551</x:v>
      </x:c>
    </x:row>
    <x:row r="810">
      <x:c r="A810" s="23" t="n">
        <x:v>809</x:v>
      </x:c>
      <x:c r="B810" s="23" t="str">
        <x:v>Train</x:v>
      </x:c>
      <x:c r="C810" s="23" t="str">
        <x:v>Lightning</x:v>
      </x:c>
      <x:c r="D810" s="23" t="n">
        <x:v>1382.8759549185634</x:v>
      </x:c>
      <x:c r="E810" s="23" t="n">
        <x:v>748.5077429912053</x:v>
      </x:c>
      <x:c r="F810" s="23" t="n">
        <x:v>352.67484206706285</x:v>
      </x:c>
      <x:c r="G810" s="23" t="n">
        <x:v>102.44929183507338</x:v>
      </x:c>
      <x:c r="H810" s="23" t="n">
        <x:v>27.05277164839208</x:v>
      </x:c>
      <x:c r="I810" s="23" t="n">
        <x:v>0.8088412484643049</x:v>
      </x:c>
      <x:c r="J810" s="23" t="n">
        <x:v>9</x:v>
      </x:c>
      <x:c r="K810" s="23" t="n">
        <x:v>189.9666766149368</x:v>
      </x:c>
      <x:c r="L810" s="23" t="n">
        <x:v>60</x:v>
      </x:c>
      <x:c r="M810" s="23" t="n">
        <x:v>25</x:v>
      </x:c>
      <x:c r="N810" s="23" t="n">
        <x:v>1.1854100959195704</x:v>
      </x:c>
      <x:c r="O810" s="23" t="n">
        <x:v>52.162676300404584</x:v>
      </x:c>
      <x:c r="P810" s="23" t="n">
        <x:v>1382.8759549185634</x:v>
      </x:c>
      <x:c r="Q810" s="23" t="n">
        <x:v>1.1812447800815387</x:v>
      </x:c>
      <x:c r="R810" s="23" t="n">
        <x:v>52.397524933570146</x:v>
      </x:c>
      <x:c r="S810" s="23" t="n">
        <x:v>1378.8823790635897</x:v>
      </x:c>
      <x:c r="T810" s="23" t="n">
        <x:v>-0.004165315838031702</x:v>
      </x:c>
      <x:c r="U810" s="23" t="n">
        <x:v>0.23484863316556215</x:v>
      </x:c>
      <x:c r="V810" s="23" t="n">
        <x:v>-3.993575854973642</x:v>
      </x:c>
    </x:row>
    <x:row r="811">
      <x:c r="A811" s="23" t="n">
        <x:v>810</x:v>
      </x:c>
      <x:c r="B811" s="23" t="str">
        <x:v>Train</x:v>
      </x:c>
      <x:c r="C811" s="23" t="str">
        <x:v>Lightning</x:v>
      </x:c>
      <x:c r="D811" s="23" t="n">
        <x:v>1497.3018583492376</x:v>
      </x:c>
      <x:c r="E811" s="23" t="n">
        <x:v>865.1088293874636</x:v>
      </x:c>
      <x:c r="F811" s="23" t="n">
        <x:v>736.2648309208453</x:v>
      </x:c>
      <x:c r="G811" s="23" t="n">
        <x:v>306.32231819443405</x:v>
      </x:c>
      <x:c r="H811" s="23" t="n">
        <x:v>26.982443351764232</x:v>
      </x:c>
      <x:c r="I811" s="23" t="n">
        <x:v>0.8049977887840942</x:v>
      </x:c>
      <x:c r="J811" s="23" t="n">
        <x:v>10</x:v>
      </x:c>
      <x:c r="K811" s="23" t="n">
        <x:v>186.00074176735706</x:v>
      </x:c>
      <x:c r="L811" s="23" t="n">
        <x:v>35</x:v>
      </x:c>
      <x:c r="M811" s="23" t="n">
        <x:v>25</x:v>
      </x:c>
      <x:c r="N811" s="23" t="n">
        <x:v>1.2657900256325183</x:v>
      </x:c>
      <x:c r="O811" s="23" t="n">
        <x:v>52.3055083282756</x:v>
      </x:c>
      <x:c r="P811" s="23" t="n">
        <x:v>1497.3018583492376</x:v>
      </x:c>
      <x:c r="Q811" s="23" t="n">
        <x:v>1.2694750476269772</x:v>
      </x:c>
      <x:c r="R811" s="23" t="n">
        <x:v>52.735077246427466</x:v>
      </x:c>
      <x:c r="S811" s="23" t="n">
        <x:v>1472.8131559573383</x:v>
      </x:c>
      <x:c r="T811" s="23" t="n">
        <x:v>0.003685021994458859</x:v>
      </x:c>
      <x:c r="U811" s="23" t="n">
        <x:v>0.4295689181518654</x:v>
      </x:c>
      <x:c r="V811" s="23" t="n">
        <x:v>-24.488702391899324</x:v>
      </x:c>
    </x:row>
    <x:row r="812">
      <x:c r="A812" s="23" t="n">
        <x:v>811</x:v>
      </x:c>
      <x:c r="B812" s="23" t="str">
        <x:v>Train</x:v>
      </x:c>
      <x:c r="C812" s="23" t="str">
        <x:v>Lightning</x:v>
      </x:c>
      <x:c r="D812" s="23" t="n">
        <x:v>1486.3328560022637</x:v>
      </x:c>
      <x:c r="E812" s="23" t="n">
        <x:v>741.03857713053</x:v>
      </x:c>
      <x:c r="F812" s="23" t="n">
        <x:v>713.7183863669634</x:v>
      </x:c>
      <x:c r="G812" s="23" t="n">
        <x:v>105.93416179297492</x:v>
      </x:c>
      <x:c r="H812" s="23" t="n">
        <x:v>18.531439141370356</x:v>
      </x:c>
      <x:c r="I812" s="23" t="n">
        <x:v>0.8120509064826184</x:v>
      </x:c>
      <x:c r="J812" s="23" t="n">
        <x:v>10</x:v>
      </x:c>
      <x:c r="K812" s="23" t="n">
        <x:v>183.03444330113288</x:v>
      </x:c>
      <x:c r="L812" s="23" t="n">
        <x:v>45</x:v>
      </x:c>
      <x:c r="M812" s="23" t="n">
        <x:v>25</x:v>
      </x:c>
      <x:c r="N812" s="23" t="n">
        <x:v>1.2558859476998767</x:v>
      </x:c>
      <x:c r="O812" s="23" t="n">
        <x:v>52.24538973745657</x:v>
      </x:c>
      <x:c r="P812" s="23" t="n">
        <x:v>1486.3328560022637</x:v>
      </x:c>
      <x:c r="Q812" s="23" t="n">
        <x:v>1.24685051210338</x:v>
      </x:c>
      <x:c r="R812" s="23" t="n">
        <x:v>51.12063893647706</x:v>
      </x:c>
      <x:c r="S812" s="23" t="n">
        <x:v>1482.8061320719526</x:v>
      </x:c>
      <x:c r="T812" s="23" t="n">
        <x:v>-0.009035435596496777</x:v>
      </x:c>
      <x:c r="U812" s="23" t="n">
        <x:v>-1.1247508009795126</x:v>
      </x:c>
      <x:c r="V812" s="23" t="n">
        <x:v>-3.5267239303111637</x:v>
      </x:c>
    </x:row>
    <x:row r="813">
      <x:c r="A813" s="23" t="n">
        <x:v>812</x:v>
      </x:c>
      <x:c r="B813" s="23" t="str">
        <x:v>Train</x:v>
      </x:c>
      <x:c r="C813" s="23" t="str">
        <x:v>Lightning</x:v>
      </x:c>
      <x:c r="D813" s="23" t="n">
        <x:v>1498.0857773101889</x:v>
      </x:c>
      <x:c r="E813" s="23" t="n">
        <x:v>876.8455648329109</x:v>
      </x:c>
      <x:c r="F813" s="23" t="n">
        <x:v>545.2293436042964</x:v>
      </x:c>
      <x:c r="G813" s="23" t="n">
        <x:v>215.99383167456836</x:v>
      </x:c>
      <x:c r="H813" s="23" t="n">
        <x:v>24.86828916100785</x:v>
      </x:c>
      <x:c r="I813" s="23" t="n">
        <x:v>0.847938433624804</x:v>
      </x:c>
      <x:c r="J813" s="23" t="n">
        <x:v>9</x:v>
      </x:c>
      <x:c r="K813" s="23" t="n">
        <x:v>196.304317219262</x:v>
      </x:c>
      <x:c r="L813" s="23" t="n">
        <x:v>45</x:v>
      </x:c>
      <x:c r="M813" s="23" t="n">
        <x:v>25</x:v>
      </x:c>
      <x:c r="N813" s="23" t="n">
        <x:v>1.22942304475735</x:v>
      </x:c>
      <x:c r="O813" s="23" t="n">
        <x:v>52.230415868301925</x:v>
      </x:c>
      <x:c r="P813" s="23" t="n">
        <x:v>1498.0857773101889</x:v>
      </x:c>
      <x:c r="Q813" s="23" t="n">
        <x:v>1.215611384457877</x:v>
      </x:c>
      <x:c r="R813" s="23" t="n">
        <x:v>51.21889641066875</x:v>
      </x:c>
      <x:c r="S813" s="23" t="n">
        <x:v>1482.150549031567</x:v>
      </x:c>
      <x:c r="T813" s="23" t="n">
        <x:v>-0.013811660299472894</x:v>
      </x:c>
      <x:c r="U813" s="23" t="n">
        <x:v>-1.0115194576331774</x:v>
      </x:c>
      <x:c r="V813" s="23" t="n">
        <x:v>-15.935228278621935</x:v>
      </x:c>
    </x:row>
    <x:row r="814">
      <x:c r="A814" s="23" t="n">
        <x:v>813</x:v>
      </x:c>
      <x:c r="B814" s="23" t="str">
        <x:v>Train</x:v>
      </x:c>
      <x:c r="C814" s="23" t="str">
        <x:v>Lightning</x:v>
      </x:c>
      <x:c r="D814" s="23" t="n">
        <x:v>1373.9349616225809</x:v>
      </x:c>
      <x:c r="E814" s="23" t="n">
        <x:v>935.4217636282556</x:v>
      </x:c>
      <x:c r="F814" s="23" t="n">
        <x:v>697.4138488993049</x:v>
      </x:c>
      <x:c r="G814" s="23" t="n">
        <x:v>287.04144035698846</x:v>
      </x:c>
      <x:c r="H814" s="23" t="n">
        <x:v>26.70239442959428</x:v>
      </x:c>
      <x:c r="I814" s="23" t="n">
        <x:v>0.8354408685141244</x:v>
      </x:c>
      <x:c r="J814" s="23" t="n">
        <x:v>9</x:v>
      </x:c>
      <x:c r="K814" s="23" t="n">
        <x:v>182.72919835942383</x:v>
      </x:c>
      <x:c r="L814" s="23" t="n">
        <x:v>35</x:v>
      </x:c>
      <x:c r="M814" s="23" t="n">
        <x:v>25</x:v>
      </x:c>
      <x:c r="N814" s="23" t="n">
        <x:v>1.173642306653659</x:v>
      </x:c>
      <x:c r="O814" s="23" t="n">
        <x:v>52.274356829471024</x:v>
      </x:c>
      <x:c r="P814" s="23" t="n">
        <x:v>1373.9349616225809</x:v>
      </x:c>
      <x:c r="Q814" s="23" t="n">
        <x:v>1.1731112383910745</x:v>
      </x:c>
      <x:c r="R814" s="23" t="n">
        <x:v>51.63451402734151</x:v>
      </x:c>
      <x:c r="S814" s="23" t="n">
        <x:v>1363.1071640732196</x:v>
      </x:c>
      <x:c r="T814" s="23" t="n">
        <x:v>-0.0005310682625845331</x:v>
      </x:c>
      <x:c r="U814" s="23" t="n">
        <x:v>-0.6398428021295146</x:v>
      </x:c>
      <x:c r="V814" s="23" t="n">
        <x:v>-10.827797549361321</x:v>
      </x:c>
    </x:row>
    <x:row r="815">
      <x:c r="A815" s="23" t="n">
        <x:v>814</x:v>
      </x:c>
      <x:c r="B815" s="23" t="str">
        <x:v>Train</x:v>
      </x:c>
      <x:c r="C815" s="23" t="str">
        <x:v>Lightning</x:v>
      </x:c>
      <x:c r="D815" s="23" t="n">
        <x:v>1472.8083660942502</x:v>
      </x:c>
      <x:c r="E815" s="23" t="n">
        <x:v>734.260653774254</x:v>
      </x:c>
      <x:c r="F815" s="23" t="n">
        <x:v>730.4109369404614</x:v>
      </x:c>
      <x:c r="G815" s="23" t="n">
        <x:v>85.77375665307045</x:v>
      </x:c>
      <x:c r="H815" s="23" t="n">
        <x:v>18.67527518654242</x:v>
      </x:c>
      <x:c r="I815" s="23" t="n">
        <x:v>0.8588016474945471</x:v>
      </x:c>
      <x:c r="J815" s="23" t="n">
        <x:v>9</x:v>
      </x:c>
      <x:c r="K815" s="23" t="n">
        <x:v>190.5508384711282</x:v>
      </x:c>
      <x:c r="L815" s="23" t="n">
        <x:v>50</x:v>
      </x:c>
      <x:c r="M815" s="23" t="n">
        <x:v>25</x:v>
      </x:c>
      <x:c r="N815" s="23" t="n">
        <x:v>1.2487908272035488</x:v>
      </x:c>
      <x:c r="O815" s="23" t="n">
        <x:v>52.21675319078832</x:v>
      </x:c>
      <x:c r="P815" s="23" t="n">
        <x:v>1472.8083660942502</x:v>
      </x:c>
      <x:c r="Q815" s="23" t="n">
        <x:v>1.2526288807361157</x:v>
      </x:c>
      <x:c r="R815" s="23" t="n">
        <x:v>51.217845179276345</x:v>
      </x:c>
      <x:c r="S815" s="23" t="n">
        <x:v>1473.8206872405754</x:v>
      </x:c>
      <x:c r="T815" s="23" t="n">
        <x:v>0.003838053532566832</x:v>
      </x:c>
      <x:c r="U815" s="23" t="n">
        <x:v>-0.998908011511972</x:v>
      </x:c>
      <x:c r="V815" s="23" t="n">
        <x:v>1.012321146325121</x:v>
      </x:c>
    </x:row>
    <x:row r="816">
      <x:c r="A816" s="23" t="n">
        <x:v>815</x:v>
      </x:c>
      <x:c r="B816" s="23" t="str">
        <x:v>Validation</x:v>
      </x:c>
      <x:c r="C816" s="23" t="str">
        <x:v>Lightning</x:v>
      </x:c>
      <x:c r="D816" s="23" t="n">
        <x:v>1360.6225738534704</x:v>
      </x:c>
      <x:c r="E816" s="23" t="n">
        <x:v>708.9991227840073</x:v>
      </x:c>
      <x:c r="F816" s="23" t="n">
        <x:v>361.25921979546547</x:v>
      </x:c>
      <x:c r="G816" s="23" t="n">
        <x:v>172.03577268635854</x:v>
      </x:c>
      <x:c r="H816" s="23" t="n">
        <x:v>21.512202366255224</x:v>
      </x:c>
      <x:c r="I816" s="23" t="n">
        <x:v>0.8276637748419308</x:v>
      </x:c>
      <x:c r="J816" s="23" t="n">
        <x:v>9</x:v>
      </x:c>
      <x:c r="K816" s="23" t="n">
        <x:v>182.659058640801</x:v>
      </x:c>
      <x:c r="L816" s="23" t="n">
        <x:v>60</x:v>
      </x:c>
      <x:c r="M816" s="23" t="n">
        <x:v>25</x:v>
      </x:c>
      <x:c r="N816" s="23" t="n">
        <x:v>1.2005847446992357</x:v>
      </x:c>
      <x:c r="O816" s="23" t="n">
        <x:v>52.16870470992282</x:v>
      </x:c>
      <x:c r="P816" s="23" t="n">
        <x:v>1360.6225738534704</x:v>
      </x:c>
      <x:c r="Q816" s="23" t="n">
        <x:v>1.1882296025412291</x:v>
      </x:c>
      <x:c r="R816" s="23" t="n">
        <x:v>51.93684682759108</x:v>
      </x:c>
      <x:c r="S816" s="23" t="n">
        <x:v>1360.9626459073872</x:v>
      </x:c>
      <x:c r="T816" s="23" t="n">
        <x:v>-0.012355142158006593</x:v>
      </x:c>
      <x:c r="U816" s="23" t="n">
        <x:v>-0.2318578823317381</x:v>
      </x:c>
      <x:c r="V816" s="23" t="n">
        <x:v>0.340072053916856</x:v>
      </x:c>
    </x:row>
    <x:row r="817">
      <x:c r="A817" s="23" t="n">
        <x:v>816</x:v>
      </x:c>
      <x:c r="B817" s="23" t="str">
        <x:v>Validation</x:v>
      </x:c>
      <x:c r="C817" s="23" t="str">
        <x:v>Lightning</x:v>
      </x:c>
      <x:c r="D817" s="23" t="n">
        <x:v>1450.6841961177997</x:v>
      </x:c>
      <x:c r="E817" s="23" t="n">
        <x:v>1236.7970982566476</x:v>
      </x:c>
      <x:c r="F817" s="23" t="n">
        <x:v>407.4891253374517</x:v>
      </x:c>
      <x:c r="G817" s="23" t="n">
        <x:v>192.98719432670623</x:v>
      </x:c>
      <x:c r="H817" s="23" t="n">
        <x:v>14.041521543171257</x:v>
      </x:c>
      <x:c r="I817" s="23" t="n">
        <x:v>0.7990368171688169</x:v>
      </x:c>
      <x:c r="J817" s="23" t="n">
        <x:v>10</x:v>
      </x:c>
      <x:c r="K817" s="23" t="n">
        <x:v>181.55411176895814</x:v>
      </x:c>
      <x:c r="L817" s="23" t="n">
        <x:v>35</x:v>
      </x:c>
      <x:c r="M817" s="23" t="n">
        <x:v>25</x:v>
      </x:c>
      <x:c r="N817" s="23" t="n">
        <x:v>1.1546006734116576</x:v>
      </x:c>
      <x:c r="O817" s="23" t="n">
        <x:v>52.293307619654776</x:v>
      </x:c>
      <x:c r="P817" s="23" t="n">
        <x:v>1450.6841961177997</x:v>
      </x:c>
      <x:c r="Q817" s="23" t="n">
        <x:v>1.153939269499616</x:v>
      </x:c>
      <x:c r="R817" s="23" t="n">
        <x:v>53.52712790572982</x:v>
      </x:c>
      <x:c r="S817" s="23" t="n">
        <x:v>1458.7812700722739</x:v>
      </x:c>
      <x:c r="T817" s="23" t="n">
        <x:v>-0.0006614039120416138</x:v>
      </x:c>
      <x:c r="U817" s="23" t="n">
        <x:v>1.2338202860750442</x:v>
      </x:c>
      <x:c r="V817" s="23" t="n">
        <x:v>8.097073954474126</x:v>
      </x:c>
    </x:row>
    <x:row r="818">
      <x:c r="A818" s="23" t="n">
        <x:v>817</x:v>
      </x:c>
      <x:c r="B818" s="23" t="str">
        <x:v>Validation</x:v>
      </x:c>
      <x:c r="C818" s="23" t="str">
        <x:v>Lightning</x:v>
      </x:c>
      <x:c r="D818" s="23" t="n">
        <x:v>1391.785850096494</x:v>
      </x:c>
      <x:c r="E818" s="23" t="n">
        <x:v>1152.6822709827684</x:v>
      </x:c>
      <x:c r="F818" s="23" t="n">
        <x:v>448.8010922446847</x:v>
      </x:c>
      <x:c r="G818" s="23" t="n">
        <x:v>194.059858082328</x:v>
      </x:c>
      <x:c r="H818" s="23" t="n">
        <x:v>11.897650258615613</x:v>
      </x:c>
      <x:c r="I818" s="23" t="n">
        <x:v>0.8138325104047545</x:v>
      </x:c>
      <x:c r="J818" s="23" t="n">
        <x:v>9</x:v>
      </x:c>
      <x:c r="K818" s="23" t="n">
        <x:v>190.01805685549857</x:v>
      </x:c>
      <x:c r="L818" s="23" t="n">
        <x:v>40</x:v>
      </x:c>
      <x:c r="M818" s="23" t="n">
        <x:v>25</x:v>
      </x:c>
      <x:c r="N818" s="23" t="n">
        <x:v>1.146396411961298</x:v>
      </x:c>
      <x:c r="O818" s="23" t="n">
        <x:v>52.25497007678272</x:v>
      </x:c>
      <x:c r="P818" s="23" t="n">
        <x:v>1391.785850096494</x:v>
      </x:c>
      <x:c r="Q818" s="23" t="n">
        <x:v>1.1642619232043796</x:v>
      </x:c>
      <x:c r="R818" s="23" t="n">
        <x:v>52.97977528930423</x:v>
      </x:c>
      <x:c r="S818" s="23" t="n">
        <x:v>1398.616959668145</x:v>
      </x:c>
      <x:c r="T818" s="23" t="n">
        <x:v>0.017865511243081666</x:v>
      </x:c>
      <x:c r="U818" s="23" t="n">
        <x:v>0.7248052125215096</x:v>
      </x:c>
      <x:c r="V818" s="23" t="n">
        <x:v>6.831109571651041</x:v>
      </x:c>
    </x:row>
    <x:row r="819">
      <x:c r="A819" s="23" t="n">
        <x:v>818</x:v>
      </x:c>
      <x:c r="B819" s="23" t="str">
        <x:v>Hidden Test</x:v>
      </x:c>
      <x:c r="C819" s="23" t="str">
        <x:v>Lightning</x:v>
      </x:c>
      <x:c r="D819" s="23" t="n">
        <x:v>1481.5146512934007</x:v>
      </x:c>
      <x:c r="E819" s="23" t="n">
        <x:v>861.5354893030599</x:v>
      </x:c>
      <x:c r="F819" s="23" t="n">
        <x:v>481.5546819008887</x:v>
      </x:c>
      <x:c r="G819" s="23" t="n">
        <x:v>174.57391616888344</x:v>
      </x:c>
      <x:c r="H819" s="23" t="n">
        <x:v>26.200864345300943</x:v>
      </x:c>
      <x:c r="I819" s="23" t="n">
        <x:v>0.8438295464450494</x:v>
      </x:c>
      <x:c r="J819" s="23" t="n">
        <x:v>9</x:v>
      </x:c>
      <x:c r="K819" s="23" t="n">
        <x:v>195.07818815552668</x:v>
      </x:c>
      <x:c r="L819" s="23" t="n">
        <x:v>45</x:v>
      </x:c>
      <x:c r="M819" s="23" t="n">
        <x:v>25</x:v>
      </x:c>
      <x:c r="N819" s="23" t="n">
        <x:v>1.1536421912389907</x:v>
      </x:c>
      <x:c r="O819" s="23" t="n">
        <x:v>52.21164177282361</x:v>
      </x:c>
      <x:c r="P819" s="23" t="n">
        <x:v>1481.5146512934007</x:v>
      </x:c>
      <x:c r="Q819" s="23" t="n">
        <x:v>1.137789843827173</x:v>
      </x:c>
      <x:c r="R819" s="23" t="n">
        <x:v>51.58185285600307</x:v>
      </x:c>
      <x:c r="S819" s="23" t="n">
        <x:v>1468.5928810791409</x:v>
      </x:c>
      <x:c r="T819" s="23" t="n">
        <x:v>-0.015852347411817735</x:v>
      </x:c>
      <x:c r="U819" s="23" t="n">
        <x:v>-0.6297889168205444</x:v>
      </x:c>
      <x:c r="V819" s="23" t="n">
        <x:v>-12.921770214259823</x:v>
      </x:c>
    </x:row>
    <x:row r="820">
      <x:c r="A820" s="23" t="n">
        <x:v>819</x:v>
      </x:c>
      <x:c r="B820" s="23" t="str">
        <x:v>Hidden Test</x:v>
      </x:c>
      <x:c r="C820" s="23" t="str">
        <x:v>Lightning</x:v>
      </x:c>
      <x:c r="D820" s="23" t="n">
        <x:v>1476.3507215073332</x:v>
      </x:c>
      <x:c r="E820" s="23" t="n">
        <x:v>687.217822263483</x:v>
      </x:c>
      <x:c r="F820" s="23" t="n">
        <x:v>472.4906500428915</x:v>
      </x:c>
      <x:c r="G820" s="23" t="n">
        <x:v>107.30614569736645</x:v>
      </x:c>
      <x:c r="H820" s="23" t="n">
        <x:v>14.264183384366333</x:v>
      </x:c>
      <x:c r="I820" s="23" t="n">
        <x:v>0.8442225020076148</x:v>
      </x:c>
      <x:c r="J820" s="23" t="n">
        <x:v>9</x:v>
      </x:c>
      <x:c r="K820" s="23" t="n">
        <x:v>194.30774312017894</x:v>
      </x:c>
      <x:c r="L820" s="23" t="n">
        <x:v>60</x:v>
      </x:c>
      <x:c r="M820" s="23" t="n">
        <x:v>25</x:v>
      </x:c>
      <x:c r="N820" s="23" t="n">
        <x:v>1.1964654320543209</x:v>
      </x:c>
      <x:c r="O820" s="23" t="n">
        <x:v>52.17255925431223</x:v>
      </x:c>
      <x:c r="P820" s="23" t="n">
        <x:v>1476.3507215073332</x:v>
      </x:c>
      <x:c r="Q820" s="23" t="n">
        <x:v>1.1861039106887383</x:v>
      </x:c>
      <x:c r="R820" s="23" t="n">
        <x:v>51.79787721202366</x:v>
      </x:c>
      <x:c r="S820" s="23" t="n">
        <x:v>1497.8649970809652</x:v>
      </x:c>
      <x:c r="T820" s="23" t="n">
        <x:v>-0.010361521365582549</x:v>
      </x:c>
      <x:c r="U820" s="23" t="n">
        <x:v>-0.37468204228857616</x:v>
      </x:c>
      <x:c r="V820" s="23" t="n">
        <x:v>21.51427557363195</x:v>
      </x:c>
    </x:row>
    <x:row r="821">
      <x:c r="A821" s="23" t="n">
        <x:v>820</x:v>
      </x:c>
      <x:c r="B821" s="23" t="str">
        <x:v>Hidden Test</x:v>
      </x:c>
      <x:c r="C821" s="23" t="str">
        <x:v>Lightning</x:v>
      </x:c>
      <x:c r="D821" s="23" t="n">
        <x:v>1495.611386129167</x:v>
      </x:c>
      <x:c r="E821" s="23" t="n">
        <x:v>937.5963392201811</x:v>
      </x:c>
      <x:c r="F821" s="23" t="n">
        <x:v>565.3751718811691</x:v>
      </x:c>
      <x:c r="G821" s="23" t="n">
        <x:v>237.75168256368488</x:v>
      </x:c>
      <x:c r="H821" s="23" t="n">
        <x:v>23.70239534927532</x:v>
      </x:c>
      <x:c r="I821" s="23" t="n">
        <x:v>0.7925844251550734</x:v>
      </x:c>
      <x:c r="J821" s="23" t="n">
        <x:v>10</x:v>
      </x:c>
      <x:c r="K821" s="23" t="n">
        <x:v>188.7005773342748</x:v>
      </x:c>
      <x:c r="L821" s="23" t="n">
        <x:v>35</x:v>
      </x:c>
      <x:c r="M821" s="23" t="n">
        <x:v>25</x:v>
      </x:c>
      <x:c r="N821" s="23" t="n">
        <x:v>1.150165305441306</x:v>
      </x:c>
      <x:c r="O821" s="23" t="n">
        <x:v>52.276580293302466</x:v>
      </x:c>
      <x:c r="P821" s="23" t="n">
        <x:v>1495.611386129167</x:v>
      </x:c>
      <x:c r="Q821" s="23" t="n">
        <x:v>1.1393258634173802</x:v>
      </x:c>
      <x:c r="R821" s="23" t="n">
        <x:v>53.00256151931649</x:v>
      </x:c>
      <x:c r="S821" s="23" t="n">
        <x:v>1479.7898383506913</x:v>
      </x:c>
      <x:c r="T821" s="23" t="n">
        <x:v>-0.010839442023925727</x:v>
      </x:c>
      <x:c r="U821" s="23" t="n">
        <x:v>0.7259812260140208</x:v>
      </x:c>
      <x:c r="V821" s="23" t="n">
        <x:v>-15.821547778475633</x:v>
      </x:c>
    </x:row>
    <x:row r="822">
      <x:c r="A822" s="23" t="n">
        <x:v>821</x:v>
      </x:c>
      <x:c r="B822" s="23" t="str">
        <x:v>Train</x:v>
      </x:c>
      <x:c r="C822" s="23" t="str">
        <x:v>Lightning</x:v>
      </x:c>
      <x:c r="D822" s="23" t="n">
        <x:v>1360.5928082484752</x:v>
      </x:c>
      <x:c r="E822" s="23" t="n">
        <x:v>1161.4266194286756</x:v>
      </x:c>
      <x:c r="F822" s="23" t="n">
        <x:v>686.7068914696574</x:v>
      </x:c>
      <x:c r="G822" s="23" t="n">
        <x:v>288.0942004104145</x:v>
      </x:c>
      <x:c r="H822" s="23" t="n">
        <x:v>13.100052177906036</x:v>
      </x:c>
      <x:c r="I822" s="23" t="n">
        <x:v>0.8140065777883865</x:v>
      </x:c>
      <x:c r="J822" s="23" t="n">
        <x:v>9</x:v>
      </x:c>
      <x:c r="K822" s="23" t="n">
        <x:v>185.7196032801295</x:v>
      </x:c>
      <x:c r="L822" s="23" t="n">
        <x:v>35</x:v>
      </x:c>
      <x:c r="M822" s="23" t="n">
        <x:v>25</x:v>
      </x:c>
      <x:c r="N822" s="23" t="n">
        <x:v>1.207459580790758</x:v>
      </x:c>
      <x:c r="O822" s="23" t="n">
        <x:v>52.30809130588581</x:v>
      </x:c>
      <x:c r="P822" s="23" t="n">
        <x:v>1360.5928082484752</x:v>
      </x:c>
      <x:c r="Q822" s="23" t="n">
        <x:v>1.2348354358176885</x:v>
      </x:c>
      <x:c r="R822" s="23" t="n">
        <x:v>53.02963750229133</x:v>
      </x:c>
      <x:c r="S822" s="23" t="n">
        <x:v>1352.0080042979444</x:v>
      </x:c>
      <x:c r="T822" s="23" t="n">
        <x:v>0.027375855026930518</x:v>
      </x:c>
      <x:c r="U822" s="23" t="n">
        <x:v>0.7215461964055194</x:v>
      </x:c>
      <x:c r="V822" s="23" t="n">
        <x:v>-8.58480395053084</x:v>
      </x:c>
    </x:row>
    <x:row r="823">
      <x:c r="A823" s="23" t="n">
        <x:v>822</x:v>
      </x:c>
      <x:c r="B823" s="23" t="str">
        <x:v>Train</x:v>
      </x:c>
      <x:c r="C823" s="23" t="str">
        <x:v>Lightning</x:v>
      </x:c>
      <x:c r="D823" s="23" t="n">
        <x:v>1487.9835472558625</x:v>
      </x:c>
      <x:c r="E823" s="23" t="n">
        <x:v>1030.7604620000347</x:v>
      </x:c>
      <x:c r="F823" s="23" t="n">
        <x:v>726.2798708863556</x:v>
      </x:c>
      <x:c r="G823" s="23" t="n">
        <x:v>171.57143766060472</x:v>
      </x:c>
      <x:c r="H823" s="23" t="n">
        <x:v>8.553432992193848</x:v>
      </x:c>
      <x:c r="I823" s="23" t="n">
        <x:v>0.7971426309412346</x:v>
      </x:c>
      <x:c r="J823" s="23" t="n">
        <x:v>10</x:v>
      </x:c>
      <x:c r="K823" s="23" t="n">
        <x:v>186.66465567133326</x:v>
      </x:c>
      <x:c r="L823" s="23" t="n">
        <x:v>35</x:v>
      </x:c>
      <x:c r="M823" s="23" t="n">
        <x:v>25</x:v>
      </x:c>
      <x:c r="N823" s="23" t="n">
        <x:v>1.1771838062753754</x:v>
      </x:c>
      <x:c r="O823" s="23" t="n">
        <x:v>52.30913198924727</x:v>
      </x:c>
      <x:c r="P823" s="23" t="n">
        <x:v>1487.9835472558625</x:v>
      </x:c>
      <x:c r="Q823" s="23" t="n">
        <x:v>1.1871759584263695</x:v>
      </x:c>
      <x:c r="R823" s="23" t="n">
        <x:v>51.82486000778551</x:v>
      </x:c>
      <x:c r="S823" s="23" t="n">
        <x:v>1483.9031790585786</x:v>
      </x:c>
      <x:c r="T823" s="23" t="n">
        <x:v>0.009992152150994027</x:v>
      </x:c>
      <x:c r="U823" s="23" t="n">
        <x:v>-0.48427198146175954</x:v>
      </x:c>
      <x:c r="V823" s="23" t="n">
        <x:v>-4.08036819728386</x:v>
      </x:c>
    </x:row>
    <x:row r="824">
      <x:c r="A824" s="23" t="n">
        <x:v>823</x:v>
      </x:c>
      <x:c r="B824" s="23" t="str">
        <x:v>Train</x:v>
      </x:c>
      <x:c r="C824" s="23" t="str">
        <x:v>Lightning</x:v>
      </x:c>
      <x:c r="D824" s="23" t="n">
        <x:v>1398.9964702399448</x:v>
      </x:c>
      <x:c r="E824" s="23" t="n">
        <x:v>1185.157473210711</x:v>
      </x:c>
      <x:c r="F824" s="23" t="n">
        <x:v>747.8709176182747</x:v>
      </x:c>
      <x:c r="G824" s="23" t="n">
        <x:v>194.7348423837684</x:v>
      </x:c>
      <x:c r="H824" s="23" t="n">
        <x:v>14.383153508417308</x:v>
      </x:c>
      <x:c r="I824" s="23" t="n">
        <x:v>0.7956862072995864</x:v>
      </x:c>
      <x:c r="J824" s="23" t="n">
        <x:v>9</x:v>
      </x:c>
      <x:c r="K824" s="23" t="n">
        <x:v>195.3584853210306</x:v>
      </x:c>
      <x:c r="L824" s="23" t="n">
        <x:v>35</x:v>
      </x:c>
      <x:c r="M824" s="23" t="n">
        <x:v>25</x:v>
      </x:c>
      <x:c r="N824" s="23" t="n">
        <x:v>1.2108810406896917</x:v>
      </x:c>
      <x:c r="O824" s="23" t="n">
        <x:v>52.30677148213869</x:v>
      </x:c>
      <x:c r="P824" s="23" t="n">
        <x:v>1398.9964702399448</x:v>
      </x:c>
      <x:c r="Q824" s="23" t="n">
        <x:v>1.2177533706646892</x:v>
      </x:c>
      <x:c r="R824" s="23" t="n">
        <x:v>53.17846218643311</x:v>
      </x:c>
      <x:c r="S824" s="23" t="n">
        <x:v>1386.378831664925</x:v>
      </x:c>
      <x:c r="T824" s="23" t="n">
        <x:v>0.0068723299749975375</x:v>
      </x:c>
      <x:c r="U824" s="23" t="n">
        <x:v>0.8716907042944158</x:v>
      </x:c>
      <x:c r="V824" s="23" t="n">
        <x:v>-12.617638575019782</x:v>
      </x:c>
    </x:row>
    <x:row r="825">
      <x:c r="A825" s="23" t="n">
        <x:v>824</x:v>
      </x:c>
      <x:c r="B825" s="23" t="str">
        <x:v>Train</x:v>
      </x:c>
      <x:c r="C825" s="23" t="str">
        <x:v>Lightning</x:v>
      </x:c>
      <x:c r="D825" s="23" t="n">
        <x:v>1389.9662486161105</x:v>
      </x:c>
      <x:c r="E825" s="23" t="n">
        <x:v>623.347685020417</x:v>
      </x:c>
      <x:c r="F825" s="23" t="n">
        <x:v>416.98633348569274</x:v>
      </x:c>
      <x:c r="G825" s="23" t="n">
        <x:v>155.73278865311295</x:v>
      </x:c>
      <x:c r="H825" s="23" t="n">
        <x:v>23.75638381158933</x:v>
      </x:c>
      <x:c r="I825" s="23" t="n">
        <x:v>0.8471374399680645</x:v>
      </x:c>
      <x:c r="J825" s="23" t="n">
        <x:v>9</x:v>
      </x:c>
      <x:c r="K825" s="23" t="n">
        <x:v>182.30889936407613</x:v>
      </x:c>
      <x:c r="L825" s="23" t="n">
        <x:v>60</x:v>
      </x:c>
      <x:c r="M825" s="23" t="n">
        <x:v>25</x:v>
      </x:c>
      <x:c r="N825" s="23" t="n">
        <x:v>1.1668406766929307</x:v>
      </x:c>
      <x:c r="O825" s="23" t="n">
        <x:v>52.16149671690629</x:v>
      </x:c>
      <x:c r="P825" s="23" t="n">
        <x:v>1389.9662486161105</x:v>
      </x:c>
      <x:c r="Q825" s="23" t="n">
        <x:v>1.1490890800116125</x:v>
      </x:c>
      <x:c r="R825" s="23" t="n">
        <x:v>52.31573891166558</x:v>
      </x:c>
      <x:c r="S825" s="23" t="n">
        <x:v>1396.1599279853442</x:v>
      </x:c>
      <x:c r="T825" s="23" t="n">
        <x:v>-0.017751596681318205</x:v>
      </x:c>
      <x:c r="U825" s="23" t="n">
        <x:v>0.15424219475929135</x:v>
      </x:c>
      <x:c r="V825" s="23" t="n">
        <x:v>6.193679369233678</x:v>
      </x:c>
    </x:row>
    <x:row r="826">
      <x:c r="A826" s="23" t="n">
        <x:v>825</x:v>
      </x:c>
      <x:c r="B826" s="23" t="str">
        <x:v>Train</x:v>
      </x:c>
      <x:c r="C826" s="23" t="str">
        <x:v>Lightning</x:v>
      </x:c>
      <x:c r="D826" s="23" t="n">
        <x:v>1415.927303954959</x:v>
      </x:c>
      <x:c r="E826" s="23" t="n">
        <x:v>951.1119036353193</x:v>
      </x:c>
      <x:c r="F826" s="23" t="n">
        <x:v>469.90323830395937</x:v>
      </x:c>
      <x:c r="G826" s="23" t="n">
        <x:v>100.10317944223061</x:v>
      </x:c>
      <x:c r="H826" s="23" t="n">
        <x:v>12.732470346614718</x:v>
      </x:c>
      <x:c r="I826" s="23" t="n">
        <x:v>0.7912637999397703</x:v>
      </x:c>
      <x:c r="J826" s="23" t="n">
        <x:v>9</x:v>
      </x:c>
      <x:c r="K826" s="23" t="n">
        <x:v>198.82781950465923</x:v>
      </x:c>
      <x:c r="L826" s="23" t="n">
        <x:v>50</x:v>
      </x:c>
      <x:c r="M826" s="23" t="n">
        <x:v>25</x:v>
      </x:c>
      <x:c r="N826" s="23" t="n">
        <x:v>1.2007331085410746</x:v>
      </x:c>
      <x:c r="O826" s="23" t="n">
        <x:v>52.212180374261415</x:v>
      </x:c>
      <x:c r="P826" s="23" t="n">
        <x:v>1415.927303954959</x:v>
      </x:c>
      <x:c r="Q826" s="23" t="n">
        <x:v>1.1924384958780871</x:v>
      </x:c>
      <x:c r="R826" s="23" t="n">
        <x:v>52.801554369689924</x:v>
      </x:c>
      <x:c r="S826" s="23" t="n">
        <x:v>1420.527203095915</x:v>
      </x:c>
      <x:c r="T826" s="23" t="n">
        <x:v>-0.008294612662987477</x:v>
      </x:c>
      <x:c r="U826" s="23" t="n">
        <x:v>0.5893739954285095</x:v>
      </x:c>
      <x:c r="V826" s="23" t="n">
        <x:v>4.59989914095604</x:v>
      </x:c>
    </x:row>
    <x:row r="827">
      <x:c r="A827" s="23" t="n">
        <x:v>826</x:v>
      </x:c>
      <x:c r="B827" s="23" t="str">
        <x:v>Train</x:v>
      </x:c>
      <x:c r="C827" s="23" t="str">
        <x:v>Lightning</x:v>
      </x:c>
      <x:c r="D827" s="23" t="n">
        <x:v>1433.0205249250866</x:v>
      </x:c>
      <x:c r="E827" s="23" t="n">
        <x:v>706.8648783722892</x:v>
      </x:c>
      <x:c r="F827" s="23" t="n">
        <x:v>605.456502828747</x:v>
      </x:c>
      <x:c r="G827" s="23" t="n">
        <x:v>223.623880809173</x:v>
      </x:c>
      <x:c r="H827" s="23" t="n">
        <x:v>16.731437605340034</x:v>
      </x:c>
      <x:c r="I827" s="23" t="n">
        <x:v>0.8452793946163729</x:v>
      </x:c>
      <x:c r="J827" s="23" t="n">
        <x:v>9</x:v>
      </x:c>
      <x:c r="K827" s="23" t="n">
        <x:v>188.36908102050393</x:v>
      </x:c>
      <x:c r="L827" s="23" t="n">
        <x:v>50</x:v>
      </x:c>
      <x:c r="M827" s="23" t="n">
        <x:v>25</x:v>
      </x:c>
      <x:c r="N827" s="23" t="n">
        <x:v>1.2294306125066394</x:v>
      </x:c>
      <x:c r="O827" s="23" t="n">
        <x:v>52.214492264978944</x:v>
      </x:c>
      <x:c r="P827" s="23" t="n">
        <x:v>1433.0205249250866</x:v>
      </x:c>
      <x:c r="Q827" s="23" t="n">
        <x:v>1.217665532920708</x:v>
      </x:c>
      <x:c r="R827" s="23" t="n">
        <x:v>51.62928204637001</x:v>
      </x:c>
      <x:c r="S827" s="23" t="n">
        <x:v>1440.6161061625176</x:v>
      </x:c>
      <x:c r="T827" s="23" t="n">
        <x:v>-0.011765079585931426</x:v>
      </x:c>
      <x:c r="U827" s="23" t="n">
        <x:v>-0.5852102186089354</x:v>
      </x:c>
      <x:c r="V827" s="23" t="n">
        <x:v>7.595581237430906</x:v>
      </x:c>
    </x:row>
    <x:row r="828">
      <x:c r="A828" s="23" t="n">
        <x:v>827</x:v>
      </x:c>
      <x:c r="B828" s="23" t="str">
        <x:v>Train</x:v>
      </x:c>
      <x:c r="C828" s="23" t="str">
        <x:v>Lightning</x:v>
      </x:c>
      <x:c r="D828" s="23" t="n">
        <x:v>1453.009442682378</x:v>
      </x:c>
      <x:c r="E828" s="23" t="n">
        <x:v>1154.6280183480121</x:v>
      </x:c>
      <x:c r="F828" s="23" t="n">
        <x:v>722.7291736751795</x:v>
      </x:c>
      <x:c r="G828" s="23" t="n">
        <x:v>281.3992920401506</x:v>
      </x:c>
      <x:c r="H828" s="23" t="n">
        <x:v>26.97281099203974</x:v>
      </x:c>
      <x:c r="I828" s="23" t="n">
        <x:v>0.8199409738439135</x:v>
      </x:c>
      <x:c r="J828" s="23" t="n">
        <x:v>9</x:v>
      </x:c>
      <x:c r="K828" s="23" t="n">
        <x:v>196.8989217291007</x:v>
      </x:c>
      <x:c r="L828" s="23" t="n">
        <x:v>30</x:v>
      </x:c>
      <x:c r="M828" s="23" t="n">
        <x:v>25</x:v>
      </x:c>
      <x:c r="N828" s="23" t="n">
        <x:v>1.1633801360479363</x:v>
      </x:c>
      <x:c r="O828" s="23" t="n">
        <x:v>52.31160410477757</x:v>
      </x:c>
      <x:c r="P828" s="23" t="n">
        <x:v>1453.009442682378</x:v>
      </x:c>
      <x:c r="Q828" s="23" t="n">
        <x:v>1.1698170463168123</x:v>
      </x:c>
      <x:c r="R828" s="23" t="n">
        <x:v>52.09769760066858</x:v>
      </x:c>
      <x:c r="S828" s="23" t="n">
        <x:v>1428.7030350014816</x:v>
      </x:c>
      <x:c r="T828" s="23" t="n">
        <x:v>0.006436910268875939</x:v>
      </x:c>
      <x:c r="U828" s="23" t="n">
        <x:v>-0.2139065041089907</x:v>
      </x:c>
      <x:c r="V828" s="23" t="n">
        <x:v>-24.306407680896427</x:v>
      </x:c>
    </x:row>
    <x:row r="829">
      <x:c r="A829" s="23" t="n">
        <x:v>828</x:v>
      </x:c>
      <x:c r="B829" s="23" t="str">
        <x:v>Train</x:v>
      </x:c>
      <x:c r="C829" s="23" t="str">
        <x:v>Lightning</x:v>
      </x:c>
      <x:c r="D829" s="23" t="n">
        <x:v>1366.2220973870717</x:v>
      </x:c>
      <x:c r="E829" s="23" t="n">
        <x:v>695.608116267249</x:v>
      </x:c>
      <x:c r="F829" s="23" t="n">
        <x:v>444.26087690517306</x:v>
      </x:c>
      <x:c r="G829" s="23" t="n">
        <x:v>130.34860770683736</x:v>
      </x:c>
      <x:c r="H829" s="23" t="n">
        <x:v>14.622899066191167</x:v>
      </x:c>
      <x:c r="I829" s="23" t="n">
        <x:v>0.8099234230816365</x:v>
      </x:c>
      <x:c r="J829" s="23" t="n">
        <x:v>9</x:v>
      </x:c>
      <x:c r="K829" s="23" t="n">
        <x:v>187.4281579456546</x:v>
      </x:c>
      <x:c r="L829" s="23" t="n">
        <x:v>60</x:v>
      </x:c>
      <x:c r="M829" s="23" t="n">
        <x:v>25</x:v>
      </x:c>
      <x:c r="N829" s="23" t="n">
        <x:v>1.200680621764099</x:v>
      </x:c>
      <x:c r="O829" s="23" t="n">
        <x:v>52.173058679417096</x:v>
      </x:c>
      <x:c r="P829" s="23" t="n">
        <x:v>1366.2220973870717</x:v>
      </x:c>
      <x:c r="Q829" s="23" t="n">
        <x:v>1.2064230565345078</x:v>
      </x:c>
      <x:c r="R829" s="23" t="n">
        <x:v>50.90787982977095</x:v>
      </x:c>
      <x:c r="S829" s="23" t="n">
        <x:v>1377.5900172620948</x:v>
      </x:c>
      <x:c r="T829" s="23" t="n">
        <x:v>0.0057424347704087</x:v>
      </x:c>
      <x:c r="U829" s="23" t="n">
        <x:v>-1.2651788496461478</x:v>
      </x:c>
      <x:c r="V829" s="23" t="n">
        <x:v>11.367919875023063</x:v>
      </x:c>
    </x:row>
    <x:row r="830">
      <x:c r="A830" s="23" t="n">
        <x:v>829</x:v>
      </x:c>
      <x:c r="B830" s="23" t="str">
        <x:v>Train</x:v>
      </x:c>
      <x:c r="C830" s="23" t="str">
        <x:v>Lightning</x:v>
      </x:c>
      <x:c r="D830" s="23" t="n">
        <x:v>1383.7689395528287</x:v>
      </x:c>
      <x:c r="E830" s="23" t="n">
        <x:v>944.5839282940142</x:v>
      </x:c>
      <x:c r="F830" s="23" t="n">
        <x:v>514.1155546531081</x:v>
      </x:c>
      <x:c r="G830" s="23" t="n">
        <x:v>166.2725962069817</x:v>
      </x:c>
      <x:c r="H830" s="23" t="n">
        <x:v>25.795220907777548</x:v>
      </x:c>
      <x:c r="I830" s="23" t="n">
        <x:v>0.8386023167171516</x:v>
      </x:c>
      <x:c r="J830" s="23" t="n">
        <x:v>9</x:v>
      </x:c>
      <x:c r="K830" s="23" t="n">
        <x:v>183.3432860007434</x:v>
      </x:c>
      <x:c r="L830" s="23" t="n">
        <x:v>45</x:v>
      </x:c>
      <x:c r="M830" s="23" t="n">
        <x:v>25</x:v>
      </x:c>
      <x:c r="N830" s="23" t="n">
        <x:v>1.2248114223719189</x:v>
      </x:c>
      <x:c r="O830" s="23" t="n">
        <x:v>52.228373771442094</x:v>
      </x:c>
      <x:c r="P830" s="23" t="n">
        <x:v>1383.7689395528287</x:v>
      </x:c>
      <x:c r="Q830" s="23" t="n">
        <x:v>1.213800487568778</x:v>
      </x:c>
      <x:c r="R830" s="23" t="n">
        <x:v>52.048555556328516</x:v>
      </x:c>
      <x:c r="S830" s="23" t="n">
        <x:v>1381.6635657282256</x:v>
      </x:c>
      <x:c r="T830" s="23" t="n">
        <x:v>-0.01101093480314086</x:v>
      </x:c>
      <x:c r="U830" s="23" t="n">
        <x:v>-0.17981821511357765</x:v>
      </x:c>
      <x:c r="V830" s="23" t="n">
        <x:v>-2.1053738246030207</x:v>
      </x:c>
    </x:row>
    <x:row r="831">
      <x:c r="A831" s="23" t="n">
        <x:v>830</x:v>
      </x:c>
      <x:c r="B831" s="23" t="str">
        <x:v>Train</x:v>
      </x:c>
      <x:c r="C831" s="23" t="str">
        <x:v>Lightning</x:v>
      </x:c>
      <x:c r="D831" s="23" t="n">
        <x:v>1445.3527700272389</x:v>
      </x:c>
      <x:c r="E831" s="23" t="n">
        <x:v>621.4057381032035</x:v>
      </x:c>
      <x:c r="F831" s="23" t="n">
        <x:v>435.9448720701039</x:v>
      </x:c>
      <x:c r="G831" s="23" t="n">
        <x:v>256.6310492530465</x:v>
      </x:c>
      <x:c r="H831" s="23" t="n">
        <x:v>17.35219300026074</x:v>
      </x:c>
      <x:c r="I831" s="23" t="n">
        <x:v>0.809877627673559</x:v>
      </x:c>
      <x:c r="J831" s="23" t="n">
        <x:v>9</x:v>
      </x:c>
      <x:c r="K831" s="23" t="n">
        <x:v>198.29508401975568</x:v>
      </x:c>
      <x:c r="L831" s="23" t="n">
        <x:v>55</x:v>
      </x:c>
      <x:c r="M831" s="23" t="n">
        <x:v>25</x:v>
      </x:c>
      <x:c r="N831" s="23" t="n">
        <x:v>1.1570684313364574</x:v>
      </x:c>
      <x:c r="O831" s="23" t="n">
        <x:v>52.17988259024605</x:v>
      </x:c>
      <x:c r="P831" s="23" t="n">
        <x:v>1445.3527700272389</x:v>
      </x:c>
      <x:c r="Q831" s="23" t="n">
        <x:v>1.1621964110888534</x:v>
      </x:c>
      <x:c r="R831" s="23" t="n">
        <x:v>52.20668568722449</x:v>
      </x:c>
      <x:c r="S831" s="23" t="n">
        <x:v>1465.642192047239</x:v>
      </x:c>
      <x:c r="T831" s="23" t="n">
        <x:v>0.005127979752395984</x:v>
      </x:c>
      <x:c r="U831" s="23" t="n">
        <x:v>0.02680309697844052</x:v>
      </x:c>
      <x:c r="V831" s="23" t="n">
        <x:v>20.289422020000075</x:v>
      </x:c>
    </x:row>
    <x:row r="832">
      <x:c r="A832" s="23" t="n">
        <x:v>831</x:v>
      </x:c>
      <x:c r="B832" s="23" t="str">
        <x:v>Train</x:v>
      </x:c>
      <x:c r="C832" s="23" t="str">
        <x:v>Lightning</x:v>
      </x:c>
      <x:c r="D832" s="23" t="n">
        <x:v>1446.196309500374</x:v>
      </x:c>
      <x:c r="E832" s="23" t="n">
        <x:v>1022.4189917673357</x:v>
      </x:c>
      <x:c r="F832" s="23" t="n">
        <x:v>365.8250503242016</x:v>
      </x:c>
      <x:c r="G832" s="23" t="n">
        <x:v>133.94880048697814</x:v>
      </x:c>
      <x:c r="H832" s="23" t="n">
        <x:v>24.38098708447069</x:v>
      </x:c>
      <x:c r="I832" s="23" t="n">
        <x:v>0.8209281444712543</x:v>
      </x:c>
      <x:c r="J832" s="23" t="n">
        <x:v>9</x:v>
      </x:c>
      <x:c r="K832" s="23" t="n">
        <x:v>195.74000467101973</x:v>
      </x:c>
      <x:c r="L832" s="23" t="n">
        <x:v>50</x:v>
      </x:c>
      <x:c r="M832" s="23" t="n">
        <x:v>25</x:v>
      </x:c>
      <x:c r="N832" s="23" t="n">
        <x:v>1.2519301751650163</x:v>
      </x:c>
      <x:c r="O832" s="23" t="n">
        <x:v>52.21234791897905</x:v>
      </x:c>
      <x:c r="P832" s="23" t="n">
        <x:v>1446.196309500374</x:v>
      </x:c>
      <x:c r="Q832" s="23" t="n">
        <x:v>1.2420145114202628</x:v>
      </x:c>
      <x:c r="R832" s="23" t="n">
        <x:v>52.622715600373354</x:v>
      </x:c>
      <x:c r="S832" s="23" t="n">
        <x:v>1445.69517922598</x:v>
      </x:c>
      <x:c r="T832" s="23" t="n">
        <x:v>-0.0099156637447535</x:v>
      </x:c>
      <x:c r="U832" s="23" t="n">
        <x:v>0.41036768139430535</x:v>
      </x:c>
      <x:c r="V832" s="23" t="n">
        <x:v>-0.5011302743939723</x:v>
      </x:c>
    </x:row>
    <x:row r="833">
      <x:c r="A833" s="23" t="n">
        <x:v>832</x:v>
      </x:c>
      <x:c r="B833" s="23" t="str">
        <x:v>Train</x:v>
      </x:c>
      <x:c r="C833" s="23" t="str">
        <x:v>Lightning</x:v>
      </x:c>
      <x:c r="D833" s="23" t="n">
        <x:v>1376.8891343730502</x:v>
      </x:c>
      <x:c r="E833" s="23" t="n">
        <x:v>911.1441548913717</x:v>
      </x:c>
      <x:c r="F833" s="23" t="n">
        <x:v>582.5321494601667</x:v>
      </x:c>
      <x:c r="G833" s="23" t="n">
        <x:v>124.06710818875581</x:v>
      </x:c>
      <x:c r="H833" s="23" t="n">
        <x:v>17.880189613904804</x:v>
      </x:c>
      <x:c r="I833" s="23" t="n">
        <x:v>0.8339427554886789</x:v>
      </x:c>
      <x:c r="J833" s="23" t="n">
        <x:v>9</x:v>
      </x:c>
      <x:c r="K833" s="23" t="n">
        <x:v>183.45105894871276</x:v>
      </x:c>
      <x:c r="L833" s="23" t="n">
        <x:v>45</x:v>
      </x:c>
      <x:c r="M833" s="23" t="n">
        <x:v>25</x:v>
      </x:c>
      <x:c r="N833" s="23" t="n">
        <x:v>1.182735807690965</x:v>
      </x:c>
      <x:c r="O833" s="23" t="n">
        <x:v>52.227246641600345</x:v>
      </x:c>
      <x:c r="P833" s="23" t="n">
        <x:v>1376.8891343730502</x:v>
      </x:c>
      <x:c r="Q833" s="23" t="n">
        <x:v>1.1936587493533541</x:v>
      </x:c>
      <x:c r="R833" s="23" t="n">
        <x:v>52.1676611542623</x:v>
      </x:c>
      <x:c r="S833" s="23" t="n">
        <x:v>1377.5426099386218</x:v>
      </x:c>
      <x:c r="T833" s="23" t="n">
        <x:v>0.010922941662389052</x:v>
      </x:c>
      <x:c r="U833" s="23" t="n">
        <x:v>-0.05958548733804747</x:v>
      </x:c>
      <x:c r="V833" s="23" t="n">
        <x:v>0.6534755655716253</x:v>
      </x:c>
    </x:row>
    <x:row r="834">
      <x:c r="A834" s="23" t="n">
        <x:v>833</x:v>
      </x:c>
      <x:c r="B834" s="23" t="str">
        <x:v>Train</x:v>
      </x:c>
      <x:c r="C834" s="23" t="str">
        <x:v>Lightning</x:v>
      </x:c>
      <x:c r="D834" s="23" t="n">
        <x:v>1467.2699782066047</x:v>
      </x:c>
      <x:c r="E834" s="23" t="n">
        <x:v>1015.4996934696101</x:v>
      </x:c>
      <x:c r="F834" s="23" t="n">
        <x:v>368.9025754109025</x:v>
      </x:c>
      <x:c r="G834" s="23" t="n">
        <x:v>269.8518885136582</x:v>
      </x:c>
      <x:c r="H834" s="23" t="n">
        <x:v>10.089576730504632</x:v>
      </x:c>
      <x:c r="I834" s="23" t="n">
        <x:v>0.7960481228982099</x:v>
      </x:c>
      <x:c r="J834" s="23" t="n">
        <x:v>10</x:v>
      </x:c>
      <x:c r="K834" s="23" t="n">
        <x:v>184.31925608525347</x:v>
      </x:c>
      <x:c r="L834" s="23" t="n">
        <x:v>40</x:v>
      </x:c>
      <x:c r="M834" s="23" t="n">
        <x:v>25</x:v>
      </x:c>
      <x:c r="N834" s="23" t="n">
        <x:v>1.1564986949385954</x:v>
      </x:c>
      <x:c r="O834" s="23" t="n">
        <x:v>52.261599532768535</x:v>
      </x:c>
      <x:c r="P834" s="23" t="n">
        <x:v>1467.2699782066047</x:v>
      </x:c>
      <x:c r="Q834" s="23" t="n">
        <x:v>1.154315616025153</x:v>
      </x:c>
      <x:c r="R834" s="23" t="n">
        <x:v>53.13750771892577</x:v>
      </x:c>
      <x:c r="S834" s="23" t="n">
        <x:v>1475.3773472269545</x:v>
      </x:c>
      <x:c r="T834" s="23" t="n">
        <x:v>-0.0021830789134422712</x:v>
      </x:c>
      <x:c r="U834" s="23" t="n">
        <x:v>0.8759081861572326</x:v>
      </x:c>
      <x:c r="V834" s="23" t="n">
        <x:v>8.107369020349779</x:v>
      </x:c>
    </x:row>
    <x:row r="835">
      <x:c r="A835" s="23" t="n">
        <x:v>834</x:v>
      </x:c>
      <x:c r="B835" s="23" t="str">
        <x:v>Train</x:v>
      </x:c>
      <x:c r="C835" s="23" t="str">
        <x:v>Lightning</x:v>
      </x:c>
      <x:c r="D835" s="23" t="n">
        <x:v>1408.9234945946373</x:v>
      </x:c>
      <x:c r="E835" s="23" t="n">
        <x:v>882.7514498727396</x:v>
      </x:c>
      <x:c r="F835" s="23" t="n">
        <x:v>479.56529492512345</x:v>
      </x:c>
      <x:c r="G835" s="23" t="n">
        <x:v>309.3515189085156</x:v>
      </x:c>
      <x:c r="H835" s="23" t="n">
        <x:v>20.850480728317052</x:v>
      </x:c>
      <x:c r="I835" s="23" t="n">
        <x:v>0.8269975370028988</x:v>
      </x:c>
      <x:c r="J835" s="23" t="n">
        <x:v>9</x:v>
      </x:c>
      <x:c r="K835" s="23" t="n">
        <x:v>189.2956725388784</x:v>
      </x:c>
      <x:c r="L835" s="23" t="n">
        <x:v>45</x:v>
      </x:c>
      <x:c r="M835" s="23" t="n">
        <x:v>25</x:v>
      </x:c>
      <x:c r="N835" s="23" t="n">
        <x:v>1.2334297614313374</x:v>
      </x:c>
      <x:c r="O835" s="23" t="n">
        <x:v>52.23565487401842</x:v>
      </x:c>
      <x:c r="P835" s="23" t="n">
        <x:v>1408.9234945946373</x:v>
      </x:c>
      <x:c r="Q835" s="23" t="n">
        <x:v>1.221446672374138</x:v>
      </x:c>
      <x:c r="R835" s="23" t="n">
        <x:v>52.201380605938944</x:v>
      </x:c>
      <x:c r="S835" s="23" t="n">
        <x:v>1398.2394378822255</x:v>
      </x:c>
      <x:c r="T835" s="23" t="n">
        <x:v>-0.01198308905719947</x:v>
      </x:c>
      <x:c r="U835" s="23" t="n">
        <x:v>-0.03427426807947853</x:v>
      </x:c>
      <x:c r="V835" s="23" t="n">
        <x:v>-10.684056712411802</x:v>
      </x:c>
    </x:row>
    <x:row r="836">
      <x:c r="A836" s="23" t="n">
        <x:v>835</x:v>
      </x:c>
      <x:c r="B836" s="23" t="str">
        <x:v>Validation</x:v>
      </x:c>
      <x:c r="C836" s="23" t="str">
        <x:v>Lightning</x:v>
      </x:c>
      <x:c r="D836" s="23" t="n">
        <x:v>1428.042932949029</x:v>
      </x:c>
      <x:c r="E836" s="23" t="n">
        <x:v>1026.3011058443226</x:v>
      </x:c>
      <x:c r="F836" s="23" t="n">
        <x:v>504.86135594546795</x:v>
      </x:c>
      <x:c r="G836" s="23" t="n">
        <x:v>263.0826994846575</x:v>
      </x:c>
      <x:c r="H836" s="23" t="n">
        <x:v>11.465148960240185</x:v>
      </x:c>
      <x:c r="I836" s="23" t="n">
        <x:v>0.8035753519902937</x:v>
      </x:c>
      <x:c r="J836" s="23" t="n">
        <x:v>9</x:v>
      </x:c>
      <x:c r="K836" s="23" t="n">
        <x:v>197.45682418125378</x:v>
      </x:c>
      <x:c r="L836" s="23" t="n">
        <x:v>40</x:v>
      </x:c>
      <x:c r="M836" s="23" t="n">
        <x:v>25</x:v>
      </x:c>
      <x:c r="N836" s="23" t="n">
        <x:v>1.1432507446078533</x:v>
      </x:c>
      <x:c r="O836" s="23" t="n">
        <x:v>52.25476767677172</x:v>
      </x:c>
      <x:c r="P836" s="23" t="n">
        <x:v>1428.042932949029</x:v>
      </x:c>
      <x:c r="Q836" s="23" t="n">
        <x:v>1.1553120773204537</x:v>
      </x:c>
      <x:c r="R836" s="23" t="n">
        <x:v>52.74657687658978</x:v>
      </x:c>
      <x:c r="S836" s="23" t="n">
        <x:v>1437.141083515843</x:v>
      </x:c>
      <x:c r="T836" s="23" t="n">
        <x:v>0.012061332712600459</x:v>
      </x:c>
      <x:c r="U836" s="23" t="n">
        <x:v>0.49180919981805715</x:v>
      </x:c>
      <x:c r="V836" s="23" t="n">
        <x:v>9.098150566814184</x:v>
      </x:c>
    </x:row>
    <x:row r="837">
      <x:c r="A837" s="23" t="n">
        <x:v>836</x:v>
      </x:c>
      <x:c r="B837" s="23" t="str">
        <x:v>Validation</x:v>
      </x:c>
      <x:c r="C837" s="23" t="str">
        <x:v>Lightning</x:v>
      </x:c>
      <x:c r="D837" s="23" t="n">
        <x:v>1472.5265345885418</x:v>
      </x:c>
      <x:c r="E837" s="23" t="n">
        <x:v>1100.050150277093</x:v>
      </x:c>
      <x:c r="F837" s="23" t="n">
        <x:v>552.9748681001365</x:v>
      </x:c>
      <x:c r="G837" s="23" t="n">
        <x:v>102.9697305476293</x:v>
      </x:c>
      <x:c r="H837" s="23" t="n">
        <x:v>29.97859715623781</x:v>
      </x:c>
      <x:c r="I837" s="23" t="n">
        <x:v>0.8524431250058115</x:v>
      </x:c>
      <x:c r="J837" s="23" t="n">
        <x:v>9</x:v>
      </x:c>
      <x:c r="K837" s="23" t="n">
        <x:v>191.93545539781488</x:v>
      </x:c>
      <x:c r="L837" s="23" t="n">
        <x:v>40</x:v>
      </x:c>
      <x:c r="M837" s="23" t="n">
        <x:v>25</x:v>
      </x:c>
      <x:c r="N837" s="23" t="n">
        <x:v>1.2171877497464212</x:v>
      </x:c>
      <x:c r="O837" s="23" t="n">
        <x:v>52.248803481226105</x:v>
      </x:c>
      <x:c r="P837" s="23" t="n">
        <x:v>1472.5265345885418</x:v>
      </x:c>
      <x:c r="Q837" s="23" t="n">
        <x:v>1.2240083019840715</x:v>
      </x:c>
      <x:c r="R837" s="23" t="n">
        <x:v>53.16716508855824</x:v>
      </x:c>
      <x:c r="S837" s="23" t="n">
        <x:v>1461.8440935556562</x:v>
      </x:c>
      <x:c r="T837" s="23" t="n">
        <x:v>0.006820552237650324</x:v>
      </x:c>
      <x:c r="U837" s="23" t="n">
        <x:v>0.9183616073321375</x:v>
      </x:c>
      <x:c r="V837" s="23" t="n">
        <x:v>-10.682441032885663</x:v>
      </x:c>
    </x:row>
    <x:row r="838">
      <x:c r="A838" s="23" t="n">
        <x:v>837</x:v>
      </x:c>
      <x:c r="B838" s="23" t="str">
        <x:v>Validation</x:v>
      </x:c>
      <x:c r="C838" s="23" t="str">
        <x:v>Lightning</x:v>
      </x:c>
      <x:c r="D838" s="23" t="n">
        <x:v>1415.5022921506315</x:v>
      </x:c>
      <x:c r="E838" s="23" t="n">
        <x:v>765.7596455770545</x:v>
      </x:c>
      <x:c r="F838" s="23" t="n">
        <x:v>674.6143562719226</x:v>
      </x:c>
      <x:c r="G838" s="23" t="n">
        <x:v>83.62544442759827</x:v>
      </x:c>
      <x:c r="H838" s="23" t="n">
        <x:v>25.767450027167797</x:v>
      </x:c>
      <x:c r="I838" s="23" t="n">
        <x:v>0.8280226218909957</x:v>
      </x:c>
      <x:c r="J838" s="23" t="n">
        <x:v>9</x:v>
      </x:c>
      <x:c r="K838" s="23" t="n">
        <x:v>189.94412507957543</x:v>
      </x:c>
      <x:c r="L838" s="23" t="n">
        <x:v>45</x:v>
      </x:c>
      <x:c r="M838" s="23" t="n">
        <x:v>25</x:v>
      </x:c>
      <x:c r="N838" s="23" t="n">
        <x:v>1.1559659907521693</x:v>
      </x:c>
      <x:c r="O838" s="23" t="n">
        <x:v>52.212629613660674</x:v>
      </x:c>
      <x:c r="P838" s="23" t="n">
        <x:v>1415.5022921506315</x:v>
      </x:c>
      <x:c r="Q838" s="23" t="n">
        <x:v>1.1471882748888167</x:v>
      </x:c>
      <x:c r="R838" s="23" t="n">
        <x:v>51.77957887377305</x:v>
      </x:c>
      <x:c r="S838" s="23" t="n">
        <x:v>1405.8141378224996</x:v>
      </x:c>
      <x:c r="T838" s="23" t="n">
        <x:v>-0.008777715863352631</x:v>
      </x:c>
      <x:c r="U838" s="23" t="n">
        <x:v>-0.43305073988762643</x:v>
      </x:c>
      <x:c r="V838" s="23" t="n">
        <x:v>-9.688154328131986</x:v>
      </x:c>
    </x:row>
    <x:row r="839">
      <x:c r="A839" s="23" t="n">
        <x:v>838</x:v>
      </x:c>
      <x:c r="B839" s="23" t="str">
        <x:v>Hidden Test</x:v>
      </x:c>
      <x:c r="C839" s="23" t="str">
        <x:v>Lightning</x:v>
      </x:c>
      <x:c r="D839" s="23" t="n">
        <x:v>1425.64523286419</x:v>
      </x:c>
      <x:c r="E839" s="23" t="n">
        <x:v>1105.4550003027543</x:v>
      </x:c>
      <x:c r="F839" s="23" t="n">
        <x:v>465.58346124365926</x:v>
      </x:c>
      <x:c r="G839" s="23" t="n">
        <x:v>114.53361941501498</x:v>
      </x:c>
      <x:c r="H839" s="23" t="n">
        <x:v>19.604891850147396</x:v>
      </x:c>
      <x:c r="I839" s="23" t="n">
        <x:v>0.8593647881736979</x:v>
      </x:c>
      <x:c r="J839" s="23" t="n">
        <x:v>9</x:v>
      </x:c>
      <x:c r="K839" s="23" t="n">
        <x:v>184.32803863239215</x:v>
      </x:c>
      <x:c r="L839" s="23" t="n">
        <x:v>45</x:v>
      </x:c>
      <x:c r="M839" s="23" t="n">
        <x:v>25</x:v>
      </x:c>
      <x:c r="N839" s="23" t="n">
        <x:v>1.2369659743949635</x:v>
      </x:c>
      <x:c r="O839" s="23" t="n">
        <x:v>52.23782282672391</x:v>
      </x:c>
      <x:c r="P839" s="23" t="n">
        <x:v>1425.64523286419</x:v>
      </x:c>
      <x:c r="Q839" s="23" t="n">
        <x:v>1.2403877261861433</x:v>
      </x:c>
      <x:c r="R839" s="23" t="n">
        <x:v>53.119512359665656</x:v>
      </x:c>
      <x:c r="S839" s="23" t="n">
        <x:v>1429.5148508377197</x:v>
      </x:c>
      <x:c r="T839" s="23" t="n">
        <x:v>0.0034217517911798723</x:v>
      </x:c>
      <x:c r="U839" s="23" t="n">
        <x:v>0.8816895329417491</x:v>
      </x:c>
      <x:c r="V839" s="23" t="n">
        <x:v>3.8696179735297846</x:v>
      </x:c>
    </x:row>
    <x:row r="840">
      <x:c r="A840" s="23" t="n">
        <x:v>839</x:v>
      </x:c>
      <x:c r="B840" s="23" t="str">
        <x:v>Hidden Test</x:v>
      </x:c>
      <x:c r="C840" s="23" t="str">
        <x:v>Lightning</x:v>
      </x:c>
      <x:c r="D840" s="23" t="n">
        <x:v>1474.9408073024824</x:v>
      </x:c>
      <x:c r="E840" s="23" t="n">
        <x:v>958.3032287773676</x:v>
      </x:c>
      <x:c r="F840" s="23" t="n">
        <x:v>710.1998955011368</x:v>
      </x:c>
      <x:c r="G840" s="23" t="n">
        <x:v>220.92888677259907</x:v>
      </x:c>
      <x:c r="H840" s="23" t="n">
        <x:v>26.855949523858726</x:v>
      </x:c>
      <x:c r="I840" s="23" t="n">
        <x:v>0.8363740338361823</x:v>
      </x:c>
      <x:c r="J840" s="23" t="n">
        <x:v>9</x:v>
      </x:c>
      <x:c r="K840" s="23" t="n">
        <x:v>195.9438065895254</x:v>
      </x:c>
      <x:c r="L840" s="23" t="n">
        <x:v>35</x:v>
      </x:c>
      <x:c r="M840" s="23" t="n">
        <x:v>25</x:v>
      </x:c>
      <x:c r="N840" s="23" t="n">
        <x:v>1.1583166774905003</x:v>
      </x:c>
      <x:c r="O840" s="23" t="n">
        <x:v>52.269609686323136</x:v>
      </x:c>
      <x:c r="P840" s="23" t="n">
        <x:v>1474.9408073024824</x:v>
      </x:c>
      <x:c r="Q840" s="23" t="n">
        <x:v>1.1488847747091087</x:v>
      </x:c>
      <x:c r="R840" s="23" t="n">
        <x:v>53.24050353158382</x:v>
      </x:c>
      <x:c r="S840" s="23" t="n">
        <x:v>1453.8860497288808</x:v>
      </x:c>
      <x:c r="T840" s="23" t="n">
        <x:v>-0.00943190278139161</x:v>
      </x:c>
      <x:c r="U840" s="23" t="n">
        <x:v>0.970893845260683</x:v>
      </x:c>
      <x:c r="V840" s="23" t="n">
        <x:v>-21.05475757360159</x:v>
      </x:c>
    </x:row>
    <x:row r="841">
      <x:c r="A841" s="23" t="n">
        <x:v>840</x:v>
      </x:c>
      <x:c r="B841" s="23" t="str">
        <x:v>Hidden Test</x:v>
      </x:c>
      <x:c r="C841" s="23" t="str">
        <x:v>Lightning</x:v>
      </x:c>
      <x:c r="D841" s="23" t="n">
        <x:v>1496.697890467476</x:v>
      </x:c>
      <x:c r="E841" s="23" t="n">
        <x:v>780.0091435201466</x:v>
      </x:c>
      <x:c r="F841" s="23" t="n">
        <x:v>364.1920334659517</x:v>
      </x:c>
      <x:c r="G841" s="23" t="n">
        <x:v>260.5825639748946</x:v>
      </x:c>
      <x:c r="H841" s="23" t="n">
        <x:v>8.11592280631885</x:v>
      </x:c>
      <x:c r="I841" s="23" t="n">
        <x:v>0.8587358104530722</x:v>
      </x:c>
      <x:c r="J841" s="23" t="n">
        <x:v>9</x:v>
      </x:c>
      <x:c r="K841" s="23" t="n">
        <x:v>193.6564931649432</x:v>
      </x:c>
      <x:c r="L841" s="23" t="n">
        <x:v>55</x:v>
      </x:c>
      <x:c r="M841" s="23" t="n">
        <x:v>25</x:v>
      </x:c>
      <x:c r="N841" s="23" t="n">
        <x:v>1.1950006799564603</x:v>
      </x:c>
      <x:c r="O841" s="23" t="n">
        <x:v>52.19404090480934</x:v>
      </x:c>
      <x:c r="P841" s="23" t="n">
        <x:v>1496.697890467476</x:v>
      </x:c>
      <x:c r="Q841" s="23" t="n">
        <x:v>1.1875431240487382</x:v>
      </x:c>
      <x:c r="R841" s="23" t="n">
        <x:v>52.0415946496706</x:v>
      </x:c>
      <x:c r="S841" s="23" t="n">
        <x:v>1511.2905935143392</x:v>
      </x:c>
      <x:c r="T841" s="23" t="n">
        <x:v>-0.007457555907722124</x:v>
      </x:c>
      <x:c r="U841" s="23" t="n">
        <x:v>-0.15244625513874155</x:v>
      </x:c>
      <x:c r="V841" s="23" t="n">
        <x:v>14.592703046863107</x:v>
      </x:c>
    </x:row>
    <x:row r="842">
      <x:c r="A842" s="23" t="n">
        <x:v>841</x:v>
      </x:c>
      <x:c r="B842" s="23" t="str">
        <x:v>Train</x:v>
      </x:c>
      <x:c r="C842" s="23" t="str">
        <x:v>Lightning</x:v>
      </x:c>
      <x:c r="D842" s="23" t="n">
        <x:v>1485.9054828062654</x:v>
      </x:c>
      <x:c r="E842" s="23" t="n">
        <x:v>1073.105943982955</x:v>
      </x:c>
      <x:c r="F842" s="23" t="n">
        <x:v>580.6784065440297</x:v>
      </x:c>
      <x:c r="G842" s="23" t="n">
        <x:v>123.1749313720502</x:v>
      </x:c>
      <x:c r="H842" s="23" t="n">
        <x:v>13.425996845588088</x:v>
      </x:c>
      <x:c r="I842" s="23" t="n">
        <x:v>0.8173410388198682</x:v>
      </x:c>
      <x:c r="J842" s="23" t="n">
        <x:v>10</x:v>
      </x:c>
      <x:c r="K842" s="23" t="n">
        <x:v>181.79748871434563</x:v>
      </x:c>
      <x:c r="L842" s="23" t="n">
        <x:v>40</x:v>
      </x:c>
      <x:c r="M842" s="23" t="n">
        <x:v>25</x:v>
      </x:c>
      <x:c r="N842" s="23" t="n">
        <x:v>1.2551215063789682</x:v>
      </x:c>
      <x:c r="O842" s="23" t="n">
        <x:v>52.282858195589</x:v>
      </x:c>
      <x:c r="P842" s="23" t="n">
        <x:v>1485.9054828062654</x:v>
      </x:c>
      <x:c r="Q842" s="23" t="n">
        <x:v>1.2729227956848936</x:v>
      </x:c>
      <x:c r="R842" s="23" t="n">
        <x:v>53.43890839613464</x:v>
      </x:c>
      <x:c r="S842" s="23" t="n">
        <x:v>1487.9319260127577</x:v>
      </x:c>
      <x:c r="T842" s="23" t="n">
        <x:v>0.017801289305925394</x:v>
      </x:c>
      <x:c r="U842" s="23" t="n">
        <x:v>1.1560502005456428</x:v>
      </x:c>
      <x:c r="V842" s="23" t="n">
        <x:v>2.0264432064923312</x:v>
      </x:c>
    </x:row>
    <x:row r="843">
      <x:c r="A843" s="23" t="n">
        <x:v>842</x:v>
      </x:c>
      <x:c r="B843" s="23" t="str">
        <x:v>Train</x:v>
      </x:c>
      <x:c r="C843" s="23" t="str">
        <x:v>Lightning</x:v>
      </x:c>
      <x:c r="D843" s="23" t="n">
        <x:v>1450.955871550832</x:v>
      </x:c>
      <x:c r="E843" s="23" t="n">
        <x:v>1065.8478260273114</x:v>
      </x:c>
      <x:c r="F843" s="23" t="n">
        <x:v>722.9614109732211</x:v>
      </x:c>
      <x:c r="G843" s="23" t="n">
        <x:v>134.3921187054366</x:v>
      </x:c>
      <x:c r="H843" s="23" t="n">
        <x:v>16.835654084105045</x:v>
      </x:c>
      <x:c r="I843" s="23" t="n">
        <x:v>0.8482522193016485</x:v>
      </x:c>
      <x:c r="J843" s="23" t="n">
        <x:v>9</x:v>
      </x:c>
      <x:c r="K843" s="23" t="n">
        <x:v>190.05823432319576</x:v>
      </x:c>
      <x:c r="L843" s="23" t="n">
        <x:v>40</x:v>
      </x:c>
      <x:c r="M843" s="23" t="n">
        <x:v>25</x:v>
      </x:c>
      <x:c r="N843" s="23" t="n">
        <x:v>1.250045868271201</x:v>
      </x:c>
      <x:c r="O843" s="23" t="n">
        <x:v>52.274875171388445</x:v>
      </x:c>
      <x:c r="P843" s="23" t="n">
        <x:v>1450.955871550832</x:v>
      </x:c>
      <x:c r="Q843" s="23" t="n">
        <x:v>1.2622380694482094</x:v>
      </x:c>
      <x:c r="R843" s="23" t="n">
        <x:v>53.14527870780891</x:v>
      </x:c>
      <x:c r="S843" s="23" t="n">
        <x:v>1438.4098044216025</x:v>
      </x:c>
      <x:c r="T843" s="23" t="n">
        <x:v>0.012192201177008366</x:v>
      </x:c>
      <x:c r="U843" s="23" t="n">
        <x:v>0.8704035364204685</x:v>
      </x:c>
      <x:c r="V843" s="23" t="n">
        <x:v>-12.546067129229414</x:v>
      </x:c>
    </x:row>
    <x:row r="844">
      <x:c r="A844" s="23" t="n">
        <x:v>843</x:v>
      </x:c>
      <x:c r="B844" s="23" t="str">
        <x:v>Train</x:v>
      </x:c>
      <x:c r="C844" s="23" t="str">
        <x:v>Lightning</x:v>
      </x:c>
      <x:c r="D844" s="23" t="n">
        <x:v>1432.7865461586043</x:v>
      </x:c>
      <x:c r="E844" s="23" t="n">
        <x:v>1081.671002751682</x:v>
      </x:c>
      <x:c r="F844" s="23" t="n">
        <x:v>368.03041584789753</x:v>
      </x:c>
      <x:c r="G844" s="23" t="n">
        <x:v>187.72900673327968</x:v>
      </x:c>
      <x:c r="H844" s="23" t="n">
        <x:v>24.18757408950478</x:v>
      </x:c>
      <x:c r="I844" s="23" t="n">
        <x:v>0.8439471810939723</x:v>
      </x:c>
      <x:c r="J844" s="23" t="n">
        <x:v>9</x:v>
      </x:c>
      <x:c r="K844" s="23" t="n">
        <x:v>188.63562636985372</x:v>
      </x:c>
      <x:c r="L844" s="23" t="n">
        <x:v>45</x:v>
      </x:c>
      <x:c r="M844" s="23" t="n">
        <x:v>25</x:v>
      </x:c>
      <x:c r="N844" s="23" t="n">
        <x:v>1.2258231837817906</x:v>
      </x:c>
      <x:c r="O844" s="23" t="n">
        <x:v>52.23031633907003</x:v>
      </x:c>
      <x:c r="P844" s="23" t="n">
        <x:v>1432.7865461586043</x:v>
      </x:c>
      <x:c r="Q844" s="23" t="n">
        <x:v>1.2196718677740446</x:v>
      </x:c>
      <x:c r="R844" s="23" t="n">
        <x:v>52.05333249416767</x:v>
      </x:c>
      <x:c r="S844" s="23" t="n">
        <x:v>1420.1193752411034</x:v>
      </x:c>
      <x:c r="T844" s="23" t="n">
        <x:v>-0.006151316007745988</x:v>
      </x:c>
      <x:c r="U844" s="23" t="n">
        <x:v>-0.17698384490235952</x:v>
      </x:c>
      <x:c r="V844" s="23" t="n">
        <x:v>-12.667170917500925</x:v>
      </x:c>
    </x:row>
    <x:row r="845">
      <x:c r="A845" s="23" t="n">
        <x:v>844</x:v>
      </x:c>
      <x:c r="B845" s="23" t="str">
        <x:v>Train</x:v>
      </x:c>
      <x:c r="C845" s="23" t="str">
        <x:v>Lightning</x:v>
      </x:c>
      <x:c r="D845" s="23" t="n">
        <x:v>1468.9637655741535</x:v>
      </x:c>
      <x:c r="E845" s="23" t="n">
        <x:v>804.9775598105043</x:v>
      </x:c>
      <x:c r="F845" s="23" t="n">
        <x:v>489.19246895238757</x:v>
      </x:c>
      <x:c r="G845" s="23" t="n">
        <x:v>229.25635128747672</x:v>
      </x:c>
      <x:c r="H845" s="23" t="n">
        <x:v>28.868652674835175</x:v>
      </x:c>
      <x:c r="I845" s="23" t="n">
        <x:v>0.8068225127086044</x:v>
      </x:c>
      <x:c r="J845" s="23" t="n">
        <x:v>10</x:v>
      </x:c>
      <x:c r="K845" s="23" t="n">
        <x:v>182.067771094123</x:v>
      </x:c>
      <x:c r="L845" s="23" t="n">
        <x:v>40</x:v>
      </x:c>
      <x:c r="M845" s="23" t="n">
        <x:v>25</x:v>
      </x:c>
      <x:c r="N845" s="23" t="n">
        <x:v>1.1585523593217144</x:v>
      </x:c>
      <x:c r="O845" s="23" t="n">
        <x:v>52.23893362034372</x:v>
      </x:c>
      <x:c r="P845" s="23" t="n">
        <x:v>1468.9637655741535</x:v>
      </x:c>
      <x:c r="Q845" s="23" t="n">
        <x:v>1.152224496164222</x:v>
      </x:c>
      <x:c r="R845" s="23" t="n">
        <x:v>50.96243883537462</x:v>
      </x:c>
      <x:c r="S845" s="23" t="n">
        <x:v>1460.7451960794363</x:v>
      </x:c>
      <x:c r="T845" s="23" t="n">
        <x:v>-0.006327863157492342</x:v>
      </x:c>
      <x:c r="U845" s="23" t="n">
        <x:v>-1.2764947849691026</x:v>
      </x:c>
      <x:c r="V845" s="23" t="n">
        <x:v>-8.218569494717258</x:v>
      </x:c>
    </x:row>
    <x:row r="846">
      <x:c r="A846" s="23" t="n">
        <x:v>845</x:v>
      </x:c>
      <x:c r="B846" s="23" t="str">
        <x:v>Train</x:v>
      </x:c>
      <x:c r="C846" s="23" t="str">
        <x:v>Lightning</x:v>
      </x:c>
      <x:c r="D846" s="23" t="n">
        <x:v>1499.6549227740616</x:v>
      </x:c>
      <x:c r="E846" s="23" t="n">
        <x:v>1231.5429932321422</x:v>
      </x:c>
      <x:c r="F846" s="23" t="n">
        <x:v>506.46394696086645</x:v>
      </x:c>
      <x:c r="G846" s="23" t="n">
        <x:v>233.58889085473493</x:v>
      </x:c>
      <x:c r="H846" s="23" t="n">
        <x:v>17.46589343622327</x:v>
      </x:c>
      <x:c r="I846" s="23" t="n">
        <x:v>0.8519354429864325</x:v>
      </x:c>
      <x:c r="J846" s="23" t="n">
        <x:v>9</x:v>
      </x:c>
      <x:c r="K846" s="23" t="n">
        <x:v>195.58797104222268</x:v>
      </x:c>
      <x:c r="L846" s="23" t="n">
        <x:v>35</x:v>
      </x:c>
      <x:c r="M846" s="23" t="n">
        <x:v>25</x:v>
      </x:c>
      <x:c r="N846" s="23" t="n">
        <x:v>1.1470792816687339</x:v>
      </x:c>
      <x:c r="O846" s="23" t="n">
        <x:v>52.282421079956116</x:v>
      </x:c>
      <x:c r="P846" s="23" t="n">
        <x:v>1499.6549227740616</x:v>
      </x:c>
      <x:c r="Q846" s="23" t="n">
        <x:v>1.162471332546419</x:v>
      </x:c>
      <x:c r="R846" s="23" t="n">
        <x:v>52.71058126194675</x:v>
      </x:c>
      <x:c r="S846" s="23" t="n">
        <x:v>1496.2644512906925</x:v>
      </x:c>
      <x:c r="T846" s="23" t="n">
        <x:v>0.015392050877685248</x:v>
      </x:c>
      <x:c r="U846" s="23" t="n">
        <x:v>0.4281601819906342</x:v>
      </x:c>
      <x:c r="V846" s="23" t="n">
        <x:v>-3.390471483369083</x:v>
      </x:c>
    </x:row>
    <x:row r="847">
      <x:c r="A847" s="23" t="n">
        <x:v>846</x:v>
      </x:c>
      <x:c r="B847" s="23" t="str">
        <x:v>Train</x:v>
      </x:c>
      <x:c r="C847" s="23" t="str">
        <x:v>Lightning</x:v>
      </x:c>
      <x:c r="D847" s="23" t="n">
        <x:v>1417.0211644959636</x:v>
      </x:c>
      <x:c r="E847" s="23" t="n">
        <x:v>1203.385638887994</x:v>
      </x:c>
      <x:c r="F847" s="23" t="n">
        <x:v>678.6241357214749</x:v>
      </x:c>
      <x:c r="G847" s="23" t="n">
        <x:v>319.96186070144176</x:v>
      </x:c>
      <x:c r="H847" s="23" t="n">
        <x:v>14.617693329695612</x:v>
      </x:c>
      <x:c r="I847" s="23" t="n">
        <x:v>0.8192189767910167</x:v>
      </x:c>
      <x:c r="J847" s="23" t="n">
        <x:v>9</x:v>
      </x:c>
      <x:c r="K847" s="23" t="n">
        <x:v>192.1913438478267</x:v>
      </x:c>
      <x:c r="L847" s="23" t="n">
        <x:v>35</x:v>
      </x:c>
      <x:c r="M847" s="23" t="n">
        <x:v>25</x:v>
      </x:c>
      <x:c r="N847" s="23" t="n">
        <x:v>1.25147480964506</x:v>
      </x:c>
      <x:c r="O847" s="23" t="n">
        <x:v>52.318342427235855</x:v>
      </x:c>
      <x:c r="P847" s="23" t="n">
        <x:v>1417.0211644959636</x:v>
      </x:c>
      <x:c r="Q847" s="23" t="n">
        <x:v>1.26034948804865</x:v>
      </x:c>
      <x:c r="R847" s="23" t="n">
        <x:v>52.55452492148522</x:v>
      </x:c>
      <x:c r="S847" s="23" t="n">
        <x:v>1412.0213736924675</x:v>
      </x:c>
      <x:c r="T847" s="23" t="n">
        <x:v>0.00887467840359002</x:v>
      </x:c>
      <x:c r="U847" s="23" t="n">
        <x:v>0.23618249424936266</x:v>
      </x:c>
      <x:c r="V847" s="23" t="n">
        <x:v>-4.999790803496126</x:v>
      </x:c>
    </x:row>
    <x:row r="848">
      <x:c r="A848" s="23" t="n">
        <x:v>847</x:v>
      </x:c>
      <x:c r="B848" s="23" t="str">
        <x:v>Train</x:v>
      </x:c>
      <x:c r="C848" s="23" t="str">
        <x:v>Lightning</x:v>
      </x:c>
      <x:c r="D848" s="23" t="n">
        <x:v>1434.9231666186824</x:v>
      </x:c>
      <x:c r="E848" s="23" t="n">
        <x:v>900.4133527283557</x:v>
      </x:c>
      <x:c r="F848" s="23" t="n">
        <x:v>374.2426760494709</x:v>
      </x:c>
      <x:c r="G848" s="23" t="n">
        <x:v>226.73652168130502</x:v>
      </x:c>
      <x:c r="H848" s="23" t="n">
        <x:v>22.763633935712278</x:v>
      </x:c>
      <x:c r="I848" s="23" t="n">
        <x:v>0.799451071897056</x:v>
      </x:c>
      <x:c r="J848" s="23" t="n">
        <x:v>9</x:v>
      </x:c>
      <x:c r="K848" s="23" t="n">
        <x:v>199.43172635161108</x:v>
      </x:c>
      <x:c r="L848" s="23" t="n">
        <x:v>50</x:v>
      </x:c>
      <x:c r="M848" s="23" t="n">
        <x:v>25</x:v>
      </x:c>
      <x:c r="N848" s="23" t="n">
        <x:v>1.2293675742608876</x:v>
      </x:c>
      <x:c r="O848" s="23" t="n">
        <x:v>52.209104633430336</x:v>
      </x:c>
      <x:c r="P848" s="23" t="n">
        <x:v>1434.9231666186824</x:v>
      </x:c>
      <x:c r="Q848" s="23" t="n">
        <x:v>1.2256970659680584</x:v>
      </x:c>
      <x:c r="R848" s="23" t="n">
        <x:v>53.007591108035506</x:v>
      </x:c>
      <x:c r="S848" s="23" t="n">
        <x:v>1437.670393098157</x:v>
      </x:c>
      <x:c r="T848" s="23" t="n">
        <x:v>-0.003670508292829222</x:v>
      </x:c>
      <x:c r="U848" s="23" t="n">
        <x:v>0.7984864746051699</x:v>
      </x:c>
      <x:c r="V848" s="23" t="n">
        <x:v>2.747226479474648</x:v>
      </x:c>
    </x:row>
    <x:row r="849">
      <x:c r="A849" s="23" t="n">
        <x:v>848</x:v>
      </x:c>
      <x:c r="B849" s="23" t="str">
        <x:v>Train</x:v>
      </x:c>
      <x:c r="C849" s="23" t="str">
        <x:v>Lightning</x:v>
      </x:c>
      <x:c r="D849" s="23" t="n">
        <x:v>1364.5051076891832</x:v>
      </x:c>
      <x:c r="E849" s="23" t="n">
        <x:v>1249.0749789401889</x:v>
      </x:c>
      <x:c r="F849" s="23" t="n">
        <x:v>524.0089847706258</x:v>
      </x:c>
      <x:c r="G849" s="23" t="n">
        <x:v>329.87657193560153</x:v>
      </x:c>
      <x:c r="H849" s="23" t="n">
        <x:v>17.67279283097014</x:v>
      </x:c>
      <x:c r="I849" s="23" t="n">
        <x:v>0.8558014826383442</x:v>
      </x:c>
      <x:c r="J849" s="23" t="n">
        <x:v>8</x:v>
      </x:c>
      <x:c r="K849" s="23" t="n">
        <x:v>199.30222361302768</x:v>
      </x:c>
      <x:c r="L849" s="23" t="n">
        <x:v>40</x:v>
      </x:c>
      <x:c r="M849" s="23" t="n">
        <x:v>25</x:v>
      </x:c>
      <x:c r="N849" s="23" t="n">
        <x:v>1.233734616003252</x:v>
      </x:c>
      <x:c r="O849" s="23" t="n">
        <x:v>52.266470330240594</x:v>
      </x:c>
      <x:c r="P849" s="23" t="n">
        <x:v>1364.5051076891832</x:v>
      </x:c>
      <x:c r="Q849" s="23" t="n">
        <x:v>1.2582821264658575</x:v>
      </x:c>
      <x:c r="R849" s="23" t="n">
        <x:v>52.62323214918972</x:v>
      </x:c>
      <x:c r="S849" s="23" t="n">
        <x:v>1352.6566479133223</x:v>
      </x:c>
      <x:c r="T849" s="23" t="n">
        <x:v>0.024547510462605393</x:v>
      </x:c>
      <x:c r="U849" s="23" t="n">
        <x:v>0.3567618189491242</x:v>
      </x:c>
      <x:c r="V849" s="23" t="n">
        <x:v>-11.848459775860874</x:v>
      </x:c>
    </x:row>
    <x:row r="850">
      <x:c r="A850" s="23" t="n">
        <x:v>849</x:v>
      </x:c>
      <x:c r="B850" s="23" t="str">
        <x:v>Train</x:v>
      </x:c>
      <x:c r="C850" s="23" t="str">
        <x:v>Lightning</x:v>
      </x:c>
      <x:c r="D850" s="23" t="n">
        <x:v>1376.6684697009623</x:v>
      </x:c>
      <x:c r="E850" s="23" t="n">
        <x:v>1119.7364908992313</x:v>
      </x:c>
      <x:c r="F850" s="23" t="n">
        <x:v>525.9742924943566</x:v>
      </x:c>
      <x:c r="G850" s="23" t="n">
        <x:v>144.77584881940857</x:v>
      </x:c>
      <x:c r="H850" s="23" t="n">
        <x:v>14.932034494355321</x:v>
      </x:c>
      <x:c r="I850" s="23" t="n">
        <x:v>0.8278961297054775</x:v>
      </x:c>
      <x:c r="J850" s="23" t="n">
        <x:v>9</x:v>
      </x:c>
      <x:c r="K850" s="23" t="n">
        <x:v>184.761297718016</x:v>
      </x:c>
      <x:c r="L850" s="23" t="n">
        <x:v>40</x:v>
      </x:c>
      <x:c r="M850" s="23" t="n">
        <x:v>25</x:v>
      </x:c>
      <x:c r="N850" s="23" t="n">
        <x:v>1.1597980989117858</x:v>
      </x:c>
      <x:c r="O850" s="23" t="n">
        <x:v>52.2541816281278</x:v>
      </x:c>
      <x:c r="P850" s="23" t="n">
        <x:v>1376.6684697009623</x:v>
      </x:c>
      <x:c r="Q850" s="23" t="n">
        <x:v>1.1706606512577267</x:v>
      </x:c>
      <x:c r="R850" s="23" t="n">
        <x:v>53.60280703767551</x:v>
      </x:c>
      <x:c r="S850" s="23" t="n">
        <x:v>1378.293582464038</x:v>
      </x:c>
      <x:c r="T850" s="23" t="n">
        <x:v>0.010862552345940912</x:v>
      </x:c>
      <x:c r="U850" s="23" t="n">
        <x:v>1.348625409547708</x:v>
      </x:c>
      <x:c r="V850" s="23" t="n">
        <x:v>1.6251127630757765</x:v>
      </x:c>
    </x:row>
    <x:row r="851">
      <x:c r="A851" s="23" t="n">
        <x:v>850</x:v>
      </x:c>
      <x:c r="B851" s="23" t="str">
        <x:v>Train</x:v>
      </x:c>
      <x:c r="C851" s="23" t="str">
        <x:v>Lightning</x:v>
      </x:c>
      <x:c r="D851" s="23" t="n">
        <x:v>1395.9274816908874</x:v>
      </x:c>
      <x:c r="E851" s="23" t="n">
        <x:v>1149.7774542542174</x:v>
      </x:c>
      <x:c r="F851" s="23" t="n">
        <x:v>577.991805318743</x:v>
      </x:c>
      <x:c r="G851" s="23" t="n">
        <x:v>176.35960613377392</x:v>
      </x:c>
      <x:c r="H851" s="23" t="n">
        <x:v>10.852679566014558</x:v>
      </x:c>
      <x:c r="I851" s="23" t="n">
        <x:v>0.833425822951831</x:v>
      </x:c>
      <x:c r="J851" s="23" t="n">
        <x:v>9</x:v>
      </x:c>
      <x:c r="K851" s="23" t="n">
        <x:v>186.10300910987505</x:v>
      </x:c>
      <x:c r="L851" s="23" t="n">
        <x:v>40</x:v>
      </x:c>
      <x:c r="M851" s="23" t="n">
        <x:v>25</x:v>
      </x:c>
      <x:c r="N851" s="23" t="n">
        <x:v>1.2060520370838268</x:v>
      </x:c>
      <x:c r="O851" s="23" t="n">
        <x:v>52.27190129338532</x:v>
      </x:c>
      <x:c r="P851" s="23" t="n">
        <x:v>1395.9274816908874</x:v>
      </x:c>
      <x:c r="Q851" s="23" t="n">
        <x:v>1.2262007057259483</x:v>
      </x:c>
      <x:c r="R851" s="23" t="n">
        <x:v>52.642642419919525</x:v>
      </x:c>
      <x:c r="S851" s="23" t="n">
        <x:v>1399.0976294021868</x:v>
      </x:c>
      <x:c r="T851" s="23" t="n">
        <x:v>0.020148668642121503</x:v>
      </x:c>
      <x:c r="U851" s="23" t="n">
        <x:v>0.370741126534206</x:v>
      </x:c>
      <x:c r="V851" s="23" t="n">
        <x:v>3.170147711299478</x:v>
      </x:c>
    </x:row>
    <x:row r="852">
      <x:c r="A852" s="23" t="n">
        <x:v>851</x:v>
      </x:c>
      <x:c r="B852" s="23" t="str">
        <x:v>Train</x:v>
      </x:c>
      <x:c r="C852" s="23" t="str">
        <x:v>Lightning</x:v>
      </x:c>
      <x:c r="D852" s="23" t="n">
        <x:v>1350.89192034211</x:v>
      </x:c>
      <x:c r="E852" s="23" t="n">
        <x:v>1072.8431358584203</x:v>
      </x:c>
      <x:c r="F852" s="23" t="n">
        <x:v>580.2516426891088</x:v>
      </x:c>
      <x:c r="G852" s="23" t="n">
        <x:v>148.73392377747223</x:v>
      </x:c>
      <x:c r="H852" s="23" t="n">
        <x:v>20.62735673505813</x:v>
      </x:c>
      <x:c r="I852" s="23" t="n">
        <x:v>0.8541547392006033</x:v>
      </x:c>
      <x:c r="J852" s="23" t="n">
        <x:v>8</x:v>
      </x:c>
      <x:c r="K852" s="23" t="n">
        <x:v>197.69426111339018</x:v>
      </x:c>
      <x:c r="L852" s="23" t="n">
        <x:v>45</x:v>
      </x:c>
      <x:c r="M852" s="23" t="n">
        <x:v>25</x:v>
      </x:c>
      <x:c r="N852" s="23" t="n">
        <x:v>1.1969078171248804</x:v>
      </x:c>
      <x:c r="O852" s="23" t="n">
        <x:v>52.224733458142246</x:v>
      </x:c>
      <x:c r="P852" s="23" t="n">
        <x:v>1350.89192034211</x:v>
      </x:c>
      <x:c r="Q852" s="23" t="n">
        <x:v>1.1926325512553582</x:v>
      </x:c>
      <x:c r="R852" s="23" t="n">
        <x:v>52.66611489648722</x:v>
      </x:c>
      <x:c r="S852" s="23" t="n">
        <x:v>1345.4564624881375</x:v>
      </x:c>
      <x:c r="T852" s="23" t="n">
        <x:v>-0.0042752658695222046</x:v>
      </x:c>
      <x:c r="U852" s="23" t="n">
        <x:v>0.4413814383449761</x:v>
      </x:c>
      <x:c r="V852" s="23" t="n">
        <x:v>-5.4354578539725935</x:v>
      </x:c>
    </x:row>
    <x:row r="853">
      <x:c r="A853" s="23" t="n">
        <x:v>852</x:v>
      </x:c>
      <x:c r="B853" s="23" t="str">
        <x:v>Train</x:v>
      </x:c>
      <x:c r="C853" s="23" t="str">
        <x:v>Lightning</x:v>
      </x:c>
      <x:c r="D853" s="23" t="n">
        <x:v>1436.4712712704204</x:v>
      </x:c>
      <x:c r="E853" s="23" t="n">
        <x:v>938.9602339360863</x:v>
      </x:c>
      <x:c r="F853" s="23" t="n">
        <x:v>434.20716701075435</x:v>
      </x:c>
      <x:c r="G853" s="23" t="n">
        <x:v>223.18485313560814</x:v>
      </x:c>
      <x:c r="H853" s="23" t="n">
        <x:v>14.748063638340682</x:v>
      </x:c>
      <x:c r="I853" s="23" t="n">
        <x:v>0.8085216959007084</x:v>
      </x:c>
      <x:c r="J853" s="23" t="n">
        <x:v>9</x:v>
      </x:c>
      <x:c r="K853" s="23" t="n">
        <x:v>197.40709474993182</x:v>
      </x:c>
      <x:c r="L853" s="23" t="n">
        <x:v>45</x:v>
      </x:c>
      <x:c r="M853" s="23" t="n">
        <x:v>25</x:v>
      </x:c>
      <x:c r="N853" s="23" t="n">
        <x:v>1.1532064235172366</x:v>
      </x:c>
      <x:c r="O853" s="23" t="n">
        <x:v>52.2239112252178</x:v>
      </x:c>
      <x:c r="P853" s="23" t="n">
        <x:v>1436.4712712704204</x:v>
      </x:c>
      <x:c r="Q853" s="23" t="n">
        <x:v>1.1523998869063916</x:v>
      </x:c>
      <x:c r="R853" s="23" t="n">
        <x:v>53.04427153558826</x:v>
      </x:c>
      <x:c r="S853" s="23" t="n">
        <x:v>1436.7988052711291</x:v>
      </x:c>
      <x:c r="T853" s="23" t="n">
        <x:v>-0.0008065366108449545</x:v>
      </x:c>
      <x:c r="U853" s="23" t="n">
        <x:v>0.8203603103704609</x:v>
      </x:c>
      <x:c r="V853" s="23" t="n">
        <x:v>0.32753400070873795</x:v>
      </x:c>
    </x:row>
    <x:row r="854">
      <x:c r="A854" s="23" t="n">
        <x:v>853</x:v>
      </x:c>
      <x:c r="B854" s="23" t="str">
        <x:v>Train</x:v>
      </x:c>
      <x:c r="C854" s="23" t="str">
        <x:v>Lightning</x:v>
      </x:c>
      <x:c r="D854" s="23" t="n">
        <x:v>1474.470602022484</x:v>
      </x:c>
      <x:c r="E854" s="23" t="n">
        <x:v>1095.0472410651855</x:v>
      </x:c>
      <x:c r="F854" s="23" t="n">
        <x:v>357.61736016720533</x:v>
      </x:c>
      <x:c r="G854" s="23" t="n">
        <x:v>193.03719162242487</x:v>
      </x:c>
      <x:c r="H854" s="23" t="n">
        <x:v>11.555403277277946</x:v>
      </x:c>
      <x:c r="I854" s="23" t="n">
        <x:v>0.8499251115159132</x:v>
      </x:c>
      <x:c r="J854" s="23" t="n">
        <x:v>9</x:v>
      </x:c>
      <x:c r="K854" s="23" t="n">
        <x:v>192.75823795720348</x:v>
      </x:c>
      <x:c r="L854" s="23" t="n">
        <x:v>45</x:v>
      </x:c>
      <x:c r="M854" s="23" t="n">
        <x:v>25</x:v>
      </x:c>
      <x:c r="N854" s="23" t="n">
        <x:v>1.1711170960877544</x:v>
      </x:c>
      <x:c r="O854" s="23" t="n">
        <x:v>52.231606052050886</x:v>
      </x:c>
      <x:c r="P854" s="23" t="n">
        <x:v>1474.470602022484</x:v>
      </x:c>
      <x:c r="Q854" s="23" t="n">
        <x:v>1.169977273755732</x:v>
      </x:c>
      <x:c r="R854" s="23" t="n">
        <x:v>53.37535820548524</x:v>
      </x:c>
      <x:c r="S854" s="23" t="n">
        <x:v>1475.2673515294446</x:v>
      </x:c>
      <x:c r="T854" s="23" t="n">
        <x:v>-0.0011398223320224776</x:v>
      </x:c>
      <x:c r="U854" s="23" t="n">
        <x:v>1.143752153434356</x:v>
      </x:c>
      <x:c r="V854" s="23" t="n">
        <x:v>0.796749506960623</x:v>
      </x:c>
    </x:row>
    <x:row r="855">
      <x:c r="A855" s="23" t="n">
        <x:v>854</x:v>
      </x:c>
      <x:c r="B855" s="23" t="str">
        <x:v>Train</x:v>
      </x:c>
      <x:c r="C855" s="23" t="str">
        <x:v>Lightning</x:v>
      </x:c>
      <x:c r="D855" s="23" t="n">
        <x:v>1392.7085426752456</x:v>
      </x:c>
      <x:c r="E855" s="23" t="n">
        <x:v>1130.4290724685416</x:v>
      </x:c>
      <x:c r="F855" s="23" t="n">
        <x:v>384.0276193805039</x:v>
      </x:c>
      <x:c r="G855" s="23" t="n">
        <x:v>278.485326487571</x:v>
      </x:c>
      <x:c r="H855" s="23" t="n">
        <x:v>16.543807125184685</x:v>
      </x:c>
      <x:c r="I855" s="23" t="n">
        <x:v>0.8337453654920682</x:v>
      </x:c>
      <x:c r="J855" s="23" t="n">
        <x:v>9</x:v>
      </x:c>
      <x:c r="K855" s="23" t="n">
        <x:v>185.6027032177308</x:v>
      </x:c>
      <x:c r="L855" s="23" t="n">
        <x:v>40</x:v>
      </x:c>
      <x:c r="M855" s="23" t="n">
        <x:v>25</x:v>
      </x:c>
      <x:c r="N855" s="23" t="n">
        <x:v>1.1699213593637612</x:v>
      </x:c>
      <x:c r="O855" s="23" t="n">
        <x:v>52.25456448420913</x:v>
      </x:c>
      <x:c r="P855" s="23" t="n">
        <x:v>1392.7085426752456</x:v>
      </x:c>
      <x:c r="Q855" s="23" t="n">
        <x:v>1.1684460737562412</x:v>
      </x:c>
      <x:c r="R855" s="23" t="n">
        <x:v>52.99474898528232</x:v>
      </x:c>
      <x:c r="S855" s="23" t="n">
        <x:v>1394.5746157592052</x:v>
      </x:c>
      <x:c r="T855" s="23" t="n">
        <x:v>-0.0014752856075199716</x:v>
      </x:c>
      <x:c r="U855" s="23" t="n">
        <x:v>0.7401845010731876</x:v>
      </x:c>
      <x:c r="V855" s="23" t="n">
        <x:v>1.8660730839596908</x:v>
      </x:c>
    </x:row>
    <x:row r="856">
      <x:c r="A856" s="23" t="n">
        <x:v>855</x:v>
      </x:c>
      <x:c r="B856" s="23" t="str">
        <x:v>Validation</x:v>
      </x:c>
      <x:c r="C856" s="23" t="str">
        <x:v>Lightning</x:v>
      </x:c>
      <x:c r="D856" s="23" t="n">
        <x:v>1408.9634214760736</x:v>
      </x:c>
      <x:c r="E856" s="23" t="n">
        <x:v>923.0181815219112</x:v>
      </x:c>
      <x:c r="F856" s="23" t="n">
        <x:v>622.0258101820946</x:v>
      </x:c>
      <x:c r="G856" s="23" t="n">
        <x:v>240.07533756783232</x:v>
      </x:c>
      <x:c r="H856" s="23" t="n">
        <x:v>26.504823858849704</x:v>
      </x:c>
      <x:c r="I856" s="23" t="n">
        <x:v>0.8190409229299985</x:v>
      </x:c>
      <x:c r="J856" s="23" t="n">
        <x:v>9</x:v>
      </x:c>
      <x:c r="K856" s="23" t="n">
        <x:v>191.14001131357313</x:v>
      </x:c>
      <x:c r="L856" s="23" t="n">
        <x:v>40</x:v>
      </x:c>
      <x:c r="M856" s="23" t="n">
        <x:v>25</x:v>
      </x:c>
      <x:c r="N856" s="23" t="n">
        <x:v>1.2172405990564734</x:v>
      </x:c>
      <x:c r="O856" s="23" t="n">
        <x:v>52.25334473141671</x:v>
      </x:c>
      <x:c r="P856" s="23" t="n">
        <x:v>1408.9634214760736</x:v>
      </x:c>
      <x:c r="Q856" s="23" t="n">
        <x:v>1.2103536215238728</x:v>
      </x:c>
      <x:c r="R856" s="23" t="n">
        <x:v>52.10613937306563</x:v>
      </x:c>
      <x:c r="S856" s="23" t="n">
        <x:v>1394.251184317164</x:v>
      </x:c>
      <x:c r="T856" s="23" t="n">
        <x:v>-0.006886977532600591</x:v>
      </x:c>
      <x:c r="U856" s="23" t="n">
        <x:v>-0.14720535835107995</x:v>
      </x:c>
      <x:c r="V856" s="23" t="n">
        <x:v>-14.712237158909602</x:v>
      </x:c>
    </x:row>
    <x:row r="857">
      <x:c r="A857" s="23" t="n">
        <x:v>856</x:v>
      </x:c>
      <x:c r="B857" s="23" t="str">
        <x:v>Validation</x:v>
      </x:c>
      <x:c r="C857" s="23" t="str">
        <x:v>Lightning</x:v>
      </x:c>
      <x:c r="D857" s="23" t="n">
        <x:v>1414.646399288904</x:v>
      </x:c>
      <x:c r="E857" s="23" t="n">
        <x:v>960.4750878177583</x:v>
      </x:c>
      <x:c r="F857" s="23" t="n">
        <x:v>595.5347917042673</x:v>
      </x:c>
      <x:c r="G857" s="23" t="n">
        <x:v>138.49295912776142</x:v>
      </x:c>
      <x:c r="H857" s="23" t="n">
        <x:v>12.559203465934843</x:v>
      </x:c>
      <x:c r="I857" s="23" t="n">
        <x:v>0.8324538246262819</x:v>
      </x:c>
      <x:c r="J857" s="23" t="n">
        <x:v>9</x:v>
      </x:c>
      <x:c r="K857" s="23" t="n">
        <x:v>188.81880124088283</x:v>
      </x:c>
      <x:c r="L857" s="23" t="n">
        <x:v>45</x:v>
      </x:c>
      <x:c r="M857" s="23" t="n">
        <x:v>25</x:v>
      </x:c>
      <x:c r="N857" s="23" t="n">
        <x:v>1.2090794660367468</x:v>
      </x:c>
      <x:c r="O857" s="23" t="n">
        <x:v>52.239215355116464</x:v>
      </x:c>
      <x:c r="P857" s="23" t="n">
        <x:v>1414.646399288904</x:v>
      </x:c>
      <x:c r="Q857" s="23" t="n">
        <x:v>1.2216806216938834</x:v>
      </x:c>
      <x:c r="R857" s="23" t="n">
        <x:v>51.47373173307684</x:v>
      </x:c>
      <x:c r="S857" s="23" t="n">
        <x:v>1420.2408450020175</x:v>
      </x:c>
      <x:c r="T857" s="23" t="n">
        <x:v>0.012601155657136598</x:v>
      </x:c>
      <x:c r="U857" s="23" t="n">
        <x:v>-0.7654836220396248</x:v>
      </x:c>
      <x:c r="V857" s="23" t="n">
        <x:v>5.5944457131136005</x:v>
      </x:c>
    </x:row>
    <x:row r="858">
      <x:c r="A858" s="23" t="n">
        <x:v>857</x:v>
      </x:c>
      <x:c r="B858" s="23" t="str">
        <x:v>Validation</x:v>
      </x:c>
      <x:c r="C858" s="23" t="str">
        <x:v>Lightning</x:v>
      </x:c>
      <x:c r="D858" s="23" t="n">
        <x:v>1392.6327265799046</x:v>
      </x:c>
      <x:c r="E858" s="23" t="n">
        <x:v>923.3559834188782</x:v>
      </x:c>
      <x:c r="F858" s="23" t="n">
        <x:v>640.3043018653989</x:v>
      </x:c>
      <x:c r="G858" s="23" t="n">
        <x:v>119.05605763429776</x:v>
      </x:c>
      <x:c r="H858" s="23" t="n">
        <x:v>16.214863596484065</x:v>
      </x:c>
      <x:c r="I858" s="23" t="n">
        <x:v>0.837795468766708</x:v>
      </x:c>
      <x:c r="J858" s="23" t="n">
        <x:v>9</x:v>
      </x:c>
      <x:c r="K858" s="23" t="n">
        <x:v>184.6954004749784</x:v>
      </x:c>
      <x:c r="L858" s="23" t="n">
        <x:v>45</x:v>
      </x:c>
      <x:c r="M858" s="23" t="n">
        <x:v>25</x:v>
      </x:c>
      <x:c r="N858" s="23" t="n">
        <x:v>1.2188196731012182</x:v>
      </x:c>
      <x:c r="O858" s="23" t="n">
        <x:v>52.237377545769576</x:v>
      </x:c>
      <x:c r="P858" s="23" t="n">
        <x:v>1392.6327265799046</x:v>
      </x:c>
      <x:c r="Q858" s="23" t="n">
        <x:v>1.2178353901629198</x:v>
      </x:c>
      <x:c r="R858" s="23" t="n">
        <x:v>52.060186346577204</x:v>
      </x:c>
      <x:c r="S858" s="23" t="n">
        <x:v>1388.4449291205772</x:v>
      </x:c>
      <x:c r="T858" s="23" t="n">
        <x:v>-0.000984282938298442</x:v>
      </x:c>
      <x:c r="U858" s="23" t="n">
        <x:v>-0.17719119919237158</x:v>
      </x:c>
      <x:c r="V858" s="23" t="n">
        <x:v>-4.187797459327385</x:v>
      </x:c>
    </x:row>
    <x:row r="859">
      <x:c r="A859" s="23" t="n">
        <x:v>858</x:v>
      </x:c>
      <x:c r="B859" s="23" t="str">
        <x:v>Hidden Test</x:v>
      </x:c>
      <x:c r="C859" s="23" t="str">
        <x:v>Lightning</x:v>
      </x:c>
      <x:c r="D859" s="23" t="n">
        <x:v>1445.5498843104579</x:v>
      </x:c>
      <x:c r="E859" s="23" t="n">
        <x:v>845.2322634169832</x:v>
      </x:c>
      <x:c r="F859" s="23" t="n">
        <x:v>711.0512838698924</x:v>
      </x:c>
      <x:c r="G859" s="23" t="n">
        <x:v>194.19420107267797</x:v>
      </x:c>
      <x:c r="H859" s="23" t="n">
        <x:v>22.21705934079364</x:v>
      </x:c>
      <x:c r="I859" s="23" t="n">
        <x:v>0.8023859588848428</x:v>
      </x:c>
      <x:c r="J859" s="23" t="n">
        <x:v>10</x:v>
      </x:c>
      <x:c r="K859" s="23" t="n">
        <x:v>180.15642825049997</x:v>
      </x:c>
      <x:c r="L859" s="23" t="n">
        <x:v>35</x:v>
      </x:c>
      <x:c r="M859" s="23" t="n">
        <x:v>25</x:v>
      </x:c>
      <x:c r="N859" s="23" t="n">
        <x:v>1.1480412328948248</x:v>
      </x:c>
      <x:c r="O859" s="23" t="n">
        <x:v>52.27827026990329</x:v>
      </x:c>
      <x:c r="P859" s="23" t="n">
        <x:v>1445.5498843104579</x:v>
      </x:c>
      <x:c r="Q859" s="23" t="n">
        <x:v>1.137850648879275</x:v>
      </x:c>
      <x:c r="R859" s="23" t="n">
        <x:v>51.289844657955264</x:v>
      </x:c>
      <x:c r="S859" s="23" t="n">
        <x:v>1438.4780233993495</x:v>
      </x:c>
      <x:c r="T859" s="23" t="n">
        <x:v>-0.010190584015549842</x:v>
      </x:c>
      <x:c r="U859" s="23" t="n">
        <x:v>-0.9884256119480241</x:v>
      </x:c>
      <x:c r="V859" s="23" t="n">
        <x:v>-7.071860911108388</x:v>
      </x:c>
    </x:row>
    <x:row r="860">
      <x:c r="A860" s="23" t="n">
        <x:v>859</x:v>
      </x:c>
      <x:c r="B860" s="23" t="str">
        <x:v>Hidden Test</x:v>
      </x:c>
      <x:c r="C860" s="23" t="str">
        <x:v>Lightning</x:v>
      </x:c>
      <x:c r="D860" s="23" t="n">
        <x:v>1472.9168214602396</x:v>
      </x:c>
      <x:c r="E860" s="23" t="n">
        <x:v>1066.4889719919302</x:v>
      </x:c>
      <x:c r="F860" s="23" t="n">
        <x:v>663.5686460882425</x:v>
      </x:c>
      <x:c r="G860" s="23" t="n">
        <x:v>170.66076314775273</x:v>
      </x:c>
      <x:c r="H860" s="23" t="n">
        <x:v>22.590004556812346</x:v>
      </x:c>
      <x:c r="I860" s="23" t="n">
        <x:v>0.8107722565042786</x:v>
      </x:c>
      <x:c r="J860" s="23" t="n">
        <x:v>10</x:v>
      </x:c>
      <x:c r="K860" s="23" t="n">
        <x:v>181.668379701454</x:v>
      </x:c>
      <x:c r="L860" s="23" t="n">
        <x:v>35</x:v>
      </x:c>
      <x:c r="M860" s="23" t="n">
        <x:v>25</x:v>
      </x:c>
      <x:c r="N860" s="23" t="n">
        <x:v>1.2383954356020077</x:v>
      </x:c>
      <x:c r="O860" s="23" t="n">
        <x:v>52.304299459547735</x:v>
      </x:c>
      <x:c r="P860" s="23" t="n">
        <x:v>1472.9168214602396</x:v>
      </x:c>
      <x:c r="Q860" s="23" t="n">
        <x:v>1.2356760980244708</x:v>
      </x:c>
      <x:c r="R860" s="23" t="n">
        <x:v>51.90715469339093</x:v>
      </x:c>
      <x:c r="S860" s="23" t="n">
        <x:v>1459.5941421962993</x:v>
      </x:c>
      <x:c r="T860" s="23" t="n">
        <x:v>-0.002719337577536951</x:v>
      </x:c>
      <x:c r="U860" s="23" t="n">
        <x:v>-0.3971447661568064</x:v>
      </x:c>
      <x:c r="V860" s="23" t="n">
        <x:v>-13.322679263940245</x:v>
      </x:c>
    </x:row>
    <x:row r="861">
      <x:c r="A861" s="23" t="n">
        <x:v>860</x:v>
      </x:c>
      <x:c r="B861" s="23" t="str">
        <x:v>Hidden Test</x:v>
      </x:c>
      <x:c r="C861" s="23" t="str">
        <x:v>Lightning</x:v>
      </x:c>
      <x:c r="D861" s="23" t="n">
        <x:v>1451.5279144397937</x:v>
      </x:c>
      <x:c r="E861" s="23" t="n">
        <x:v>977.836738480255</x:v>
      </x:c>
      <x:c r="F861" s="23" t="n">
        <x:v>534.961863886565</x:v>
      </x:c>
      <x:c r="G861" s="23" t="n">
        <x:v>168.07060855906457</x:v>
      </x:c>
      <x:c r="H861" s="23" t="n">
        <x:v>11.408131774049252</x:v>
      </x:c>
      <x:c r="I861" s="23" t="n">
        <x:v>0.8082467559725046</x:v>
      </x:c>
      <x:c r="J861" s="23" t="n">
        <x:v>9</x:v>
      </x:c>
      <x:c r="K861" s="23" t="n">
        <x:v>199.54410975413285</x:v>
      </x:c>
      <x:c r="L861" s="23" t="n">
        <x:v>45</x:v>
      </x:c>
      <x:c r="M861" s="23" t="n">
        <x:v>25</x:v>
      </x:c>
      <x:c r="N861" s="23" t="n">
        <x:v>1.194210298216664</x:v>
      </x:c>
      <x:c r="O861" s="23" t="n">
        <x:v>52.237089531713615</x:v>
      </x:c>
      <x:c r="P861" s="23" t="n">
        <x:v>1451.5279144397937</x:v>
      </x:c>
      <x:c r="Q861" s="23" t="n">
        <x:v>1.2030307175406536</x:v>
      </x:c>
      <x:c r="R861" s="23" t="n">
        <x:v>52.95348372267699</x:v>
      </x:c>
      <x:c r="S861" s="23" t="n">
        <x:v>1455.5041344011645</x:v>
      </x:c>
      <x:c r="T861" s="23" t="n">
        <x:v>0.008820419323989581</x:v>
      </x:c>
      <x:c r="U861" s="23" t="n">
        <x:v>0.7163941909633778</x:v>
      </x:c>
      <x:c r="V861" s="23" t="n">
        <x:v>3.9762199613708162</x:v>
      </x:c>
    </x:row>
    <x:row r="862">
      <x:c r="A862" s="23" t="n">
        <x:v>861</x:v>
      </x:c>
      <x:c r="B862" s="23" t="str">
        <x:v>Train</x:v>
      </x:c>
      <x:c r="C862" s="23" t="str">
        <x:v>Lightning</x:v>
      </x:c>
      <x:c r="D862" s="23" t="n">
        <x:v>1492.0084081124514</x:v>
      </x:c>
      <x:c r="E862" s="23" t="n">
        <x:v>1167.3354879836552</x:v>
      </x:c>
      <x:c r="F862" s="23" t="n">
        <x:v>477.12626215070486</x:v>
      </x:c>
      <x:c r="G862" s="23" t="n">
        <x:v>164.9584944662638</x:v>
      </x:c>
      <x:c r="H862" s="23" t="n">
        <x:v>16.537623684853315</x:v>
      </x:c>
      <x:c r="I862" s="23" t="n">
        <x:v>0.8449103095778264</x:v>
      </x:c>
      <x:c r="J862" s="23" t="n">
        <x:v>9</x:v>
      </x:c>
      <x:c r="K862" s="23" t="n">
        <x:v>196.20865094583675</x:v>
      </x:c>
      <x:c r="L862" s="23" t="n">
        <x:v>40</x:v>
      </x:c>
      <x:c r="M862" s="23" t="n">
        <x:v>25</x:v>
      </x:c>
      <x:c r="N862" s="23" t="n">
        <x:v>1.179827979359999</x:v>
      </x:c>
      <x:c r="O862" s="23" t="n">
        <x:v>52.25713385163935</x:v>
      </x:c>
      <x:c r="P862" s="23" t="n">
        <x:v>1492.0084081124514</x:v>
      </x:c>
      <x:c r="Q862" s="23" t="n">
        <x:v>1.1889469591646022</x:v>
      </x:c>
      <x:c r="R862" s="23" t="n">
        <x:v>52.5705522512961</x:v>
      </x:c>
      <x:c r="S862" s="23" t="n">
        <x:v>1494.6902689006881</x:v>
      </x:c>
      <x:c r="T862" s="23" t="n">
        <x:v>0.009118979804603189</x:v>
      </x:c>
      <x:c r="U862" s="23" t="n">
        <x:v>0.3134183996567472</x:v>
      </x:c>
      <x:c r="V862" s="23" t="n">
        <x:v>2.6818607882366905</x:v>
      </x:c>
    </x:row>
    <x:row r="863">
      <x:c r="A863" s="23" t="n">
        <x:v>862</x:v>
      </x:c>
      <x:c r="B863" s="23" t="str">
        <x:v>Train</x:v>
      </x:c>
      <x:c r="C863" s="23" t="str">
        <x:v>Lightning</x:v>
      </x:c>
      <x:c r="D863" s="23" t="n">
        <x:v>1398.0148129281588</x:v>
      </x:c>
      <x:c r="E863" s="23" t="n">
        <x:v>998.2309042243287</x:v>
      </x:c>
      <x:c r="F863" s="23" t="n">
        <x:v>749.5681126601994</x:v>
      </x:c>
      <x:c r="G863" s="23" t="n">
        <x:v>84.47056721895933</x:v>
      </x:c>
      <x:c r="H863" s="23" t="n">
        <x:v>23.83270757133141</x:v>
      </x:c>
      <x:c r="I863" s="23" t="n">
        <x:v>0.8242480276105926</x:v>
      </x:c>
      <x:c r="J863" s="23" t="n">
        <x:v>9</x:v>
      </x:c>
      <x:c r="K863" s="23" t="n">
        <x:v>188.45659802734312</x:v>
      </x:c>
      <x:c r="L863" s="23" t="n">
        <x:v>40</x:v>
      </x:c>
      <x:c r="M863" s="23" t="n">
        <x:v>25</x:v>
      </x:c>
      <x:c r="N863" s="23" t="n">
        <x:v>1.2320305631952047</x:v>
      </x:c>
      <x:c r="O863" s="23" t="n">
        <x:v>52.260696634901336</x:v>
      </x:c>
      <x:c r="P863" s="23" t="n">
        <x:v>1398.0148129281588</x:v>
      </x:c>
      <x:c r="Q863" s="23" t="n">
        <x:v>1.236821854072036</x:v>
      </x:c>
      <x:c r="R863" s="23" t="n">
        <x:v>53.08508923640253</x:v>
      </x:c>
      <x:c r="S863" s="23" t="n">
        <x:v>1391.8228468581808</x:v>
      </x:c>
      <x:c r="T863" s="23" t="n">
        <x:v>0.004791290876831278</x:v>
      </x:c>
      <x:c r="U863" s="23" t="n">
        <x:v>0.8243926015011951</x:v>
      </x:c>
      <x:c r="V863" s="23" t="n">
        <x:v>-6.19196606997798</x:v>
      </x:c>
    </x:row>
    <x:row r="864">
      <x:c r="A864" s="23" t="n">
        <x:v>863</x:v>
      </x:c>
      <x:c r="B864" s="23" t="str">
        <x:v>Train</x:v>
      </x:c>
      <x:c r="C864" s="23" t="str">
        <x:v>Lightning</x:v>
      </x:c>
      <x:c r="D864" s="23" t="n">
        <x:v>1441.035780706443</x:v>
      </x:c>
      <x:c r="E864" s="23" t="n">
        <x:v>679.259213723708</x:v>
      </x:c>
      <x:c r="F864" s="23" t="n">
        <x:v>686.1031614243984</x:v>
      </x:c>
      <x:c r="G864" s="23" t="n">
        <x:v>210.7482099509798</x:v>
      </x:c>
      <x:c r="H864" s="23" t="n">
        <x:v>27.640337011776865</x:v>
      </x:c>
      <x:c r="I864" s="23" t="n">
        <x:v>0.8318664377345704</x:v>
      </x:c>
      <x:c r="J864" s="23" t="n">
        <x:v>9</x:v>
      </x:c>
      <x:c r="K864" s="23" t="n">
        <x:v>192.47691634393044</x:v>
      </x:c>
      <x:c r="L864" s="23" t="n">
        <x:v>45</x:v>
      </x:c>
      <x:c r="M864" s="23" t="n">
        <x:v>25</x:v>
      </x:c>
      <x:c r="N864" s="23" t="n">
        <x:v>1.2000424123204345</x:v>
      </x:c>
      <x:c r="O864" s="23" t="n">
        <x:v>52.22075504298157</x:v>
      </x:c>
      <x:c r="P864" s="23" t="n">
        <x:v>1441.035780706443</x:v>
      </x:c>
      <x:c r="Q864" s="23" t="n">
        <x:v>1.187674278386916</x:v>
      </x:c>
      <x:c r="R864" s="23" t="n">
        <x:v>52.02201564108877</x:v>
      </x:c>
      <x:c r="S864" s="23" t="n">
        <x:v>1423.9931588215748</x:v>
      </x:c>
      <x:c r="T864" s="23" t="n">
        <x:v>-0.012368133933518433</x:v>
      </x:c>
      <x:c r="U864" s="23" t="n">
        <x:v>-0.19873940189280148</x:v>
      </x:c>
      <x:c r="V864" s="23" t="n">
        <x:v>-17.04262188486814</x:v>
      </x:c>
    </x:row>
    <x:row r="865">
      <x:c r="A865" s="23" t="n">
        <x:v>864</x:v>
      </x:c>
      <x:c r="B865" s="23" t="str">
        <x:v>Train</x:v>
      </x:c>
      <x:c r="C865" s="23" t="str">
        <x:v>Lightning</x:v>
      </x:c>
      <x:c r="D865" s="23" t="n">
        <x:v>1424.4108697283082</x:v>
      </x:c>
      <x:c r="E865" s="23" t="n">
        <x:v>766.1604017019272</x:v>
      </x:c>
      <x:c r="F865" s="23" t="n">
        <x:v>378.3612816594541</x:v>
      </x:c>
      <x:c r="G865" s="23" t="n">
        <x:v>177.98836999107152</x:v>
      </x:c>
      <x:c r="H865" s="23" t="n">
        <x:v>21.250721575226635</x:v>
      </x:c>
      <x:c r="I865" s="23" t="n">
        <x:v>0.8489384075533599</x:v>
      </x:c>
      <x:c r="J865" s="23" t="n">
        <x:v>9</x:v>
      </x:c>
      <x:c r="K865" s="23" t="n">
        <x:v>186.43033818010943</x:v>
      </x:c>
      <x:c r="L865" s="23" t="n">
        <x:v>55</x:v>
      </x:c>
      <x:c r="M865" s="23" t="n">
        <x:v>25</x:v>
      </x:c>
      <x:c r="N865" s="23" t="n">
        <x:v>1.1794711262033113</x:v>
      </x:c>
      <x:c r="O865" s="23" t="n">
        <x:v>52.18121238006898</x:v>
      </x:c>
      <x:c r="P865" s="23" t="n">
        <x:v>1424.4108697283082</x:v>
      </x:c>
      <x:c r="Q865" s="23" t="n">
        <x:v>1.1683345894697885</x:v>
      </x:c>
      <x:c r="R865" s="23" t="n">
        <x:v>51.75959260852337</x:v>
      </x:c>
      <x:c r="S865" s="23" t="n">
        <x:v>1426.484927155345</x:v>
      </x:c>
      <x:c r="T865" s="23" t="n">
        <x:v>-0.011136536733522773</x:v>
      </x:c>
      <x:c r="U865" s="23" t="n">
        <x:v>-0.4216197715456076</x:v>
      </x:c>
      <x:c r="V865" s="23" t="n">
        <x:v>2.074057427036905</x:v>
      </x:c>
    </x:row>
    <x:row r="866">
      <x:c r="A866" s="23" t="n">
        <x:v>865</x:v>
      </x:c>
      <x:c r="B866" s="23" t="str">
        <x:v>Train</x:v>
      </x:c>
      <x:c r="C866" s="23" t="str">
        <x:v>Lightning</x:v>
      </x:c>
      <x:c r="D866" s="23" t="n">
        <x:v>1365.4822706244886</x:v>
      </x:c>
      <x:c r="E866" s="23" t="n">
        <x:v>868.3261654688977</x:v>
      </x:c>
      <x:c r="F866" s="23" t="n">
        <x:v>727.8592610731721</x:v>
      </x:c>
      <x:c r="G866" s="23" t="n">
        <x:v>255.60313182184473</x:v>
      </x:c>
      <x:c r="H866" s="23" t="n">
        <x:v>17.857121938839555</x:v>
      </x:c>
      <x:c r="I866" s="23" t="n">
        <x:v>0.8125550891761668</x:v>
      </x:c>
      <x:c r="J866" s="23" t="n">
        <x:v>9</x:v>
      </x:c>
      <x:c r="K866" s="23" t="n">
        <x:v>186.71995820669335</x:v>
      </x:c>
      <x:c r="L866" s="23" t="n">
        <x:v>40</x:v>
      </x:c>
      <x:c r="M866" s="23" t="n">
        <x:v>25</x:v>
      </x:c>
      <x:c r="N866" s="23" t="n">
        <x:v>1.212428165166707</x:v>
      </x:c>
      <x:c r="O866" s="23" t="n">
        <x:v>52.26374013096289</x:v>
      </x:c>
      <x:c r="P866" s="23" t="n">
        <x:v>1365.4822706244886</x:v>
      </x:c>
      <x:c r="Q866" s="23" t="n">
        <x:v>1.2093878991154314</x:v>
      </x:c>
      <x:c r="R866" s="23" t="n">
        <x:v>52.83855599900557</x:v>
      </x:c>
      <x:c r="S866" s="23" t="n">
        <x:v>1364.7138897912444</x:v>
      </x:c>
      <x:c r="T866" s="23" t="n">
        <x:v>-0.0030402660512756086</x:v>
      </x:c>
      <x:c r="U866" s="23" t="n">
        <x:v>0.574815868042684</x:v>
      </x:c>
      <x:c r="V866" s="23" t="n">
        <x:v>-0.7683808332442368</x:v>
      </x:c>
    </x:row>
    <x:row r="867">
      <x:c r="A867" s="23" t="n">
        <x:v>866</x:v>
      </x:c>
      <x:c r="B867" s="23" t="str">
        <x:v>Train</x:v>
      </x:c>
      <x:c r="C867" s="23" t="str">
        <x:v>Lightning</x:v>
      </x:c>
      <x:c r="D867" s="23" t="n">
        <x:v>1395.6355908536352</x:v>
      </x:c>
      <x:c r="E867" s="23" t="n">
        <x:v>1108.1953200744465</x:v>
      </x:c>
      <x:c r="F867" s="23" t="n">
        <x:v>638.3637540973723</x:v>
      </x:c>
      <x:c r="G867" s="23" t="n">
        <x:v>312.6350735966116</x:v>
      </x:c>
      <x:c r="H867" s="23" t="n">
        <x:v>26.030794598627836</x:v>
      </x:c>
      <x:c r="I867" s="23" t="n">
        <x:v>0.8077315612742678</x:v>
      </x:c>
      <x:c r="J867" s="23" t="n">
        <x:v>9</x:v>
      </x:c>
      <x:c r="K867" s="23" t="n">
        <x:v>191.98286737901128</x:v>
      </x:c>
      <x:c r="L867" s="23" t="n">
        <x:v>35</x:v>
      </x:c>
      <x:c r="M867" s="23" t="n">
        <x:v>25</x:v>
      </x:c>
      <x:c r="N867" s="23" t="n">
        <x:v>1.243839482641415</x:v>
      </x:c>
      <x:c r="O867" s="23" t="n">
        <x:v>52.29607984749079</x:v>
      </x:c>
      <x:c r="P867" s="23" t="n">
        <x:v>1395.6355908536352</x:v>
      </x:c>
      <x:c r="Q867" s="23" t="n">
        <x:v>1.2552432053976736</x:v>
      </x:c>
      <x:c r="R867" s="23" t="n">
        <x:v>52.19712360416833</x:v>
      </x:c>
      <x:c r="S867" s="23" t="n">
        <x:v>1379.4441977861636</x:v>
      </x:c>
      <x:c r="T867" s="23" t="n">
        <x:v>0.011403722756258672</x:v>
      </x:c>
      <x:c r="U867" s="23" t="n">
        <x:v>-0.0989562433224549</x:v>
      </x:c>
      <x:c r="V867" s="23" t="n">
        <x:v>-16.19139306747161</x:v>
      </x:c>
    </x:row>
    <x:row r="868">
      <x:c r="A868" s="23" t="n">
        <x:v>867</x:v>
      </x:c>
      <x:c r="B868" s="23" t="str">
        <x:v>Train</x:v>
      </x:c>
      <x:c r="C868" s="23" t="str">
        <x:v>Lightning</x:v>
      </x:c>
      <x:c r="D868" s="23" t="n">
        <x:v>1372.7899871533737</x:v>
      </x:c>
      <x:c r="E868" s="23" t="n">
        <x:v>1201.3655492686667</x:v>
      </x:c>
      <x:c r="F868" s="23" t="n">
        <x:v>654.2096059769392</x:v>
      </x:c>
      <x:c r="G868" s="23" t="n">
        <x:v>198.00997116370127</x:v>
      </x:c>
      <x:c r="H868" s="23" t="n">
        <x:v>17.35160626936704</x:v>
      </x:c>
      <x:c r="I868" s="23" t="n">
        <x:v>0.8524241340975277</x:v>
      </x:c>
      <x:c r="J868" s="23" t="n">
        <x:v>9</x:v>
      </x:c>
      <x:c r="K868" s="23" t="n">
        <x:v>178.9393503696456</x:v>
      </x:c>
      <x:c r="L868" s="23" t="n">
        <x:v>35</x:v>
      </x:c>
      <x:c r="M868" s="23" t="n">
        <x:v>25</x:v>
      </x:c>
      <x:c r="N868" s="23" t="n">
        <x:v>1.1897333044572516</x:v>
      </x:c>
      <x:c r="O868" s="23" t="n">
        <x:v>52.295205260835374</x:v>
      </x:c>
      <x:c r="P868" s="23" t="n">
        <x:v>1372.7899871533737</x:v>
      </x:c>
      <x:c r="Q868" s="23" t="n">
        <x:v>1.19552893924866</x:v>
      </x:c>
      <x:c r="R868" s="23" t="n">
        <x:v>53.98491699059965</x:v>
      </x:c>
      <x:c r="S868" s="23" t="n">
        <x:v>1370.9566083022214</x:v>
      </x:c>
      <x:c r="T868" s="23" t="n">
        <x:v>0.005795634791408544</x:v>
      </x:c>
      <x:c r="U868" s="23" t="n">
        <x:v>1.6897117297642765</x:v>
      </x:c>
      <x:c r="V868" s="23" t="n">
        <x:v>-1.833378851152247</x:v>
      </x:c>
    </x:row>
    <x:row r="869">
      <x:c r="A869" s="23" t="n">
        <x:v>868</x:v>
      </x:c>
      <x:c r="B869" s="23" t="str">
        <x:v>Train</x:v>
      </x:c>
      <x:c r="C869" s="23" t="str">
        <x:v>Lightning</x:v>
      </x:c>
      <x:c r="D869" s="23" t="n">
        <x:v>1389.571908430662</x:v>
      </x:c>
      <x:c r="E869" s="23" t="n">
        <x:v>670.593222277239</x:v>
      </x:c>
      <x:c r="F869" s="23" t="n">
        <x:v>711.0801252536476</x:v>
      </x:c>
      <x:c r="G869" s="23" t="n">
        <x:v>198.69688553269953</x:v>
      </x:c>
      <x:c r="H869" s="23" t="n">
        <x:v>29.33193127019331</x:v>
      </x:c>
      <x:c r="I869" s="23" t="n">
        <x:v>0.7902895897440613</x:v>
      </x:c>
      <x:c r="J869" s="23" t="n">
        <x:v>9</x:v>
      </x:c>
      <x:c r="K869" s="23" t="n">
        <x:v>195.36747126394528</x:v>
      </x:c>
      <x:c r="L869" s="23" t="n">
        <x:v>45</x:v>
      </x:c>
      <x:c r="M869" s="23" t="n">
        <x:v>25</x:v>
      </x:c>
      <x:c r="N869" s="23" t="n">
        <x:v>1.2106661618981571</x:v>
      </x:c>
      <x:c r="O869" s="23" t="n">
        <x:v>52.221419228590435</x:v>
      </x:c>
      <x:c r="P869" s="23" t="n">
        <x:v>1389.571908430662</x:v>
      </x:c>
      <x:c r="Q869" s="23" t="n">
        <x:v>1.2010021725826958</x:v>
      </x:c>
      <x:c r="R869" s="23" t="n">
        <x:v>52.112973156757604</x:v>
      </x:c>
      <x:c r="S869" s="23" t="n">
        <x:v>1371.8534773648587</x:v>
      </x:c>
      <x:c r="T869" s="23" t="n">
        <x:v>-0.009663989315461308</x:v>
      </x:c>
      <x:c r="U869" s="23" t="n">
        <x:v>-0.10844607183283017</x:v>
      </x:c>
      <x:c r="V869" s="23" t="n">
        <x:v>-17.718431065803316</x:v>
      </x:c>
    </x:row>
    <x:row r="870">
      <x:c r="A870" s="23" t="n">
        <x:v>869</x:v>
      </x:c>
      <x:c r="B870" s="23" t="str">
        <x:v>Train</x:v>
      </x:c>
      <x:c r="C870" s="23" t="str">
        <x:v>Lightning</x:v>
      </x:c>
      <x:c r="D870" s="23" t="n">
        <x:v>1384.4513206277043</x:v>
      </x:c>
      <x:c r="E870" s="23" t="n">
        <x:v>1119.4714432465844</x:v>
      </x:c>
      <x:c r="F870" s="23" t="n">
        <x:v>631.5472019836307</x:v>
      </x:c>
      <x:c r="G870" s="23" t="n">
        <x:v>111.75561997340992</x:v>
      </x:c>
      <x:c r="H870" s="23" t="n">
        <x:v>15.24708453565836</x:v>
      </x:c>
      <x:c r="I870" s="23" t="n">
        <x:v>0.8109370386064985</x:v>
      </x:c>
      <x:c r="J870" s="23" t="n">
        <x:v>9</x:v>
      </x:c>
      <x:c r="K870" s="23" t="n">
        <x:v>189.6915755365236</x:v>
      </x:c>
      <x:c r="L870" s="23" t="n">
        <x:v>40</x:v>
      </x:c>
      <x:c r="M870" s="23" t="n">
        <x:v>25</x:v>
      </x:c>
      <x:c r="N870" s="23" t="n">
        <x:v>1.2050729208017037</x:v>
      </x:c>
      <x:c r="O870" s="23" t="n">
        <x:v>52.26545307730188</x:v>
      </x:c>
      <x:c r="P870" s="23" t="n">
        <x:v>1384.4513206277043</x:v>
      </x:c>
      <x:c r="Q870" s="23" t="n">
        <x:v>1.2169591227433008</x:v>
      </x:c>
      <x:c r="R870" s="23" t="n">
        <x:v>53.72354402217376</x:v>
      </x:c>
      <x:c r="S870" s="23" t="n">
        <x:v>1377.3159229326554</x:v>
      </x:c>
      <x:c r="T870" s="23" t="n">
        <x:v>0.011886201941597063</x:v>
      </x:c>
      <x:c r="U870" s="23" t="n">
        <x:v>1.4580909448718842</x:v>
      </x:c>
      <x:c r="V870" s="23" t="n">
        <x:v>-7.135397695048823</x:v>
      </x:c>
    </x:row>
    <x:row r="871">
      <x:c r="A871" s="23" t="n">
        <x:v>870</x:v>
      </x:c>
      <x:c r="B871" s="23" t="str">
        <x:v>Train</x:v>
      </x:c>
      <x:c r="C871" s="23" t="str">
        <x:v>Lightning</x:v>
      </x:c>
      <x:c r="D871" s="23" t="n">
        <x:v>1496.7136073042639</x:v>
      </x:c>
      <x:c r="E871" s="23" t="n">
        <x:v>1044.6360781555995</x:v>
      </x:c>
      <x:c r="F871" s="23" t="n">
        <x:v>640.1145425625145</x:v>
      </x:c>
      <x:c r="G871" s="23" t="n">
        <x:v>207.1162866614759</x:v>
      </x:c>
      <x:c r="H871" s="23" t="n">
        <x:v>12.054352401290089</x:v>
      </x:c>
      <x:c r="I871" s="23" t="n">
        <x:v>0.8222135315975174</x:v>
      </x:c>
      <x:c r="J871" s="23" t="n">
        <x:v>10</x:v>
      </x:c>
      <x:c r="K871" s="23" t="n">
        <x:v>182.03466007135987</x:v>
      </x:c>
      <x:c r="L871" s="23" t="n">
        <x:v>35</x:v>
      </x:c>
      <x:c r="M871" s="23" t="n">
        <x:v>25</x:v>
      </x:c>
      <x:c r="N871" s="23" t="n">
        <x:v>1.1754952232403666</x:v>
      </x:c>
      <x:c r="O871" s="23" t="n">
        <x:v>52.30276594170352</x:v>
      </x:c>
      <x:c r="P871" s="23" t="n">
        <x:v>1496.7136073042639</x:v>
      </x:c>
      <x:c r="Q871" s="23" t="n">
        <x:v>1.1881006185891576</x:v>
      </x:c>
      <x:c r="R871" s="23" t="n">
        <x:v>53.19818806320345</x:v>
      </x:c>
      <x:c r="S871" s="23" t="n">
        <x:v>1496.531349308235</x:v>
      </x:c>
      <x:c r="T871" s="23" t="n">
        <x:v>0.012605395348791015</x:v>
      </x:c>
      <x:c r="U871" s="23" t="n">
        <x:v>0.8954221214999336</x:v>
      </x:c>
      <x:c r="V871" s="23" t="n">
        <x:v>-0.18225799602896586</x:v>
      </x:c>
    </x:row>
    <x:row r="872">
      <x:c r="A872" s="23" t="n">
        <x:v>871</x:v>
      </x:c>
      <x:c r="B872" s="23" t="str">
        <x:v>Train</x:v>
      </x:c>
      <x:c r="C872" s="23" t="str">
        <x:v>Lightning</x:v>
      </x:c>
      <x:c r="D872" s="23" t="n">
        <x:v>1486.170971696265</x:v>
      </x:c>
      <x:c r="E872" s="23" t="n">
        <x:v>1128.9826598134823</x:v>
      </x:c>
      <x:c r="F872" s="23" t="n">
        <x:v>390.16628861427307</x:v>
      </x:c>
      <x:c r="G872" s="23" t="n">
        <x:v>258.7392887636088</x:v>
      </x:c>
      <x:c r="H872" s="23" t="n">
        <x:v>14.480869042687118</x:v>
      </x:c>
      <x:c r="I872" s="23" t="n">
        <x:v>0.8082533723837696</x:v>
      </x:c>
      <x:c r="J872" s="23" t="n">
        <x:v>10</x:v>
      </x:c>
      <x:c r="K872" s="23" t="n">
        <x:v>183.87439167907502</x:v>
      </x:c>
      <x:c r="L872" s="23" t="n">
        <x:v>40</x:v>
      </x:c>
      <x:c r="M872" s="23" t="n">
        <x:v>25</x:v>
      </x:c>
      <x:c r="N872" s="23" t="n">
        <x:v>1.2609387726030856</x:v>
      </x:c>
      <x:c r="O872" s="23" t="n">
        <x:v>52.283019137093405</x:v>
      </x:c>
      <x:c r="P872" s="23" t="n">
        <x:v>1486.170971696265</x:v>
      </x:c>
      <x:c r="Q872" s="23" t="n">
        <x:v>1.2787640649547392</x:v>
      </x:c>
      <x:c r="R872" s="23" t="n">
        <x:v>53.803669053531436</x:v>
      </x:c>
      <x:c r="S872" s="23" t="n">
        <x:v>1483.2436875344952</x:v>
      </x:c>
      <x:c r="T872" s="23" t="n">
        <x:v>0.017825292351653532</x:v>
      </x:c>
      <x:c r="U872" s="23" t="n">
        <x:v>1.5206499164380318</x:v>
      </x:c>
      <x:c r="V872" s="23" t="n">
        <x:v>-2.927284161769876</x:v>
      </x:c>
    </x:row>
    <x:row r="873">
      <x:c r="A873" s="23" t="n">
        <x:v>872</x:v>
      </x:c>
      <x:c r="B873" s="23" t="str">
        <x:v>Train</x:v>
      </x:c>
      <x:c r="C873" s="23" t="str">
        <x:v>Lightning</x:v>
      </x:c>
      <x:c r="D873" s="23" t="n">
        <x:v>1372.1465834300034</x:v>
      </x:c>
      <x:c r="E873" s="23" t="n">
        <x:v>717.8407632745802</x:v>
      </x:c>
      <x:c r="F873" s="23" t="n">
        <x:v>657.6515710912645</x:v>
      </x:c>
      <x:c r="G873" s="23" t="n">
        <x:v>221.1236725980416</x:v>
      </x:c>
      <x:c r="H873" s="23" t="n">
        <x:v>24.733045858796686</x:v>
      </x:c>
      <x:c r="I873" s="23" t="n">
        <x:v>0.8102096648607403</x:v>
      </x:c>
      <x:c r="J873" s="23" t="n">
        <x:v>9</x:v>
      </x:c>
      <x:c r="K873" s="23" t="n">
        <x:v>188.17441719660022</x:v>
      </x:c>
      <x:c r="L873" s="23" t="n">
        <x:v>45</x:v>
      </x:c>
      <x:c r="M873" s="23" t="n">
        <x:v>25</x:v>
      </x:c>
      <x:c r="N873" s="23" t="n">
        <x:v>1.2006041399162848</x:v>
      </x:c>
      <x:c r="O873" s="23" t="n">
        <x:v>52.223952350885845</x:v>
      </x:c>
      <x:c r="P873" s="23" t="n">
        <x:v>1372.1465834300034</x:v>
      </x:c>
      <x:c r="Q873" s="23" t="n">
        <x:v>1.1933632969387171</x:v>
      </x:c>
      <x:c r="R873" s="23" t="n">
        <x:v>51.18367429954793</x:v>
      </x:c>
      <x:c r="S873" s="23" t="n">
        <x:v>1369.3918827041623</x:v>
      </x:c>
      <x:c r="T873" s="23" t="n">
        <x:v>-0.007240842977567663</x:v>
      </x:c>
      <x:c r="U873" s="23" t="n">
        <x:v>-1.0402780513379142</x:v>
      </x:c>
      <x:c r="V873" s="23" t="n">
        <x:v>-2.754700725841076</x:v>
      </x:c>
    </x:row>
    <x:row r="874">
      <x:c r="A874" s="23" t="n">
        <x:v>873</x:v>
      </x:c>
      <x:c r="B874" s="23" t="str">
        <x:v>Train</x:v>
      </x:c>
      <x:c r="C874" s="23" t="str">
        <x:v>Lightning</x:v>
      </x:c>
      <x:c r="D874" s="23" t="n">
        <x:v>1482.7574422582984</x:v>
      </x:c>
      <x:c r="E874" s="23" t="n">
        <x:v>890.2691569528542</x:v>
      </x:c>
      <x:c r="F874" s="23" t="n">
        <x:v>640.4130043461919</x:v>
      </x:c>
      <x:c r="G874" s="23" t="n">
        <x:v>205.30408386373892</x:v>
      </x:c>
      <x:c r="H874" s="23" t="n">
        <x:v>15.850504925474524</x:v>
      </x:c>
      <x:c r="I874" s="23" t="n">
        <x:v>0.805605452817399</x:v>
      </x:c>
      <x:c r="J874" s="23" t="n">
        <x:v>10</x:v>
      </x:c>
      <x:c r="K874" s="23" t="n">
        <x:v>184.05504047579782</x:v>
      </x:c>
      <x:c r="L874" s="23" t="n">
        <x:v>40</x:v>
      </x:c>
      <x:c r="M874" s="23" t="n">
        <x:v>25</x:v>
      </x:c>
      <x:c r="N874" s="23" t="n">
        <x:v>1.2396017131695096</x:v>
      </x:c>
      <x:c r="O874" s="23" t="n">
        <x:v>52.275759616974455</x:v>
      </x:c>
      <x:c r="P874" s="23" t="n">
        <x:v>1482.7574422582984</x:v>
      </x:c>
      <x:c r="Q874" s="23" t="n">
        <x:v>1.238029330545984</x:v>
      </x:c>
      <x:c r="R874" s="23" t="n">
        <x:v>51.46171033739644</x:v>
      </x:c>
      <x:c r="S874" s="23" t="n">
        <x:v>1479.9043367878833</x:v>
      </x:c>
      <x:c r="T874" s="23" t="n">
        <x:v>-0.0015723826235256588</x:v>
      </x:c>
      <x:c r="U874" s="23" t="n">
        <x:v>-0.8140492795780148</x:v>
      </x:c>
      <x:c r="V874" s="23" t="n">
        <x:v>-2.85310547041513</x:v>
      </x:c>
    </x:row>
    <x:row r="875">
      <x:c r="A875" s="23" t="n">
        <x:v>874</x:v>
      </x:c>
      <x:c r="B875" s="23" t="str">
        <x:v>Train</x:v>
      </x:c>
      <x:c r="C875" s="23" t="str">
        <x:v>Lightning</x:v>
      </x:c>
      <x:c r="D875" s="23" t="n">
        <x:v>1374.6722836629488</x:v>
      </x:c>
      <x:c r="E875" s="23" t="n">
        <x:v>896.2884847307578</x:v>
      </x:c>
      <x:c r="F875" s="23" t="n">
        <x:v>376.7634750343859</x:v>
      </x:c>
      <x:c r="G875" s="23" t="n">
        <x:v>184.81800022535026</x:v>
      </x:c>
      <x:c r="H875" s="23" t="n">
        <x:v>29.194104303140193</x:v>
      </x:c>
      <x:c r="I875" s="23" t="n">
        <x:v>0.8589139812858776</x:v>
      </x:c>
      <x:c r="J875" s="23" t="n">
        <x:v>9</x:v>
      </x:c>
      <x:c r="K875" s="23" t="n">
        <x:v>177.83080515556412</x:v>
      </x:c>
      <x:c r="L875" s="23" t="n">
        <x:v>50</x:v>
      </x:c>
      <x:c r="M875" s="23" t="n">
        <x:v>25</x:v>
      </x:c>
      <x:c r="N875" s="23" t="n">
        <x:v>1.2235453565526837</x:v>
      </x:c>
      <x:c r="O875" s="23" t="n">
        <x:v>52.20231837351152</x:v>
      </x:c>
      <x:c r="P875" s="23" t="n">
        <x:v>1374.6722836629488</x:v>
      </x:c>
      <x:c r="Q875" s="23" t="n">
        <x:v>1.2233762945448026</x:v>
      </x:c>
      <x:c r="R875" s="23" t="n">
        <x:v>52.01638241285423</x:v>
      </x:c>
      <x:c r="S875" s="23" t="n">
        <x:v>1371.7600577549028</x:v>
      </x:c>
      <x:c r="T875" s="23" t="n">
        <x:v>-0.0001690620078811378</x:v>
      </x:c>
      <x:c r="U875" s="23" t="n">
        <x:v>-0.18593596065728946</x:v>
      </x:c>
      <x:c r="V875" s="23" t="n">
        <x:v>-2.9122259080459116</x:v>
      </x:c>
    </x:row>
    <x:row r="876">
      <x:c r="A876" s="23" t="n">
        <x:v>875</x:v>
      </x:c>
      <x:c r="B876" s="23" t="str">
        <x:v>Validation</x:v>
      </x:c>
      <x:c r="C876" s="23" t="str">
        <x:v>Lightning</x:v>
      </x:c>
      <x:c r="D876" s="23" t="n">
        <x:v>1456.1509704915807</x:v>
      </x:c>
      <x:c r="E876" s="23" t="n">
        <x:v>1161.4600083441474</x:v>
      </x:c>
      <x:c r="F876" s="23" t="n">
        <x:v>487.7435225993395</x:v>
      </x:c>
      <x:c r="G876" s="23" t="n">
        <x:v>99.61365918396041</x:v>
      </x:c>
      <x:c r="H876" s="23" t="n">
        <x:v>28.686175392009318</x:v>
      </x:c>
      <x:c r="I876" s="23" t="n">
        <x:v>0.8577341627213173</x:v>
      </x:c>
      <x:c r="J876" s="23" t="n">
        <x:v>9</x:v>
      </x:c>
      <x:c r="K876" s="23" t="n">
        <x:v>188.63018323010445</x:v>
      </x:c>
      <x:c r="L876" s="23" t="n">
        <x:v>40</x:v>
      </x:c>
      <x:c r="M876" s="23" t="n">
        <x:v>25</x:v>
      </x:c>
      <x:c r="N876" s="23" t="n">
        <x:v>1.2063144754139432</x:v>
      </x:c>
      <x:c r="O876" s="23" t="n">
        <x:v>52.247684320370624</x:v>
      </x:c>
      <x:c r="P876" s="23" t="n">
        <x:v>1456.1509704915807</x:v>
      </x:c>
      <x:c r="Q876" s="23" t="n">
        <x:v>1.192930295749551</x:v>
      </x:c>
      <x:c r="R876" s="23" t="n">
        <x:v>53.99652282359646</x:v>
      </x:c>
      <x:c r="S876" s="23" t="n">
        <x:v>1440.1597980304678</x:v>
      </x:c>
      <x:c r="T876" s="23" t="n">
        <x:v>-0.013384179664392315</x:v>
      </x:c>
      <x:c r="U876" s="23" t="n">
        <x:v>1.7488385032258336</x:v>
      </x:c>
      <x:c r="V876" s="23" t="n">
        <x:v>-15.99117246111291</x:v>
      </x:c>
    </x:row>
    <x:row r="877">
      <x:c r="A877" s="23" t="n">
        <x:v>876</x:v>
      </x:c>
      <x:c r="B877" s="23" t="str">
        <x:v>Validation</x:v>
      </x:c>
      <x:c r="C877" s="23" t="str">
        <x:v>Lightning</x:v>
      </x:c>
      <x:c r="D877" s="23" t="n">
        <x:v>1412.7937859273516</x:v>
      </x:c>
      <x:c r="E877" s="23" t="n">
        <x:v>868.3673234190792</x:v>
      </x:c>
      <x:c r="F877" s="23" t="n">
        <x:v>486.89743084833026</x:v>
      </x:c>
      <x:c r="G877" s="23" t="n">
        <x:v>136.56875378917903</x:v>
      </x:c>
      <x:c r="H877" s="23" t="n">
        <x:v>22.424777525942773</x:v>
      </x:c>
      <x:c r="I877" s="23" t="n">
        <x:v>0.8027427532151342</x:v>
      </x:c>
      <x:c r="J877" s="23" t="n">
        <x:v>9</x:v>
      </x:c>
      <x:c r="K877" s="23" t="n">
        <x:v>195.5509242488192</x:v>
      </x:c>
      <x:c r="L877" s="23" t="n">
        <x:v>50</x:v>
      </x:c>
      <x:c r="M877" s="23" t="n">
        <x:v>25</x:v>
      </x:c>
      <x:c r="N877" s="23" t="n">
        <x:v>1.220714538635593</x:v>
      </x:c>
      <x:c r="O877" s="23" t="n">
        <x:v>52.207614139743725</x:v>
      </x:c>
      <x:c r="P877" s="23" t="n">
        <x:v>1412.7937859273516</x:v>
      </x:c>
      <x:c r="Q877" s="23" t="n">
        <x:v>1.2084520172071787</x:v>
      </x:c>
      <x:c r="R877" s="23" t="n">
        <x:v>51.03196128001765</x:v>
      </x:c>
      <x:c r="S877" s="23" t="n">
        <x:v>1407.9492530652</x:v>
      </x:c>
      <x:c r="T877" s="23" t="n">
        <x:v>-0.012262521428414441</x:v>
      </x:c>
      <x:c r="U877" s="23" t="n">
        <x:v>-1.1756528597260782</x:v>
      </x:c>
      <x:c r="V877" s="23" t="n">
        <x:v>-4.844532862151482</x:v>
      </x:c>
    </x:row>
    <x:row r="878">
      <x:c r="A878" s="23" t="n">
        <x:v>877</x:v>
      </x:c>
      <x:c r="B878" s="23" t="str">
        <x:v>Validation</x:v>
      </x:c>
      <x:c r="C878" s="23" t="str">
        <x:v>Lightning</x:v>
      </x:c>
      <x:c r="D878" s="23" t="n">
        <x:v>1427.2898142691702</x:v>
      </x:c>
      <x:c r="E878" s="23" t="n">
        <x:v>875.1952077145688</x:v>
      </x:c>
      <x:c r="F878" s="23" t="n">
        <x:v>446.34786155074835</x:v>
      </x:c>
      <x:c r="G878" s="23" t="n">
        <x:v>279.17184283258393</x:v>
      </x:c>
      <x:c r="H878" s="23" t="n">
        <x:v>14.222295198589563</x:v>
      </x:c>
      <x:c r="I878" s="23" t="n">
        <x:v>0.8253465881221929</x:v>
      </x:c>
      <x:c r="J878" s="23" t="n">
        <x:v>9</x:v>
      </x:c>
      <x:c r="K878" s="23" t="n">
        <x:v>192.14686220710462</x:v>
      </x:c>
      <x:c r="L878" s="23" t="n">
        <x:v>45</x:v>
      </x:c>
      <x:c r="M878" s="23" t="n">
        <x:v>25</x:v>
      </x:c>
      <x:c r="N878" s="23" t="n">
        <x:v>1.1536230505575638</x:v>
      </x:c>
      <x:c r="O878" s="23" t="n">
        <x:v>52.22459147266886</x:v>
      </x:c>
      <x:c r="P878" s="23" t="n">
        <x:v>1427.2898142691702</x:v>
      </x:c>
      <x:c r="Q878" s="23" t="n">
        <x:v>1.151080187434984</x:v>
      </x:c>
      <x:c r="R878" s="23" t="n">
        <x:v>51.59007233464474</x:v>
      </x:c>
      <x:c r="S878" s="23" t="n">
        <x:v>1437.063929945593</x:v>
      </x:c>
      <x:c r="T878" s="23" t="n">
        <x:v>-0.002542863122579675</x:v>
      </x:c>
      <x:c r="U878" s="23" t="n">
        <x:v>-0.6345191380241246</x:v>
      </x:c>
      <x:c r="V878" s="23" t="n">
        <x:v>9.774115676422753</x:v>
      </x:c>
    </x:row>
    <x:row r="879">
      <x:c r="A879" s="23" t="n">
        <x:v>878</x:v>
      </x:c>
      <x:c r="B879" s="23" t="str">
        <x:v>Hidden Test</x:v>
      </x:c>
      <x:c r="C879" s="23" t="str">
        <x:v>Lightning</x:v>
      </x:c>
      <x:c r="D879" s="23" t="n">
        <x:v>1426.8064631265588</x:v>
      </x:c>
      <x:c r="E879" s="23" t="n">
        <x:v>1091.5990353329107</x:v>
      </x:c>
      <x:c r="F879" s="23" t="n">
        <x:v>680.9118126519024</x:v>
      </x:c>
      <x:c r="G879" s="23" t="n">
        <x:v>254.61349815130234</x:v>
      </x:c>
      <x:c r="H879" s="23" t="n">
        <x:v>16.098401496652514</x:v>
      </x:c>
      <x:c r="I879" s="23" t="n">
        <x:v>0.7993695347709582</x:v>
      </x:c>
      <x:c r="J879" s="23" t="n">
        <x:v>9</x:v>
      </x:c>
      <x:c r="K879" s="23" t="n">
        <x:v>198.32385969516713</x:v>
      </x:c>
      <x:c r="L879" s="23" t="n">
        <x:v>35</x:v>
      </x:c>
      <x:c r="M879" s="23" t="n">
        <x:v>25</x:v>
      </x:c>
      <x:c r="N879" s="23" t="n">
        <x:v>1.1681913327326099</x:v>
      </x:c>
      <x:c r="O879" s="23" t="n">
        <x:v>52.29107936367127</x:v>
      </x:c>
      <x:c r="P879" s="23" t="n">
        <x:v>1426.8064631265588</x:v>
      </x:c>
      <x:c r="Q879" s="23" t="n">
        <x:v>1.186496983289305</x:v>
      </x:c>
      <x:c r="R879" s="23" t="n">
        <x:v>53.4693247650502</x:v>
      </x:c>
      <x:c r="S879" s="23" t="n">
        <x:v>1412.0854766945508</x:v>
      </x:c>
      <x:c r="T879" s="23" t="n">
        <x:v>0.018305650556695197</x:v>
      </x:c>
      <x:c r="U879" s="23" t="n">
        <x:v>1.1782454013789305</x:v>
      </x:c>
      <x:c r="V879" s="23" t="n">
        <x:v>-14.720986432007976</x:v>
      </x:c>
    </x:row>
    <x:row r="880">
      <x:c r="A880" s="23" t="n">
        <x:v>879</x:v>
      </x:c>
      <x:c r="B880" s="23" t="str">
        <x:v>Hidden Test</x:v>
      </x:c>
      <x:c r="C880" s="23" t="str">
        <x:v>Lightning</x:v>
      </x:c>
      <x:c r="D880" s="23" t="n">
        <x:v>1482.2335841367021</x:v>
      </x:c>
      <x:c r="E880" s="23" t="n">
        <x:v>782.1964734350331</x:v>
      </x:c>
      <x:c r="F880" s="23" t="n">
        <x:v>496.70069590210915</x:v>
      </x:c>
      <x:c r="G880" s="23" t="n">
        <x:v>248.9210296026431</x:v>
      </x:c>
      <x:c r="H880" s="23" t="n">
        <x:v>15.551837279461324</x:v>
      </x:c>
      <x:c r="I880" s="23" t="n">
        <x:v>0.8572671069740319</x:v>
      </x:c>
      <x:c r="J880" s="23" t="n">
        <x:v>9</x:v>
      </x:c>
      <x:c r="K880" s="23" t="n">
        <x:v>192.11354211520262</x:v>
      </x:c>
      <x:c r="L880" s="23" t="n">
        <x:v>50</x:v>
      </x:c>
      <x:c r="M880" s="23" t="n">
        <x:v>25</x:v>
      </x:c>
      <x:c r="N880" s="23" t="n">
        <x:v>1.2181642246451299</x:v>
      </x:c>
      <x:c r="O880" s="23" t="n">
        <x:v>52.213225052669685</x:v>
      </x:c>
      <x:c r="P880" s="23" t="n">
        <x:v>1482.2335841367021</x:v>
      </x:c>
      <x:c r="Q880" s="23" t="n">
        <x:v>1.2311491032437512</x:v>
      </x:c>
      <x:c r="R880" s="23" t="n">
        <x:v>51.40461328469726</x:v>
      </x:c>
      <x:c r="S880" s="23" t="n">
        <x:v>1496.746549502356</x:v>
      </x:c>
      <x:c r="T880" s="23" t="n">
        <x:v>0.012984878598621297</x:v>
      </x:c>
      <x:c r="U880" s="23" t="n">
        <x:v>-0.8086117679724225</x:v>
      </x:c>
      <x:c r="V880" s="23" t="n">
        <x:v>14.512965365653827</x:v>
      </x:c>
    </x:row>
    <x:row r="881">
      <x:c r="A881" s="23" t="n">
        <x:v>880</x:v>
      </x:c>
      <x:c r="B881" s="23" t="str">
        <x:v>Hidden Test</x:v>
      </x:c>
      <x:c r="C881" s="23" t="str">
        <x:v>Lightning</x:v>
      </x:c>
      <x:c r="D881" s="23" t="n">
        <x:v>1479.7410335275345</x:v>
      </x:c>
      <x:c r="E881" s="23" t="n">
        <x:v>1160.0513326004148</x:v>
      </x:c>
      <x:c r="F881" s="23" t="n">
        <x:v>748.6713155172765</x:v>
      </x:c>
      <x:c r="G881" s="23" t="n">
        <x:v>121.1803649039939</x:v>
      </x:c>
      <x:c r="H881" s="23" t="n">
        <x:v>12.919975602533668</x:v>
      </x:c>
      <x:c r="I881" s="23" t="n">
        <x:v>0.8395832360442728</x:v>
      </x:c>
      <x:c r="J881" s="23" t="n">
        <x:v>9</x:v>
      </x:c>
      <x:c r="K881" s="23" t="n">
        <x:v>195.83010157110655</x:v>
      </x:c>
      <x:c r="L881" s="23" t="n">
        <x:v>35</x:v>
      </x:c>
      <x:c r="M881" s="23" t="n">
        <x:v>25</x:v>
      </x:c>
      <x:c r="N881" s="23" t="n">
        <x:v>1.1502687668933933</x:v>
      </x:c>
      <x:c r="O881" s="23" t="n">
        <x:v>52.2915126273054</x:v>
      </x:c>
      <x:c r="P881" s="23" t="n">
        <x:v>1479.7410335275345</x:v>
      </x:c>
      <x:c r="Q881" s="23" t="n">
        <x:v>1.1642335399294472</x:v>
      </x:c>
      <x:c r="R881" s="23" t="n">
        <x:v>53.061364638712014</x:v>
      </x:c>
      <x:c r="S881" s="23" t="n">
        <x:v>1468.7495629040338</x:v>
      </x:c>
      <x:c r="T881" s="23" t="n">
        <x:v>0.013964773036053924</x:v>
      </x:c>
      <x:c r="U881" s="23" t="n">
        <x:v>0.7698520114066127</x:v>
      </x:c>
      <x:c r="V881" s="23" t="n">
        <x:v>-10.991470623500618</x:v>
      </x:c>
    </x:row>
    <x:row r="882">
      <x:c r="A882" s="23" t="n">
        <x:v>881</x:v>
      </x:c>
      <x:c r="B882" s="23" t="str">
        <x:v>Train</x:v>
      </x:c>
      <x:c r="C882" s="23" t="str">
        <x:v>Lightning</x:v>
      </x:c>
      <x:c r="D882" s="23" t="n">
        <x:v>1461.9759988971055</x:v>
      </x:c>
      <x:c r="E882" s="23" t="n">
        <x:v>751.5557350008748</x:v>
      </x:c>
      <x:c r="F882" s="23" t="n">
        <x:v>481.2286237254739</x:v>
      </x:c>
      <x:c r="G882" s="23" t="n">
        <x:v>217.0836459682323</x:v>
      </x:c>
      <x:c r="H882" s="23" t="n">
        <x:v>26.90435932762921</x:v>
      </x:c>
      <x:c r="I882" s="23" t="n">
        <x:v>0.8151469190348871</x:v>
      </x:c>
      <x:c r="J882" s="23" t="n">
        <x:v>9</x:v>
      </x:c>
      <x:c r="K882" s="23" t="n">
        <x:v>199.27914080514566</x:v>
      </x:c>
      <x:c r="L882" s="23" t="n">
        <x:v>50</x:v>
      </x:c>
      <x:c r="M882" s="23" t="n">
        <x:v>25</x:v>
      </x:c>
      <x:c r="N882" s="23" t="n">
        <x:v>1.2079517203978847</x:v>
      </x:c>
      <x:c r="O882" s="23" t="n">
        <x:v>52.201070668632</x:v>
      </x:c>
      <x:c r="P882" s="23" t="n">
        <x:v>1461.9759988971055</x:v>
      </x:c>
      <x:c r="Q882" s="23" t="n">
        <x:v>1.1864947835075046</x:v>
      </x:c>
      <x:c r="R882" s="23" t="n">
        <x:v>51.941151338279205</x:v>
      </x:c>
      <x:c r="S882" s="23" t="n">
        <x:v>1451.517986235918</x:v>
      </x:c>
      <x:c r="T882" s="23" t="n">
        <x:v>-0.021456936890380085</x:v>
      </x:c>
      <x:c r="U882" s="23" t="n">
        <x:v>-0.259919330352794</x:v>
      </x:c>
      <x:c r="V882" s="23" t="n">
        <x:v>-10.458012661187468</x:v>
      </x:c>
    </x:row>
    <x:row r="883">
      <x:c r="A883" s="23" t="n">
        <x:v>882</x:v>
      </x:c>
      <x:c r="B883" s="23" t="str">
        <x:v>Train</x:v>
      </x:c>
      <x:c r="C883" s="23" t="str">
        <x:v>Lightning</x:v>
      </x:c>
      <x:c r="D883" s="23" t="n">
        <x:v>1391.7720347293653</x:v>
      </x:c>
      <x:c r="E883" s="23" t="n">
        <x:v>953.2450680853799</x:v>
      </x:c>
      <x:c r="F883" s="23" t="n">
        <x:v>719.4763072766364</x:v>
      </x:c>
      <x:c r="G883" s="23" t="n">
        <x:v>232.99802017398179</x:v>
      </x:c>
      <x:c r="H883" s="23" t="n">
        <x:v>15.79214394139126</x:v>
      </x:c>
      <x:c r="I883" s="23" t="n">
        <x:v>0.8332330808276311</x:v>
      </x:c>
      <x:c r="J883" s="23" t="n">
        <x:v>9</x:v>
      </x:c>
      <x:c r="K883" s="23" t="n">
        <x:v>185.5919318980351</x:v>
      </x:c>
      <x:c r="L883" s="23" t="n">
        <x:v>40</x:v>
      </x:c>
      <x:c r="M883" s="23" t="n">
        <x:v>25</x:v>
      </x:c>
      <x:c r="N883" s="23" t="n">
        <x:v>1.2338976863745705</x:v>
      </x:c>
      <x:c r="O883" s="23" t="n">
        <x:v>52.27214929674894</x:v>
      </x:c>
      <x:c r="P883" s="23" t="n">
        <x:v>1391.7720347293653</x:v>
      </x:c>
      <x:c r="Q883" s="23" t="n">
        <x:v>1.246146190675548</x:v>
      </x:c>
      <x:c r="R883" s="23" t="n">
        <x:v>51.75316525193523</x:v>
      </x:c>
      <x:c r="S883" s="23" t="n">
        <x:v>1392.6497235173422</x:v>
      </x:c>
      <x:c r="T883" s="23" t="n">
        <x:v>0.012248504300977459</x:v>
      </x:c>
      <x:c r="U883" s="23" t="n">
        <x:v>-0.5189840448137133</x:v>
      </x:c>
      <x:c r="V883" s="23" t="n">
        <x:v>0.877688787976922</x:v>
      </x:c>
    </x:row>
    <x:row r="884">
      <x:c r="A884" s="23" t="n">
        <x:v>883</x:v>
      </x:c>
      <x:c r="B884" s="23" t="str">
        <x:v>Train</x:v>
      </x:c>
      <x:c r="C884" s="23" t="str">
        <x:v>Lightning</x:v>
      </x:c>
      <x:c r="D884" s="23" t="n">
        <x:v>1480.5649837246165</x:v>
      </x:c>
      <x:c r="E884" s="23" t="n">
        <x:v>664.7591236629523</x:v>
      </x:c>
      <x:c r="F884" s="23" t="n">
        <x:v>709.236466512084</x:v>
      </x:c>
      <x:c r="G884" s="23" t="n">
        <x:v>188.65513485623524</x:v>
      </x:c>
      <x:c r="H884" s="23" t="n">
        <x:v>29.76799399871379</x:v>
      </x:c>
      <x:c r="I884" s="23" t="n">
        <x:v>0.8326497415150516</x:v>
      </x:c>
      <x:c r="J884" s="23" t="n">
        <x:v>9</x:v>
      </x:c>
      <x:c r="K884" s="23" t="n">
        <x:v>197.5707337811892</x:v>
      </x:c>
      <x:c r="L884" s="23" t="n">
        <x:v>45</x:v>
      </x:c>
      <x:c r="M884" s="23" t="n">
        <x:v>25</x:v>
      </x:c>
      <x:c r="N884" s="23" t="n">
        <x:v>1.2005678268786377</x:v>
      </x:c>
      <x:c r="O884" s="23" t="n">
        <x:v>52.2186563143005</x:v>
      </x:c>
      <x:c r="P884" s="23" t="n">
        <x:v>1480.5649837246165</x:v>
      </x:c>
      <x:c r="Q884" s="23" t="n">
        <x:v>1.1911218944058934</x:v>
      </x:c>
      <x:c r="R884" s="23" t="n">
        <x:v>52.07117632734737</x:v>
      </x:c>
      <x:c r="S884" s="23" t="n">
        <x:v>1474.9682393298915</x:v>
      </x:c>
      <x:c r="T884" s="23" t="n">
        <x:v>-0.009445932472744278</x:v>
      </x:c>
      <x:c r="U884" s="23" t="n">
        <x:v>-0.1474799869531367</x:v>
      </x:c>
      <x:c r="V884" s="23" t="n">
        <x:v>-5.596744394724965</x:v>
      </x:c>
    </x:row>
    <x:row r="885">
      <x:c r="A885" s="23" t="n">
        <x:v>884</x:v>
      </x:c>
      <x:c r="B885" s="23" t="str">
        <x:v>Train</x:v>
      </x:c>
      <x:c r="C885" s="23" t="str">
        <x:v>Lightning</x:v>
      </x:c>
      <x:c r="D885" s="23" t="n">
        <x:v>1492.304367700126</x:v>
      </x:c>
      <x:c r="E885" s="23" t="n">
        <x:v>656.5770755056292</x:v>
      </x:c>
      <x:c r="F885" s="23" t="n">
        <x:v>448.4924244694412</x:v>
      </x:c>
      <x:c r="G885" s="23" t="n">
        <x:v>328.2919910689816</x:v>
      </x:c>
      <x:c r="H885" s="23" t="n">
        <x:v>11.119695901405066</x:v>
      </x:c>
      <x:c r="I885" s="23" t="n">
        <x:v>0.7995893053151667</x:v>
      </x:c>
      <x:c r="J885" s="23" t="n">
        <x:v>10</x:v>
      </x:c>
      <x:c r="K885" s="23" t="n">
        <x:v>186.63385787931696</x:v>
      </x:c>
      <x:c r="L885" s="23" t="n">
        <x:v>50</x:v>
      </x:c>
      <x:c r="M885" s="23" t="n">
        <x:v>25</x:v>
      </x:c>
      <x:c r="N885" s="23" t="n">
        <x:v>1.2424145122151105</x:v>
      </x:c>
      <x:c r="O885" s="23" t="n">
        <x:v>52.223329878323376</x:v>
      </x:c>
      <x:c r="P885" s="23" t="n">
        <x:v>1492.304367700126</x:v>
      </x:c>
      <x:c r="Q885" s="23" t="n">
        <x:v>1.2475260377387978</x:v>
      </x:c>
      <x:c r="R885" s="23" t="n">
        <x:v>52.13415159754127</x:v>
      </x:c>
      <x:c r="S885" s="23" t="n">
        <x:v>1504.501336725429</x:v>
      </x:c>
      <x:c r="T885" s="23" t="n">
        <x:v>0.005111525523687321</x:v>
      </x:c>
      <x:c r="U885" s="23" t="n">
        <x:v>-0.08917828078210732</x:v>
      </x:c>
      <x:c r="V885" s="23" t="n">
        <x:v>12.196969025302906</x:v>
      </x:c>
    </x:row>
    <x:row r="886">
      <x:c r="A886" s="23" t="n">
        <x:v>885</x:v>
      </x:c>
      <x:c r="B886" s="23" t="str">
        <x:v>Train</x:v>
      </x:c>
      <x:c r="C886" s="23" t="str">
        <x:v>Lightning</x:v>
      </x:c>
      <x:c r="D886" s="23" t="n">
        <x:v>1499.3804526049644</x:v>
      </x:c>
      <x:c r="E886" s="23" t="n">
        <x:v>744.2240550997667</x:v>
      </x:c>
      <x:c r="F886" s="23" t="n">
        <x:v>472.31330554932356</x:v>
      </x:c>
      <x:c r="G886" s="23" t="n">
        <x:v>110.84167308406904</x:v>
      </x:c>
      <x:c r="H886" s="23" t="n">
        <x:v>11.951838284730911</x:v>
      </x:c>
      <x:c r="I886" s="23" t="n">
        <x:v>0.8053185044811108</x:v>
      </x:c>
      <x:c r="J886" s="23" t="n">
        <x:v>10</x:v>
      </x:c>
      <x:c r="K886" s="23" t="n">
        <x:v>186.1847758696489</x:v>
      </x:c>
      <x:c r="L886" s="23" t="n">
        <x:v>50</x:v>
      </x:c>
      <x:c r="M886" s="23" t="n">
        <x:v>25</x:v>
      </x:c>
      <x:c r="N886" s="23" t="n">
        <x:v>1.1571850730195368</x:v>
      </x:c>
      <x:c r="O886" s="23" t="n">
        <x:v>52.20496841759426</x:v>
      </x:c>
      <x:c r="P886" s="23" t="n">
        <x:v>1499.3804526049644</x:v>
      </x:c>
      <x:c r="Q886" s="23" t="n">
        <x:v>1.164983279311332</x:v>
      </x:c>
      <x:c r="R886" s="23" t="n">
        <x:v>52.607291784916036</x:v>
      </x:c>
      <x:c r="S886" s="23" t="n">
        <x:v>1511.8065932494762</x:v>
      </x:c>
      <x:c r="T886" s="23" t="n">
        <x:v>0.007798206291795173</x:v>
      </x:c>
      <x:c r="U886" s="23" t="n">
        <x:v>0.4023233673217774</x:v>
      </x:c>
      <x:c r="V886" s="23" t="n">
        <x:v>12.426140644511861</x:v>
      </x:c>
    </x:row>
    <x:row r="887">
      <x:c r="A887" s="23" t="n">
        <x:v>886</x:v>
      </x:c>
      <x:c r="B887" s="23" t="str">
        <x:v>Train</x:v>
      </x:c>
      <x:c r="C887" s="23" t="str">
        <x:v>Lightning</x:v>
      </x:c>
      <x:c r="D887" s="23" t="n">
        <x:v>1465.6595417414792</x:v>
      </x:c>
      <x:c r="E887" s="23" t="n">
        <x:v>1181.2188701471314</x:v>
      </x:c>
      <x:c r="F887" s="23" t="n">
        <x:v>745.8620530553162</x:v>
      </x:c>
      <x:c r="G887" s="23" t="n">
        <x:v>316.4306808449328</x:v>
      </x:c>
      <x:c r="H887" s="23" t="n">
        <x:v>15.748435637447983</x:v>
      </x:c>
      <x:c r="I887" s="23" t="n">
        <x:v>0.8346183770662174</x:v>
      </x:c>
      <x:c r="J887" s="23" t="n">
        <x:v>9</x:v>
      </x:c>
      <x:c r="K887" s="23" t="n">
        <x:v>195.12038635662262</x:v>
      </x:c>
      <x:c r="L887" s="23" t="n">
        <x:v>30</x:v>
      </x:c>
      <x:c r="M887" s="23" t="n">
        <x:v>25</x:v>
      </x:c>
      <x:c r="N887" s="23" t="n">
        <x:v>1.1267987573160905</x:v>
      </x:c>
      <x:c r="O887" s="23" t="n">
        <x:v>52.324819546861086</x:v>
      </x:c>
      <x:c r="P887" s="23" t="n">
        <x:v>1465.6595417414792</x:v>
      </x:c>
      <x:c r="Q887" s="23" t="n">
        <x:v>1.1412563140382965</x:v>
      </x:c>
      <x:c r="R887" s="23" t="n">
        <x:v>53.53398048157676</x:v>
      </x:c>
      <x:c r="S887" s="23" t="n">
        <x:v>1456.0773148859432</x:v>
      </x:c>
      <x:c r="T887" s="23" t="n">
        <x:v>0.014457556722206055</x:v>
      </x:c>
      <x:c r="U887" s="23" t="n">
        <x:v>1.2091609347156762</x:v>
      </x:c>
      <x:c r="V887" s="23" t="n">
        <x:v>-9.582226855535964</x:v>
      </x:c>
    </x:row>
    <x:row r="888">
      <x:c r="A888" s="23" t="n">
        <x:v>887</x:v>
      </x:c>
      <x:c r="B888" s="23" t="str">
        <x:v>Train</x:v>
      </x:c>
      <x:c r="C888" s="23" t="str">
        <x:v>Lightning</x:v>
      </x:c>
      <x:c r="D888" s="23" t="n">
        <x:v>1393.5744137736037</x:v>
      </x:c>
      <x:c r="E888" s="23" t="n">
        <x:v>758.1523826462217</x:v>
      </x:c>
      <x:c r="F888" s="23" t="n">
        <x:v>379.6420827507973</x:v>
      </x:c>
      <x:c r="G888" s="23" t="n">
        <x:v>131.38622497906908</x:v>
      </x:c>
      <x:c r="H888" s="23" t="n">
        <x:v>26.933224479667842</x:v>
      </x:c>
      <x:c r="I888" s="23" t="n">
        <x:v>0.8112243643752299</x:v>
      </x:c>
      <x:c r="J888" s="23" t="n">
        <x:v>9</x:v>
      </x:c>
      <x:c r="K888" s="23" t="n">
        <x:v>190.87395340948956</x:v>
      </x:c>
      <x:c r="L888" s="23" t="n">
        <x:v>55</x:v>
      </x:c>
      <x:c r="M888" s="23" t="n">
        <x:v>25</x:v>
      </x:c>
      <x:c r="N888" s="23" t="n">
        <x:v>1.1571893822060622</x:v>
      </x:c>
      <x:c r="O888" s="23" t="n">
        <x:v>52.17289699914689</x:v>
      </x:c>
      <x:c r="P888" s="23" t="n">
        <x:v>1393.5744137736037</x:v>
      </x:c>
      <x:c r="Q888" s="23" t="n">
        <x:v>1.1529263101310356</x:v>
      </x:c>
      <x:c r="R888" s="23" t="n">
        <x:v>52.19369144755673</x:v>
      </x:c>
      <x:c r="S888" s="23" t="n">
        <x:v>1396.3941881699745</x:v>
      </x:c>
      <x:c r="T888" s="23" t="n">
        <x:v>-0.004263072075026519</x:v>
      </x:c>
      <x:c r="U888" s="23" t="n">
        <x:v>0.020794448409837685</x:v>
      </x:c>
      <x:c r="V888" s="23" t="n">
        <x:v>2.8197743963708035</x:v>
      </x:c>
    </x:row>
    <x:row r="889">
      <x:c r="A889" s="23" t="n">
        <x:v>888</x:v>
      </x:c>
      <x:c r="B889" s="23" t="str">
        <x:v>Train</x:v>
      </x:c>
      <x:c r="C889" s="23" t="str">
        <x:v>Lightning</x:v>
      </x:c>
      <x:c r="D889" s="23" t="n">
        <x:v>1439.4766106153838</x:v>
      </x:c>
      <x:c r="E889" s="23" t="n">
        <x:v>776.3439933769405</x:v>
      </x:c>
      <x:c r="F889" s="23" t="n">
        <x:v>466.31995951756835</x:v>
      </x:c>
      <x:c r="G889" s="23" t="n">
        <x:v>314.4019809970632</x:v>
      </x:c>
      <x:c r="H889" s="23" t="n">
        <x:v>9.446379428263754</x:v>
      </x:c>
      <x:c r="I889" s="23" t="n">
        <x:v>0.8342633104044944</x:v>
      </x:c>
      <x:c r="J889" s="23" t="n">
        <x:v>9</x:v>
      </x:c>
      <x:c r="K889" s="23" t="n">
        <x:v>191.71626467234114</x:v>
      </x:c>
      <x:c r="L889" s="23" t="n">
        <x:v>50</x:v>
      </x:c>
      <x:c r="M889" s="23" t="n">
        <x:v>25</x:v>
      </x:c>
      <x:c r="N889" s="23" t="n">
        <x:v>1.2131645882782993</x:v>
      </x:c>
      <x:c r="O889" s="23" t="n">
        <x:v>52.21778550574204</x:v>
      </x:c>
      <x:c r="P889" s="23" t="n">
        <x:v>1439.4766106153838</x:v>
      </x:c>
      <x:c r="Q889" s="23" t="n">
        <x:v>1.2138746982854316</x:v>
      </x:c>
      <x:c r="R889" s="23" t="n">
        <x:v>52.54164484675114</x:v>
      </x:c>
      <x:c r="S889" s="23" t="n">
        <x:v>1451.9072899571738</x:v>
      </x:c>
      <x:c r="T889" s="23" t="n">
        <x:v>0.0007101100071322808</x:v>
      </x:c>
      <x:c r="U889" s="23" t="n">
        <x:v>0.3238593410090971</x:v>
      </x:c>
      <x:c r="V889" s="23" t="n">
        <x:v>12.430679341789983</x:v>
      </x:c>
    </x:row>
    <x:row r="890">
      <x:c r="A890" s="23" t="n">
        <x:v>889</x:v>
      </x:c>
      <x:c r="B890" s="23" t="str">
        <x:v>Train</x:v>
      </x:c>
      <x:c r="C890" s="23" t="str">
        <x:v>Lightning</x:v>
      </x:c>
      <x:c r="D890" s="23" t="n">
        <x:v>1421.6292086988688</x:v>
      </x:c>
      <x:c r="E890" s="23" t="n">
        <x:v>1007.4186152196489</x:v>
      </x:c>
      <x:c r="F890" s="23" t="n">
        <x:v>733.9647190645337</x:v>
      </x:c>
      <x:c r="G890" s="23" t="n">
        <x:v>185.26755132013932</x:v>
      </x:c>
      <x:c r="H890" s="23" t="n">
        <x:v>10.629277033731341</x:v>
      </x:c>
      <x:c r="I890" s="23" t="n">
        <x:v>0.8553802133840509</x:v>
      </x:c>
      <x:c r="J890" s="23" t="n">
        <x:v>9</x:v>
      </x:c>
      <x:c r="K890" s="23" t="n">
        <x:v>184.66501620562997</x:v>
      </x:c>
      <x:c r="L890" s="23" t="n">
        <x:v>40</x:v>
      </x:c>
      <x:c r="M890" s="23" t="n">
        <x:v>25</x:v>
      </x:c>
      <x:c r="N890" s="23" t="n">
        <x:v>1.21837956430729</x:v>
      </x:c>
      <x:c r="O890" s="23" t="n">
        <x:v>52.27541303933785</x:v>
      </x:c>
      <x:c r="P890" s="23" t="n">
        <x:v>1421.6292086988688</x:v>
      </x:c>
      <x:c r="Q890" s="23" t="n">
        <x:v>1.2361005794291844</x:v>
      </x:c>
      <x:c r="R890" s="23" t="n">
        <x:v>52.11157245858812</x:v>
      </x:c>
      <x:c r="S890" s="23" t="n">
        <x:v>1417.8612327932917</x:v>
      </x:c>
      <x:c r="T890" s="23" t="n">
        <x:v>0.01772101512189428</x:v>
      </x:c>
      <x:c r="U890" s="23" t="n">
        <x:v>-0.16384058074972785</x:v>
      </x:c>
      <x:c r="V890" s="23" t="n">
        <x:v>-3.767975905577032</x:v>
      </x:c>
    </x:row>
    <x:row r="891">
      <x:c r="A891" s="23" t="n">
        <x:v>890</x:v>
      </x:c>
      <x:c r="B891" s="23" t="str">
        <x:v>Train</x:v>
      </x:c>
      <x:c r="C891" s="23" t="str">
        <x:v>Lightning</x:v>
      </x:c>
      <x:c r="D891" s="23" t="n">
        <x:v>1493.995524442289</x:v>
      </x:c>
      <x:c r="E891" s="23" t="n">
        <x:v>971.5074872830883</x:v>
      </x:c>
      <x:c r="F891" s="23" t="n">
        <x:v>536.9009629823267</x:v>
      </x:c>
      <x:c r="G891" s="23" t="n">
        <x:v>217.39709160290658</x:v>
      </x:c>
      <x:c r="H891" s="23" t="n">
        <x:v>25.85672427387908</x:v>
      </x:c>
      <x:c r="I891" s="23" t="n">
        <x:v>0.7937083262996748</x:v>
      </x:c>
      <x:c r="J891" s="23" t="n">
        <x:v>10</x:v>
      </x:c>
      <x:c r="K891" s="23" t="n">
        <x:v>188.22979108804407</x:v>
      </x:c>
      <x:c r="L891" s="23" t="n">
        <x:v>35</x:v>
      </x:c>
      <x:c r="M891" s="23" t="n">
        <x:v>25</x:v>
      </x:c>
      <x:c r="N891" s="23" t="n">
        <x:v>1.1526796558095391</x:v>
      </x:c>
      <x:c r="O891" s="23" t="n">
        <x:v>52.27399581012868</x:v>
      </x:c>
      <x:c r="P891" s="23" t="n">
        <x:v>1493.995524442289</x:v>
      </x:c>
      <x:c r="Q891" s="23" t="n">
        <x:v>1.1444174720054467</x:v>
      </x:c>
      <x:c r="R891" s="23" t="n">
        <x:v>51.439106065883244</x:v>
      </x:c>
      <x:c r="S891" s="23" t="n">
        <x:v>1472.219173894263</x:v>
      </x:c>
      <x:c r="T891" s="23" t="n">
        <x:v>-0.008262183804092382</x:v>
      </x:c>
      <x:c r="U891" s="23" t="n">
        <x:v>-0.8348897442454373</x:v>
      </x:c>
      <x:c r="V891" s="23" t="n">
        <x:v>-21.77635054802613</x:v>
      </x:c>
    </x:row>
    <x:row r="892">
      <x:c r="A892" s="23" t="n">
        <x:v>891</x:v>
      </x:c>
      <x:c r="B892" s="23" t="str">
        <x:v>Train</x:v>
      </x:c>
      <x:c r="C892" s="23" t="str">
        <x:v>Lightning</x:v>
      </x:c>
      <x:c r="D892" s="23" t="n">
        <x:v>1447.6127420319244</x:v>
      </x:c>
      <x:c r="E892" s="23" t="n">
        <x:v>967.6438347087242</x:v>
      </x:c>
      <x:c r="F892" s="23" t="n">
        <x:v>508.4078285843134</x:v>
      </x:c>
      <x:c r="G892" s="23" t="n">
        <x:v>258.3134333672933</x:v>
      </x:c>
      <x:c r="H892" s="23" t="n">
        <x:v>27.94895646814257</x:v>
      </x:c>
      <x:c r="I892" s="23" t="n">
        <x:v>0.8471410967665725</x:v>
      </x:c>
      <x:c r="J892" s="23" t="n">
        <x:v>9</x:v>
      </x:c>
      <x:c r="K892" s="23" t="n">
        <x:v>189.8690322541276</x:v>
      </x:c>
      <x:c r="L892" s="23" t="n">
        <x:v>40</x:v>
      </x:c>
      <x:c r="M892" s="23" t="n">
        <x:v>25</x:v>
      </x:c>
      <x:c r="N892" s="23" t="n">
        <x:v>1.1938151551193574</x:v>
      </x:c>
      <x:c r="O892" s="23" t="n">
        <x:v>52.24543087769676</x:v>
      </x:c>
      <x:c r="P892" s="23" t="n">
        <x:v>1447.6127420319244</x:v>
      </x:c>
      <x:c r="Q892" s="23" t="n">
        <x:v>1.186101594613104</x:v>
      </x:c>
      <x:c r="R892" s="23" t="n">
        <x:v>51.3409076708916</x:v>
      </x:c>
      <x:c r="S892" s="23" t="n">
        <x:v>1436.7635317720083</x:v>
      </x:c>
      <x:c r="T892" s="23" t="n">
        <x:v>-0.007713560506253492</x:v>
      </x:c>
      <x:c r="U892" s="23" t="n">
        <x:v>-0.904523206805159</x:v>
      </x:c>
      <x:c r="V892" s="23" t="n">
        <x:v>-10.849210259916163</x:v>
      </x:c>
    </x:row>
    <x:row r="893">
      <x:c r="A893" s="23" t="n">
        <x:v>892</x:v>
      </x:c>
      <x:c r="B893" s="23" t="str">
        <x:v>Train</x:v>
      </x:c>
      <x:c r="C893" s="23" t="str">
        <x:v>Lightning</x:v>
      </x:c>
      <x:c r="D893" s="23" t="n">
        <x:v>1464.6777313551866</x:v>
      </x:c>
      <x:c r="E893" s="23" t="n">
        <x:v>1190.174813894555</x:v>
      </x:c>
      <x:c r="F893" s="23" t="n">
        <x:v>525.7181639783084</x:v>
      </x:c>
      <x:c r="G893" s="23" t="n">
        <x:v>187.07698937039822</x:v>
      </x:c>
      <x:c r="H893" s="23" t="n">
        <x:v>19.85789046762511</x:v>
      </x:c>
      <x:c r="I893" s="23" t="n">
        <x:v>0.8546676516532898</x:v>
      </x:c>
      <x:c r="J893" s="23" t="n">
        <x:v>9</x:v>
      </x:c>
      <x:c r="K893" s="23" t="n">
        <x:v>190.41550225489905</x:v>
      </x:c>
      <x:c r="L893" s="23" t="n">
        <x:v>40</x:v>
      </x:c>
      <x:c r="M893" s="23" t="n">
        <x:v>25</x:v>
      </x:c>
      <x:c r="N893" s="23" t="n">
        <x:v>1.2539378413557842</x:v>
      </x:c>
      <x:c r="O893" s="23" t="n">
        <x:v>52.2717205921424</x:v>
      </x:c>
      <x:c r="P893" s="23" t="n">
        <x:v>1464.6777313551866</x:v>
      </x:c>
      <x:c r="Q893" s="23" t="n">
        <x:v>1.265412655279775</x:v>
      </x:c>
      <x:c r="R893" s="23" t="n">
        <x:v>53.38455093258508</x:v>
      </x:c>
      <x:c r="S893" s="23" t="n">
        <x:v>1460.9562884354302</x:v>
      </x:c>
      <x:c r="T893" s="23" t="n">
        <x:v>0.011474813923990856</x:v>
      </x:c>
      <x:c r="U893" s="23" t="n">
        <x:v>1.1128303404426774</x:v>
      </x:c>
      <x:c r="V893" s="23" t="n">
        <x:v>-3.7214429197563277</x:v>
      </x:c>
    </x:row>
    <x:row r="894">
      <x:c r="A894" s="23" t="n">
        <x:v>893</x:v>
      </x:c>
      <x:c r="B894" s="23" t="str">
        <x:v>Train</x:v>
      </x:c>
      <x:c r="C894" s="23" t="str">
        <x:v>Lightning</x:v>
      </x:c>
      <x:c r="D894" s="23" t="n">
        <x:v>1489.8794818203896</x:v>
      </x:c>
      <x:c r="E894" s="23" t="n">
        <x:v>946.1782132158987</x:v>
      </x:c>
      <x:c r="F894" s="23" t="n">
        <x:v>376.9522314891219</x:v>
      </x:c>
      <x:c r="G894" s="23" t="n">
        <x:v>303.46663736971095</x:v>
      </x:c>
      <x:c r="H894" s="23" t="n">
        <x:v>17.995463397353888</x:v>
      </x:c>
      <x:c r="I894" s="23" t="n">
        <x:v>0.808788559625391</x:v>
      </x:c>
      <x:c r="J894" s="23" t="n">
        <x:v>10</x:v>
      </x:c>
      <x:c r="K894" s="23" t="n">
        <x:v>184.21124583048768</x:v>
      </x:c>
      <x:c r="L894" s="23" t="n">
        <x:v>40</x:v>
      </x:c>
      <x:c r="M894" s="23" t="n">
        <x:v>25</x:v>
      </x:c>
      <x:c r="N894" s="23" t="n">
        <x:v>1.1767390613954203</x:v>
      </x:c>
      <x:c r="O894" s="23" t="n">
        <x:v>52.25680794446944</x:v>
      </x:c>
      <x:c r="P894" s="23" t="n">
        <x:v>1489.8794818203896</x:v>
      </x:c>
      <x:c r="Q894" s="23" t="n">
        <x:v>1.1671078726932989</x:v>
      </x:c>
      <x:c r="R894" s="23" t="n">
        <x:v>52.547224764852935</x:v>
      </x:c>
      <x:c r="S894" s="23" t="n">
        <x:v>1484.0577172245717</x:v>
      </x:c>
      <x:c r="T894" s="23" t="n">
        <x:v>-0.00963118870212143</x:v>
      </x:c>
      <x:c r="U894" s="23" t="n">
        <x:v>0.29041682038349137</x:v>
      </x:c>
      <x:c r="V894" s="23" t="n">
        <x:v>-5.821764595817967</x:v>
      </x:c>
    </x:row>
    <x:row r="895">
      <x:c r="A895" s="23" t="n">
        <x:v>894</x:v>
      </x:c>
      <x:c r="B895" s="23" t="str">
        <x:v>Train</x:v>
      </x:c>
      <x:c r="C895" s="23" t="str">
        <x:v>Lightning</x:v>
      </x:c>
      <x:c r="D895" s="23" t="n">
        <x:v>1354.515347268898</x:v>
      </x:c>
      <x:c r="E895" s="23" t="n">
        <x:v>789.8994865594432</x:v>
      </x:c>
      <x:c r="F895" s="23" t="n">
        <x:v>470.805870462209</x:v>
      </x:c>
      <x:c r="G895" s="23" t="n">
        <x:v>133.7239359691739</x:v>
      </x:c>
      <x:c r="H895" s="23" t="n">
        <x:v>20.631175252143294</x:v>
      </x:c>
      <x:c r="I895" s="23" t="n">
        <x:v>0.8478456747857854</x:v>
      </x:c>
      <x:c r="J895" s="23" t="n">
        <x:v>8</x:v>
      </x:c>
      <x:c r="K895" s="23" t="n">
        <x:v>199.69957203755368</x:v>
      </x:c>
      <x:c r="L895" s="23" t="n">
        <x:v>60</x:v>
      </x:c>
      <x:c r="M895" s="23" t="n">
        <x:v>25</x:v>
      </x:c>
      <x:c r="N895" s="23" t="n">
        <x:v>1.2041605185271502</x:v>
      </x:c>
      <x:c r="O895" s="23" t="n">
        <x:v>52.16826790000852</x:v>
      </x:c>
      <x:c r="P895" s="23" t="n">
        <x:v>1354.515347268898</x:v>
      </x:c>
      <x:c r="Q895" s="23" t="n">
        <x:v>1.1948898911537473</x:v>
      </x:c>
      <x:c r="R895" s="23" t="n">
        <x:v>50.80648678841342</x:v>
      </x:c>
      <x:c r="S895" s="23" t="n">
        <x:v>1356.1897354443486</x:v>
      </x:c>
      <x:c r="T895" s="23" t="n">
        <x:v>-0.009270627373402895</x:v>
      </x:c>
      <x:c r="U895" s="23" t="n">
        <x:v>-1.3617811115951</x:v>
      </x:c>
      <x:c r="V895" s="23" t="n">
        <x:v>1.674388175450531</x:v>
      </x:c>
    </x:row>
    <x:row r="896">
      <x:c r="A896" s="23" t="n">
        <x:v>895</x:v>
      </x:c>
      <x:c r="B896" s="23" t="str">
        <x:v>Validation</x:v>
      </x:c>
      <x:c r="C896" s="23" t="str">
        <x:v>Lightning</x:v>
      </x:c>
      <x:c r="D896" s="23" t="n">
        <x:v>1376.557806157507</x:v>
      </x:c>
      <x:c r="E896" s="23" t="n">
        <x:v>1110.0529211689718</x:v>
      </x:c>
      <x:c r="F896" s="23" t="n">
        <x:v>622.0325939357281</x:v>
      </x:c>
      <x:c r="G896" s="23" t="n">
        <x:v>297.40503556793556</x:v>
      </x:c>
      <x:c r="H896" s="23" t="n">
        <x:v>23.474422580562532</x:v>
      </x:c>
      <x:c r="I896" s="23" t="n">
        <x:v>0.8295799289806747</x:v>
      </x:c>
      <x:c r="J896" s="23" t="n">
        <x:v>9</x:v>
      </x:c>
      <x:c r="K896" s="23" t="n">
        <x:v>184.37146561485477</x:v>
      </x:c>
      <x:c r="L896" s="23" t="n">
        <x:v>35</x:v>
      </x:c>
      <x:c r="M896" s="23" t="n">
        <x:v>25</x:v>
      </x:c>
      <x:c r="N896" s="23" t="n">
        <x:v>1.2132453935340637</x:v>
      </x:c>
      <x:c r="O896" s="23" t="n">
        <x:v>52.29144831411363</x:v>
      </x:c>
      <x:c r="P896" s="23" t="n">
        <x:v>1376.557806157507</x:v>
      </x:c>
      <x:c r="Q896" s="23" t="n">
        <x:v>1.2199084126998994</x:v>
      </x:c>
      <x:c r="R896" s="23" t="n">
        <x:v>53.52053973953459</x:v>
      </x:c>
      <x:c r="S896" s="23" t="n">
        <x:v>1364.88808500271</x:v>
      </x:c>
      <x:c r="T896" s="23" t="n">
        <x:v>0.006663019165835671</x:v>
      </x:c>
      <x:c r="U896" s="23" t="n">
        <x:v>1.229091425420961</x:v>
      </x:c>
      <x:c r="V896" s="23" t="n">
        <x:v>-11.669721154796889</x:v>
      </x:c>
    </x:row>
    <x:row r="897">
      <x:c r="A897" s="23" t="n">
        <x:v>896</x:v>
      </x:c>
      <x:c r="B897" s="23" t="str">
        <x:v>Validation</x:v>
      </x:c>
      <x:c r="C897" s="23" t="str">
        <x:v>Lightning</x:v>
      </x:c>
      <x:c r="D897" s="23" t="n">
        <x:v>1375.2610714989714</x:v>
      </x:c>
      <x:c r="E897" s="23" t="n">
        <x:v>688.6037591844797</x:v>
      </x:c>
      <x:c r="F897" s="23" t="n">
        <x:v>519.6619867347181</x:v>
      </x:c>
      <x:c r="G897" s="23" t="n">
        <x:v>275.5604973481968</x:v>
      </x:c>
      <x:c r="H897" s="23" t="n">
        <x:v>20.836164043750614</x:v>
      </x:c>
      <x:c r="I897" s="23" t="n">
        <x:v>0.8127449707966298</x:v>
      </x:c>
      <x:c r="J897" s="23" t="n">
        <x:v>9</x:v>
      </x:c>
      <x:c r="K897" s="23" t="n">
        <x:v>188.01320366502054</x:v>
      </x:c>
      <x:c r="L897" s="23" t="n">
        <x:v>50</x:v>
      </x:c>
      <x:c r="M897" s="23" t="n">
        <x:v>25</x:v>
      </x:c>
      <x:c r="N897" s="23" t="n">
        <x:v>1.2078909616637736</x:v>
      </x:c>
      <x:c r="O897" s="23" t="n">
        <x:v>52.206365606981464</x:v>
      </x:c>
      <x:c r="P897" s="23" t="n">
        <x:v>1375.2610714989714</x:v>
      </x:c>
      <x:c r="Q897" s="23" t="n">
        <x:v>1.1972802628104975</x:v>
      </x:c>
      <x:c r="R897" s="23" t="n">
        <x:v>51.583773163069445</x:v>
      </x:c>
      <x:c r="S897" s="23" t="n">
        <x:v>1383.3851780058721</x:v>
      </x:c>
      <x:c r="T897" s="23" t="n">
        <x:v>-0.010610698853276146</x:v>
      </x:c>
      <x:c r="U897" s="23" t="n">
        <x:v>-0.6225924439120192</x:v>
      </x:c>
      <x:c r="V897" s="23" t="n">
        <x:v>8.124106506900716</x:v>
      </x:c>
    </x:row>
    <x:row r="898">
      <x:c r="A898" s="23" t="n">
        <x:v>897</x:v>
      </x:c>
      <x:c r="B898" s="23" t="str">
        <x:v>Validation</x:v>
      </x:c>
      <x:c r="C898" s="23" t="str">
        <x:v>Lightning</x:v>
      </x:c>
      <x:c r="D898" s="23" t="n">
        <x:v>1449.0529443137348</x:v>
      </x:c>
      <x:c r="E898" s="23" t="n">
        <x:v>762.6907329424284</x:v>
      </x:c>
      <x:c r="F898" s="23" t="n">
        <x:v>716.581648029387</x:v>
      </x:c>
      <x:c r="G898" s="23" t="n">
        <x:v>87.57081533083692</x:v>
      </x:c>
      <x:c r="H898" s="23" t="n">
        <x:v>18.595688799396157</x:v>
      </x:c>
      <x:c r="I898" s="23" t="n">
        <x:v>0.8221118963812478</x:v>
      </x:c>
      <x:c r="J898" s="23" t="n">
        <x:v>9</x:v>
      </x:c>
      <x:c r="K898" s="23" t="n">
        <x:v>195.84424384349364</x:v>
      </x:c>
      <x:c r="L898" s="23" t="n">
        <x:v>45</x:v>
      </x:c>
      <x:c r="M898" s="23" t="n">
        <x:v>25</x:v>
      </x:c>
      <x:c r="N898" s="23" t="n">
        <x:v>1.1516006904949976</x:v>
      </x:c>
      <x:c r="O898" s="23" t="n">
        <x:v>52.219310025383486</x:v>
      </x:c>
      <x:c r="P898" s="23" t="n">
        <x:v>1449.0529443137348</x:v>
      </x:c>
      <x:c r="Q898" s="23" t="n">
        <x:v>1.156662784911762</x:v>
      </x:c>
      <x:c r="R898" s="23" t="n">
        <x:v>51.05011882029835</x:v>
      </x:c>
      <x:c r="S898" s="23" t="n">
        <x:v>1450.724430623322</x:v>
      </x:c>
      <x:c r="T898" s="23" t="n">
        <x:v>0.005062094416764529</x:v>
      </x:c>
      <x:c r="U898" s="23" t="n">
        <x:v>-1.1691912050851343</x:v>
      </x:c>
      <x:c r="V898" s="23" t="n">
        <x:v>1.6714863095871806</x:v>
      </x:c>
    </x:row>
    <x:row r="899">
      <x:c r="A899" s="23" t="n">
        <x:v>898</x:v>
      </x:c>
      <x:c r="B899" s="23" t="str">
        <x:v>Hidden Test</x:v>
      </x:c>
      <x:c r="C899" s="23" t="str">
        <x:v>Lightning</x:v>
      </x:c>
      <x:c r="D899" s="23" t="n">
        <x:v>1483.0512603395618</x:v>
      </x:c>
      <x:c r="E899" s="23" t="n">
        <x:v>1182.9499221639708</x:v>
      </x:c>
      <x:c r="F899" s="23" t="n">
        <x:v>702.3902558721602</x:v>
      </x:c>
      <x:c r="G899" s="23" t="n">
        <x:v>133.17674786783755</x:v>
      </x:c>
      <x:c r="H899" s="23" t="n">
        <x:v>15.503030084539205</x:v>
      </x:c>
      <x:c r="I899" s="23" t="n">
        <x:v>0.8038248823443428</x:v>
      </x:c>
      <x:c r="J899" s="23" t="n">
        <x:v>10</x:v>
      </x:c>
      <x:c r="K899" s="23" t="n">
        <x:v>184.4992974109318</x:v>
      </x:c>
      <x:c r="L899" s="23" t="n">
        <x:v>35</x:v>
      </x:c>
      <x:c r="M899" s="23" t="n">
        <x:v>25</x:v>
      </x:c>
      <x:c r="N899" s="23" t="n">
        <x:v>1.2689232306520477</x:v>
      </x:c>
      <x:c r="O899" s="23" t="n">
        <x:v>52.32470805741286</x:v>
      </x:c>
      <x:c r="P899" s="23" t="n">
        <x:v>1483.0512603395618</x:v>
      </x:c>
      <x:c r="Q899" s="23" t="n">
        <x:v>1.272384710815509</x:v>
      </x:c>
      <x:c r="R899" s="23" t="n">
        <x:v>52.44625806119174</x:v>
      </x:c>
      <x:c r="S899" s="23" t="n">
        <x:v>1472.7815086647183</x:v>
      </x:c>
      <x:c r="T899" s="23" t="n">
        <x:v>0.0034614801634613723</x:v>
      </x:c>
      <x:c r="U899" s="23" t="n">
        <x:v>0.12155000377887859</x:v>
      </x:c>
      <x:c r="V899" s="23" t="n">
        <x:v>-10.26975167484352</x:v>
      </x:c>
    </x:row>
    <x:row r="900">
      <x:c r="A900" s="23" t="n">
        <x:v>899</x:v>
      </x:c>
      <x:c r="B900" s="23" t="str">
        <x:v>Hidden Test</x:v>
      </x:c>
      <x:c r="C900" s="23" t="str">
        <x:v>Lightning</x:v>
      </x:c>
      <x:c r="D900" s="23" t="n">
        <x:v>1416.8553072726354</x:v>
      </x:c>
      <x:c r="E900" s="23" t="n">
        <x:v>884.908777254168</x:v>
      </x:c>
      <x:c r="F900" s="23" t="n">
        <x:v>679.7865699976683</x:v>
      </x:c>
      <x:c r="G900" s="23" t="n">
        <x:v>133.03284869296476</x:v>
      </x:c>
      <x:c r="H900" s="23" t="n">
        <x:v>13.41091323364526</x:v>
      </x:c>
      <x:c r="I900" s="23" t="n">
        <x:v>0.8012755006621592</x:v>
      </x:c>
      <x:c r="J900" s="23" t="n">
        <x:v>9</x:v>
      </x:c>
      <x:c r="K900" s="23" t="n">
        <x:v>196.4722088028916</x:v>
      </x:c>
      <x:c r="L900" s="23" t="n">
        <x:v>45</x:v>
      </x:c>
      <x:c r="M900" s="23" t="n">
        <x:v>25</x:v>
      </x:c>
      <x:c r="N900" s="23" t="n">
        <x:v>1.2154185647476217</x:v>
      </x:c>
      <x:c r="O900" s="23" t="n">
        <x:v>52.23971826895269</x:v>
      </x:c>
      <x:c r="P900" s="23" t="n">
        <x:v>1416.8553072726354</x:v>
      </x:c>
      <x:c r="Q900" s="23" t="n">
        <x:v>1.2241622726931782</x:v>
      </x:c>
      <x:c r="R900" s="23" t="n">
        <x:v>52.23469772149079</x:v>
      </x:c>
      <x:c r="S900" s="23" t="n">
        <x:v>1413.240732145645</x:v>
      </x:c>
      <x:c r="T900" s="23" t="n">
        <x:v>0.008743707945556567</x:v>
      </x:c>
      <x:c r="U900" s="23" t="n">
        <x:v>-0.005020547461903391</x:v>
      </x:c>
      <x:c r="V900" s="23" t="n">
        <x:v>-3.614575126990303</x:v>
      </x:c>
    </x:row>
    <x:row r="901">
      <x:c r="A901" s="23" t="n">
        <x:v>900</x:v>
      </x:c>
      <x:c r="B901" s="23" t="str">
        <x:v>Hidden Test</x:v>
      </x:c>
      <x:c r="C901" s="23" t="str">
        <x:v>Lightning</x:v>
      </x:c>
      <x:c r="D901" s="23" t="n">
        <x:v>1472.8691800846718</x:v>
      </x:c>
      <x:c r="E901" s="23" t="n">
        <x:v>632.0260819513351</x:v>
      </x:c>
      <x:c r="F901" s="23" t="n">
        <x:v>699.2333712987602</x:v>
      </x:c>
      <x:c r="G901" s="23" t="n">
        <x:v>187.36766119953245</x:v>
      </x:c>
      <x:c r="H901" s="23" t="n">
        <x:v>26.94421275658533</x:v>
      </x:c>
      <x:c r="I901" s="23" t="n">
        <x:v>0.8375113882683218</x:v>
      </x:c>
      <x:c r="J901" s="23" t="n">
        <x:v>9</x:v>
      </x:c>
      <x:c r="K901" s="23" t="n">
        <x:v>195.40287262110428</x:v>
      </x:c>
      <x:c r="L901" s="23" t="n">
        <x:v>45</x:v>
      </x:c>
      <x:c r="M901" s="23" t="n">
        <x:v>25</x:v>
      </x:c>
      <x:c r="N901" s="23" t="n">
        <x:v>1.1577022861239332</x:v>
      </x:c>
      <x:c r="O901" s="23" t="n">
        <x:v>52.21179193282055</x:v>
      </x:c>
      <x:c r="P901" s="23" t="n">
        <x:v>1472.8691800846718</x:v>
      </x:c>
      <x:c r="Q901" s="23" t="n">
        <x:v>1.1408667926425546</x:v>
      </x:c>
      <x:c r="R901" s="23" t="n">
        <x:v>51.41057661114859</x:v>
      </x:c>
      <x:c r="S901" s="23" t="n">
        <x:v>1455.8099381223858</x:v>
      </x:c>
      <x:c r="T901" s="23" t="n">
        <x:v>-0.016835493481378583</x:v>
      </x:c>
      <x:c r="U901" s="23" t="n">
        <x:v>-0.8012153216719611</x:v>
      </x:c>
      <x:c r="V901" s="23" t="n">
        <x:v>-17.059241962286023</x:v>
      </x:c>
    </x:row>
    <x:row r="902">
      <x:c r="A902" s="23" t="n">
        <x:v>901</x:v>
      </x:c>
      <x:c r="B902" s="23" t="str">
        <x:v>Train</x:v>
      </x:c>
      <x:c r="C902" s="23" t="str">
        <x:v>Lightning</x:v>
      </x:c>
      <x:c r="D902" s="23" t="n">
        <x:v>1452.0514244679362</x:v>
      </x:c>
      <x:c r="E902" s="23" t="n">
        <x:v>1175.131645228248</x:v>
      </x:c>
      <x:c r="F902" s="23" t="n">
        <x:v>660.903219692409</x:v>
      </x:c>
      <x:c r="G902" s="23" t="n">
        <x:v>252.61606018291786</x:v>
      </x:c>
      <x:c r="H902" s="23" t="n">
        <x:v>12.980180881917477</x:v>
      </x:c>
      <x:c r="I902" s="23" t="n">
        <x:v>0.8497417198331095</x:v>
      </x:c>
      <x:c r="J902" s="23" t="n">
        <x:v>9</x:v>
      </x:c>
      <x:c r="K902" s="23" t="n">
        <x:v>189.86833692806238</x:v>
      </x:c>
      <x:c r="L902" s="23" t="n">
        <x:v>35</x:v>
      </x:c>
      <x:c r="M902" s="23" t="n">
        <x:v>25</x:v>
      </x:c>
      <x:c r="N902" s="23" t="n">
        <x:v>1.1816274109716247</x:v>
      </x:c>
      <x:c r="O902" s="23" t="n">
        <x:v>52.300672895496774</x:v>
      </x:c>
      <x:c r="P902" s="23" t="n">
        <x:v>1452.0514244679362</x:v>
      </x:c>
      <x:c r="Q902" s="23" t="n">
        <x:v>1.1930788884967827</x:v>
      </x:c>
      <x:c r="R902" s="23" t="n">
        <x:v>52.878377210614644</x:v>
      </x:c>
      <x:c r="S902" s="23" t="n">
        <x:v>1447.1579046546146</x:v>
      </x:c>
      <x:c r="T902" s="23" t="n">
        <x:v>0.01145147752515796</x:v>
      </x:c>
      <x:c r="U902" s="23" t="n">
        <x:v>0.5777043151178702</x:v>
      </x:c>
      <x:c r="V902" s="23" t="n">
        <x:v>-4.893519813321518</x:v>
      </x:c>
    </x:row>
    <x:row r="903">
      <x:c r="A903" s="23" t="n">
        <x:v>902</x:v>
      </x:c>
      <x:c r="B903" s="23" t="str">
        <x:v>Train</x:v>
      </x:c>
      <x:c r="C903" s="23" t="str">
        <x:v>Lightning</x:v>
      </x:c>
      <x:c r="D903" s="23" t="n">
        <x:v>1482.379445352126</x:v>
      </x:c>
      <x:c r="E903" s="23" t="n">
        <x:v>1170.6347543513402</x:v>
      </x:c>
      <x:c r="F903" s="23" t="n">
        <x:v>391.8035981245339</x:v>
      </x:c>
      <x:c r="G903" s="23" t="n">
        <x:v>97.87214307114482</x:v>
      </x:c>
      <x:c r="H903" s="23" t="n">
        <x:v>24.540699167642742</x:v>
      </x:c>
      <x:c r="I903" s="23" t="n">
        <x:v>0.81060391434934</x:v>
      </x:c>
      <x:c r="J903" s="23" t="n">
        <x:v>10</x:v>
      </x:c>
      <x:c r="K903" s="23" t="n">
        <x:v>182.87346250258494</x:v>
      </x:c>
      <x:c r="L903" s="23" t="n">
        <x:v>40</x:v>
      </x:c>
      <x:c r="M903" s="23" t="n">
        <x:v>25</x:v>
      </x:c>
      <x:c r="N903" s="23" t="n">
        <x:v>1.2305122792202223</x:v>
      </x:c>
      <x:c r="O903" s="23" t="n">
        <x:v>52.26264879335352</x:v>
      </x:c>
      <x:c r="P903" s="23" t="n">
        <x:v>1482.379445352126</x:v>
      </x:c>
      <x:c r="Q903" s="23" t="n">
        <x:v>1.2207757775803165</x:v>
      </x:c>
      <x:c r="R903" s="23" t="n">
        <x:v>53.25014863395132</x:v>
      </x:c>
      <x:c r="S903" s="23" t="n">
        <x:v>1480.9304345844505</x:v>
      </x:c>
      <x:c r="T903" s="23" t="n">
        <x:v>-0.009736501639905804</x:v>
      </x:c>
      <x:c r="U903" s="23" t="n">
        <x:v>0.987499840597799</x:v>
      </x:c>
      <x:c r="V903" s="23" t="n">
        <x:v>-1.4490107676754178</x:v>
      </x:c>
    </x:row>
    <x:row r="904">
      <x:c r="A904" s="23" t="n">
        <x:v>903</x:v>
      </x:c>
      <x:c r="B904" s="23" t="str">
        <x:v>Train</x:v>
      </x:c>
      <x:c r="C904" s="23" t="str">
        <x:v>Lightning</x:v>
      </x:c>
      <x:c r="D904" s="23" t="n">
        <x:v>1466.9640003936365</x:v>
      </x:c>
      <x:c r="E904" s="23" t="n">
        <x:v>765.3834596392699</x:v>
      </x:c>
      <x:c r="F904" s="23" t="n">
        <x:v>538.6770695447922</x:v>
      </x:c>
      <x:c r="G904" s="23" t="n">
        <x:v>201.00702145835385</x:v>
      </x:c>
      <x:c r="H904" s="23" t="n">
        <x:v>9.884076449088752</x:v>
      </x:c>
      <x:c r="I904" s="23" t="n">
        <x:v>0.8521883654571138</x:v>
      </x:c>
      <x:c r="J904" s="23" t="n">
        <x:v>9</x:v>
      </x:c>
      <x:c r="K904" s="23" t="n">
        <x:v>191.267572582156</x:v>
      </x:c>
      <x:c r="L904" s="23" t="n">
        <x:v>50</x:v>
      </x:c>
      <x:c r="M904" s="23" t="n">
        <x:v>25</x:v>
      </x:c>
      <x:c r="N904" s="23" t="n">
        <x:v>1.1760159019988898</x:v>
      </x:c>
      <x:c r="O904" s="23" t="n">
        <x:v>52.209677657833915</x:v>
      </x:c>
      <x:c r="P904" s="23" t="n">
        <x:v>1466.9640003936365</x:v>
      </x:c>
      <x:c r="Q904" s="23" t="n">
        <x:v>1.1904782318830534</x:v>
      </x:c>
      <x:c r="R904" s="23" t="n">
        <x:v>50.900621595320764</x:v>
      </x:c>
      <x:c r="S904" s="23" t="n">
        <x:v>1481.9736967047454</x:v>
      </x:c>
      <x:c r="T904" s="23" t="n">
        <x:v>0.014462329884163516</x:v>
      </x:c>
      <x:c r="U904" s="23" t="n">
        <x:v>-1.3090560625131502</x:v>
      </x:c>
      <x:c r="V904" s="23" t="n">
        <x:v>15.009696311108883</x:v>
      </x:c>
    </x:row>
    <x:row r="905">
      <x:c r="A905" s="23" t="n">
        <x:v>904</x:v>
      </x:c>
      <x:c r="B905" s="23" t="str">
        <x:v>Train</x:v>
      </x:c>
      <x:c r="C905" s="23" t="str">
        <x:v>Lightning</x:v>
      </x:c>
      <x:c r="D905" s="23" t="n">
        <x:v>1388.2330079446547</x:v>
      </x:c>
      <x:c r="E905" s="23" t="n">
        <x:v>959.4901797361672</x:v>
      </x:c>
      <x:c r="F905" s="23" t="n">
        <x:v>531.4581698738039</x:v>
      </x:c>
      <x:c r="G905" s="23" t="n">
        <x:v>176.64773906115443</x:v>
      </x:c>
      <x:c r="H905" s="23" t="n">
        <x:v>20.04524299269542</x:v>
      </x:c>
      <x:c r="I905" s="23" t="n">
        <x:v>0.794091537380591</x:v>
      </x:c>
      <x:c r="J905" s="23" t="n">
        <x:v>9</x:v>
      </x:c>
      <x:c r="K905" s="23" t="n">
        <x:v>194.24474979629798</x:v>
      </x:c>
      <x:c r="L905" s="23" t="n">
        <x:v>45</x:v>
      </x:c>
      <x:c r="M905" s="23" t="n">
        <x:v>25</x:v>
      </x:c>
      <x:c r="N905" s="23" t="n">
        <x:v>1.2268553873230248</x:v>
      </x:c>
      <x:c r="O905" s="23" t="n">
        <x:v>52.235019920126035</x:v>
      </x:c>
      <x:c r="P905" s="23" t="n">
        <x:v>1388.2330079446547</x:v>
      </x:c>
      <x:c r="Q905" s="23" t="n">
        <x:v>1.2301801104061862</x:v>
      </x:c>
      <x:c r="R905" s="23" t="n">
        <x:v>52.55333386966736</x:v>
      </x:c>
      <x:c r="S905" s="23" t="n">
        <x:v>1378.0251978920712</x:v>
      </x:c>
      <x:c r="T905" s="23" t="n">
        <x:v>0.0033247230831614516</x:v>
      </x:c>
      <x:c r="U905" s="23" t="n">
        <x:v>0.3183139495413272</x:v>
      </x:c>
      <x:c r="V905" s="23" t="n">
        <x:v>-10.207810052583454</x:v>
      </x:c>
    </x:row>
    <x:row r="906">
      <x:c r="A906" s="23" t="n">
        <x:v>905</x:v>
      </x:c>
      <x:c r="B906" s="23" t="str">
        <x:v>Train</x:v>
      </x:c>
      <x:c r="C906" s="23" t="str">
        <x:v>Lightning</x:v>
      </x:c>
      <x:c r="D906" s="23" t="n">
        <x:v>1365.1737766340375</x:v>
      </x:c>
      <x:c r="E906" s="23" t="n">
        <x:v>669.1685244790278</x:v>
      </x:c>
      <x:c r="F906" s="23" t="n">
        <x:v>560.2477760985494</x:v>
      </x:c>
      <x:c r="G906" s="23" t="n">
        <x:v>313.71101688826457</x:v>
      </x:c>
      <x:c r="H906" s="23" t="n">
        <x:v>20.26745799742639</x:v>
      </x:c>
      <x:c r="I906" s="23" t="n">
        <x:v>0.8527348322537728</x:v>
      </x:c>
      <x:c r="J906" s="23" t="n">
        <x:v>9</x:v>
      </x:c>
      <x:c r="K906" s="23" t="n">
        <x:v>177.88176282262876</x:v>
      </x:c>
      <x:c r="L906" s="23" t="n">
        <x:v>50</x:v>
      </x:c>
      <x:c r="M906" s="23" t="n">
        <x:v>25</x:v>
      </x:c>
      <x:c r="N906" s="23" t="n">
        <x:v>1.2501482787589682</x:v>
      </x:c>
      <x:c r="O906" s="23" t="n">
        <x:v>52.215612126975856</x:v>
      </x:c>
      <x:c r="P906" s="23" t="n">
        <x:v>1365.1737766340375</x:v>
      </x:c>
      <x:c r="Q906" s="23" t="n">
        <x:v>1.2430635808824355</x:v>
      </x:c>
      <x:c r="R906" s="23" t="n">
        <x:v>51.889000024631585</x:v>
      </x:c>
      <x:c r="S906" s="23" t="n">
        <x:v>1369.2081491834965</x:v>
      </x:c>
      <x:c r="T906" s="23" t="n">
        <x:v>-0.007084697876532653</x:v>
      </x:c>
      <x:c r="U906" s="23" t="n">
        <x:v>-0.32661210234427074</x:v>
      </x:c>
      <x:c r="V906" s="23" t="n">
        <x:v>4.034372549459022</x:v>
      </x:c>
    </x:row>
    <x:row r="907">
      <x:c r="A907" s="23" t="n">
        <x:v>906</x:v>
      </x:c>
      <x:c r="B907" s="23" t="str">
        <x:v>Train</x:v>
      </x:c>
      <x:c r="C907" s="23" t="str">
        <x:v>Lightning</x:v>
      </x:c>
      <x:c r="D907" s="23" t="n">
        <x:v>1391.369795857463</x:v>
      </x:c>
      <x:c r="E907" s="23" t="n">
        <x:v>1227.7259715134278</x:v>
      </x:c>
      <x:c r="F907" s="23" t="n">
        <x:v>643.0323512293398</x:v>
      </x:c>
      <x:c r="G907" s="23" t="n">
        <x:v>185.53575376980007</x:v>
      </x:c>
      <x:c r="H907" s="23" t="n">
        <x:v>26.441338930744678</x:v>
      </x:c>
      <x:c r="I907" s="23" t="n">
        <x:v>0.7991547055961564</x:v>
      </x:c>
      <x:c r="J907" s="23" t="n">
        <x:v>9</x:v>
      </x:c>
      <x:c r="K907" s="23" t="n">
        <x:v>193.45020795295946</x:v>
      </x:c>
      <x:c r="L907" s="23" t="n">
        <x:v>35</x:v>
      </x:c>
      <x:c r="M907" s="23" t="n">
        <x:v>25</x:v>
      </x:c>
      <x:c r="N907" s="23" t="n">
        <x:v>1.2446660090999242</x:v>
      </x:c>
      <x:c r="O907" s="23" t="n">
        <x:v>52.29562765388022</x:v>
      </x:c>
      <x:c r="P907" s="23" t="n">
        <x:v>1391.369795857463</x:v>
      </x:c>
      <x:c r="Q907" s="23" t="n">
        <x:v>1.244919550374499</x:v>
      </x:c>
      <x:c r="R907" s="23" t="n">
        <x:v>54.13685381626944</x:v>
      </x:c>
      <x:c r="S907" s="23" t="n">
        <x:v>1371.2213809488114</x:v>
      </x:c>
      <x:c r="T907" s="23" t="n">
        <x:v>0.0002535412745747756</x:v>
      </x:c>
      <x:c r="U907" s="23" t="n">
        <x:v>1.8412261623892263</x:v>
      </x:c>
      <x:c r="V907" s="23" t="n">
        <x:v>-20.148414908651603</x:v>
      </x:c>
    </x:row>
    <x:row r="908">
      <x:c r="A908" s="23" t="n">
        <x:v>907</x:v>
      </x:c>
      <x:c r="B908" s="23" t="str">
        <x:v>Train</x:v>
      </x:c>
      <x:c r="C908" s="23" t="str">
        <x:v>Lightning</x:v>
      </x:c>
      <x:c r="D908" s="23" t="n">
        <x:v>1441.6739317355677</x:v>
      </x:c>
      <x:c r="E908" s="23" t="n">
        <x:v>975.4068146110512</x:v>
      </x:c>
      <x:c r="F908" s="23" t="n">
        <x:v>707.8674722462893</x:v>
      </x:c>
      <x:c r="G908" s="23" t="n">
        <x:v>235.41746484814212</x:v>
      </x:c>
      <x:c r="H908" s="23" t="n">
        <x:v>13.693014533258975</x:v>
      </x:c>
      <x:c r="I908" s="23" t="n">
        <x:v>0.7906664900365286</x:v>
      </x:c>
      <x:c r="J908" s="23" t="n">
        <x:v>10</x:v>
      </x:c>
      <x:c r="K908" s="23" t="n">
        <x:v>182.33654137396957</x:v>
      </x:c>
      <x:c r="L908" s="23" t="n">
        <x:v>35</x:v>
      </x:c>
      <x:c r="M908" s="23" t="n">
        <x:v>25</x:v>
      </x:c>
      <x:c r="N908" s="23" t="n">
        <x:v>1.200369345180986</x:v>
      </x:c>
      <x:c r="O908" s="23" t="n">
        <x:v>52.30741334598298</x:v>
      </x:c>
      <x:c r="P908" s="23" t="n">
        <x:v>1441.6739317355677</x:v>
      </x:c>
      <x:c r="Q908" s="23" t="n">
        <x:v>1.2164621884615778</x:v>
      </x:c>
      <x:c r="R908" s="23" t="n">
        <x:v>53.50431203999613</x:v>
      </x:c>
      <x:c r="S908" s="23" t="n">
        <x:v>1447.276295189501</x:v>
      </x:c>
      <x:c r="T908" s="23" t="n">
        <x:v>0.016092843280591795</x:v>
      </x:c>
      <x:c r="U908" s="23" t="n">
        <x:v>1.19689869401315</x:v>
      </x:c>
      <x:c r="V908" s="23" t="n">
        <x:v>5.602363453933322</x:v>
      </x:c>
    </x:row>
    <x:row r="909">
      <x:c r="A909" s="23" t="n">
        <x:v>908</x:v>
      </x:c>
      <x:c r="B909" s="23" t="str">
        <x:v>Train</x:v>
      </x:c>
      <x:c r="C909" s="23" t="str">
        <x:v>Lightning</x:v>
      </x:c>
      <x:c r="D909" s="23" t="n">
        <x:v>1441.508211416658</x:v>
      </x:c>
      <x:c r="E909" s="23" t="n">
        <x:v>994.4135372992605</x:v>
      </x:c>
      <x:c r="F909" s="23" t="n">
        <x:v>532.5336824171245</x:v>
      </x:c>
      <x:c r="G909" s="23" t="n">
        <x:v>312.5953458203003</x:v>
      </x:c>
      <x:c r="H909" s="23" t="n">
        <x:v>14.777630511205643</x:v>
      </x:c>
      <x:c r="I909" s="23" t="n">
        <x:v>0.8110641453787685</x:v>
      </x:c>
      <x:c r="J909" s="23" t="n">
        <x:v>9</x:v>
      </x:c>
      <x:c r="K909" s="23" t="n">
        <x:v>197.478312854647</x:v>
      </x:c>
      <x:c r="L909" s="23" t="n">
        <x:v>40</x:v>
      </x:c>
      <x:c r="M909" s="23" t="n">
        <x:v>25</x:v>
      </x:c>
      <x:c r="N909" s="23" t="n">
        <x:v>1.1885377501068146</x:v>
      </x:c>
      <x:c r="O909" s="23" t="n">
        <x:v>52.2618306745313</x:v>
      </x:c>
      <x:c r="P909" s="23" t="n">
        <x:v>1441.508211416658</x:v>
      </x:c>
      <x:c r="Q909" s="23" t="n">
        <x:v>1.186845403275956</x:v>
      </x:c>
      <x:c r="R909" s="23" t="n">
        <x:v>53.33343313136813</x:v>
      </x:c>
      <x:c r="S909" s="23" t="n">
        <x:v>1442.4757869266218</x:v>
      </x:c>
      <x:c r="T909" s="23" t="n">
        <x:v>-0.0016923468308587264</x:v>
      </x:c>
      <x:c r="U909" s="23" t="n">
        <x:v>1.0716024568368283</x:v>
      </x:c>
      <x:c r="V909" s="23" t="n">
        <x:v>0.9675755099638081</x:v>
      </x:c>
    </x:row>
    <x:row r="910">
      <x:c r="A910" s="23" t="n">
        <x:v>909</x:v>
      </x:c>
      <x:c r="B910" s="23" t="str">
        <x:v>Train</x:v>
      </x:c>
      <x:c r="C910" s="23" t="str">
        <x:v>Lightning</x:v>
      </x:c>
      <x:c r="D910" s="23" t="n">
        <x:v>1353.9526732172817</x:v>
      </x:c>
      <x:c r="E910" s="23" t="n">
        <x:v>854.7878309036605</x:v>
      </x:c>
      <x:c r="F910" s="23" t="n">
        <x:v>699.3409832939506</x:v>
      </x:c>
      <x:c r="G910" s="23" t="n">
        <x:v>139.15284511866048</x:v>
      </x:c>
      <x:c r="H910" s="23" t="n">
        <x:v>25.471355576068163</x:v>
      </x:c>
      <x:c r="I910" s="23" t="n">
        <x:v>0.8578801144682803</x:v>
      </x:c>
      <x:c r="J910" s="23" t="n">
        <x:v>8</x:v>
      </x:c>
      <x:c r="K910" s="23" t="n">
        <x:v>197.2817428657369</x:v>
      </x:c>
      <x:c r="L910" s="23" t="n">
        <x:v>45</x:v>
      </x:c>
      <x:c r="M910" s="23" t="n">
        <x:v>25</x:v>
      </x:c>
      <x:c r="N910" s="23" t="n">
        <x:v>1.1563045848486715</x:v>
      </x:c>
      <x:c r="O910" s="23" t="n">
        <x:v>52.20968883798123</x:v>
      </x:c>
      <x:c r="P910" s="23" t="n">
        <x:v>1353.9526732172817</x:v>
      </x:c>
      <x:c r="Q910" s="23" t="n">
        <x:v>1.1565678006145286</x:v>
      </x:c>
      <x:c r="R910" s="23" t="n">
        <x:v>52.18633088606547</x:v>
      </x:c>
      <x:c r="S910" s="23" t="n">
        <x:v>1338.4157447941564</x:v>
      </x:c>
      <x:c r="T910" s="23" t="n">
        <x:v>0.0002632157658570833</x:v>
      </x:c>
      <x:c r="U910" s="23" t="n">
        <x:v>-0.023357951915762953</x:v>
      </x:c>
      <x:c r="V910" s="23" t="n">
        <x:v>-15.536928423125346</x:v>
      </x:c>
    </x:row>
    <x:row r="911">
      <x:c r="A911" s="23" t="n">
        <x:v>910</x:v>
      </x:c>
      <x:c r="B911" s="23" t="str">
        <x:v>Train</x:v>
      </x:c>
      <x:c r="C911" s="23" t="str">
        <x:v>Lightning</x:v>
      </x:c>
      <x:c r="D911" s="23" t="n">
        <x:v>1379.2821819079109</x:v>
      </x:c>
      <x:c r="E911" s="23" t="n">
        <x:v>1073.4186653746292</x:v>
      </x:c>
      <x:c r="F911" s="23" t="n">
        <x:v>508.41654585674405</x:v>
      </x:c>
      <x:c r="G911" s="23" t="n">
        <x:v>327.13711626827717</x:v>
      </x:c>
      <x:c r="H911" s="23" t="n">
        <x:v>27.137663359288126</x:v>
      </x:c>
      <x:c r="I911" s="23" t="n">
        <x:v>0.8036710460437462</x:v>
      </x:c>
      <x:c r="J911" s="23" t="n">
        <x:v>9</x:v>
      </x:c>
      <x:c r="K911" s="23" t="n">
        <x:v>190.69192118090018</x:v>
      </x:c>
      <x:c r="L911" s="23" t="n">
        <x:v>35</x:v>
      </x:c>
      <x:c r="M911" s="23" t="n">
        <x:v>25</x:v>
      </x:c>
      <x:c r="N911" s="23" t="n">
        <x:v>1.1703184608015242</x:v>
      </x:c>
      <x:c r="O911" s="23" t="n">
        <x:v>52.27265651016538</x:v>
      </x:c>
      <x:c r="P911" s="23" t="n">
        <x:v>1379.2821819079109</x:v>
      </x:c>
      <x:c r="Q911" s="23" t="n">
        <x:v>1.1609780933491873</x:v>
      </x:c>
      <x:c r="R911" s="23" t="n">
        <x:v>53.64489784987859</x:v>
      </x:c>
      <x:c r="S911" s="23" t="n">
        <x:v>1356.6969205568885</x:v>
      </x:c>
      <x:c r="T911" s="23" t="n">
        <x:v>-0.009340367452336906</x:v>
      </x:c>
      <x:c r="U911" s="23" t="n">
        <x:v>1.3722413397132058</x:v>
      </x:c>
      <x:c r="V911" s="23" t="n">
        <x:v>-22.585261351022382</x:v>
      </x:c>
    </x:row>
    <x:row r="912">
      <x:c r="A912" s="23" t="n">
        <x:v>911</x:v>
      </x:c>
      <x:c r="B912" s="23" t="str">
        <x:v>Train</x:v>
      </x:c>
      <x:c r="C912" s="23" t="str">
        <x:v>Lightning</x:v>
      </x:c>
      <x:c r="D912" s="23" t="n">
        <x:v>1389.2664728919044</x:v>
      </x:c>
      <x:c r="E912" s="23" t="n">
        <x:v>1081.8692368571647</x:v>
      </x:c>
      <x:c r="F912" s="23" t="n">
        <x:v>623.7992949783802</x:v>
      </x:c>
      <x:c r="G912" s="23" t="n">
        <x:v>246.18817340349779</x:v>
      </x:c>
      <x:c r="H912" s="23" t="n">
        <x:v>23.694927631877363</x:v>
      </x:c>
      <x:c r="I912" s="23" t="n">
        <x:v>0.7919407374947333</x:v>
      </x:c>
      <x:c r="J912" s="23" t="n">
        <x:v>9</x:v>
      </x:c>
      <x:c r="K912" s="23" t="n">
        <x:v>194.91728878697873</x:v>
      </x:c>
      <x:c r="L912" s="23" t="n">
        <x:v>35</x:v>
      </x:c>
      <x:c r="M912" s="23" t="n">
        <x:v>25</x:v>
      </x:c>
      <x:c r="N912" s="23" t="n">
        <x:v>1.1733395115897605</x:v>
      </x:c>
      <x:c r="O912" s="23" t="n">
        <x:v>52.27934325676439</x:v>
      </x:c>
      <x:c r="P912" s="23" t="n">
        <x:v>1389.2664728919044</x:v>
      </x:c>
      <x:c r="Q912" s="23" t="n">
        <x:v>1.1872177766108494</x:v>
      </x:c>
      <x:c r="R912" s="23" t="n">
        <x:v>53.32684313637788</x:v>
      </x:c>
      <x:c r="S912" s="23" t="n">
        <x:v>1371.9836826574247</x:v>
      </x:c>
      <x:c r="T912" s="23" t="n">
        <x:v>0.01387826502108891</x:v>
      </x:c>
      <x:c r="U912" s="23" t="n">
        <x:v>1.0474998796134898</x:v>
      </x:c>
      <x:c r="V912" s="23" t="n">
        <x:v>-17.282790234479762</x:v>
      </x:c>
    </x:row>
    <x:row r="913">
      <x:c r="A913" s="23" t="n">
        <x:v>912</x:v>
      </x:c>
      <x:c r="B913" s="23" t="str">
        <x:v>Train</x:v>
      </x:c>
      <x:c r="C913" s="23" t="str">
        <x:v>Lightning</x:v>
      </x:c>
      <x:c r="D913" s="23" t="n">
        <x:v>1486.7423154297285</x:v>
      </x:c>
      <x:c r="E913" s="23" t="n">
        <x:v>1198.0037471279502</x:v>
      </x:c>
      <x:c r="F913" s="23" t="n">
        <x:v>682.6968207024038</x:v>
      </x:c>
      <x:c r="G913" s="23" t="n">
        <x:v>248.69178612250835</x:v>
      </x:c>
      <x:c r="H913" s="23" t="n">
        <x:v>8.379505404736847</x:v>
      </x:c>
      <x:c r="I913" s="23" t="n">
        <x:v>0.8390869113709778</x:v>
      </x:c>
      <x:c r="J913" s="23" t="n">
        <x:v>9</x:v>
      </x:c>
      <x:c r="K913" s="23" t="n">
        <x:v>196.87303944879153</x:v>
      </x:c>
      <x:c r="L913" s="23" t="n">
        <x:v>35</x:v>
      </x:c>
      <x:c r="M913" s="23" t="n">
        <x:v>25</x:v>
      </x:c>
      <x:c r="N913" s="23" t="n">
        <x:v>1.1743855413600437</x:v>
      </x:c>
      <x:c r="O913" s="23" t="n">
        <x:v>52.3070255027901</x:v>
      </x:c>
      <x:c r="P913" s="23" t="n">
        <x:v>1486.7423154297285</x:v>
      </x:c>
      <x:c r="Q913" s="23" t="n">
        <x:v>1.1891782792054482</x:v>
      </x:c>
      <x:c r="R913" s="23" t="n">
        <x:v>52.0068489549011</x:v>
      </x:c>
      <x:c r="S913" s="23" t="n">
        <x:v>1473.5137271601357</x:v>
      </x:c>
      <x:c r="T913" s="23" t="n">
        <x:v>0.014792737845404469</x:v>
      </x:c>
      <x:c r="U913" s="23" t="n">
        <x:v>-0.30017654788899506</x:v>
      </x:c>
      <x:c r="V913" s="23" t="n">
        <x:v>-13.22858826959282</x:v>
      </x:c>
    </x:row>
    <x:row r="914">
      <x:c r="A914" s="23" t="n">
        <x:v>913</x:v>
      </x:c>
      <x:c r="B914" s="23" t="str">
        <x:v>Train</x:v>
      </x:c>
      <x:c r="C914" s="23" t="str">
        <x:v>Lightning</x:v>
      </x:c>
      <x:c r="D914" s="23" t="n">
        <x:v>1436.1300685442984</x:v>
      </x:c>
      <x:c r="E914" s="23" t="n">
        <x:v>763.6002083658241</x:v>
      </x:c>
      <x:c r="F914" s="23" t="n">
        <x:v>713.2457265630364</x:v>
      </x:c>
      <x:c r="G914" s="23" t="n">
        <x:v>134.6465796069242</x:v>
      </x:c>
      <x:c r="H914" s="23" t="n">
        <x:v>21.810474367812276</x:v>
      </x:c>
      <x:c r="I914" s="23" t="n">
        <x:v>0.8505836576898582</x:v>
      </x:c>
      <x:c r="J914" s="23" t="n">
        <x:v>9</x:v>
      </x:c>
      <x:c r="K914" s="23" t="n">
        <x:v>187.60060362482997</x:v>
      </x:c>
      <x:c r="L914" s="23" t="n">
        <x:v>45</x:v>
      </x:c>
      <x:c r="M914" s="23" t="n">
        <x:v>25</x:v>
      </x:c>
      <x:c r="N914" s="23" t="n">
        <x:v>1.1970841384715294</x:v>
      </x:c>
      <x:c r="O914" s="23" t="n">
        <x:v>52.22627197032899</x:v>
      </x:c>
      <x:c r="P914" s="23" t="n">
        <x:v>1436.1300685442984</x:v>
      </x:c>
      <x:c r="Q914" s="23" t="n">
        <x:v>1.1996592133352855</x:v>
      </x:c>
      <x:c r="R914" s="23" t="n">
        <x:v>52.12254168813521</x:v>
      </x:c>
      <x:c r="S914" s="23" t="n">
        <x:v>1429.1134678639032</x:v>
      </x:c>
      <x:c r="T914" s="23" t="n">
        <x:v>0.002575074863756077</x:v>
      </x:c>
      <x:c r="U914" s="23" t="n">
        <x:v>-0.10373028219378</x:v>
      </x:c>
      <x:c r="V914" s="23" t="n">
        <x:v>-7.016600680395186</x:v>
      </x:c>
    </x:row>
    <x:row r="915">
      <x:c r="A915" s="23" t="n">
        <x:v>914</x:v>
      </x:c>
      <x:c r="B915" s="23" t="str">
        <x:v>Train</x:v>
      </x:c>
      <x:c r="C915" s="23" t="str">
        <x:v>Lightning</x:v>
      </x:c>
      <x:c r="D915" s="23" t="n">
        <x:v>1367.5529490807094</x:v>
      </x:c>
      <x:c r="E915" s="23" t="n">
        <x:v>851.2413093121722</x:v>
      </x:c>
      <x:c r="F915" s="23" t="n">
        <x:v>715.4320158995688</x:v>
      </x:c>
      <x:c r="G915" s="23" t="n">
        <x:v>92.93276180513203</x:v>
      </x:c>
      <x:c r="H915" s="23" t="n">
        <x:v>26.863739893306047</x:v>
      </x:c>
      <x:c r="I915" s="23" t="n">
        <x:v>0.7958526384318247</x:v>
      </x:c>
      <x:c r="J915" s="23" t="n">
        <x:v>9</x:v>
      </x:c>
      <x:c r="K915" s="23" t="n">
        <x:v>190.9277174415637</x:v>
      </x:c>
      <x:c r="L915" s="23" t="n">
        <x:v>45</x:v>
      </x:c>
      <x:c r="M915" s="23" t="n">
        <x:v>25</x:v>
      </x:c>
      <x:c r="N915" s="23" t="n">
        <x:v>1.253313438493412</x:v>
      </x:c>
      <x:c r="O915" s="23" t="n">
        <x:v>52.233774079118106</x:v>
      </x:c>
      <x:c r="P915" s="23" t="n">
        <x:v>1367.5529490807094</x:v>
      </x:c>
      <x:c r="Q915" s="23" t="n">
        <x:v>1.2541898432290117</x:v>
      </x:c>
      <x:c r="R915" s="23" t="n">
        <x:v>52.47033923665872</x:v>
      </x:c>
      <x:c r="S915" s="23" t="n">
        <x:v>1362.2948866693562</x:v>
      </x:c>
      <x:c r="T915" s="23" t="n">
        <x:v>0.0008764047355998006</x:v>
      </x:c>
      <x:c r="U915" s="23" t="n">
        <x:v>0.23656515754061047</x:v>
      </x:c>
      <x:c r="V915" s="23" t="n">
        <x:v>-5.258062411353194</x:v>
      </x:c>
    </x:row>
    <x:row r="916">
      <x:c r="A916" s="23" t="n">
        <x:v>915</x:v>
      </x:c>
      <x:c r="B916" s="23" t="str">
        <x:v>Validation</x:v>
      </x:c>
      <x:c r="C916" s="23" t="str">
        <x:v>Lightning</x:v>
      </x:c>
      <x:c r="D916" s="23" t="n">
        <x:v>1476.9849018892273</x:v>
      </x:c>
      <x:c r="E916" s="23" t="n">
        <x:v>943.3185688802041</x:v>
      </x:c>
      <x:c r="F916" s="23" t="n">
        <x:v>377.267387136817</x:v>
      </x:c>
      <x:c r="G916" s="23" t="n">
        <x:v>168.75068713678047</x:v>
      </x:c>
      <x:c r="H916" s="23" t="n">
        <x:v>12.094054159708321</x:v>
      </x:c>
      <x:c r="I916" s="23" t="n">
        <x:v>0.811298085122835</x:v>
      </x:c>
      <x:c r="J916" s="23" t="n">
        <x:v>10</x:v>
      </x:c>
      <x:c r="K916" s="23" t="n">
        <x:v>182.05206310398276</x:v>
      </x:c>
      <x:c r="L916" s="23" t="n">
        <x:v>45</x:v>
      </x:c>
      <x:c r="M916" s="23" t="n">
        <x:v>25</x:v>
      </x:c>
      <x:c r="N916" s="23" t="n">
        <x:v>1.1739997037760217</x:v>
      </x:c>
      <x:c r="O916" s="23" t="n">
        <x:v>52.23302757342639</x:v>
      </x:c>
      <x:c r="P916" s="23" t="n">
        <x:v>1476.9849018892273</x:v>
      </x:c>
      <x:c r="Q916" s="23" t="n">
        <x:v>1.1861163237934989</x:v>
      </x:c>
      <x:c r="R916" s="23" t="n">
        <x:v>52.12984834434298</x:v>
      </x:c>
      <x:c r="S916" s="23" t="n">
        <x:v>1484.046081385415</x:v>
      </x:c>
      <x:c r="T916" s="23" t="n">
        <x:v>0.012116620017477153</x:v>
      </x:c>
      <x:c r="U916" s="23" t="n">
        <x:v>-0.10317922908340904</x:v>
      </x:c>
      <x:c r="V916" s="23" t="n">
        <x:v>7.061179496187606</x:v>
      </x:c>
    </x:row>
    <x:row r="917">
      <x:c r="A917" s="23" t="n">
        <x:v>916</x:v>
      </x:c>
      <x:c r="B917" s="23" t="str">
        <x:v>Validation</x:v>
      </x:c>
      <x:c r="C917" s="23" t="str">
        <x:v>Lightning</x:v>
      </x:c>
      <x:c r="D917" s="23" t="n">
        <x:v>1386.5664859651588</x:v>
      </x:c>
      <x:c r="E917" s="23" t="n">
        <x:v>883.6658580694348</x:v>
      </x:c>
      <x:c r="F917" s="23" t="n">
        <x:v>728.9828973822296</x:v>
      </x:c>
      <x:c r="G917" s="23" t="n">
        <x:v>206.05771550443023</x:v>
      </x:c>
      <x:c r="H917" s="23" t="n">
        <x:v>10.456696435343474</x:v>
      </x:c>
      <x:c r="I917" s="23" t="n">
        <x:v>0.8212694311328232</x:v>
      </x:c>
      <x:c r="J917" s="23" t="n">
        <x:v>9</x:v>
      </x:c>
      <x:c r="K917" s="23" t="n">
        <x:v>187.59123016731542</x:v>
      </x:c>
      <x:c r="L917" s="23" t="n">
        <x:v>40</x:v>
      </x:c>
      <x:c r="M917" s="23" t="n">
        <x:v>25</x:v>
      </x:c>
      <x:c r="N917" s="23" t="n">
        <x:v>1.1524466553474857</x:v>
      </x:c>
      <x:c r="O917" s="23" t="n">
        <x:v>52.25858180648383</x:v>
      </x:c>
      <x:c r="P917" s="23" t="n">
        <x:v>1386.5664859651588</x:v>
      </x:c>
      <x:c r="Q917" s="23" t="n">
        <x:v>1.171442008775178</x:v>
      </x:c>
      <x:c r="R917" s="23" t="n">
        <x:v>53.043565018958844</x:v>
      </x:c>
      <x:c r="S917" s="23" t="n">
        <x:v>1382.703808646137</x:v>
      </x:c>
      <x:c r="T917" s="23" t="n">
        <x:v>0.01899535342769232</x:v>
      </x:c>
      <x:c r="U917" s="23" t="n">
        <x:v>0.7849832124750122</x:v>
      </x:c>
      <x:c r="V917" s="23" t="n">
        <x:v>-3.8626773190217136</x:v>
      </x:c>
    </x:row>
    <x:row r="918">
      <x:c r="A918" s="23" t="n">
        <x:v>917</x:v>
      </x:c>
      <x:c r="B918" s="23" t="str">
        <x:v>Validation</x:v>
      </x:c>
      <x:c r="C918" s="23" t="str">
        <x:v>Lightning</x:v>
      </x:c>
      <x:c r="D918" s="23" t="n">
        <x:v>1475.9900846052915</x:v>
      </x:c>
      <x:c r="E918" s="23" t="n">
        <x:v>734.2805478605442</x:v>
      </x:c>
      <x:c r="F918" s="23" t="n">
        <x:v>708.3826182410121</x:v>
      </x:c>
      <x:c r="G918" s="23" t="n">
        <x:v>156.284256123472</x:v>
      </x:c>
      <x:c r="H918" s="23" t="n">
        <x:v>17.71880055963993</x:v>
      </x:c>
      <x:c r="I918" s="23" t="n">
        <x:v>0.8526660047308542</x:v>
      </x:c>
      <x:c r="J918" s="23" t="n">
        <x:v>9</x:v>
      </x:c>
      <x:c r="K918" s="23" t="n">
        <x:v>192.33662111490352</x:v>
      </x:c>
      <x:c r="L918" s="23" t="n">
        <x:v>45</x:v>
      </x:c>
      <x:c r="M918" s="23" t="n">
        <x:v>25</x:v>
      </x:c>
      <x:c r="N918" s="23" t="n">
        <x:v>1.1692150295867698</x:v>
      </x:c>
      <x:c r="O918" s="23" t="n">
        <x:v>52.22431587681043</x:v>
      </x:c>
      <x:c r="P918" s="23" t="n">
        <x:v>1475.9900846052915</x:v>
      </x:c>
      <x:c r="Q918" s="23" t="n">
        <x:v>1.1749725310614525</x:v>
      </x:c>
      <x:c r="R918" s="23" t="n">
        <x:v>50.86600231687094</x:v>
      </x:c>
      <x:c r="S918" s="23" t="n">
        <x:v>1478.755476938069</x:v>
      </x:c>
      <x:c r="T918" s="23" t="n">
        <x:v>0.00575750147468268</x:v>
      </x:c>
      <x:c r="U918" s="23" t="n">
        <x:v>-1.3583135599394893</x:v>
      </x:c>
      <x:c r="V918" s="23" t="n">
        <x:v>2.7653923327775374</x:v>
      </x:c>
    </x:row>
    <x:row r="919">
      <x:c r="A919" s="23" t="n">
        <x:v>918</x:v>
      </x:c>
      <x:c r="B919" s="23" t="str">
        <x:v>Hidden Test</x:v>
      </x:c>
      <x:c r="C919" s="23" t="str">
        <x:v>Lightning</x:v>
      </x:c>
      <x:c r="D919" s="23" t="n">
        <x:v>1368.9154018764384</x:v>
      </x:c>
      <x:c r="E919" s="23" t="n">
        <x:v>793.7804898014292</x:v>
      </x:c>
      <x:c r="F919" s="23" t="n">
        <x:v>671.9882500357926</x:v>
      </x:c>
      <x:c r="G919" s="23" t="n">
        <x:v>321.4487604983151</x:v>
      </x:c>
      <x:c r="H919" s="23" t="n">
        <x:v>13.023519700858742</x:v>
      </x:c>
      <x:c r="I919" s="23" t="n">
        <x:v>0.851484077773057</x:v>
      </x:c>
      <x:c r="J919" s="23" t="n">
        <x:v>9</x:v>
      </x:c>
      <x:c r="K919" s="23" t="n">
        <x:v>178.63130420172507</x:v>
      </x:c>
      <x:c r="L919" s="23" t="n">
        <x:v>40</x:v>
      </x:c>
      <x:c r="M919" s="23" t="n">
        <x:v>25</x:v>
      </x:c>
      <x:c r="N919" s="23" t="n">
        <x:v>1.1475112213557304</x:v>
      </x:c>
      <x:c r="O919" s="23" t="n">
        <x:v>52.25367188873981</x:v>
      </x:c>
      <x:c r="P919" s="23" t="n">
        <x:v>1368.9154018764384</x:v>
      </x:c>
      <x:c r="Q919" s="23" t="n">
        <x:v>1.1629093549832747</x:v>
      </x:c>
      <x:c r="R919" s="23" t="n">
        <x:v>52.73840005983552</x:v>
      </x:c>
      <x:c r="S919" s="23" t="n">
        <x:v>1372.95595147728</x:v>
      </x:c>
      <x:c r="T919" s="23" t="n">
        <x:v>0.015398133627544386</x:v>
      </x:c>
      <x:c r="U919" s="23" t="n">
        <x:v>0.48472817109571054</x:v>
      </x:c>
      <x:c r="V919" s="23" t="n">
        <x:v>4.040549600841587</x:v>
      </x:c>
    </x:row>
    <x:row r="920">
      <x:c r="A920" s="23" t="n">
        <x:v>919</x:v>
      </x:c>
      <x:c r="B920" s="23" t="str">
        <x:v>Hidden Test</x:v>
      </x:c>
      <x:c r="C920" s="23" t="str">
        <x:v>Lightning</x:v>
      </x:c>
      <x:c r="D920" s="23" t="n">
        <x:v>1387.7842811169103</x:v>
      </x:c>
      <x:c r="E920" s="23" t="n">
        <x:v>669.0573910367675</x:v>
      </x:c>
      <x:c r="F920" s="23" t="n">
        <x:v>723.6982509493828</x:v>
      </x:c>
      <x:c r="G920" s="23" t="n">
        <x:v>189.7429440706037</x:v>
      </x:c>
      <x:c r="H920" s="23" t="n">
        <x:v>24.103658105246723</x:v>
      </x:c>
      <x:c r="I920" s="23" t="n">
        <x:v>0.8367763265571557</x:v>
      </x:c>
      <x:c r="J920" s="23" t="n">
        <x:v>9</x:v>
      </x:c>
      <x:c r="K920" s="23" t="n">
        <x:v>184.27654865891097</x:v>
      </x:c>
      <x:c r="L920" s="23" t="n">
        <x:v>45</x:v>
      </x:c>
      <x:c r="M920" s="23" t="n">
        <x:v>25</x:v>
      </x:c>
      <x:c r="N920" s="23" t="n">
        <x:v>1.188082778348318</x:v>
      </x:c>
      <x:c r="O920" s="23" t="n">
        <x:v>52.2217510920309</x:v>
      </x:c>
      <x:c r="P920" s="23" t="n">
        <x:v>1387.7842811169103</x:v>
      </x:c>
      <x:c r="Q920" s="23" t="n">
        <x:v>1.1746275562039792</x:v>
      </x:c>
      <x:c r="R920" s="23" t="n">
        <x:v>50.74862509744717</x:v>
      </x:c>
      <x:c r="S920" s="23" t="n">
        <x:v>1377.5981005084411</x:v>
      </x:c>
      <x:c r="T920" s="23" t="n">
        <x:v>-0.013455222144338919</x:v>
      </x:c>
      <x:c r="U920" s="23" t="n">
        <x:v>-1.4731259945837323</x:v>
      </x:c>
      <x:c r="V920" s="23" t="n">
        <x:v>-10.186180608469158</x:v>
      </x:c>
    </x:row>
    <x:row r="921">
      <x:c r="A921" s="23" t="n">
        <x:v>920</x:v>
      </x:c>
      <x:c r="B921" s="23" t="str">
        <x:v>Hidden Test</x:v>
      </x:c>
      <x:c r="C921" s="23" t="str">
        <x:v>Lightning</x:v>
      </x:c>
      <x:c r="D921" s="23" t="n">
        <x:v>1450.7056618924253</x:v>
      </x:c>
      <x:c r="E921" s="23" t="n">
        <x:v>718.1773020885885</x:v>
      </x:c>
      <x:c r="F921" s="23" t="n">
        <x:v>582.125040050596</x:v>
      </x:c>
      <x:c r="G921" s="23" t="n">
        <x:v>96.69837965164334</x:v>
      </x:c>
      <x:c r="H921" s="23" t="n">
        <x:v>23.787784745451063</x:v>
      </x:c>
      <x:c r="I921" s="23" t="n">
        <x:v>0.8332629187870771</x:v>
      </x:c>
      <x:c r="J921" s="23" t="n">
        <x:v>9</x:v>
      </x:c>
      <x:c r="K921" s="23" t="n">
        <x:v>193.44376709175972</x:v>
      </x:c>
      <x:c r="L921" s="23" t="n">
        <x:v>50</x:v>
      </x:c>
      <x:c r="M921" s="23" t="n">
        <x:v>25</x:v>
      </x:c>
      <x:c r="N921" s="23" t="n">
        <x:v>1.1549352381977036</x:v>
      </x:c>
      <x:c r="O921" s="23" t="n">
        <x:v>52.19282733754523</x:v>
      </x:c>
      <x:c r="P921" s="23" t="n">
        <x:v>1450.7056618924253</x:v>
      </x:c>
      <x:c r="Q921" s="23" t="n">
        <x:v>1.1352499726912162</x:v>
      </x:c>
      <x:c r="R921" s="23" t="n">
        <x:v>52.45367460485001</x:v>
      </x:c>
      <x:c r="S921" s="23" t="n">
        <x:v>1457.8088235092291</x:v>
      </x:c>
      <x:c r="T921" s="23" t="n">
        <x:v>-0.019685265506487415</x:v>
      </x:c>
      <x:c r="U921" s="23" t="n">
        <x:v>0.2608472673047757</x:v>
      </x:c>
      <x:c r="V921" s="23" t="n">
        <x:v>7.103161616803845</x:v>
      </x:c>
    </x:row>
    <x:row r="922">
      <x:c r="A922" s="23" t="n">
        <x:v>921</x:v>
      </x:c>
      <x:c r="B922" s="23" t="str">
        <x:v>Train</x:v>
      </x:c>
      <x:c r="C922" s="23" t="str">
        <x:v>Lightning</x:v>
      </x:c>
      <x:c r="D922" s="23" t="n">
        <x:v>1481.7680686712265</x:v>
      </x:c>
      <x:c r="E922" s="23" t="n">
        <x:v>946.2990666157566</x:v>
      </x:c>
      <x:c r="F922" s="23" t="n">
        <x:v>569.8786305263638</x:v>
      </x:c>
      <x:c r="G922" s="23" t="n">
        <x:v>312.4400530778803</x:v>
      </x:c>
      <x:c r="H922" s="23" t="n">
        <x:v>15.776247767731547</x:v>
      </x:c>
      <x:c r="I922" s="23" t="n">
        <x:v>0.8536652505886742</x:v>
      </x:c>
      <x:c r="J922" s="23" t="n">
        <x:v>9</x:v>
      </x:c>
      <x:c r="K922" s="23" t="n">
        <x:v>192.86353334107412</x:v>
      </x:c>
      <x:c r="L922" s="23" t="n">
        <x:v>40</x:v>
      </x:c>
      <x:c r="M922" s="23" t="n">
        <x:v>25</x:v>
      </x:c>
      <x:c r="N922" s="23" t="n">
        <x:v>1.187326374305118</x:v>
      </x:c>
      <x:c r="O922" s="23" t="n">
        <x:v>52.260127222703055</x:v>
      </x:c>
      <x:c r="P922" s="23" t="n">
        <x:v>1481.7680686712265</x:v>
      </x:c>
      <x:c r="Q922" s="23" t="n">
        <x:v>1.2005027706257956</x:v>
      </x:c>
      <x:c r="R922" s="23" t="n">
        <x:v>52.549069103690385</x:v>
      </x:c>
      <x:c r="S922" s="23" t="n">
        <x:v>1476.280185545275</x:v>
      </x:c>
      <x:c r="T922" s="23" t="n">
        <x:v>0.013176396320677686</x:v>
      </x:c>
      <x:c r="U922" s="23" t="n">
        <x:v>0.28894188098733053</x:v>
      </x:c>
      <x:c r="V922" s="23" t="n">
        <x:v>-5.487883125951612</x:v>
      </x:c>
    </x:row>
    <x:row r="923">
      <x:c r="A923" s="23" t="n">
        <x:v>922</x:v>
      </x:c>
      <x:c r="B923" s="23" t="str">
        <x:v>Train</x:v>
      </x:c>
      <x:c r="C923" s="23" t="str">
        <x:v>Lightning</x:v>
      </x:c>
      <x:c r="D923" s="23" t="n">
        <x:v>1421.1980214924552</x:v>
      </x:c>
      <x:c r="E923" s="23" t="n">
        <x:v>1129.2513409862295</x:v>
      </x:c>
      <x:c r="F923" s="23" t="n">
        <x:v>406.4918682910502</x:v>
      </x:c>
      <x:c r="G923" s="23" t="n">
        <x:v>218.43396841548383</x:v>
      </x:c>
      <x:c r="H923" s="23" t="n">
        <x:v>17.70585232647136</x:v>
      </x:c>
      <x:c r="I923" s="23" t="n">
        <x:v>0.8060275027202443</x:v>
      </x:c>
      <x:c r="J923" s="23" t="n">
        <x:v>9</x:v>
      </x:c>
      <x:c r="K923" s="23" t="n">
        <x:v>195.91253492468869</x:v>
      </x:c>
      <x:c r="L923" s="23" t="n">
        <x:v>40</x:v>
      </x:c>
      <x:c r="M923" s="23" t="n">
        <x:v>25</x:v>
      </x:c>
      <x:c r="N923" s="23" t="n">
        <x:v>1.1527174659157895</x:v>
      </x:c>
      <x:c r="O923" s="23" t="n">
        <x:v>52.24852007643174</x:v>
      </x:c>
      <x:c r="P923" s="23" t="n">
        <x:v>1421.1980214924552</x:v>
      </x:c>
      <x:c r="Q923" s="23" t="n">
        <x:v>1.1472166992339003</x:v>
      </x:c>
      <x:c r="R923" s="23" t="n">
        <x:v>53.19816031483549</x:v>
      </x:c>
      <x:c r="S923" s="23" t="n">
        <x:v>1418.4239300987383</x:v>
      </x:c>
      <x:c r="T923" s="23" t="n">
        <x:v>-0.0055007666818891465</x:v>
      </x:c>
      <x:c r="U923" s="23" t="n">
        <x:v>0.9496402384037523</x:v>
      </x:c>
      <x:c r="V923" s="23" t="n">
        <x:v>-2.7740913937168443</x:v>
      </x:c>
    </x:row>
    <x:row r="924">
      <x:c r="A924" s="23" t="n">
        <x:v>923</x:v>
      </x:c>
      <x:c r="B924" s="23" t="str">
        <x:v>Train</x:v>
      </x:c>
      <x:c r="C924" s="23" t="str">
        <x:v>Lightning</x:v>
      </x:c>
      <x:c r="D924" s="23" t="n">
        <x:v>1408.8293821318075</x:v>
      </x:c>
      <x:c r="E924" s="23" t="n">
        <x:v>655.0469522015192</x:v>
      </x:c>
      <x:c r="F924" s="23" t="n">
        <x:v>707.8814867883921</x:v>
      </x:c>
      <x:c r="G924" s="23" t="n">
        <x:v>315.1397734018974</x:v>
      </x:c>
      <x:c r="H924" s="23" t="n">
        <x:v>15.94981321040541</x:v>
      </x:c>
      <x:c r="I924" s="23" t="n">
        <x:v>0.85372400830267</x:v>
      </x:c>
      <x:c r="J924" s="23" t="n">
        <x:v>9</x:v>
      </x:c>
      <x:c r="K924" s="23" t="n">
        <x:v>183.35738071354376</x:v>
      </x:c>
      <x:c r="L924" s="23" t="n">
        <x:v>45</x:v>
      </x:c>
      <x:c r="M924" s="23" t="n">
        <x:v>25</x:v>
      </x:c>
      <x:c r="N924" s="23" t="n">
        <x:v>1.2143923815994093</x:v>
      </x:c>
      <x:c r="O924" s="23" t="n">
        <x:v>52.23665278601719</x:v>
      </x:c>
      <x:c r="P924" s="23" t="n">
        <x:v>1408.8293821318075</x:v>
      </x:c>
      <x:c r="Q924" s="23" t="n">
        <x:v>1.2286242969113461</x:v>
      </x:c>
      <x:c r="R924" s="23" t="n">
        <x:v>52.24163163950979</x:v>
      </x:c>
      <x:c r="S924" s="23" t="n">
        <x:v>1411.1261396033567</x:v>
      </x:c>
      <x:c r="T924" s="23" t="n">
        <x:v>0.014231915311936794</x:v>
      </x:c>
      <x:c r="U924" s="23" t="n">
        <x:v>0.004978853492602298</x:v>
      </x:c>
      <x:c r="V924" s="23" t="n">
        <x:v>2.296757471549199</x:v>
      </x:c>
    </x:row>
    <x:row r="925">
      <x:c r="A925" s="23" t="n">
        <x:v>924</x:v>
      </x:c>
      <x:c r="B925" s="23" t="str">
        <x:v>Train</x:v>
      </x:c>
      <x:c r="C925" s="23" t="str">
        <x:v>Lightning</x:v>
      </x:c>
      <x:c r="D925" s="23" t="n">
        <x:v>1359.4007961801253</x:v>
      </x:c>
      <x:c r="E925" s="23" t="n">
        <x:v>797.9116491507739</x:v>
      </x:c>
      <x:c r="F925" s="23" t="n">
        <x:v>713.8442303054035</x:v>
      </x:c>
      <x:c r="G925" s="23" t="n">
        <x:v>274.9226817814633</x:v>
      </x:c>
      <x:c r="H925" s="23" t="n">
        <x:v>28.760016943793744</x:v>
      </x:c>
      <x:c r="I925" s="23" t="n">
        <x:v>0.848535475358367</x:v>
      </x:c>
      <x:c r="J925" s="23" t="n">
        <x:v>9</x:v>
      </x:c>
      <x:c r="K925" s="23" t="n">
        <x:v>178.0061497665861</x:v>
      </x:c>
      <x:c r="L925" s="23" t="n">
        <x:v>40</x:v>
      </x:c>
      <x:c r="M925" s="23" t="n">
        <x:v>25</x:v>
      </x:c>
      <x:c r="N925" s="23" t="n">
        <x:v>1.229662190992422</x:v>
      </x:c>
      <x:c r="O925" s="23" t="n">
        <x:v>52.253587854660985</x:v>
      </x:c>
      <x:c r="P925" s="23" t="n">
        <x:v>1359.4007961801253</x:v>
      </x:c>
      <x:c r="Q925" s="23" t="n">
        <x:v>1.2189592206774933</x:v>
      </x:c>
      <x:c r="R925" s="23" t="n">
        <x:v>51.71687088526918</x:v>
      </x:c>
      <x:c r="S925" s="23" t="n">
        <x:v>1336.8811751739026</x:v>
      </x:c>
      <x:c r="T925" s="23" t="n">
        <x:v>-0.010702970314928617</x:v>
      </x:c>
      <x:c r="U925" s="23" t="n">
        <x:v>-0.5367169693918044</x:v>
      </x:c>
      <x:c r="V925" s="23" t="n">
        <x:v>-22.51962100622268</x:v>
      </x:c>
    </x:row>
    <x:row r="926">
      <x:c r="A926" s="23" t="n">
        <x:v>925</x:v>
      </x:c>
      <x:c r="B926" s="23" t="str">
        <x:v>Train</x:v>
      </x:c>
      <x:c r="C926" s="23" t="str">
        <x:v>Lightning</x:v>
      </x:c>
      <x:c r="D926" s="23" t="n">
        <x:v>1355.3545727860183</x:v>
      </x:c>
      <x:c r="E926" s="23" t="n">
        <x:v>624.5996528188698</x:v>
      </x:c>
      <x:c r="F926" s="23" t="n">
        <x:v>436.4938532933593</x:v>
      </x:c>
      <x:c r="G926" s="23" t="n">
        <x:v>127.23769874544814</x:v>
      </x:c>
      <x:c r="H926" s="23" t="n">
        <x:v>20.277870904654264</x:v>
      </x:c>
      <x:c r="I926" s="23" t="n">
        <x:v>0.84173975240672</x:v>
      </x:c>
      <x:c r="J926" s="23" t="n">
        <x:v>9</x:v>
      </x:c>
      <x:c r="K926" s="23" t="n">
        <x:v>178.90916058222928</x:v>
      </x:c>
      <x:c r="L926" s="23" t="n">
        <x:v>65</x:v>
      </x:c>
      <x:c r="M926" s="23" t="n">
        <x:v>25</x:v>
      </x:c>
      <x:c r="N926" s="23" t="n">
        <x:v>1.2311747154995518</x:v>
      </x:c>
      <x:c r="O926" s="23" t="n">
        <x:v>52.16029054311743</x:v>
      </x:c>
      <x:c r="P926" s="23" t="n">
        <x:v>1355.3545727860183</x:v>
      </x:c>
      <x:c r="Q926" s="23" t="n">
        <x:v>1.2105676449187057</x:v>
      </x:c>
      <x:c r="R926" s="23" t="n">
        <x:v>50.71570896100245</x:v>
      </x:c>
      <x:c r="S926" s="23" t="n">
        <x:v>1359.7187661952892</x:v>
      </x:c>
      <x:c r="T926" s="23" t="n">
        <x:v>-0.0206070705808461</x:v>
      </x:c>
      <x:c r="U926" s="23" t="n">
        <x:v>-1.444581582114985</x:v>
      </x:c>
      <x:c r="V926" s="23" t="n">
        <x:v>4.364193409270911</x:v>
      </x:c>
    </x:row>
    <x:row r="927">
      <x:c r="A927" s="23" t="n">
        <x:v>926</x:v>
      </x:c>
      <x:c r="B927" s="23" t="str">
        <x:v>Train</x:v>
      </x:c>
      <x:c r="C927" s="23" t="str">
        <x:v>Lightning</x:v>
      </x:c>
      <x:c r="D927" s="23" t="n">
        <x:v>1380.6441679713316</x:v>
      </x:c>
      <x:c r="E927" s="23" t="n">
        <x:v>899.4449323741719</x:v>
      </x:c>
      <x:c r="F927" s="23" t="n">
        <x:v>398.92572360113263</x:v>
      </x:c>
      <x:c r="G927" s="23" t="n">
        <x:v>195.31522776931524</x:v>
      </x:c>
      <x:c r="H927" s="23" t="n">
        <x:v>20.189734714571387</x:v>
      </x:c>
      <x:c r="I927" s="23" t="n">
        <x:v>0.8134476688085124</x:v>
      </x:c>
      <x:c r="J927" s="23" t="n">
        <x:v>9</x:v>
      </x:c>
      <x:c r="K927" s="23" t="n">
        <x:v>188.58608049989024</x:v>
      </x:c>
      <x:c r="L927" s="23" t="n">
        <x:v>50</x:v>
      </x:c>
      <x:c r="M927" s="23" t="n">
        <x:v>25</x:v>
      </x:c>
      <x:c r="N927" s="23" t="n">
        <x:v>1.2125511684224233</x:v>
      </x:c>
      <x:c r="O927" s="23" t="n">
        <x:v>52.20790297142287</x:v>
      </x:c>
      <x:c r="P927" s="23" t="n">
        <x:v>1380.6441679713316</x:v>
      </x:c>
      <x:c r="Q927" s="23" t="n">
        <x:v>1.2129549444140824</x:v>
      </x:c>
      <x:c r="R927" s="23" t="n">
        <x:v>52.68310627986319</x:v>
      </x:c>
      <x:c r="S927" s="23" t="n">
        <x:v>1384.3465441564983</x:v>
      </x:c>
      <x:c r="T927" s="23" t="n">
        <x:v>0.0004037759916590833</x:v>
      </x:c>
      <x:c r="U927" s="23" t="n">
        <x:v>0.4752033084403209</x:v>
      </x:c>
      <x:c r="V927" s="23" t="n">
        <x:v>3.702376185166713</x:v>
      </x:c>
    </x:row>
    <x:row r="928">
      <x:c r="A928" s="23" t="n">
        <x:v>927</x:v>
      </x:c>
      <x:c r="B928" s="23" t="str">
        <x:v>Train</x:v>
      </x:c>
      <x:c r="C928" s="23" t="str">
        <x:v>Lightning</x:v>
      </x:c>
      <x:c r="D928" s="23" t="n">
        <x:v>1379.7094073379412</x:v>
      </x:c>
      <x:c r="E928" s="23" t="n">
        <x:v>975.5239910562523</x:v>
      </x:c>
      <x:c r="F928" s="23" t="n">
        <x:v>734.4043634831905</x:v>
      </x:c>
      <x:c r="G928" s="23" t="n">
        <x:v>309.7212792909704</x:v>
      </x:c>
      <x:c r="H928" s="23" t="n">
        <x:v>18.68573402520269</x:v>
      </x:c>
      <x:c r="I928" s="23" t="n">
        <x:v>0.8110693506314419</x:v>
      </x:c>
      <x:c r="J928" s="23" t="n">
        <x:v>9</x:v>
      </x:c>
      <x:c r="K928" s="23" t="n">
        <x:v>189.01102000762543</x:v>
      </x:c>
      <x:c r="L928" s="23" t="n">
        <x:v>35</x:v>
      </x:c>
      <x:c r="M928" s="23" t="n">
        <x:v>25</x:v>
      </x:c>
      <x:c r="N928" s="23" t="n">
        <x:v>1.1797859653441216</x:v>
      </x:c>
      <x:c r="O928" s="23" t="n">
        <x:v>52.28991386915501</x:v>
      </x:c>
      <x:c r="P928" s="23" t="n">
        <x:v>1379.7094073379412</x:v>
      </x:c>
      <x:c r="Q928" s="23" t="n">
        <x:v>1.1976047318132659</x:v>
      </x:c>
      <x:c r="R928" s="23" t="n">
        <x:v>52.64222403390013</x:v>
      </x:c>
      <x:c r="S928" s="23" t="n">
        <x:v>1373.1741653581787</x:v>
      </x:c>
      <x:c r="T928" s="23" t="n">
        <x:v>0.017818766469144265</x:v>
      </x:c>
      <x:c r="U928" s="23" t="n">
        <x:v>0.3523101647451199</x:v>
      </x:c>
      <x:c r="V928" s="23" t="n">
        <x:v>-6.535241979762532</x:v>
      </x:c>
    </x:row>
    <x:row r="929">
      <x:c r="A929" s="23" t="n">
        <x:v>928</x:v>
      </x:c>
      <x:c r="B929" s="23" t="str">
        <x:v>Train</x:v>
      </x:c>
      <x:c r="C929" s="23" t="str">
        <x:v>Lightning</x:v>
      </x:c>
      <x:c r="D929" s="23" t="n">
        <x:v>1380.336956481915</x:v>
      </x:c>
      <x:c r="E929" s="23" t="n">
        <x:v>850.8924402296543</x:v>
      </x:c>
      <x:c r="F929" s="23" t="n">
        <x:v>560.7799678109586</x:v>
      </x:c>
      <x:c r="G929" s="23" t="n">
        <x:v>217.71732815075666</x:v>
      </x:c>
      <x:c r="H929" s="23" t="n">
        <x:v>29.52982756635174</x:v>
      </x:c>
      <x:c r="I929" s="23" t="n">
        <x:v>0.8518016542028636</x:v>
      </x:c>
      <x:c r="J929" s="23" t="n">
        <x:v>9</x:v>
      </x:c>
      <x:c r="K929" s="23" t="n">
        <x:v>180.05456104210438</x:v>
      </x:c>
      <x:c r="L929" s="23" t="n">
        <x:v>45</x:v>
      </x:c>
      <x:c r="M929" s="23" t="n">
        <x:v>25</x:v>
      </x:c>
      <x:c r="N929" s="23" t="n">
        <x:v>1.244974367596226</x:v>
      </x:c>
      <x:c r="O929" s="23" t="n">
        <x:v>52.22906259461564</x:v>
      </x:c>
      <x:c r="P929" s="23" t="n">
        <x:v>1380.336956481915</x:v>
      </x:c>
      <x:c r="Q929" s="23" t="n">
        <x:v>1.2362843865540987</x:v>
      </x:c>
      <x:c r="R929" s="23" t="n">
        <x:v>51.17495561873403</x:v>
      </x:c>
      <x:c r="S929" s="23" t="n">
        <x:v>1366.1915910433006</x:v>
      </x:c>
      <x:c r="T929" s="23" t="n">
        <x:v>-0.00868998104212726</x:v>
      </x:c>
      <x:c r="U929" s="23" t="n">
        <x:v>-1.0541069758816093</x:v>
      </x:c>
      <x:c r="V929" s="23" t="n">
        <x:v>-14.145365438614363</x:v>
      </x:c>
    </x:row>
    <x:row r="930">
      <x:c r="A930" s="23" t="n">
        <x:v>929</x:v>
      </x:c>
      <x:c r="B930" s="23" t="str">
        <x:v>Train</x:v>
      </x:c>
      <x:c r="C930" s="23" t="str">
        <x:v>Lightning</x:v>
      </x:c>
      <x:c r="D930" s="23" t="n">
        <x:v>1381.0130051337183</x:v>
      </x:c>
      <x:c r="E930" s="23" t="n">
        <x:v>850.3817259683274</x:v>
      </x:c>
      <x:c r="F930" s="23" t="n">
        <x:v>624.3763769045472</x:v>
      </x:c>
      <x:c r="G930" s="23" t="n">
        <x:v>100.74639411875978</x:v>
      </x:c>
      <x:c r="H930" s="23" t="n">
        <x:v>25.66050192154944</x:v>
      </x:c>
      <x:c r="I930" s="23" t="n">
        <x:v>0.8477641988103278</x:v>
      </x:c>
      <x:c r="J930" s="23" t="n">
        <x:v>9</x:v>
      </x:c>
      <x:c r="K930" s="23" t="n">
        <x:v>181.0006717370626</x:v>
      </x:c>
      <x:c r="L930" s="23" t="n">
        <x:v>45</x:v>
      </x:c>
      <x:c r="M930" s="23" t="n">
        <x:v>25</x:v>
      </x:c>
      <x:c r="N930" s="23" t="n">
        <x:v>1.1905305852437738</x:v>
      </x:c>
      <x:c r="O930" s="23" t="n">
        <x:v>52.22066053869342</x:v>
      </x:c>
      <x:c r="P930" s="23" t="n">
        <x:v>1381.0130051337183</x:v>
      </x:c>
      <x:c r="Q930" s="23" t="n">
        <x:v>1.1968004674675756</x:v>
      </x:c>
      <x:c r="R930" s="23" t="n">
        <x:v>51.598197309091816</x:v>
      </x:c>
      <x:c r="S930" s="23" t="n">
        <x:v>1374.4166196469378</x:v>
      </x:c>
      <x:c r="T930" s="23" t="n">
        <x:v>0.00626988222380187</x:v>
      </x:c>
      <x:c r="U930" s="23" t="n">
        <x:v>-0.6224632296016068</x:v>
      </x:c>
      <x:c r="V930" s="23" t="n">
        <x:v>-6.596385486780491</x:v>
      </x:c>
    </x:row>
    <x:row r="931">
      <x:c r="A931" s="23" t="n">
        <x:v>930</x:v>
      </x:c>
      <x:c r="B931" s="23" t="str">
        <x:v>Train</x:v>
      </x:c>
      <x:c r="C931" s="23" t="str">
        <x:v>Lightning</x:v>
      </x:c>
      <x:c r="D931" s="23" t="n">
        <x:v>1477.0970167242922</x:v>
      </x:c>
      <x:c r="E931" s="23" t="n">
        <x:v>1021.0838596569374</x:v>
      </x:c>
      <x:c r="F931" s="23" t="n">
        <x:v>359.19362837448716</x:v>
      </x:c>
      <x:c r="G931" s="23" t="n">
        <x:v>279.18577023781836</x:v>
      </x:c>
      <x:c r="H931" s="23" t="n">
        <x:v>8.28354460792616</x:v>
      </x:c>
      <x:c r="I931" s="23" t="n">
        <x:v>0.8099881935724988</x:v>
      </x:c>
      <x:c r="J931" s="23" t="n">
        <x:v>10</x:v>
      </x:c>
      <x:c r="K931" s="23" t="n">
        <x:v>182.36031443982807</x:v>
      </x:c>
      <x:c r="L931" s="23" t="n">
        <x:v>40</x:v>
      </x:c>
      <x:c r="M931" s="23" t="n">
        <x:v>25</x:v>
      </x:c>
      <x:c r="N931" s="23" t="n">
        <x:v>1.1509396278462918</x:v>
      </x:c>
      <x:c r="O931" s="23" t="n">
        <x:v>52.26250200949514</x:v>
      </x:c>
      <x:c r="P931" s="23" t="n">
        <x:v>1477.0970167242922</x:v>
      </x:c>
      <x:c r="Q931" s="23" t="n">
        <x:v>1.1474393158442167</x:v>
      </x:c>
      <x:c r="R931" s="23" t="n">
        <x:v>51.90429125930745</x:v>
      </x:c>
      <x:c r="S931" s="23" t="n">
        <x:v>1486.518921211586</x:v>
      </x:c>
      <x:c r="T931" s="23" t="n">
        <x:v>-0.0035003120020751233</x:v>
      </x:c>
      <x:c r="U931" s="23" t="n">
        <x:v>-0.35821075018768767</x:v>
      </x:c>
      <x:c r="V931" s="23" t="n">
        <x:v>9.421904487293887</x:v>
      </x:c>
    </x:row>
    <x:row r="932">
      <x:c r="A932" s="23" t="n">
        <x:v>931</x:v>
      </x:c>
      <x:c r="B932" s="23" t="str">
        <x:v>Train</x:v>
      </x:c>
      <x:c r="C932" s="23" t="str">
        <x:v>Lightning</x:v>
      </x:c>
      <x:c r="D932" s="23" t="n">
        <x:v>1355.8382585411891</x:v>
      </x:c>
      <x:c r="E932" s="23" t="n">
        <x:v>871.7366980039515</x:v>
      </x:c>
      <x:c r="F932" s="23" t="n">
        <x:v>615.0395136326551</x:v>
      </x:c>
      <x:c r="G932" s="23" t="n">
        <x:v>199.28536527557299</x:v>
      </x:c>
      <x:c r="H932" s="23" t="n">
        <x:v>10.785403837449849</x:v>
      </x:c>
      <x:c r="I932" s="23" t="n">
        <x:v>0.8266419028560631</x:v>
      </x:c>
      <x:c r="J932" s="23" t="n">
        <x:v>9</x:v>
      </x:c>
      <x:c r="K932" s="23" t="n">
        <x:v>182.241784348182</x:v>
      </x:c>
      <x:c r="L932" s="23" t="n">
        <x:v>45</x:v>
      </x:c>
      <x:c r="M932" s="23" t="n">
        <x:v>25</x:v>
      </x:c>
      <x:c r="N932" s="23" t="n">
        <x:v>1.1946664617901406</x:v>
      </x:c>
      <x:c r="O932" s="23" t="n">
        <x:v>52.237899151380034</x:v>
      </x:c>
      <x:c r="P932" s="23" t="n">
        <x:v>1355.8382585411891</x:v>
      </x:c>
      <x:c r="Q932" s="23" t="n">
        <x:v>1.2008848633300766</x:v>
      </x:c>
      <x:c r="R932" s="23" t="n">
        <x:v>51.8689125501776</x:v>
      </x:c>
      <x:c r="S932" s="23" t="n">
        <x:v>1358.888437466404</x:v>
      </x:c>
      <x:c r="T932" s="23" t="n">
        <x:v>0.006218401539936025</x:v>
      </x:c>
      <x:c r="U932" s="23" t="n">
        <x:v>-0.36898660120243676</x:v>
      </x:c>
      <x:c r="V932" s="23" t="n">
        <x:v>3.050178925214823</x:v>
      </x:c>
    </x:row>
    <x:row r="933">
      <x:c r="A933" s="23" t="n">
        <x:v>932</x:v>
      </x:c>
      <x:c r="B933" s="23" t="str">
        <x:v>Train</x:v>
      </x:c>
      <x:c r="C933" s="23" t="str">
        <x:v>Lightning</x:v>
      </x:c>
      <x:c r="D933" s="23" t="n">
        <x:v>1475.1710350974463</x:v>
      </x:c>
      <x:c r="E933" s="23" t="n">
        <x:v>827.9583484400064</x:v>
      </x:c>
      <x:c r="F933" s="23" t="n">
        <x:v>641.3115593604743</x:v>
      </x:c>
      <x:c r="G933" s="23" t="n">
        <x:v>247.35730168875307</x:v>
      </x:c>
      <x:c r="H933" s="23" t="n">
        <x:v>27.501720912288874</x:v>
      </x:c>
      <x:c r="I933" s="23" t="n">
        <x:v>0.8510750733129681</x:v>
      </x:c>
      <x:c r="J933" s="23" t="n">
        <x:v>9</x:v>
      </x:c>
      <x:c r="K933" s="23" t="n">
        <x:v>192.58922970280776</x:v>
      </x:c>
      <x:c r="L933" s="23" t="n">
        <x:v>40</x:v>
      </x:c>
      <x:c r="M933" s="23" t="n">
        <x:v>25</x:v>
      </x:c>
      <x:c r="N933" s="23" t="n">
        <x:v>1.1807879630498572</x:v>
      </x:c>
      <x:c r="O933" s="23" t="n">
        <x:v>52.24266509763961</x:v>
      </x:c>
      <x:c r="P933" s="23" t="n">
        <x:v>1475.1710350974463</x:v>
      </x:c>
      <x:c r="Q933" s="23" t="n">
        <x:v>1.1663559741319043</x:v>
      </x:c>
      <x:c r="R933" s="23" t="n">
        <x:v>52.91875019317907</x:v>
      </x:c>
      <x:c r="S933" s="23" t="n">
        <x:v>1452.430565784317</x:v>
      </x:c>
      <x:c r="T933" s="23" t="n">
        <x:v>-0.014431988917952943</x:v>
      </x:c>
      <x:c r="U933" s="23" t="n">
        <x:v>0.676085095539463</x:v>
      </x:c>
      <x:c r="V933" s="23" t="n">
        <x:v>-22.740469313129324</x:v>
      </x:c>
    </x:row>
    <x:row r="934">
      <x:c r="A934" s="23" t="n">
        <x:v>933</x:v>
      </x:c>
      <x:c r="B934" s="23" t="str">
        <x:v>Train</x:v>
      </x:c>
      <x:c r="C934" s="23" t="str">
        <x:v>Lightning</x:v>
      </x:c>
      <x:c r="D934" s="23" t="n">
        <x:v>1477.3297032807022</x:v>
      </x:c>
      <x:c r="E934" s="23" t="n">
        <x:v>1075.6418628501706</x:v>
      </x:c>
      <x:c r="F934" s="23" t="n">
        <x:v>580.8953000232577</x:v>
      </x:c>
      <x:c r="G934" s="23" t="n">
        <x:v>263.5615013842471</x:v>
      </x:c>
      <x:c r="H934" s="23" t="n">
        <x:v>9.505557425320148</x:v>
      </x:c>
      <x:c r="I934" s="23" t="n">
        <x:v>0.7937127886177041</x:v>
      </x:c>
      <x:c r="J934" s="23" t="n">
        <x:v>10</x:v>
      </x:c>
      <x:c r="K934" s="23" t="n">
        <x:v>186.12900339599614</x:v>
      </x:c>
      <x:c r="L934" s="23" t="n">
        <x:v>35</x:v>
      </x:c>
      <x:c r="M934" s="23" t="n">
        <x:v>25</x:v>
      </x:c>
      <x:c r="N934" s="23" t="n">
        <x:v>1.177627629221471</x:v>
      </x:c>
      <x:c r="O934" s="23" t="n">
        <x:v>52.30765709358264</x:v>
      </x:c>
      <x:c r="P934" s="23" t="n">
        <x:v>1477.3297032807022</x:v>
      </x:c>
      <x:c r="Q934" s="23" t="n">
        <x:v>1.1881139361089768</x:v>
      </x:c>
      <x:c r="R934" s="23" t="n">
        <x:v>51.8695650247663</x:v>
      </x:c>
      <x:c r="S934" s="23" t="n">
        <x:v>1473.9385904623364</x:v>
      </x:c>
      <x:c r="T934" s="23" t="n">
        <x:v>0.010486306887505847</x:v>
      </x:c>
      <x:c r="U934" s="23" t="n">
        <x:v>-0.43809206881633855</x:v>
      </x:c>
      <x:c r="V934" s="23" t="n">
        <x:v>-3.3911128183658548</x:v>
      </x:c>
    </x:row>
    <x:row r="935">
      <x:c r="A935" s="23" t="n">
        <x:v>934</x:v>
      </x:c>
      <x:c r="B935" s="23" t="str">
        <x:v>Train</x:v>
      </x:c>
      <x:c r="C935" s="23" t="str">
        <x:v>Lightning</x:v>
      </x:c>
      <x:c r="D935" s="23" t="n">
        <x:v>1420.893479429651</x:v>
      </x:c>
      <x:c r="E935" s="23" t="n">
        <x:v>835.1172886556014</x:v>
      </x:c>
      <x:c r="F935" s="23" t="n">
        <x:v>508.9807060547173</x:v>
      </x:c>
      <x:c r="G935" s="23" t="n">
        <x:v>238.85807340964675</x:v>
      </x:c>
      <x:c r="H935" s="23" t="n">
        <x:v>11.842008321080357</x:v>
      </x:c>
      <x:c r="I935" s="23" t="n">
        <x:v>0.8221177235385403</x:v>
      </x:c>
      <x:c r="J935" s="23" t="n">
        <x:v>9</x:v>
      </x:c>
      <x:c r="K935" s="23" t="n">
        <x:v>192.03703891752926</x:v>
      </x:c>
      <x:c r="L935" s="23" t="n">
        <x:v>50</x:v>
      </x:c>
      <x:c r="M935" s="23" t="n">
        <x:v>25</x:v>
      </x:c>
      <x:c r="N935" s="23" t="n">
        <x:v>1.2433122575967874</x:v>
      </x:c>
      <x:c r="O935" s="23" t="n">
        <x:v>52.221822424921605</x:v>
      </x:c>
      <x:c r="P935" s="23" t="n">
        <x:v>1420.893479429651</x:v>
      </x:c>
      <x:c r="Q935" s="23" t="n">
        <x:v>1.243142900340102</x:v>
      </x:c>
      <x:c r="R935" s="23" t="n">
        <x:v>52.942547292855586</x:v>
      </x:c>
      <x:c r="S935" s="23" t="n">
        <x:v>1430.9411854929826</x:v>
      </x:c>
      <x:c r="T935" s="23" t="n">
        <x:v>-0.00016935725668543178</x:v>
      </x:c>
      <x:c r="U935" s="23" t="n">
        <x:v>0.7207248679339813</x:v>
      </x:c>
      <x:c r="V935" s="23" t="n">
        <x:v>10.047706063331589</x:v>
      </x:c>
    </x:row>
    <x:row r="936">
      <x:c r="A936" s="23" t="n">
        <x:v>935</x:v>
      </x:c>
      <x:c r="B936" s="23" t="str">
        <x:v>Validation</x:v>
      </x:c>
      <x:c r="C936" s="23" t="str">
        <x:v>Lightning</x:v>
      </x:c>
      <x:c r="D936" s="23" t="n">
        <x:v>1430.0091023789719</x:v>
      </x:c>
      <x:c r="E936" s="23" t="n">
        <x:v>1191.7060677078553</x:v>
      </x:c>
      <x:c r="F936" s="23" t="n">
        <x:v>624.3357539176941</x:v>
      </x:c>
      <x:c r="G936" s="23" t="n">
        <x:v>89.51064930995926</x:v>
      </x:c>
      <x:c r="H936" s="23" t="n">
        <x:v>9.985249477438629</x:v>
      </x:c>
      <x:c r="I936" s="23" t="n">
        <x:v>0.8363906829780899</x:v>
      </x:c>
      <x:c r="J936" s="23" t="n">
        <x:v>9</x:v>
      </x:c>
      <x:c r="K936" s="23" t="n">
        <x:v>189.97091131931282</x:v>
      </x:c>
      <x:c r="L936" s="23" t="n">
        <x:v>40</x:v>
      </x:c>
      <x:c r="M936" s="23" t="n">
        <x:v>25</x:v>
      </x:c>
      <x:c r="N936" s="23" t="n">
        <x:v>1.20212513585121</x:v>
      </x:c>
      <x:c r="O936" s="23" t="n">
        <x:v>52.272123269030615</x:v>
      </x:c>
      <x:c r="P936" s="23" t="n">
        <x:v>1430.0091023789719</x:v>
      </x:c>
      <x:c r="Q936" s="23" t="n">
        <x:v>1.2273169282046574</x:v>
      </x:c>
      <x:c r="R936" s="23" t="n">
        <x:v>51.970890853008825</x:v>
      </x:c>
      <x:c r="S936" s="23" t="n">
        <x:v>1430.4023284998432</x:v>
      </x:c>
      <x:c r="T936" s="23" t="n">
        <x:v>0.025191792353447484</x:v>
      </x:c>
      <x:c r="U936" s="23" t="n">
        <x:v>-0.3012324160217901</x:v>
      </x:c>
      <x:c r="V936" s="23" t="n">
        <x:v>0.3932261208713044</x:v>
      </x:c>
    </x:row>
    <x:row r="937">
      <x:c r="A937" s="23" t="n">
        <x:v>936</x:v>
      </x:c>
      <x:c r="B937" s="23" t="str">
        <x:v>Validation</x:v>
      </x:c>
      <x:c r="C937" s="23" t="str">
        <x:v>Lightning</x:v>
      </x:c>
      <x:c r="D937" s="23" t="n">
        <x:v>1429.252818308305</x:v>
      </x:c>
      <x:c r="E937" s="23" t="n">
        <x:v>958.8209182955325</x:v>
      </x:c>
      <x:c r="F937" s="23" t="n">
        <x:v>591.5200329385698</x:v>
      </x:c>
      <x:c r="G937" s="23" t="n">
        <x:v>222.03391375485808</x:v>
      </x:c>
      <x:c r="H937" s="23" t="n">
        <x:v>13.219262254890054</x:v>
      </x:c>
      <x:c r="I937" s="23" t="n">
        <x:v>0.8463128244969994</x:v>
      </x:c>
      <x:c r="J937" s="23" t="n">
        <x:v>9</x:v>
      </x:c>
      <x:c r="K937" s="23" t="n">
        <x:v>187.6444077227685</x:v>
      </x:c>
      <x:c r="L937" s="23" t="n">
        <x:v>40</x:v>
      </x:c>
      <x:c r="M937" s="23" t="n">
        <x:v>25</x:v>
      </x:c>
      <x:c r="N937" s="23" t="n">
        <x:v>1.1396301245769245</x:v>
      </x:c>
      <x:c r="O937" s="23" t="n">
        <x:v>52.2513575508234</x:v>
      </x:c>
      <x:c r="P937" s="23" t="n">
        <x:v>1429.252818308305</x:v>
      </x:c>
      <x:c r="Q937" s="23" t="n">
        <x:v>1.158000703638266</x:v>
      </x:c>
      <x:c r="R937" s="23" t="n">
        <x:v>52.77712215341896</x:v>
      </x:c>
      <x:c r="S937" s="23" t="n">
        <x:v>1436.9684687629972</x:v>
      </x:c>
      <x:c r="T937" s="23" t="n">
        <x:v>0.01837057906134154</x:v>
      </x:c>
      <x:c r="U937" s="23" t="n">
        <x:v>0.525764602595558</x:v>
      </x:c>
      <x:c r="V937" s="23" t="n">
        <x:v>7.715650454692195</x:v>
      </x:c>
    </x:row>
    <x:row r="938">
      <x:c r="A938" s="23" t="n">
        <x:v>937</x:v>
      </x:c>
      <x:c r="B938" s="23" t="str">
        <x:v>Validation</x:v>
      </x:c>
      <x:c r="C938" s="23" t="str">
        <x:v>Lightning</x:v>
      </x:c>
      <x:c r="D938" s="23" t="n">
        <x:v>1474.1151792928576</x:v>
      </x:c>
      <x:c r="E938" s="23" t="n">
        <x:v>1051.6314391396008</x:v>
      </x:c>
      <x:c r="F938" s="23" t="n">
        <x:v>549.8018624261022</x:v>
      </x:c>
      <x:c r="G938" s="23" t="n">
        <x:v>135.92624802375212</x:v>
      </x:c>
      <x:c r="H938" s="23" t="n">
        <x:v>25.336768170818686</x:v>
      </x:c>
      <x:c r="I938" s="23" t="n">
        <x:v>0.7939232689258643</x:v>
      </x:c>
      <x:c r="J938" s="23" t="n">
        <x:v>10</x:v>
      </x:c>
      <x:c r="K938" s="23" t="n">
        <x:v>185.67476694407216</x:v>
      </x:c>
      <x:c r="L938" s="23" t="n">
        <x:v>35</x:v>
      </x:c>
      <x:c r="M938" s="23" t="n">
        <x:v>25</x:v>
      </x:c>
      <x:c r="N938" s="23" t="n">
        <x:v>1.1567735965197483</x:v>
      </x:c>
      <x:c r="O938" s="23" t="n">
        <x:v>52.27599754196637</x:v>
      </x:c>
      <x:c r="P938" s="23" t="n">
        <x:v>1474.1151792928576</x:v>
      </x:c>
      <x:c r="Q938" s="23" t="n">
        <x:v>1.1516564745042963</x:v>
      </x:c>
      <x:c r="R938" s="23" t="n">
        <x:v>52.14066058035828</x:v>
      </x:c>
      <x:c r="S938" s="23" t="n">
        <x:v>1464.9337185083257</x:v>
      </x:c>
      <x:c r="T938" s="23" t="n">
        <x:v>-0.0051171220154520025</x:v>
      </x:c>
      <x:c r="U938" s="23" t="n">
        <x:v>-0.13533696160808972</x:v>
      </x:c>
      <x:c r="V938" s="23" t="n">
        <x:v>-9.181460784531964</x:v>
      </x:c>
    </x:row>
    <x:row r="939">
      <x:c r="A939" s="23" t="n">
        <x:v>938</x:v>
      </x:c>
      <x:c r="B939" s="23" t="str">
        <x:v>Hidden Test</x:v>
      </x:c>
      <x:c r="C939" s="23" t="str">
        <x:v>Lightning</x:v>
      </x:c>
      <x:c r="D939" s="23" t="n">
        <x:v>1438.8108593062498</x:v>
      </x:c>
      <x:c r="E939" s="23" t="n">
        <x:v>950.9867023909464</x:v>
      </x:c>
      <x:c r="F939" s="23" t="n">
        <x:v>623.3793676830828</x:v>
      </x:c>
      <x:c r="G939" s="23" t="n">
        <x:v>134.012420354411</x:v>
      </x:c>
      <x:c r="H939" s="23" t="n">
        <x:v>15.304652888793498</x:v>
      </x:c>
      <x:c r="I939" s="23" t="n">
        <x:v>0.8553647730918601</x:v>
      </x:c>
      <x:c r="J939" s="23" t="n">
        <x:v>9</x:v>
      </x:c>
      <x:c r="K939" s="23" t="n">
        <x:v>186.90023050444384</x:v>
      </x:c>
      <x:c r="L939" s="23" t="n">
        <x:v>45</x:v>
      </x:c>
      <x:c r="M939" s="23" t="n">
        <x:v>25</x:v>
      </x:c>
      <x:c r="N939" s="23" t="n">
        <x:v>1.2318235977550533</x:v>
      </x:c>
      <x:c r="O939" s="23" t="n">
        <x:v>52.241378916120055</x:v>
      </x:c>
      <x:c r="P939" s="23" t="n">
        <x:v>1438.8108593062498</x:v>
      </x:c>
      <x:c r="Q939" s="23" t="n">
        <x:v>1.23809332934579</x:v>
      </x:c>
      <x:c r="R939" s="23" t="n">
        <x:v>52.86411527153312</x:v>
      </x:c>
      <x:c r="S939" s="23" t="n">
        <x:v>1444.9401611662138</x:v>
      </x:c>
      <x:c r="T939" s="23" t="n">
        <x:v>0.006269731590736738</x:v>
      </x:c>
      <x:c r="U939" s="23" t="n">
        <x:v>0.6227363554130676</x:v>
      </x:c>
      <x:c r="V939" s="23" t="n">
        <x:v>6.129301859964016</x:v>
      </x:c>
    </x:row>
    <x:row r="940">
      <x:c r="A940" s="23" t="n">
        <x:v>939</x:v>
      </x:c>
      <x:c r="B940" s="23" t="str">
        <x:v>Hidden Test</x:v>
      </x:c>
      <x:c r="C940" s="23" t="str">
        <x:v>Lightning</x:v>
      </x:c>
      <x:c r="D940" s="23" t="n">
        <x:v>1492.5719826249406</x:v>
      </x:c>
      <x:c r="E940" s="23" t="n">
        <x:v>1097.4188922555186</x:v>
      </x:c>
      <x:c r="F940" s="23" t="n">
        <x:v>494.66203041374683</x:v>
      </x:c>
      <x:c r="G940" s="23" t="n">
        <x:v>117.8760194289498</x:v>
      </x:c>
      <x:c r="H940" s="23" t="n">
        <x:v>20.34261299762875</x:v>
      </x:c>
      <x:c r="I940" s="23" t="n">
        <x:v>0.7998425517114811</x:v>
      </x:c>
      <x:c r="J940" s="23" t="n">
        <x:v>10</x:v>
      </x:c>
      <x:c r="K940" s="23" t="n">
        <x:v>186.6082242600342</x:v>
      </x:c>
      <x:c r="L940" s="23" t="n">
        <x:v>40</x:v>
      </x:c>
      <x:c r="M940" s="23" t="n">
        <x:v>25</x:v>
      </x:c>
      <x:c r="N940" s="23" t="n">
        <x:v>1.243892098148377</x:v>
      </x:c>
      <x:c r="O940" s="23" t="n">
        <x:v>52.27125004021852</x:v>
      </x:c>
      <x:c r="P940" s="23" t="n">
        <x:v>1492.5719826249406</x:v>
      </x:c>
      <x:c r="Q940" s="23" t="n">
        <x:v>1.2469732353128848</x:v>
      </x:c>
      <x:c r="R940" s="23" t="n">
        <x:v>52.205767493856015</x:v>
      </x:c>
      <x:c r="S940" s="23" t="n">
        <x:v>1496.8174748928618</x:v>
      </x:c>
      <x:c r="T940" s="23" t="n">
        <x:v>0.0030811371645078633</x:v>
      </x:c>
      <x:c r="U940" s="23" t="n">
        <x:v>-0.06548254636250306</x:v>
      </x:c>
      <x:c r="V940" s="23" t="n">
        <x:v>4.245492267921236</x:v>
      </x:c>
    </x:row>
    <x:row r="941">
      <x:c r="A941" s="23" t="n">
        <x:v>940</x:v>
      </x:c>
      <x:c r="B941" s="23" t="str">
        <x:v>Hidden Test</x:v>
      </x:c>
      <x:c r="C941" s="23" t="str">
        <x:v>Lightning</x:v>
      </x:c>
      <x:c r="D941" s="23" t="n">
        <x:v>1425.6331650889479</x:v>
      </x:c>
      <x:c r="E941" s="23" t="n">
        <x:v>1161.2961330916733</x:v>
      </x:c>
      <x:c r="F941" s="23" t="n">
        <x:v>626.5406767837703</x:v>
      </x:c>
      <x:c r="G941" s="23" t="n">
        <x:v>182.78168402146548</x:v>
      </x:c>
      <x:c r="H941" s="23" t="n">
        <x:v>29.261928427498788</x:v>
      </x:c>
      <x:c r="I941" s="23" t="n">
        <x:v>0.8301204294338823</x:v>
      </x:c>
      <x:c r="J941" s="23" t="n">
        <x:v>9</x:v>
      </x:c>
      <x:c r="K941" s="23" t="n">
        <x:v>190.82012608448844</x:v>
      </x:c>
      <x:c r="L941" s="23" t="n">
        <x:v>35</x:v>
      </x:c>
      <x:c r="M941" s="23" t="n">
        <x:v>25</x:v>
      </x:c>
      <x:c r="N941" s="23" t="n">
        <x:v>1.215186813783723</x:v>
      </x:c>
      <x:c r="O941" s="23" t="n">
        <x:v>52.28226868866087</x:v>
      </x:c>
      <x:c r="P941" s="23" t="n">
        <x:v>1425.6331650889479</x:v>
      </x:c>
      <x:c r="Q941" s="23" t="n">
        <x:v>1.2070430502127245</x:v>
      </x:c>
      <x:c r="R941" s="23" t="n">
        <x:v>54.007662063748654</x:v>
      </x:c>
      <x:c r="S941" s="23" t="n">
        <x:v>1396.8165087148898</x:v>
      </x:c>
      <x:c r="T941" s="23" t="n">
        <x:v>-0.008143763570998441</x:v>
      </x:c>
      <x:c r="U941" s="23" t="n">
        <x:v>1.7253933750877835</x:v>
      </x:c>
      <x:c r="V941" s="23" t="n">
        <x:v>-28.816656374058084</x:v>
      </x:c>
    </x:row>
    <x:row r="942">
      <x:c r="A942" s="23" t="n">
        <x:v>941</x:v>
      </x:c>
      <x:c r="B942" s="23" t="str">
        <x:v>Train</x:v>
      </x:c>
      <x:c r="C942" s="23" t="str">
        <x:v>Lightning</x:v>
      </x:c>
      <x:c r="D942" s="23" t="n">
        <x:v>1413.4752867277712</x:v>
      </x:c>
      <x:c r="E942" s="23" t="n">
        <x:v>1193.8865366275422</x:v>
      </x:c>
      <x:c r="F942" s="23" t="n">
        <x:v>528.9687028154731</x:v>
      </x:c>
      <x:c r="G942" s="23" t="n">
        <x:v>314.05069654108956</x:v>
      </x:c>
      <x:c r="H942" s="23" t="n">
        <x:v>11.931580428034067</x:v>
      </x:c>
      <x:c r="I942" s="23" t="n">
        <x:v>0.8253355825715699</x:v>
      </x:c>
      <x:c r="J942" s="23" t="n">
        <x:v>9</x:v>
      </x:c>
      <x:c r="K942" s="23" t="n">
        <x:v>190.28963848508255</x:v>
      </x:c>
      <x:c r="L942" s="23" t="n">
        <x:v>35</x:v>
      </x:c>
      <x:c r="M942" s="23" t="n">
        <x:v>25</x:v>
      </x:c>
      <x:c r="N942" s="23" t="n">
        <x:v>1.1478646116607583</x:v>
      </x:c>
      <x:c r="O942" s="23" t="n">
        <x:v>52.29260455806832</x:v>
      </x:c>
      <x:c r="P942" s="23" t="n">
        <x:v>1413.4752867277712</x:v>
      </x:c>
      <x:c r="Q942" s="23" t="n">
        <x:v>1.1640724048573063</x:v>
      </x:c>
      <x:c r="R942" s="23" t="n">
        <x:v>52.49507668493372</x:v>
      </x:c>
      <x:c r="S942" s="23" t="n">
        <x:v>1415.116328952084</x:v>
      </x:c>
      <x:c r="T942" s="23" t="n">
        <x:v>0.01620779319654808</x:v>
      </x:c>
      <x:c r="U942" s="23" t="n">
        <x:v>0.20247212686540195</x:v>
      </x:c>
      <x:c r="V942" s="23" t="n">
        <x:v>1.6410422243127414</x:v>
      </x:c>
    </x:row>
    <x:row r="943">
      <x:c r="A943" s="23" t="n">
        <x:v>942</x:v>
      </x:c>
      <x:c r="B943" s="23" t="str">
        <x:v>Train</x:v>
      </x:c>
      <x:c r="C943" s="23" t="str">
        <x:v>Lightning</x:v>
      </x:c>
      <x:c r="D943" s="23" t="n">
        <x:v>1453.9099907618947</x:v>
      </x:c>
      <x:c r="E943" s="23" t="n">
        <x:v>655.3936012787744</x:v>
      </x:c>
      <x:c r="F943" s="23" t="n">
        <x:v>588.5309134609997</x:v>
      </x:c>
      <x:c r="G943" s="23" t="n">
        <x:v>306.97241231799126</x:v>
      </x:c>
      <x:c r="H943" s="23" t="n">
        <x:v>13.59949258947745</x:v>
      </x:c>
      <x:c r="I943" s="23" t="n">
        <x:v>0.798259985218756</x:v>
      </x:c>
      <x:c r="J943" s="23" t="n">
        <x:v>10</x:v>
      </x:c>
      <x:c r="K943" s="23" t="n">
        <x:v>182.13489560841055</x:v>
      </x:c>
      <x:c r="L943" s="23" t="n">
        <x:v>45</x:v>
      </x:c>
      <x:c r="M943" s="23" t="n">
        <x:v>25</x:v>
      </x:c>
      <x:c r="N943" s="23" t="n">
        <x:v>1.2269647941316109</x:v>
      </x:c>
      <x:c r="O943" s="23" t="n">
        <x:v>52.243692892612756</x:v>
      </x:c>
      <x:c r="P943" s="23" t="n">
        <x:v>1453.9099907618947</x:v>
      </x:c>
      <x:c r="Q943" s="23" t="n">
        <x:v>1.2386741578700384</x:v>
      </x:c>
      <x:c r="R943" s="23" t="n">
        <x:v>50.963586578019104</x:v>
      </x:c>
      <x:c r="S943" s="23" t="n">
        <x:v>1454.4368450034774</x:v>
      </x:c>
      <x:c r="T943" s="23" t="n">
        <x:v>0.01170936373842757</x:v>
      </x:c>
      <x:c r="U943" s="23" t="n">
        <x:v>-1.2801063145936524</x:v>
      </x:c>
      <x:c r="V943" s="23" t="n">
        <x:v>0.5268542415826687</x:v>
      </x:c>
    </x:row>
    <x:row r="944">
      <x:c r="A944" s="23" t="n">
        <x:v>943</x:v>
      </x:c>
      <x:c r="B944" s="23" t="str">
        <x:v>Train</x:v>
      </x:c>
      <x:c r="C944" s="23" t="str">
        <x:v>Lightning</x:v>
      </x:c>
      <x:c r="D944" s="23" t="n">
        <x:v>1448.2032293686643</x:v>
      </x:c>
      <x:c r="E944" s="23" t="n">
        <x:v>668.3586449478753</x:v>
      </x:c>
      <x:c r="F944" s="23" t="n">
        <x:v>581.9544889032841</x:v>
      </x:c>
      <x:c r="G944" s="23" t="n">
        <x:v>167.54308003699407</x:v>
      </x:c>
      <x:c r="H944" s="23" t="n">
        <x:v>25.979770227335393</x:v>
      </x:c>
      <x:c r="I944" s="23" t="n">
        <x:v>0.8416445708810352</x:v>
      </x:c>
      <x:c r="J944" s="23" t="n">
        <x:v>9</x:v>
      </x:c>
      <x:c r="K944" s="23" t="n">
        <x:v>191.18696359130453</x:v>
      </x:c>
      <x:c r="L944" s="23" t="n">
        <x:v>50</x:v>
      </x:c>
      <x:c r="M944" s="23" t="n">
        <x:v>25</x:v>
      </x:c>
      <x:c r="N944" s="23" t="n">
        <x:v>1.179897234868883</x:v>
      </x:c>
      <x:c r="O944" s="23" t="n">
        <x:v>52.1960792301505</x:v>
      </x:c>
      <x:c r="P944" s="23" t="n">
        <x:v>1448.2032293686643</x:v>
      </x:c>
      <x:c r="Q944" s="23" t="n">
        <x:v>1.177203642459588</x:v>
      </x:c>
      <x:c r="R944" s="23" t="n">
        <x:v>50.882328448724444</x:v>
      </x:c>
      <x:c r="S944" s="23" t="n">
        <x:v>1447.683101758131</x:v>
      </x:c>
      <x:c r="T944" s="23" t="n">
        <x:v>-0.002693592409295009</x:v>
      </x:c>
      <x:c r="U944" s="23" t="n">
        <x:v>-1.3137507814260587</x:v>
      </x:c>
      <x:c r="V944" s="23" t="n">
        <x:v>-0.5201276105333363</x:v>
      </x:c>
    </x:row>
    <x:row r="945">
      <x:c r="A945" s="23" t="n">
        <x:v>944</x:v>
      </x:c>
      <x:c r="B945" s="23" t="str">
        <x:v>Train</x:v>
      </x:c>
      <x:c r="C945" s="23" t="str">
        <x:v>Lightning</x:v>
      </x:c>
      <x:c r="D945" s="23" t="n">
        <x:v>1471.9530451926403</x:v>
      </x:c>
      <x:c r="E945" s="23" t="n">
        <x:v>1154.4910604134202</x:v>
      </x:c>
      <x:c r="F945" s="23" t="n">
        <x:v>433.5562034510076</x:v>
      </x:c>
      <x:c r="G945" s="23" t="n">
        <x:v>257.48529848176986</x:v>
      </x:c>
      <x:c r="H945" s="23" t="n">
        <x:v>10.241567784454674</x:v>
      </x:c>
      <x:c r="I945" s="23" t="n">
        <x:v>0.8434860926028341</x:v>
      </x:c>
      <x:c r="J945" s="23" t="n">
        <x:v>9</x:v>
      </x:c>
      <x:c r="K945" s="23" t="n">
        <x:v>193.89808532592784</x:v>
      </x:c>
      <x:c r="L945" s="23" t="n">
        <x:v>40</x:v>
      </x:c>
      <x:c r="M945" s="23" t="n">
        <x:v>25</x:v>
      </x:c>
      <x:c r="N945" s="23" t="n">
        <x:v>1.167411499775419</x:v>
      </x:c>
      <x:c r="O945" s="23" t="n">
        <x:v>52.26276466478383</x:v>
      </x:c>
      <x:c r="P945" s="23" t="n">
        <x:v>1471.9530451926403</x:v>
      </x:c>
      <x:c r="Q945" s="23" t="n">
        <x:v>1.1722137812305788</x:v>
      </x:c>
      <x:c r="R945" s="23" t="n">
        <x:v>53.90607118489175</x:v>
      </x:c>
      <x:c r="S945" s="23" t="n">
        <x:v>1471.1959846920013</x:v>
      </x:c>
      <x:c r="T945" s="23" t="n">
        <x:v>0.004802281455159818</x:v>
      </x:c>
      <x:c r="U945" s="23" t="n">
        <x:v>1.6433065201079202</x:v>
      </x:c>
      <x:c r="V945" s="23" t="n">
        <x:v>-0.7570605006389997</x:v>
      </x:c>
    </x:row>
    <x:row r="946">
      <x:c r="A946" s="23" t="n">
        <x:v>945</x:v>
      </x:c>
      <x:c r="B946" s="23" t="str">
        <x:v>Train</x:v>
      </x:c>
      <x:c r="C946" s="23" t="str">
        <x:v>Lightning</x:v>
      </x:c>
      <x:c r="D946" s="23" t="n">
        <x:v>1361.7710595019162</x:v>
      </x:c>
      <x:c r="E946" s="23" t="n">
        <x:v>1068.986366072204</x:v>
      </x:c>
      <x:c r="F946" s="23" t="n">
        <x:v>401.9572416320443</x:v>
      </x:c>
      <x:c r="G946" s="23" t="n">
        <x:v>218.78422981360927</x:v>
      </x:c>
      <x:c r="H946" s="23" t="n">
        <x:v>19.364979224279523</x:v>
      </x:c>
      <x:c r="I946" s="23" t="n">
        <x:v>0.8002988749672659</x:v>
      </x:c>
      <x:c r="J946" s="23" t="n">
        <x:v>9</x:v>
      </x:c>
      <x:c r="K946" s="23" t="n">
        <x:v>189.06423616602203</x:v>
      </x:c>
      <x:c r="L946" s="23" t="n">
        <x:v>45</x:v>
      </x:c>
      <x:c r="M946" s="23" t="n">
        <x:v>25</x:v>
      </x:c>
      <x:c r="N946" s="23" t="n">
        <x:v>1.2386456395836587</x:v>
      </x:c>
      <x:c r="O946" s="23" t="n">
        <x:v>52.23847081306497</x:v>
      </x:c>
      <x:c r="P946" s="23" t="n">
        <x:v>1361.7710595019162</x:v>
      </x:c>
      <x:c r="Q946" s="23" t="n">
        <x:v>1.239132599426527</x:v>
      </x:c>
      <x:c r="R946" s="23" t="n">
        <x:v>52.924754204757384</x:v>
      </x:c>
      <x:c r="S946" s="23" t="n">
        <x:v>1359.498696504032</x:v>
      </x:c>
      <x:c r="T946" s="23" t="n">
        <x:v>0.0004869598428682842</x:v>
      </x:c>
      <x:c r="U946" s="23" t="n">
        <x:v>0.6862833916924131</x:v>
      </x:c>
      <x:c r="V946" s="23" t="n">
        <x:v>-2.272362997884102</x:v>
      </x:c>
    </x:row>
    <x:row r="947">
      <x:c r="A947" s="23" t="n">
        <x:v>946</x:v>
      </x:c>
      <x:c r="B947" s="23" t="str">
        <x:v>Train</x:v>
      </x:c>
      <x:c r="C947" s="23" t="str">
        <x:v>Lightning</x:v>
      </x:c>
      <x:c r="D947" s="23" t="n">
        <x:v>1411.6186134167947</x:v>
      </x:c>
      <x:c r="E947" s="23" t="n">
        <x:v>1067.6004064502195</x:v>
      </x:c>
      <x:c r="F947" s="23" t="n">
        <x:v>731.5327593125403</x:v>
      </x:c>
      <x:c r="G947" s="23" t="n">
        <x:v>149.13868454284966</x:v>
      </x:c>
      <x:c r="H947" s="23" t="n">
        <x:v>19.25569984363392</x:v>
      </x:c>
      <x:c r="I947" s="23" t="n">
        <x:v>0.793104564123787</x:v>
      </x:c>
      <x:c r="J947" s="23" t="n">
        <x:v>9</x:v>
      </x:c>
      <x:c r="K947" s="23" t="n">
        <x:v>197.7627159101629</x:v>
      </x:c>
      <x:c r="L947" s="23" t="n">
        <x:v>35</x:v>
      </x:c>
      <x:c r="M947" s="23" t="n">
        <x:v>25</x:v>
      </x:c>
      <x:c r="N947" s="23" t="n">
        <x:v>1.1454093423823408</x:v>
      </x:c>
      <x:c r="O947" s="23" t="n">
        <x:v>52.278784288258905</x:v>
      </x:c>
      <x:c r="P947" s="23" t="n">
        <x:v>1411.6186134167947</x:v>
      </x:c>
      <x:c r="Q947" s="23" t="n">
        <x:v>1.151901952346625</x:v>
      </x:c>
      <x:c r="R947" s="23" t="n">
        <x:v>52.868178051915315</x:v>
      </x:c>
      <x:c r="S947" s="23" t="n">
        <x:v>1405.5821223601483</x:v>
      </x:c>
      <x:c r="T947" s="23" t="n">
        <x:v>0.006492609964284135</x:v>
      </x:c>
      <x:c r="U947" s="23" t="n">
        <x:v>0.5893937636564104</x:v>
      </x:c>
      <x:c r="V947" s="23" t="n">
        <x:v>-6.036491056646355</x:v>
      </x:c>
    </x:row>
    <x:row r="948">
      <x:c r="A948" s="23" t="n">
        <x:v>947</x:v>
      </x:c>
      <x:c r="B948" s="23" t="str">
        <x:v>Train</x:v>
      </x:c>
      <x:c r="C948" s="23" t="str">
        <x:v>Lightning</x:v>
      </x:c>
      <x:c r="D948" s="23" t="n">
        <x:v>1394.7354150703177</x:v>
      </x:c>
      <x:c r="E948" s="23" t="n">
        <x:v>1042.7805047133006</x:v>
      </x:c>
      <x:c r="F948" s="23" t="n">
        <x:v>733.4166701883078</x:v>
      </x:c>
      <x:c r="G948" s="23" t="n">
        <x:v>284.60773882223293</x:v>
      </x:c>
      <x:c r="H948" s="23" t="n">
        <x:v>8.482246202416718</x:v>
      </x:c>
      <x:c r="I948" s="23" t="n">
        <x:v>0.7965340961958282</x:v>
      </x:c>
      <x:c r="J948" s="23" t="n">
        <x:v>9</x:v>
      </x:c>
      <x:c r="K948" s="23" t="n">
        <x:v>194.55614318910483</x:v>
      </x:c>
      <x:c r="L948" s="23" t="n">
        <x:v>35</x:v>
      </x:c>
      <x:c r="M948" s="23" t="n">
        <x:v>25</x:v>
      </x:c>
      <x:c r="N948" s="23" t="n">
        <x:v>1.1389117973233018</x:v>
      </x:c>
      <x:c r="O948" s="23" t="n">
        <x:v>52.29633100617239</x:v>
      </x:c>
      <x:c r="P948" s="23" t="n">
        <x:v>1394.7354150703177</x:v>
      </x:c>
      <x:c r="Q948" s="23" t="n">
        <x:v>1.1437976743064941</x:v>
      </x:c>
      <x:c r="R948" s="23" t="n">
        <x:v>53.68973825908083</x:v>
      </x:c>
      <x:c r="S948" s="23" t="n">
        <x:v>1390.7537546786555</x:v>
      </x:c>
      <x:c r="T948" s="23" t="n">
        <x:v>0.0048858769831923166</x:v>
      </x:c>
      <x:c r="U948" s="23" t="n">
        <x:v>1.393407252908446</x:v>
      </x:c>
      <x:c r="V948" s="23" t="n">
        <x:v>-3.981660391662217</x:v>
      </x:c>
    </x:row>
    <x:row r="949">
      <x:c r="A949" s="23" t="n">
        <x:v>948</x:v>
      </x:c>
      <x:c r="B949" s="23" t="str">
        <x:v>Train</x:v>
      </x:c>
      <x:c r="C949" s="23" t="str">
        <x:v>Lightning</x:v>
      </x:c>
      <x:c r="D949" s="23" t="n">
        <x:v>1426.3071866123937</x:v>
      </x:c>
      <x:c r="E949" s="23" t="n">
        <x:v>839.226825768128</x:v>
      </x:c>
      <x:c r="F949" s="23" t="n">
        <x:v>402.6805388741195</x:v>
      </x:c>
      <x:c r="G949" s="23" t="n">
        <x:v>185.24789558257908</x:v>
      </x:c>
      <x:c r="H949" s="23" t="n">
        <x:v>13.492219537030905</x:v>
      </x:c>
      <x:c r="I949" s="23" t="n">
        <x:v>0.847013001088053</x:v>
      </x:c>
      <x:c r="J949" s="23" t="n">
        <x:v>9</x:v>
      </x:c>
      <x:c r="K949" s="23" t="n">
        <x:v>187.10288518203157</x:v>
      </x:c>
      <x:c r="L949" s="23" t="n">
        <x:v>55</x:v>
      </x:c>
      <x:c r="M949" s="23" t="n">
        <x:v>25</x:v>
      </x:c>
      <x:c r="N949" s="23" t="n">
        <x:v>1.2353472376383883</x:v>
      </x:c>
      <x:c r="O949" s="23" t="n">
        <x:v>52.19752918395056</x:v>
      </x:c>
      <x:c r="P949" s="23" t="n">
        <x:v>1426.3071866123937</x:v>
      </x:c>
      <x:c r="Q949" s="23" t="n">
        <x:v>1.2310787492502024</x:v>
      </x:c>
      <x:c r="R949" s="23" t="n">
        <x:v>52.01365111418247</x:v>
      </x:c>
      <x:c r="S949" s="23" t="n">
        <x:v>1431.1138878942813</x:v>
      </x:c>
      <x:c r="T949" s="23" t="n">
        <x:v>-0.0042684883881858315</x:v>
      </x:c>
      <x:c r="U949" s="23" t="n">
        <x:v>-0.18387806976808463</x:v>
      </x:c>
      <x:c r="V949" s="23" t="n">
        <x:v>4.8067012818876265</x:v>
      </x:c>
    </x:row>
    <x:row r="950">
      <x:c r="A950" s="23" t="n">
        <x:v>949</x:v>
      </x:c>
      <x:c r="B950" s="23" t="str">
        <x:v>Train</x:v>
      </x:c>
      <x:c r="C950" s="23" t="str">
        <x:v>Lightning</x:v>
      </x:c>
      <x:c r="D950" s="23" t="n">
        <x:v>1456.6859726328403</x:v>
      </x:c>
      <x:c r="E950" s="23" t="n">
        <x:v>1050.696455675643</x:v>
      </x:c>
      <x:c r="F950" s="23" t="n">
        <x:v>424.66318886727095</x:v>
      </x:c>
      <x:c r="G950" s="23" t="n">
        <x:v>104.29780206875876</x:v>
      </x:c>
      <x:c r="H950" s="23" t="n">
        <x:v>17.504483461380005</x:v>
      </x:c>
      <x:c r="I950" s="23" t="n">
        <x:v>0.8330406103120186</x:v>
      </x:c>
      <x:c r="J950" s="23" t="n">
        <x:v>9</x:v>
      </x:c>
      <x:c r="K950" s="23" t="n">
        <x:v>194.29304520770174</x:v>
      </x:c>
      <x:c r="L950" s="23" t="n">
        <x:v>45</x:v>
      </x:c>
      <x:c r="M950" s="23" t="n">
        <x:v>25</x:v>
      </x:c>
      <x:c r="N950" s="23" t="n">
        <x:v>1.1551067758655305</x:v>
      </x:c>
      <x:c r="O950" s="23" t="n">
        <x:v>52.22130808736293</x:v>
      </x:c>
      <x:c r="P950" s="23" t="n">
        <x:v>1456.6859726328403</x:v>
      </x:c>
      <x:c r="Q950" s="23" t="n">
        <x:v>1.16427636707181</x:v>
      </x:c>
      <x:c r="R950" s="23" t="n">
        <x:v>52.843786066083524</x:v>
      </x:c>
      <x:c r="S950" s="23" t="n">
        <x:v>1459.606189404015</x:v>
      </x:c>
      <x:c r="T950" s="23" t="n">
        <x:v>0.00916959120627947</x:v>
      </x:c>
      <x:c r="U950" s="23" t="n">
        <x:v>0.6224779787205961</x:v>
      </x:c>
      <x:c r="V950" s="23" t="n">
        <x:v>2.920216771174637</x:v>
      </x:c>
    </x:row>
    <x:row r="951">
      <x:c r="A951" s="23" t="n">
        <x:v>950</x:v>
      </x:c>
      <x:c r="B951" s="23" t="str">
        <x:v>Train</x:v>
      </x:c>
      <x:c r="C951" s="23" t="str">
        <x:v>Lightning</x:v>
      </x:c>
      <x:c r="D951" s="23" t="n">
        <x:v>1441.8987305019982</x:v>
      </x:c>
      <x:c r="E951" s="23" t="n">
        <x:v>685.79581619706</x:v>
      </x:c>
      <x:c r="F951" s="23" t="n">
        <x:v>678.861288446933</x:v>
      </x:c>
      <x:c r="G951" s="23" t="n">
        <x:v>286.6120752133429</x:v>
      </x:c>
      <x:c r="H951" s="23" t="n">
        <x:v>10.069010487291962</x:v>
      </x:c>
      <x:c r="I951" s="23" t="n">
        <x:v>0.7927836297219619</x:v>
      </x:c>
      <x:c r="J951" s="23" t="n">
        <x:v>10</x:v>
      </x:c>
      <x:c r="K951" s="23" t="n">
        <x:v>181.87796473644244</x:v>
      </x:c>
      <x:c r="L951" s="23" t="n">
        <x:v>40</x:v>
      </x:c>
      <x:c r="M951" s="23" t="n">
        <x:v>25</x:v>
      </x:c>
      <x:c r="N951" s="23" t="n">
        <x:v>1.1544001096919818</x:v>
      </x:c>
      <x:c r="O951" s="23" t="n">
        <x:v>52.26108238541028</x:v>
      </x:c>
      <x:c r="P951" s="23" t="n">
        <x:v>1441.8987305019982</x:v>
      </x:c>
      <x:c r="Q951" s="23" t="n">
        <x:v>1.1733914499065288</x:v>
      </x:c>
      <x:c r="R951" s="23" t="n">
        <x:v>51.19620970570388</x:v>
      </x:c>
      <x:c r="S951" s="23" t="n">
        <x:v>1450.5236798984306</x:v>
      </x:c>
      <x:c r="T951" s="23" t="n">
        <x:v>0.01899134021454696</x:v>
      </x:c>
      <x:c r="U951" s="23" t="n">
        <x:v>-1.0648726797064043</x:v>
      </x:c>
      <x:c r="V951" s="23" t="n">
        <x:v>8.624949396432385</x:v>
      </x:c>
    </x:row>
    <x:row r="952">
      <x:c r="A952" s="23" t="n">
        <x:v>951</x:v>
      </x:c>
      <x:c r="B952" s="23" t="str">
        <x:v>Train</x:v>
      </x:c>
      <x:c r="C952" s="23" t="str">
        <x:v>Lightning</x:v>
      </x:c>
      <x:c r="D952" s="23" t="n">
        <x:v>1457.0166074903682</x:v>
      </x:c>
      <x:c r="E952" s="23" t="n">
        <x:v>1050.6367711466737</x:v>
      </x:c>
      <x:c r="F952" s="23" t="n">
        <x:v>488.4228304028511</x:v>
      </x:c>
      <x:c r="G952" s="23" t="n">
        <x:v>302.62718429556116</x:v>
      </x:c>
      <x:c r="H952" s="23" t="n">
        <x:v>14.420177469961345</x:v>
      </x:c>
      <x:c r="I952" s="23" t="n">
        <x:v>0.8125803543976509</x:v>
      </x:c>
      <x:c r="J952" s="23" t="n">
        <x:v>9</x:v>
      </x:c>
      <x:c r="K952" s="23" t="n">
        <x:v>199.23043092224736</x:v>
      </x:c>
      <x:c r="L952" s="23" t="n">
        <x:v>40</x:v>
      </x:c>
      <x:c r="M952" s="23" t="n">
        <x:v>25</x:v>
      </x:c>
      <x:c r="N952" s="23" t="n">
        <x:v>1.1878998071898959</x:v>
      </x:c>
      <x:c r="O952" s="23" t="n">
        <x:v>52.26216501208289</x:v>
      </x:c>
      <x:c r="P952" s="23" t="n">
        <x:v>1457.0166074903682</x:v>
      </x:c>
      <x:c r="Q952" s="23" t="n">
        <x:v>1.2071769488527928</x:v>
      </x:c>
      <x:c r="R952" s="23" t="n">
        <x:v>53.48839822288144</x:v>
      </x:c>
      <x:c r="S952" s="23" t="n">
        <x:v>1458.8144720833568</x:v>
      </x:c>
      <x:c r="T952" s="23" t="n">
        <x:v>0.019277141662896957</x:v>
      </x:c>
      <x:c r="U952" s="23" t="n">
        <x:v>1.2262332107985543</x:v>
      </x:c>
      <x:c r="V952" s="23" t="n">
        <x:v>1.797864592988617</x:v>
      </x:c>
    </x:row>
    <x:row r="953">
      <x:c r="A953" s="23" t="n">
        <x:v>952</x:v>
      </x:c>
      <x:c r="B953" s="23" t="str">
        <x:v>Train</x:v>
      </x:c>
      <x:c r="C953" s="23" t="str">
        <x:v>Lightning</x:v>
      </x:c>
      <x:c r="D953" s="23" t="n">
        <x:v>1455.6760824169032</x:v>
      </x:c>
      <x:c r="E953" s="23" t="n">
        <x:v>671.4791643433273</x:v>
      </x:c>
      <x:c r="F953" s="23" t="n">
        <x:v>601.9832364283502</x:v>
      </x:c>
      <x:c r="G953" s="23" t="n">
        <x:v>136.90193048212677</x:v>
      </x:c>
      <x:c r="H953" s="23" t="n">
        <x:v>29.54704246437177</x:v>
      </x:c>
      <x:c r="I953" s="23" t="n">
        <x:v>0.8156184212584049</x:v>
      </x:c>
      <x:c r="J953" s="23" t="n">
        <x:v>9</x:v>
      </x:c>
      <x:c r="K953" s="23" t="n">
        <x:v>198.30570609925977</x:v>
      </x:c>
      <x:c r="L953" s="23" t="n">
        <x:v>50</x:v>
      </x:c>
      <x:c r="M953" s="23" t="n">
        <x:v>25</x:v>
      </x:c>
      <x:c r="N953" s="23" t="n">
        <x:v>1.1890805357517784</x:v>
      </x:c>
      <x:c r="O953" s="23" t="n">
        <x:v>52.19491105835075</x:v>
      </x:c>
      <x:c r="P953" s="23" t="n">
        <x:v>1455.6760824169032</x:v>
      </x:c>
      <x:c r="Q953" s="23" t="n">
        <x:v>1.187086668218094</x:v>
      </x:c>
      <x:c r="R953" s="23" t="n">
        <x:v>50.86395613929569</x:v>
      </x:c>
      <x:c r="S953" s="23" t="n">
        <x:v>1453.2225628302108</x:v>
      </x:c>
      <x:c r="T953" s="23" t="n">
        <x:v>-0.001993867533684357</x:v>
      </x:c>
      <x:c r="U953" s="23" t="n">
        <x:v>-1.3309549190550598</x:v>
      </x:c>
      <x:c r="V953" s="23" t="n">
        <x:v>-2.453519586692437</x:v>
      </x:c>
    </x:row>
    <x:row r="954">
      <x:c r="A954" s="23" t="n">
        <x:v>953</x:v>
      </x:c>
      <x:c r="B954" s="23" t="str">
        <x:v>Train</x:v>
      </x:c>
      <x:c r="C954" s="23" t="str">
        <x:v>Lightning</x:v>
      </x:c>
      <x:c r="D954" s="23" t="n">
        <x:v>1451.1193748563528</x:v>
      </x:c>
      <x:c r="E954" s="23" t="n">
        <x:v>655.6528551853262</x:v>
      </x:c>
      <x:c r="F954" s="23" t="n">
        <x:v>548.2901768758893</x:v>
      </x:c>
      <x:c r="G954" s="23" t="n">
        <x:v>236.93220548564568</x:v>
      </x:c>
      <x:c r="H954" s="23" t="n">
        <x:v>20.175062907859683</x:v>
      </x:c>
      <x:c r="I954" s="23" t="n">
        <x:v>0.8083915471774527</x:v>
      </x:c>
      <x:c r="J954" s="23" t="n">
        <x:v>9</x:v>
      </x:c>
      <x:c r="K954" s="23" t="n">
        <x:v>199.45221676069428</x:v>
      </x:c>
      <x:c r="L954" s="23" t="n">
        <x:v>50</x:v>
      </x:c>
      <x:c r="M954" s="23" t="n">
        <x:v>25</x:v>
      </x:c>
      <x:c r="N954" s="23" t="n">
        <x:v>1.172678905181065</x:v>
      </x:c>
      <x:c r="O954" s="23" t="n">
        <x:v>52.19966847141449</x:v>
      </x:c>
      <x:c r="P954" s="23" t="n">
        <x:v>1451.1193748563528</x:v>
      </x:c>
      <x:c r="Q954" s="23" t="n">
        <x:v>1.167909394805372</x:v>
      </x:c>
      <x:c r="R954" s="23" t="n">
        <x:v>51.65678348615802</x:v>
      </x:c>
      <x:c r="S954" s="23" t="n">
        <x:v>1447.488979026827</x:v>
      </x:c>
      <x:c r="T954" s="23" t="n">
        <x:v>-0.004769510375693065</x:v>
      </x:c>
      <x:c r="U954" s="23" t="n">
        <x:v>-0.542884985256471</x:v>
      </x:c>
      <x:c r="V954" s="23" t="n">
        <x:v>-3.630395829525696</x:v>
      </x:c>
    </x:row>
    <x:row r="955">
      <x:c r="A955" s="23" t="n">
        <x:v>954</x:v>
      </x:c>
      <x:c r="B955" s="23" t="str">
        <x:v>Train</x:v>
      </x:c>
      <x:c r="C955" s="23" t="str">
        <x:v>Lightning</x:v>
      </x:c>
      <x:c r="D955" s="23" t="n">
        <x:v>1484.8417016328312</x:v>
      </x:c>
      <x:c r="E955" s="23" t="n">
        <x:v>681.5558655420318</x:v>
      </x:c>
      <x:c r="F955" s="23" t="n">
        <x:v>399.5603279210627</x:v>
      </x:c>
      <x:c r="G955" s="23" t="n">
        <x:v>142.0374975260347</x:v>
      </x:c>
      <x:c r="H955" s="23" t="n">
        <x:v>10.163613420445472</x:v>
      </x:c>
      <x:c r="I955" s="23" t="n">
        <x:v>0.840343244005926</x:v>
      </x:c>
      <x:c r="J955" s="23" t="n">
        <x:v>9</x:v>
      </x:c>
      <x:c r="K955" s="23" t="n">
        <x:v>196.3274084361811</x:v>
      </x:c>
      <x:c r="L955" s="23" t="n">
        <x:v>65</x:v>
      </x:c>
      <x:c r="M955" s="23" t="n">
        <x:v>25</x:v>
      </x:c>
      <x:c r="N955" s="23" t="n">
        <x:v>1.2306933200790589</x:v>
      </x:c>
      <x:c r="O955" s="23" t="n">
        <x:v>52.16572023926747</x:v>
      </x:c>
      <x:c r="P955" s="23" t="n">
        <x:v>1484.8417016328312</x:v>
      </x:c>
      <x:c r="Q955" s="23" t="n">
        <x:v>1.2312800510109496</x:v>
      </x:c>
      <x:c r="R955" s="23" t="n">
        <x:v>52.23864521049256</x:v>
      </x:c>
      <x:c r="S955" s="23" t="n">
        <x:v>1503.0890011779368</x:v>
      </x:c>
      <x:c r="T955" s="23" t="n">
        <x:v>0.0005867309318907665</x:v>
      </x:c>
      <x:c r="U955" s="23" t="n">
        <x:v>0.07292497122508479</x:v>
      </x:c>
      <x:c r="V955" s="23" t="n">
        <x:v>18.247299545105534</x:v>
      </x:c>
    </x:row>
    <x:row r="956">
      <x:c r="A956" s="23" t="n">
        <x:v>955</x:v>
      </x:c>
      <x:c r="B956" s="23" t="str">
        <x:v>Validation</x:v>
      </x:c>
      <x:c r="C956" s="23" t="str">
        <x:v>Lightning</x:v>
      </x:c>
      <x:c r="D956" s="23" t="n">
        <x:v>1456.2676694942638</x:v>
      </x:c>
      <x:c r="E956" s="23" t="n">
        <x:v>1154.5589201734401</x:v>
      </x:c>
      <x:c r="F956" s="23" t="n">
        <x:v>743.8743863254786</x:v>
      </x:c>
      <x:c r="G956" s="23" t="n">
        <x:v>240.82850395468995</x:v>
      </x:c>
      <x:c r="H956" s="23" t="n">
        <x:v>18.961471267975867</x:v>
      </x:c>
      <x:c r="I956" s="23" t="n">
        <x:v>0.8350412547844462</x:v>
      </x:c>
      <x:c r="J956" s="23" t="n">
        <x:v>9</x:v>
      </x:c>
      <x:c r="K956" s="23" t="n">
        <x:v>193.77188600635574</x:v>
      </x:c>
      <x:c r="L956" s="23" t="n">
        <x:v>35</x:v>
      </x:c>
      <x:c r="M956" s="23" t="n">
        <x:v>25</x:v>
      </x:c>
      <x:c r="N956" s="23" t="n">
        <x:v>1.2446892661217308</x:v>
      </x:c>
      <x:c r="O956" s="23" t="n">
        <x:v>52.30856439779498</x:v>
      </x:c>
      <x:c r="P956" s="23" t="n">
        <x:v>1456.2676694942638</x:v>
      </x:c>
      <x:c r="Q956" s="23" t="n">
        <x:v>1.2441348719871126</x:v>
      </x:c>
      <x:c r="R956" s="23" t="n">
        <x:v>52.453435158366155</x:v>
      </x:c>
      <x:c r="S956" s="23" t="n">
        <x:v>1441.8867586273618</x:v>
      </x:c>
      <x:c r="T956" s="23" t="n">
        <x:v>-0.0005543941346182191</x:v>
      </x:c>
      <x:c r="U956" s="23" t="n">
        <x:v>0.1448707605711732</x:v>
      </x:c>
      <x:c r="V956" s="23" t="n">
        <x:v>-14.380910866902013</x:v>
      </x:c>
    </x:row>
    <x:row r="957">
      <x:c r="A957" s="23" t="n">
        <x:v>956</x:v>
      </x:c>
      <x:c r="B957" s="23" t="str">
        <x:v>Validation</x:v>
      </x:c>
      <x:c r="C957" s="23" t="str">
        <x:v>Lightning</x:v>
      </x:c>
      <x:c r="D957" s="23" t="n">
        <x:v>1448.020106961485</x:v>
      </x:c>
      <x:c r="E957" s="23" t="n">
        <x:v>617.1178008895367</x:v>
      </x:c>
      <x:c r="F957" s="23" t="n">
        <x:v>602.9045159928501</x:v>
      </x:c>
      <x:c r="G957" s="23" t="n">
        <x:v>319.9438674328849</x:v>
      </x:c>
      <x:c r="H957" s="23" t="n">
        <x:v>18.99610299943015</x:v>
      </x:c>
      <x:c r="I957" s="23" t="n">
        <x:v>0.8521683423221111</x:v>
      </x:c>
      <x:c r="J957" s="23" t="n">
        <x:v>9</x:v>
      </x:c>
      <x:c r="K957" s="23" t="n">
        <x:v>188.80204180936977</x:v>
      </x:c>
      <x:c r="L957" s="23" t="n">
        <x:v>50</x:v>
      </x:c>
      <x:c r="M957" s="23" t="n">
        <x:v>25</x:v>
      </x:c>
      <x:c r="N957" s="23" t="n">
        <x:v>1.2422839166749253</x:v>
      </x:c>
      <x:c r="O957" s="23" t="n">
        <x:v>52.21511922728935</x:v>
      </x:c>
      <x:c r="P957" s="23" t="n">
        <x:v>1448.020106961485</x:v>
      </x:c>
      <x:c r="Q957" s="23" t="n">
        <x:v>1.2482861705249213</x:v>
      </x:c>
      <x:c r="R957" s="23" t="n">
        <x:v>51.91483448763497</x:v>
      </x:c>
      <x:c r="S957" s="23" t="n">
        <x:v>1448.0810763693785</x:v>
      </x:c>
      <x:c r="T957" s="23" t="n">
        <x:v>0.0060022538499959754</x:v>
      </x:c>
      <x:c r="U957" s="23" t="n">
        <x:v>-0.30028473965437996</x:v>
      </x:c>
      <x:c r="V957" s="23" t="n">
        <x:v>0.06096940789348082</x:v>
      </x:c>
    </x:row>
    <x:row r="958">
      <x:c r="A958" s="23" t="n">
        <x:v>957</x:v>
      </x:c>
      <x:c r="B958" s="23" t="str">
        <x:v>Validation</x:v>
      </x:c>
      <x:c r="C958" s="23" t="str">
        <x:v>Lightning</x:v>
      </x:c>
      <x:c r="D958" s="23" t="n">
        <x:v>1453.1248431187123</x:v>
      </x:c>
      <x:c r="E958" s="23" t="n">
        <x:v>881.2436056206934</x:v>
      </x:c>
      <x:c r="F958" s="23" t="n">
        <x:v>359.90151818841696</x:v>
      </x:c>
      <x:c r="G958" s="23" t="n">
        <x:v>216.86860242160037</x:v>
      </x:c>
      <x:c r="H958" s="23" t="n">
        <x:v>9.712727066129446</x:v>
      </x:c>
      <x:c r="I958" s="23" t="n">
        <x:v>0.8288603234686889</x:v>
      </x:c>
      <x:c r="J958" s="23" t="n">
        <x:v>9</x:v>
      </x:c>
      <x:c r="K958" s="23" t="n">
        <x:v>194.79556606883284</x:v>
      </x:c>
      <x:c r="L958" s="23" t="n">
        <x:v>55</x:v>
      </x:c>
      <x:c r="M958" s="23" t="n">
        <x:v>25</x:v>
      </x:c>
      <x:c r="N958" s="23" t="n">
        <x:v>1.2455539747297428</x:v>
      </x:c>
      <x:c r="O958" s="23" t="n">
        <x:v>52.20234079026252</x:v>
      </x:c>
      <x:c r="P958" s="23" t="n">
        <x:v>1453.1248431187123</x:v>
      </x:c>
      <x:c r="Q958" s="23" t="n">
        <x:v>1.2377475658587416</x:v>
      </x:c>
      <x:c r="R958" s="23" t="n">
        <x:v>52.288176766521836</x:v>
      </x:c>
      <x:c r="S958" s="23" t="n">
        <x:v>1474.09493562631</x:v>
      </x:c>
      <x:c r="T958" s="23" t="n">
        <x:v>-0.007806408871001258</x:v>
      </x:c>
      <x:c r="U958" s="23" t="n">
        <x:v>0.08583597625931816</x:v>
      </x:c>
      <x:c r="V958" s="23" t="n">
        <x:v>20.970092507597656</x:v>
      </x:c>
    </x:row>
    <x:row r="959">
      <x:c r="A959" s="23" t="n">
        <x:v>958</x:v>
      </x:c>
      <x:c r="B959" s="23" t="str">
        <x:v>Hidden Test</x:v>
      </x:c>
      <x:c r="C959" s="23" t="str">
        <x:v>Lightning</x:v>
      </x:c>
      <x:c r="D959" s="23" t="n">
        <x:v>1394.5348199573345</x:v>
      </x:c>
      <x:c r="E959" s="23" t="n">
        <x:v>1061.93193893414</x:v>
      </x:c>
      <x:c r="F959" s="23" t="n">
        <x:v>389.44525020197034</x:v>
      </x:c>
      <x:c r="G959" s="23" t="n">
        <x:v>142.19976488500834</x:v>
      </x:c>
      <x:c r="H959" s="23" t="n">
        <x:v>18.79427463049069</x:v>
      </x:c>
      <x:c r="I959" s="23" t="n">
        <x:v>0.8255498592881486</x:v>
      </x:c>
      <x:c r="J959" s="23" t="n">
        <x:v>9</x:v>
      </x:c>
      <x:c r="K959" s="23" t="n">
        <x:v>187.69104201919538</x:v>
      </x:c>
      <x:c r="L959" s="23" t="n">
        <x:v>45</x:v>
      </x:c>
      <x:c r="M959" s="23" t="n">
        <x:v>25</x:v>
      </x:c>
      <x:c r="N959" s="23" t="n">
        <x:v>1.1706863733420716</x:v>
      </x:c>
      <x:c r="O959" s="23" t="n">
        <x:v>52.22347848655574</x:v>
      </x:c>
      <x:c r="P959" s="23" t="n">
        <x:v>1394.5348199573345</x:v>
      </x:c>
      <x:c r="Q959" s="23" t="n">
        <x:v>1.1780966243101076</x:v>
      </x:c>
      <x:c r="R959" s="23" t="n">
        <x:v>52.66718098326993</x:v>
      </x:c>
      <x:c r="S959" s="23" t="n">
        <x:v>1399.4855407074883</x:v>
      </x:c>
      <x:c r="T959" s="23" t="n">
        <x:v>0.007410250968036047</x:v>
      </x:c>
      <x:c r="U959" s="23" t="n">
        <x:v>0.44370249671418804</x:v>
      </x:c>
      <x:c r="V959" s="23" t="n">
        <x:v>4.950720750153778</x:v>
      </x:c>
    </x:row>
    <x:row r="960">
      <x:c r="A960" s="23" t="n">
        <x:v>959</x:v>
      </x:c>
      <x:c r="B960" s="23" t="str">
        <x:v>Hidden Test</x:v>
      </x:c>
      <x:c r="C960" s="23" t="str">
        <x:v>Lightning</x:v>
      </x:c>
      <x:c r="D960" s="23" t="n">
        <x:v>1382.9063557321206</x:v>
      </x:c>
      <x:c r="E960" s="23" t="n">
        <x:v>977.8025503386743</x:v>
      </x:c>
      <x:c r="F960" s="23" t="n">
        <x:v>715.2594856917858</x:v>
      </x:c>
      <x:c r="G960" s="23" t="n">
        <x:v>104.90519307320938</x:v>
      </x:c>
      <x:c r="H960" s="23" t="n">
        <x:v>19.045511580072343</x:v>
      </x:c>
      <x:c r="I960" s="23" t="n">
        <x:v>0.8006791851087474</x:v>
      </x:c>
      <x:c r="J960" s="23" t="n">
        <x:v>9</x:v>
      </x:c>
      <x:c r="K960" s="23" t="n">
        <x:v>191.9074013734277</x:v>
      </x:c>
      <x:c r="L960" s="23" t="n">
        <x:v>40</x:v>
      </x:c>
      <x:c r="M960" s="23" t="n">
        <x:v>25</x:v>
      </x:c>
      <x:c r="N960" s="23" t="n">
        <x:v>1.1862457293701043</x:v>
      </x:c>
      <x:c r="O960" s="23" t="n">
        <x:v>52.25534804019799</x:v>
      </x:c>
      <x:c r="P960" s="23" t="n">
        <x:v>1382.9063557321206</x:v>
      </x:c>
      <x:c r="Q960" s="23" t="n">
        <x:v>1.1989081308722687</x:v>
      </x:c>
      <x:c r="R960" s="23" t="n">
        <x:v>52.69003245179446</x:v>
      </x:c>
      <x:c r="S960" s="23" t="n">
        <x:v>1384.1618004272639</x:v>
      </x:c>
      <x:c r="T960" s="23" t="n">
        <x:v>0.012662401502164355</x:v>
      </x:c>
      <x:c r="U960" s="23" t="n">
        <x:v>0.4346844115964714</x:v>
      </x:c>
      <x:c r="V960" s="23" t="n">
        <x:v>1.2554446951432965</x:v>
      </x:c>
    </x:row>
    <x:row r="961">
      <x:c r="A961" s="23" t="n">
        <x:v>960</x:v>
      </x:c>
      <x:c r="B961" s="23" t="str">
        <x:v>Hidden Test</x:v>
      </x:c>
      <x:c r="C961" s="23" t="str">
        <x:v>Lightning</x:v>
      </x:c>
      <x:c r="D961" s="23" t="n">
        <x:v>1386.6294914740138</x:v>
      </x:c>
      <x:c r="E961" s="23" t="n">
        <x:v>988.725907728076</x:v>
      </x:c>
      <x:c r="F961" s="23" t="n">
        <x:v>562.3109280131757</x:v>
      </x:c>
      <x:c r="G961" s="23" t="n">
        <x:v>168.67395028937608</x:v>
      </x:c>
      <x:c r="H961" s="23" t="n">
        <x:v>13.818772689905018</x:v>
      </x:c>
      <x:c r="I961" s="23" t="n">
        <x:v>0.8530164167564362</x:v>
      </x:c>
      <x:c r="J961" s="23" t="n">
        <x:v>9</x:v>
      </x:c>
      <x:c r="K961" s="23" t="n">
        <x:v>180.61779406656436</x:v>
      </x:c>
      <x:c r="L961" s="23" t="n">
        <x:v>45</x:v>
      </x:c>
      <x:c r="M961" s="23" t="n">
        <x:v>25</x:v>
      </x:c>
      <x:c r="N961" s="23" t="n">
        <x:v>1.232296063215929</x:v>
      </x:c>
      <x:c r="O961" s="23" t="n">
        <x:v>52.243145904311824</x:v>
      </x:c>
      <x:c r="P961" s="23" t="n">
        <x:v>1386.6294914740138</x:v>
      </x:c>
      <x:c r="Q961" s="23" t="n">
        <x:v>1.2300300458642275</x:v>
      </x:c>
      <x:c r="R961" s="23" t="n">
        <x:v>52.81779644304507</x:v>
      </x:c>
      <x:c r="S961" s="23" t="n">
        <x:v>1388.8936316313113</x:v>
      </x:c>
      <x:c r="T961" s="23" t="n">
        <x:v>-0.0022660173517015103</x:v>
      </x:c>
      <x:c r="U961" s="23" t="n">
        <x:v>0.5746505387332448</x:v>
      </x:c>
      <x:c r="V961" s="23" t="n">
        <x:v>2.264140157297561</x:v>
      </x:c>
    </x:row>
    <x:row r="962">
      <x:c r="A962" s="23" t="n">
        <x:v>961</x:v>
      </x:c>
      <x:c r="B962" s="23" t="str">
        <x:v>Train</x:v>
      </x:c>
      <x:c r="C962" s="23" t="str">
        <x:v>Lightning</x:v>
      </x:c>
      <x:c r="D962" s="23" t="n">
        <x:v>1398.612208943814</x:v>
      </x:c>
      <x:c r="E962" s="23" t="n">
        <x:v>1130.8437246247195</x:v>
      </x:c>
      <x:c r="F962" s="23" t="n">
        <x:v>721.8000883236527</x:v>
      </x:c>
      <x:c r="G962" s="23" t="n">
        <x:v>227.7775732637383</x:v>
      </x:c>
      <x:c r="H962" s="23" t="n">
        <x:v>10.125535914674401</x:v>
      </x:c>
      <x:c r="I962" s="23" t="n">
        <x:v>0.8436514007602819</x:v>
      </x:c>
      <x:c r="J962" s="23" t="n">
        <x:v>9</x:v>
      </x:c>
      <x:c r="K962" s="23" t="n">
        <x:v>184.20091095595652</x:v>
      </x:c>
      <x:c r="L962" s="23" t="n">
        <x:v>35</x:v>
      </x:c>
      <x:c r="M962" s="23" t="n">
        <x:v>25</x:v>
      </x:c>
      <x:c r="N962" s="23" t="n">
        <x:v>1.159567538746007</x:v>
      </x:c>
      <x:c r="O962" s="23" t="n">
        <x:v>52.29938970464512</x:v>
      </x:c>
      <x:c r="P962" s="23" t="n">
        <x:v>1398.612208943814</x:v>
      </x:c>
      <x:c r="Q962" s="23" t="n">
        <x:v>1.1653102437562362</x:v>
      </x:c>
      <x:c r="R962" s="23" t="n">
        <x:v>52.6369001457579</x:v>
      </x:c>
      <x:c r="S962" s="23" t="n">
        <x:v>1392.3588919936765</x:v>
      </x:c>
      <x:c r="T962" s="23" t="n">
        <x:v>0.005742705010229221</x:v>
      </x:c>
      <x:c r="U962" s="23" t="n">
        <x:v>0.3375104411127765</x:v>
      </x:c>
      <x:c r="V962" s="23" t="n">
        <x:v>-6.25331695013756</x:v>
      </x:c>
    </x:row>
    <x:row r="963">
      <x:c r="A963" s="23" t="n">
        <x:v>962</x:v>
      </x:c>
      <x:c r="B963" s="23" t="str">
        <x:v>Train</x:v>
      </x:c>
      <x:c r="C963" s="23" t="str">
        <x:v>Lightning</x:v>
      </x:c>
      <x:c r="D963" s="23" t="n">
        <x:v>1373.5431236797012</x:v>
      </x:c>
      <x:c r="E963" s="23" t="n">
        <x:v>831.1969860689715</x:v>
      </x:c>
      <x:c r="F963" s="23" t="n">
        <x:v>452.5726997293532</x:v>
      </x:c>
      <x:c r="G963" s="23" t="n">
        <x:v>153.40261922217906</x:v>
      </x:c>
      <x:c r="H963" s="23" t="n">
        <x:v>12.732445590663701</x:v>
      </x:c>
      <x:c r="I963" s="23" t="n">
        <x:v>0.800150938318111</x:v>
      </x:c>
      <x:c r="J963" s="23" t="n">
        <x:v>9</x:v>
      </x:c>
      <x:c r="K963" s="23" t="n">
        <x:v>190.73389197277098</x:v>
      </x:c>
      <x:c r="L963" s="23" t="n">
        <x:v>55</x:v>
      </x:c>
      <x:c r="M963" s="23" t="n">
        <x:v>25</x:v>
      </x:c>
      <x:c r="N963" s="23" t="n">
        <x:v>1.2405719172640075</x:v>
      </x:c>
      <x:c r="O963" s="23" t="n">
        <x:v>52.199091091660314</x:v>
      </x:c>
      <x:c r="P963" s="23" t="n">
        <x:v>1373.5431236797012</x:v>
      </x:c>
      <x:c r="Q963" s="23" t="n">
        <x:v>1.2459016544981707</x:v>
      </x:c>
      <x:c r="R963" s="23" t="n">
        <x:v>52.02523008035881</x:v>
      </x:c>
      <x:c r="S963" s="23" t="n">
        <x:v>1382.242196265956</x:v>
      </x:c>
      <x:c r="T963" s="23" t="n">
        <x:v>0.00532973723416319</x:v>
      </x:c>
      <x:c r="U963" s="23" t="n">
        <x:v>-0.17386101130150422</x:v>
      </x:c>
      <x:c r="V963" s="23" t="n">
        <x:v>8.699072586254715</x:v>
      </x:c>
    </x:row>
    <x:row r="964">
      <x:c r="A964" s="23" t="n">
        <x:v>963</x:v>
      </x:c>
      <x:c r="B964" s="23" t="str">
        <x:v>Train</x:v>
      </x:c>
      <x:c r="C964" s="23" t="str">
        <x:v>Lightning</x:v>
      </x:c>
      <x:c r="D964" s="23" t="n">
        <x:v>1428.3069561934099</x:v>
      </x:c>
      <x:c r="E964" s="23" t="n">
        <x:v>910.5614697211422</x:v>
      </x:c>
      <x:c r="F964" s="23" t="n">
        <x:v>524.6657025068998</x:v>
      </x:c>
      <x:c r="G964" s="23" t="n">
        <x:v>281.80780411465093</x:v>
      </x:c>
      <x:c r="H964" s="23" t="n">
        <x:v>25.086162065155804</x:v>
      </x:c>
      <x:c r="I964" s="23" t="n">
        <x:v>0.7998795418511145</x:v>
      </x:c>
      <x:c r="J964" s="23" t="n">
        <x:v>9</x:v>
      </x:c>
      <x:c r="K964" s="23" t="n">
        <x:v>198.4058406383378</x:v>
      </x:c>
      <x:c r="L964" s="23" t="n">
        <x:v>40</x:v>
      </x:c>
      <x:c r="M964" s="23" t="n">
        <x:v>25</x:v>
      </x:c>
      <x:c r="N964" s="23" t="n">
        <x:v>1.1687285277212422</x:v>
      </x:c>
      <x:c r="O964" s="23" t="n">
        <x:v>52.24272867868623</x:v>
      </x:c>
      <x:c r="P964" s="23" t="n">
        <x:v>1428.3069561934099</x:v>
      </x:c>
      <x:c r="Q964" s="23" t="n">
        <x:v>1.1579391619766088</x:v>
      </x:c>
      <x:c r="R964" s="23" t="n">
        <x:v>52.86860658986666</x:v>
      </x:c>
      <x:c r="S964" s="23" t="n">
        <x:v>1414.61393786366</x:v>
      </x:c>
      <x:c r="T964" s="23" t="n">
        <x:v>-0.010789365744633406</x:v>
      </x:c>
      <x:c r="U964" s="23" t="n">
        <x:v>0.6258779111804316</x:v>
      </x:c>
      <x:c r="V964" s="23" t="n">
        <x:v>-13.693018329749748</x:v>
      </x:c>
    </x:row>
    <x:row r="965">
      <x:c r="A965" s="23" t="n">
        <x:v>964</x:v>
      </x:c>
      <x:c r="B965" s="23" t="str">
        <x:v>Train</x:v>
      </x:c>
      <x:c r="C965" s="23" t="str">
        <x:v>Lightning</x:v>
      </x:c>
      <x:c r="D965" s="23" t="n">
        <x:v>1432.8239090158604</x:v>
      </x:c>
      <x:c r="E965" s="23" t="n">
        <x:v>827.7808908838779</x:v>
      </x:c>
      <x:c r="F965" s="23" t="n">
        <x:v>467.4416425637901</x:v>
      </x:c>
      <x:c r="G965" s="23" t="n">
        <x:v>232.82230114098638</x:v>
      </x:c>
      <x:c r="H965" s="23" t="n">
        <x:v>16.784485034178942</x:v>
      </x:c>
      <x:c r="I965" s="23" t="n">
        <x:v>0.8159159476123751</x:v>
      </x:c>
      <x:c r="J965" s="23" t="n">
        <x:v>9</x:v>
      </x:c>
      <x:c r="K965" s="23" t="n">
        <x:v>195.12139335331602</x:v>
      </x:c>
      <x:c r="L965" s="23" t="n">
        <x:v>50</x:v>
      </x:c>
      <x:c r="M965" s="23" t="n">
        <x:v>25</x:v>
      </x:c>
      <x:c r="N965" s="23" t="n">
        <x:v>1.223712507345984</x:v>
      </x:c>
      <x:c r="O965" s="23" t="n">
        <x:v>52.213260390833234</x:v>
      </x:c>
      <x:c r="P965" s="23" t="n">
        <x:v>1432.8239090158604</x:v>
      </x:c>
      <x:c r="Q965" s="23" t="n">
        <x:v>1.228973349961887</x:v>
      </x:c>
      <x:c r="R965" s="23" t="n">
        <x:v>51.0899523928726</x:v>
      </x:c>
      <x:c r="S965" s="23" t="n">
        <x:v>1438.0482157210472</x:v>
      </x:c>
      <x:c r="T965" s="23" t="n">
        <x:v>0.005260842615902872</x:v>
      </x:c>
      <x:c r="U965" s="23" t="n">
        <x:v>-1.1233079979606373</x:v>
      </x:c>
      <x:c r="V965" s="23" t="n">
        <x:v>5.224306705186791</x:v>
      </x:c>
    </x:row>
    <x:row r="966">
      <x:c r="A966" s="23" t="n">
        <x:v>965</x:v>
      </x:c>
      <x:c r="B966" s="23" t="str">
        <x:v>Train</x:v>
      </x:c>
      <x:c r="C966" s="23" t="str">
        <x:v>Lightning</x:v>
      </x:c>
      <x:c r="D966" s="23" t="n">
        <x:v>1481.0320066753775</x:v>
      </x:c>
      <x:c r="E966" s="23" t="n">
        <x:v>974.0599574404769</x:v>
      </x:c>
      <x:c r="F966" s="23" t="n">
        <x:v>690.9863336011767</x:v>
      </x:c>
      <x:c r="G966" s="23" t="n">
        <x:v>312.1029299055226</x:v>
      </x:c>
      <x:c r="H966" s="23" t="n">
        <x:v>24.580782525241375</x:v>
      </x:c>
      <x:c r="I966" s="23" t="n">
        <x:v>0.790720118007157</x:v>
      </x:c>
      <x:c r="J966" s="23" t="n">
        <x:v>10</x:v>
      </x:c>
      <x:c r="K966" s="23" t="n">
        <x:v>187.30167260800263</x:v>
      </x:c>
      <x:c r="L966" s="23" t="n">
        <x:v>30</x:v>
      </x:c>
      <x:c r="M966" s="23" t="n">
        <x:v>25</x:v>
      </x:c>
      <x:c r="N966" s="23" t="n">
        <x:v>1.1489313588036947</x:v>
      </x:c>
      <x:c r="O966" s="23" t="n">
        <x:v>52.3175411025291</x:v>
      </x:c>
      <x:c r="P966" s="23" t="n">
        <x:v>1481.0320066753775</x:v>
      </x:c>
      <x:c r="Q966" s="23" t="n">
        <x:v>1.1621580602013313</x:v>
      </x:c>
      <x:c r="R966" s="23" t="n">
        <x:v>52.9669578150393</x:v>
      </x:c>
      <x:c r="S966" s="23" t="n">
        <x:v>1459.0489047186982</x:v>
      </x:c>
      <x:c r="T966" s="23" t="n">
        <x:v>0.013226701397636598</x:v>
      </x:c>
      <x:c r="U966" s="23" t="n">
        <x:v>0.6494167125102024</x:v>
      </x:c>
      <x:c r="V966" s="23" t="n">
        <x:v>-21.98310195667932</x:v>
      </x:c>
    </x:row>
    <x:row r="967">
      <x:c r="A967" s="23" t="n">
        <x:v>966</x:v>
      </x:c>
      <x:c r="B967" s="23" t="str">
        <x:v>Train</x:v>
      </x:c>
      <x:c r="C967" s="23" t="str">
        <x:v>Lightning</x:v>
      </x:c>
      <x:c r="D967" s="23" t="n">
        <x:v>1427.8501919587143</x:v>
      </x:c>
      <x:c r="E967" s="23" t="n">
        <x:v>1146.7811908340082</x:v>
      </x:c>
      <x:c r="F967" s="23" t="n">
        <x:v>636.2259444780648</x:v>
      </x:c>
      <x:c r="G967" s="23" t="n">
        <x:v>289.1622124426067</x:v>
      </x:c>
      <x:c r="H967" s="23" t="n">
        <x:v>11.580106033477932</x:v>
      </x:c>
      <x:c r="I967" s="23" t="n">
        <x:v>0.8510554962744937</x:v>
      </x:c>
      <x:c r="J967" s="23" t="n">
        <x:v>9</x:v>
      </x:c>
      <x:c r="K967" s="23" t="n">
        <x:v>186.41560041999438</x:v>
      </x:c>
      <x:c r="L967" s="23" t="n">
        <x:v>35</x:v>
      </x:c>
      <x:c r="M967" s="23" t="n">
        <x:v>25</x:v>
      </x:c>
      <x:c r="N967" s="23" t="n">
        <x:v>1.1642794837728736</x:v>
      </x:c>
      <x:c r="O967" s="23" t="n">
        <x:v>52.29810300554864</x:v>
      </x:c>
      <x:c r="P967" s="23" t="n">
        <x:v>1427.8501919587143</x:v>
      </x:c>
      <x:c r="Q967" s="23" t="n">
        <x:v>1.1810014206782375</x:v>
      </x:c>
      <x:c r="R967" s="23" t="n">
        <x:v>52.20827354688618</x:v>
      </x:c>
      <x:c r="S967" s="23" t="n">
        <x:v>1429.1460337680635</x:v>
      </x:c>
      <x:c r="T967" s="23" t="n">
        <x:v>0.016721936905363943</x:v>
      </x:c>
      <x:c r="U967" s="23" t="n">
        <x:v>-0.08982945866245728</x:v>
      </x:c>
      <x:c r="V967" s="23" t="n">
        <x:v>1.2958418093492128</x:v>
      </x:c>
    </x:row>
    <x:row r="968">
      <x:c r="A968" s="23" t="n">
        <x:v>967</x:v>
      </x:c>
      <x:c r="B968" s="23" t="str">
        <x:v>Train</x:v>
      </x:c>
      <x:c r="C968" s="23" t="str">
        <x:v>Lightning</x:v>
      </x:c>
      <x:c r="D968" s="23" t="n">
        <x:v>1418.464236636646</x:v>
      </x:c>
      <x:c r="E968" s="23" t="n">
        <x:v>898.5571734723635</x:v>
      </x:c>
      <x:c r="F968" s="23" t="n">
        <x:v>646.9958573579788</x:v>
      </x:c>
      <x:c r="G968" s="23" t="n">
        <x:v>282.43498677155003</x:v>
      </x:c>
      <x:c r="H968" s="23" t="n">
        <x:v>21.672815862111747</x:v>
      </x:c>
      <x:c r="I968" s="23" t="n">
        <x:v>0.8314157448685728</x:v>
      </x:c>
      <x:c r="J968" s="23" t="n">
        <x:v>9</x:v>
      </x:c>
      <x:c r="K968" s="23" t="n">
        <x:v>189.5647735525934</x:v>
      </x:c>
      <x:c r="L968" s="23" t="n">
        <x:v>40</x:v>
      </x:c>
      <x:c r="M968" s="23" t="n">
        <x:v>25</x:v>
      </x:c>
      <x:c r="N968" s="23" t="n">
        <x:v>1.2181934342276344</x:v>
      </x:c>
      <x:c r="O968" s="23" t="n">
        <x:v>52.26002903164457</x:v>
      </x:c>
      <x:c r="P968" s="23" t="n">
        <x:v>1418.464236636646</x:v>
      </x:c>
      <x:c r="Q968" s="23" t="n">
        <x:v>1.2155126530829552</x:v>
      </x:c>
      <x:c r="R968" s="23" t="n">
        <x:v>51.165570241488794</x:v>
      </x:c>
      <x:c r="S968" s="23" t="n">
        <x:v>1406.1318801669986</x:v>
      </x:c>
      <x:c r="T968" s="23" t="n">
        <x:v>-0.0026807811446791785</x:v>
      </x:c>
      <x:c r="U968" s="23" t="n">
        <x:v>-1.0944587901557767</x:v>
      </x:c>
      <x:c r="V968" s="23" t="n">
        <x:v>-12.332356469647493</x:v>
      </x:c>
    </x:row>
    <x:row r="969">
      <x:c r="A969" s="23" t="n">
        <x:v>968</x:v>
      </x:c>
      <x:c r="B969" s="23" t="str">
        <x:v>Train</x:v>
      </x:c>
      <x:c r="C969" s="23" t="str">
        <x:v>Lightning</x:v>
      </x:c>
      <x:c r="D969" s="23" t="n">
        <x:v>1400.5954188178293</x:v>
      </x:c>
      <x:c r="E969" s="23" t="n">
        <x:v>707.9777543433011</x:v>
      </x:c>
      <x:c r="F969" s="23" t="n">
        <x:v>549.9953634105623</x:v>
      </x:c>
      <x:c r="G969" s="23" t="n">
        <x:v>190.44259706977755</x:v>
      </x:c>
      <x:c r="H969" s="23" t="n">
        <x:v>10.015601692255586</x:v>
      </x:c>
      <x:c r="I969" s="23" t="n">
        <x:v>0.7982736726943404</x:v>
      </x:c>
      <x:c r="J969" s="23" t="n">
        <x:v>9</x:v>
      </x:c>
      <x:c r="K969" s="23" t="n">
        <x:v>194.9478211860918</x:v>
      </x:c>
      <x:c r="L969" s="23" t="n">
        <x:v>55</x:v>
      </x:c>
      <x:c r="M969" s="23" t="n">
        <x:v>25</x:v>
      </x:c>
      <x:c r="N969" s="23" t="n">
        <x:v>1.2388505466804356</x:v>
      </x:c>
      <x:c r="O969" s="23" t="n">
        <x:v>52.20084422033387</x:v>
      </x:c>
      <x:c r="P969" s="23" t="n">
        <x:v>1400.5954188178293</x:v>
      </x:c>
      <x:c r="Q969" s="23" t="n">
        <x:v>1.2361856577593746</x:v>
      </x:c>
      <x:c r="R969" s="23" t="n">
        <x:v>52.48329930697548</x:v>
      </x:c>
      <x:c r="S969" s="23" t="n">
        <x:v>1410.5624031032198</x:v>
      </x:c>
      <x:c r="T969" s="23" t="n">
        <x:v>-0.0026648889210609816</x:v>
      </x:c>
      <x:c r="U969" s="23" t="n">
        <x:v>0.2824550866416118</x:v>
      </x:c>
      <x:c r="V969" s="23" t="n">
        <x:v>9.966984285390481</x:v>
      </x:c>
    </x:row>
    <x:row r="970">
      <x:c r="A970" s="23" t="n">
        <x:v>969</x:v>
      </x:c>
      <x:c r="B970" s="23" t="str">
        <x:v>Train</x:v>
      </x:c>
      <x:c r="C970" s="23" t="str">
        <x:v>Lightning</x:v>
      </x:c>
      <x:c r="D970" s="23" t="n">
        <x:v>1449.7610935941339</x:v>
      </x:c>
      <x:c r="E970" s="23" t="n">
        <x:v>902.1415435126983</x:v>
      </x:c>
      <x:c r="F970" s="23" t="n">
        <x:v>599.9444039538503</x:v>
      </x:c>
      <x:c r="G970" s="23" t="n">
        <x:v>82.1365448483266</x:v>
      </x:c>
      <x:c r="H970" s="23" t="n">
        <x:v>20.437097555026412</x:v>
      </x:c>
      <x:c r="I970" s="23" t="n">
        <x:v>0.8504586046305486</x:v>
      </x:c>
      <x:c r="J970" s="23" t="n">
        <x:v>9</x:v>
      </x:c>
      <x:c r="K970" s="23" t="n">
        <x:v>189.40906127333642</x:v>
      </x:c>
      <x:c r="L970" s="23" t="n">
        <x:v>45</x:v>
      </x:c>
      <x:c r="M970" s="23" t="n">
        <x:v>25</x:v>
      </x:c>
      <x:c r="N970" s="23" t="n">
        <x:v>1.1721042333465186</x:v>
      </x:c>
      <x:c r="O970" s="23" t="n">
        <x:v>52.2220198921142</x:v>
      </x:c>
      <x:c r="P970" s="23" t="n">
        <x:v>1449.7610935941339</x:v>
      </x:c>
      <x:c r="Q970" s="23" t="n">
        <x:v>1.1595571624302536</x:v>
      </x:c>
      <x:c r="R970" s="23" t="n">
        <x:v>51.4465164456956</x:v>
      </x:c>
      <x:c r="S970" s="23" t="n">
        <x:v>1445.4547646137548</x:v>
      </x:c>
      <x:c r="T970" s="23" t="n">
        <x:v>-0.012547070916264946</x:v>
      </x:c>
      <x:c r="U970" s="23" t="n">
        <x:v>-0.7755034464185968</x:v>
      </x:c>
      <x:c r="V970" s="23" t="n">
        <x:v>-4.306328980379021</x:v>
      </x:c>
    </x:row>
    <x:row r="971">
      <x:c r="A971" s="23" t="n">
        <x:v>970</x:v>
      </x:c>
      <x:c r="B971" s="23" t="str">
        <x:v>Train</x:v>
      </x:c>
      <x:c r="C971" s="23" t="str">
        <x:v>Lightning</x:v>
      </x:c>
      <x:c r="D971" s="23" t="n">
        <x:v>1419.601675181184</x:v>
      </x:c>
      <x:c r="E971" s="23" t="n">
        <x:v>876.4283433789387</x:v>
      </x:c>
      <x:c r="F971" s="23" t="n">
        <x:v>375.66585252061486</x:v>
      </x:c>
      <x:c r="G971" s="23" t="n">
        <x:v>297.2462909948081</x:v>
      </x:c>
      <x:c r="H971" s="23" t="n">
        <x:v>24.855091099161655</x:v>
      </x:c>
      <x:c r="I971" s="23" t="n">
        <x:v>0.8081533146323636</x:v>
      </x:c>
      <x:c r="J971" s="23" t="n">
        <x:v>9</x:v>
      </x:c>
      <x:c r="K971" s="23" t="n">
        <x:v>195.17771765414392</x:v>
      </x:c>
      <x:c r="L971" s="23" t="n">
        <x:v>45</x:v>
      </x:c>
      <x:c r="M971" s="23" t="n">
        <x:v>25</x:v>
      </x:c>
      <x:c r="N971" s="23" t="n">
        <x:v>1.1690086883003907</x:v>
      </x:c>
      <x:c r="O971" s="23" t="n">
        <x:v>52.216580915418994</x:v>
      </x:c>
      <x:c r="P971" s="23" t="n">
        <x:v>1419.601675181184</x:v>
      </x:c>
      <x:c r="Q971" s="23" t="n">
        <x:v>1.1653576105932715</x:v>
      </x:c>
      <x:c r="R971" s="23" t="n">
        <x:v>51.85525591843708</x:v>
      </x:c>
      <x:c r="S971" s="23" t="n">
        <x:v>1416.8119418298072</x:v>
      </x:c>
      <x:c r="T971" s="23" t="n">
        <x:v>-0.0036510777071192546</x:v>
      </x:c>
      <x:c r="U971" s="23" t="n">
        <x:v>-0.36132499698191367</x:v>
      </x:c>
      <x:c r="V971" s="23" t="n">
        <x:v>-2.7897333513767535</x:v>
      </x:c>
    </x:row>
    <x:row r="972">
      <x:c r="A972" s="23" t="n">
        <x:v>971</x:v>
      </x:c>
      <x:c r="B972" s="23" t="str">
        <x:v>Train</x:v>
      </x:c>
      <x:c r="C972" s="23" t="str">
        <x:v>Lightning</x:v>
      </x:c>
      <x:c r="D972" s="23" t="n">
        <x:v>1480.0304258940741</x:v>
      </x:c>
      <x:c r="E972" s="23" t="n">
        <x:v>730.3099619806744</x:v>
      </x:c>
      <x:c r="F972" s="23" t="n">
        <x:v>745.6369627267122</x:v>
      </x:c>
      <x:c r="G972" s="23" t="n">
        <x:v>148.63116862950847</x:v>
      </x:c>
      <x:c r="H972" s="23" t="n">
        <x:v>17.23824226949364</x:v>
      </x:c>
      <x:c r="I972" s="23" t="n">
        <x:v>0.8422044864180498</x:v>
      </x:c>
      <x:c r="J972" s="23" t="n">
        <x:v>9</x:v>
      </x:c>
      <x:c r="K972" s="23" t="n">
        <x:v>195.2587854272171</x:v>
      </x:c>
      <x:c r="L972" s="23" t="n">
        <x:v>45</x:v>
      </x:c>
      <x:c r="M972" s="23" t="n">
        <x:v>25</x:v>
      </x:c>
      <x:c r="N972" s="23" t="n">
        <x:v>1.1843065083925997</x:v>
      </x:c>
      <x:c r="O972" s="23" t="n">
        <x:v>52.228312339203555</x:v>
      </x:c>
      <x:c r="P972" s="23" t="n">
        <x:v>1480.0304258940741</x:v>
      </x:c>
      <x:c r="Q972" s="23" t="n">
        <x:v>1.1987730445042515</x:v>
      </x:c>
      <x:c r="R972" s="23" t="n">
        <x:v>52.33808834747118</x:v>
      </x:c>
      <x:c r="S972" s="23" t="n">
        <x:v>1480.899796674081</x:v>
      </x:c>
      <x:c r="T972" s="23" t="n">
        <x:v>0.014466536111651829</x:v>
      </x:c>
      <x:c r="U972" s="23" t="n">
        <x:v>0.10977600826762313</x:v>
      </x:c>
      <x:c r="V972" s="23" t="n">
        <x:v>0.8693707800068751</x:v>
      </x:c>
    </x:row>
    <x:row r="973">
      <x:c r="A973" s="23" t="n">
        <x:v>972</x:v>
      </x:c>
      <x:c r="B973" s="23" t="str">
        <x:v>Train</x:v>
      </x:c>
      <x:c r="C973" s="23" t="str">
        <x:v>Lightning</x:v>
      </x:c>
      <x:c r="D973" s="23" t="n">
        <x:v>1444.288519991096</x:v>
      </x:c>
      <x:c r="E973" s="23" t="n">
        <x:v>747.9762924369425</x:v>
      </x:c>
      <x:c r="F973" s="23" t="n">
        <x:v>375.6078670732677</x:v>
      </x:c>
      <x:c r="G973" s="23" t="n">
        <x:v>223.35457503329962</x:v>
      </x:c>
      <x:c r="H973" s="23" t="n">
        <x:v>15.306138071697205</x:v>
      </x:c>
      <x:c r="I973" s="23" t="n">
        <x:v>0.8112140956148506</x:v>
      </x:c>
      <x:c r="J973" s="23" t="n">
        <x:v>9</x:v>
      </x:c>
      <x:c r="K973" s="23" t="n">
        <x:v>197.82262548039373</x:v>
      </x:c>
      <x:c r="L973" s="23" t="n">
        <x:v>55</x:v>
      </x:c>
      <x:c r="M973" s="23" t="n">
        <x:v>25</x:v>
      </x:c>
      <x:c r="N973" s="23" t="n">
        <x:v>1.1762257078598959</x:v>
      </x:c>
      <x:c r="O973" s="23" t="n">
        <x:v>52.18502142218369</x:v>
      </x:c>
      <x:c r="P973" s="23" t="n">
        <x:v>1444.288519991096</x:v>
      </x:c>
      <x:c r="Q973" s="23" t="n">
        <x:v>1.1783388599536762</x:v>
      </x:c>
      <x:c r="R973" s="23" t="n">
        <x:v>50.9868807904236</x:v>
      </x:c>
      <x:c r="S973" s="23" t="n">
        <x:v>1457.5954801354358</x:v>
      </x:c>
      <x:c r="T973" s="23" t="n">
        <x:v>0.0021131520937802684</x:v>
      </x:c>
      <x:c r="U973" s="23" t="n">
        <x:v>-1.19814063176009</x:v>
      </x:c>
      <x:c r="V973" s="23" t="n">
        <x:v>13.306960144339655</x:v>
      </x:c>
    </x:row>
    <x:row r="974">
      <x:c r="A974" s="23" t="n">
        <x:v>973</x:v>
      </x:c>
      <x:c r="B974" s="23" t="str">
        <x:v>Train</x:v>
      </x:c>
      <x:c r="C974" s="23" t="str">
        <x:v>Lightning</x:v>
      </x:c>
      <x:c r="D974" s="23" t="n">
        <x:v>1376.4081919100136</x:v>
      </x:c>
      <x:c r="E974" s="23" t="n">
        <x:v>951.213248714339</x:v>
      </x:c>
      <x:c r="F974" s="23" t="n">
        <x:v>680.0064107403159</x:v>
      </x:c>
      <x:c r="G974" s="23" t="n">
        <x:v>89.54044592799619</x:v>
      </x:c>
      <x:c r="H974" s="23" t="n">
        <x:v>18.540225613862276</x:v>
      </x:c>
      <x:c r="I974" s="23" t="n">
        <x:v>0.7971063029789366</x:v>
      </x:c>
      <x:c r="J974" s="23" t="n">
        <x:v>9</x:v>
      </x:c>
      <x:c r="K974" s="23" t="n">
        <x:v>191.86179180118506</x:v>
      </x:c>
      <x:c r="L974" s="23" t="n">
        <x:v>45</x:v>
      </x:c>
      <x:c r="M974" s="23" t="n">
        <x:v>25</x:v>
      </x:c>
      <x:c r="N974" s="23" t="n">
        <x:v>1.2557675379437727</x:v>
      </x:c>
      <x:c r="O974" s="23" t="n">
        <x:v>52.24330951943179</x:v>
      </x:c>
      <x:c r="P974" s="23" t="n">
        <x:v>1376.4081919100136</x:v>
      </x:c>
      <x:c r="Q974" s="23" t="n">
        <x:v>1.259326823897694</x:v>
      </x:c>
      <x:c r="R974" s="23" t="n">
        <x:v>53.003609880248604</x:v>
      </x:c>
      <x:c r="S974" s="23" t="n">
        <x:v>1382.7932866160957</x:v>
      </x:c>
      <x:c r="T974" s="23" t="n">
        <x:v>0.0035592859539212984</x:v>
      </x:c>
      <x:c r="U974" s="23" t="n">
        <x:v>0.7603003608168137</x:v>
      </x:c>
      <x:c r="V974" s="23" t="n">
        <x:v>6.3850947060821</x:v>
      </x:c>
    </x:row>
    <x:row r="975">
      <x:c r="A975" s="23" t="n">
        <x:v>974</x:v>
      </x:c>
      <x:c r="B975" s="23" t="str">
        <x:v>Train</x:v>
      </x:c>
      <x:c r="C975" s="23" t="str">
        <x:v>Lightning</x:v>
      </x:c>
      <x:c r="D975" s="23" t="n">
        <x:v>1382.4953096103854</x:v>
      </x:c>
      <x:c r="E975" s="23" t="n">
        <x:v>776.1041653109714</x:v>
      </x:c>
      <x:c r="F975" s="23" t="n">
        <x:v>404.89749358966947</x:v>
      </x:c>
      <x:c r="G975" s="23" t="n">
        <x:v>295.5903335660696</x:v>
      </x:c>
      <x:c r="H975" s="23" t="n">
        <x:v>13.191652859095484</x:v>
      </x:c>
      <x:c r="I975" s="23" t="n">
        <x:v>0.8509915769053623</x:v>
      </x:c>
      <x:c r="J975" s="23" t="n">
        <x:v>9</x:v>
      </x:c>
      <x:c r="K975" s="23" t="n">
        <x:v>180.5077677916809</x:v>
      </x:c>
      <x:c r="L975" s="23" t="n">
        <x:v>50</x:v>
      </x:c>
      <x:c r="M975" s="23" t="n">
        <x:v>25</x:v>
      </x:c>
      <x:c r="N975" s="23" t="n">
        <x:v>1.169253233644475</x:v>
      </x:c>
      <x:c r="O975" s="23" t="n">
        <x:v>52.20523760642537</x:v>
      </x:c>
      <x:c r="P975" s="23" t="n">
        <x:v>1382.4953096103854</x:v>
      </x:c>
      <x:c r="Q975" s="23" t="n">
        <x:v>1.1731372282652075</x:v>
      </x:c>
      <x:c r="R975" s="23" t="n">
        <x:v>52.7140346829008</x:v>
      </x:c>
      <x:c r="S975" s="23" t="n">
        <x:v>1387.9877031343556</x:v>
      </x:c>
      <x:c r="T975" s="23" t="n">
        <x:v>0.0038839946207325227</x:v>
      </x:c>
      <x:c r="U975" s="23" t="n">
        <x:v>0.5087970764754317</x:v>
      </x:c>
      <x:c r="V975" s="23" t="n">
        <x:v>5.492393523970122</x:v>
      </x:c>
    </x:row>
    <x:row r="976">
      <x:c r="A976" s="23" t="n">
        <x:v>975</x:v>
      </x:c>
      <x:c r="B976" s="23" t="str">
        <x:v>Validation</x:v>
      </x:c>
      <x:c r="C976" s="23" t="str">
        <x:v>Lightning</x:v>
      </x:c>
      <x:c r="D976" s="23" t="n">
        <x:v>1456.6940000513569</x:v>
      </x:c>
      <x:c r="E976" s="23" t="n">
        <x:v>1101.99794966029</x:v>
      </x:c>
      <x:c r="F976" s="23" t="n">
        <x:v>528.8322933018208</x:v>
      </x:c>
      <x:c r="G976" s="23" t="n">
        <x:v>153.39712645625696</x:v>
      </x:c>
      <x:c r="H976" s="23" t="n">
        <x:v>22.161980300210416</x:v>
      </x:c>
      <x:c r="I976" s="23" t="n">
        <x:v>0.8518949645548128</x:v>
      </x:c>
      <x:c r="J976" s="23" t="n">
        <x:v>9</x:v>
      </x:c>
      <x:c r="K976" s="23" t="n">
        <x:v>189.99394952308242</x:v>
      </x:c>
      <x:c r="L976" s="23" t="n">
        <x:v>40</x:v>
      </x:c>
      <x:c r="M976" s="23" t="n">
        <x:v>25</x:v>
      </x:c>
      <x:c r="N976" s="23" t="n">
        <x:v>1.1942921749102493</x:v>
      </x:c>
      <x:c r="O976" s="23" t="n">
        <x:v>52.253205652576554</x:v>
      </x:c>
      <x:c r="P976" s="23" t="n">
        <x:v>1456.6940000513569</x:v>
      </x:c>
      <x:c r="Q976" s="23" t="n">
        <x:v>1.1877050129335371</x:v>
      </x:c>
      <x:c r="R976" s="23" t="n">
        <x:v>52.69888218785233</x:v>
      </x:c>
      <x:c r="S976" s="23" t="n">
        <x:v>1441.7955688479092</x:v>
      </x:c>
      <x:c r="T976" s="23" t="n">
        <x:v>-0.006587161976712164</x:v>
      </x:c>
      <x:c r="U976" s="23" t="n">
        <x:v>0.4456765352757728</x:v>
      </x:c>
      <x:c r="V976" s="23" t="n">
        <x:v>-14.898431203447672</x:v>
      </x:c>
    </x:row>
    <x:row r="977">
      <x:c r="A977" s="23" t="n">
        <x:v>976</x:v>
      </x:c>
      <x:c r="B977" s="23" t="str">
        <x:v>Validation</x:v>
      </x:c>
      <x:c r="C977" s="23" t="str">
        <x:v>Lightning</x:v>
      </x:c>
      <x:c r="D977" s="23" t="n">
        <x:v>1467.9110646131448</x:v>
      </x:c>
      <x:c r="E977" s="23" t="n">
        <x:v>1034.3533603474498</x:v>
      </x:c>
      <x:c r="F977" s="23" t="n">
        <x:v>614.970166888088</x:v>
      </x:c>
      <x:c r="G977" s="23" t="n">
        <x:v>305.91661487240344</x:v>
      </x:c>
      <x:c r="H977" s="23" t="n">
        <x:v>22.29009828856215</x:v>
      </x:c>
      <x:c r="I977" s="23" t="n">
        <x:v>0.8124231137242168</x:v>
      </x:c>
      <x:c r="J977" s="23" t="n">
        <x:v>10</x:v>
      </x:c>
      <x:c r="K977" s="23" t="n">
        <x:v>180.68307508929865</x:v>
      </x:c>
      <x:c r="L977" s="23" t="n">
        <x:v>35</x:v>
      </x:c>
      <x:c r="M977" s="23" t="n">
        <x:v>25</x:v>
      </x:c>
      <x:c r="N977" s="23" t="n">
        <x:v>1.2688366449747945</x:v>
      </x:c>
      <x:c r="O977" s="23" t="n">
        <x:v>52.313745354620195</x:v>
      </x:c>
      <x:c r="P977" s="23" t="n">
        <x:v>1467.9110646131448</x:v>
      </x:c>
      <x:c r="Q977" s="23" t="n">
        <x:v>1.282896918284572</x:v>
      </x:c>
      <x:c r="R977" s="23" t="n">
        <x:v>52.15389791113449</x:v>
      </x:c>
      <x:c r="S977" s="23" t="n">
        <x:v>1447.005175365975</x:v>
      </x:c>
      <x:c r="T977" s="23" t="n">
        <x:v>0.014060273309777438</x:v>
      </x:c>
      <x:c r="U977" s="23" t="n">
        <x:v>-0.15984744348570246</x:v>
      </x:c>
      <x:c r="V977" s="23" t="n">
        <x:v>-20.905889247169853</x:v>
      </x:c>
    </x:row>
    <x:row r="978">
      <x:c r="A978" s="23" t="n">
        <x:v>977</x:v>
      </x:c>
      <x:c r="B978" s="23" t="str">
        <x:v>Validation</x:v>
      </x:c>
      <x:c r="C978" s="23" t="str">
        <x:v>Lightning</x:v>
      </x:c>
      <x:c r="D978" s="23" t="n">
        <x:v>1425.7581026293337</x:v>
      </x:c>
      <x:c r="E978" s="23" t="n">
        <x:v>778.4869131981395</x:v>
      </x:c>
      <x:c r="F978" s="23" t="n">
        <x:v>708.5448095574975</x:v>
      </x:c>
      <x:c r="G978" s="23" t="n">
        <x:v>138.4724266664125</x:v>
      </x:c>
      <x:c r="H978" s="23" t="n">
        <x:v>19.00122350640595</x:v>
      </x:c>
      <x:c r="I978" s="23" t="n">
        <x:v>0.8114788501639851</x:v>
      </x:c>
      <x:c r="J978" s="23" t="n">
        <x:v>9</x:v>
      </x:c>
      <x:c r="K978" s="23" t="n">
        <x:v>195.22082051405474</x:v>
      </x:c>
      <x:c r="L978" s="23" t="n">
        <x:v>45</x:v>
      </x:c>
      <x:c r="M978" s="23" t="n">
        <x:v>25</x:v>
      </x:c>
      <x:c r="N978" s="23" t="n">
        <x:v>1.1933359246064759</x:v>
      </x:c>
      <x:c r="O978" s="23" t="n">
        <x:v>52.228456734498636</x:v>
      </x:c>
      <x:c r="P978" s="23" t="n">
        <x:v>1425.7581026293337</x:v>
      </x:c>
      <x:c r="Q978" s="23" t="n">
        <x:v>1.1883376488688078</x:v>
      </x:c>
      <x:c r="R978" s="23" t="n">
        <x:v>52.41718650644032</x:v>
      </x:c>
      <x:c r="S978" s="23" t="n">
        <x:v>1433.2825886042717</x:v>
      </x:c>
      <x:c r="T978" s="23" t="n">
        <x:v>-0.00499827573766809</x:v>
      </x:c>
      <x:c r="U978" s="23" t="n">
        <x:v>0.18872977194168783</x:v>
      </x:c>
      <x:c r="V978" s="23" t="n">
        <x:v>7.524485974937988</x:v>
      </x:c>
    </x:row>
    <x:row r="979">
      <x:c r="A979" s="23" t="n">
        <x:v>978</x:v>
      </x:c>
      <x:c r="B979" s="23" t="str">
        <x:v>Hidden Test</x:v>
      </x:c>
      <x:c r="C979" s="23" t="str">
        <x:v>Lightning</x:v>
      </x:c>
      <x:c r="D979" s="23" t="n">
        <x:v>1352.1611664094962</x:v>
      </x:c>
      <x:c r="E979" s="23" t="n">
        <x:v>820.6878380151466</x:v>
      </x:c>
      <x:c r="F979" s="23" t="n">
        <x:v>489.70236564055085</x:v>
      </x:c>
      <x:c r="G979" s="23" t="n">
        <x:v>189.12189190275967</x:v>
      </x:c>
      <x:c r="H979" s="23" t="n">
        <x:v>23.50000621424988</x:v>
      </x:c>
      <x:c r="I979" s="23" t="n">
        <x:v>0.8060276762628928</x:v>
      </x:c>
      <x:c r="J979" s="23" t="n">
        <x:v>9</x:v>
      </x:c>
      <x:c r="K979" s="23" t="n">
        <x:v>186.39574548809043</x:v>
      </x:c>
      <x:c r="L979" s="23" t="n">
        <x:v>50</x:v>
      </x:c>
      <x:c r="M979" s="23" t="n">
        <x:v>25</x:v>
      </x:c>
      <x:c r="N979" s="23" t="n">
        <x:v>1.2310800123916072</x:v>
      </x:c>
      <x:c r="O979" s="23" t="n">
        <x:v>52.20881142349995</x:v>
      </x:c>
      <x:c r="P979" s="23" t="n">
        <x:v>1352.1611664094962</x:v>
      </x:c>
      <x:c r="Q979" s="23" t="n">
        <x:v>1.216942256506533</x:v>
      </x:c>
      <x:c r="R979" s="23" t="n">
        <x:v>51.927934544547114</x:v>
      </x:c>
      <x:c r="S979" s="23" t="n">
        <x:v>1344.8174652063167</x:v>
      </x:c>
      <x:c r="T979" s="23" t="n">
        <x:v>-0.014137755885074155</x:v>
      </x:c>
      <x:c r="U979" s="23" t="n">
        <x:v>-0.28087687895283864</x:v>
      </x:c>
      <x:c r="V979" s="23" t="n">
        <x:v>-7.343701203179535</x:v>
      </x:c>
    </x:row>
    <x:row r="980">
      <x:c r="A980" s="23" t="n">
        <x:v>979</x:v>
      </x:c>
      <x:c r="B980" s="23" t="str">
        <x:v>Hidden Test</x:v>
      </x:c>
      <x:c r="C980" s="23" t="str">
        <x:v>Lightning</x:v>
      </x:c>
      <x:c r="D980" s="23" t="n">
        <x:v>1431.3690135022625</x:v>
      </x:c>
      <x:c r="E980" s="23" t="n">
        <x:v>1001.3102143653668</x:v>
      </x:c>
      <x:c r="F980" s="23" t="n">
        <x:v>558.0065812915564</x:v>
      </x:c>
      <x:c r="G980" s="23" t="n">
        <x:v>235.71969811571762</x:v>
      </x:c>
      <x:c r="H980" s="23" t="n">
        <x:v>20.278029111213982</x:v>
      </x:c>
      <x:c r="I980" s="23" t="n">
        <x:v>0.8396358509059064</x:v>
      </x:c>
      <x:c r="J980" s="23" t="n">
        <x:v>9</x:v>
      </x:c>
      <x:c r="K980" s="23" t="n">
        <x:v>189.41663975955487</x:v>
      </x:c>
      <x:c r="L980" s="23" t="n">
        <x:v>40</x:v>
      </x:c>
      <x:c r="M980" s="23" t="n">
        <x:v>25</x:v>
      </x:c>
      <x:c r="N980" s="23" t="n">
        <x:v>1.1909698699033966</x:v>
      </x:c>
      <x:c r="O980" s="23" t="n">
        <x:v>52.254891065291496</x:v>
      </x:c>
      <x:c r="P980" s="23" t="n">
        <x:v>1431.3690135022625</x:v>
      </x:c>
      <x:c r="Q980" s="23" t="n">
        <x:v>1.1966777453965247</x:v>
      </x:c>
      <x:c r="R980" s="23" t="n">
        <x:v>51.571065757837964</x:v>
      </x:c>
      <x:c r="S980" s="23" t="n">
        <x:v>1422.2634736248588</x:v>
      </x:c>
      <x:c r="T980" s="23" t="n">
        <x:v>0.005707875493128123</x:v>
      </x:c>
      <x:c r="U980" s="23" t="n">
        <x:v>-0.6838253074535317</x:v>
      </x:c>
      <x:c r="V980" s="23" t="n">
        <x:v>-9.105539877403771</x:v>
      </x:c>
    </x:row>
    <x:row r="981">
      <x:c r="A981" s="23" t="n">
        <x:v>980</x:v>
      </x:c>
      <x:c r="B981" s="23" t="str">
        <x:v>Hidden Test</x:v>
      </x:c>
      <x:c r="C981" s="23" t="str">
        <x:v>Lightning</x:v>
      </x:c>
      <x:c r="D981" s="23" t="n">
        <x:v>1452.1697801887058</x:v>
      </x:c>
      <x:c r="E981" s="23" t="n">
        <x:v>768.041472742334</x:v>
      </x:c>
      <x:c r="F981" s="23" t="n">
        <x:v>402.83730207011104</x:v>
      </x:c>
      <x:c r="G981" s="23" t="n">
        <x:v>270.4096504440531</x:v>
      </x:c>
      <x:c r="H981" s="23" t="n">
        <x:v>24.05316950334236</x:v>
      </x:c>
      <x:c r="I981" s="23" t="n">
        <x:v>0.838239692915231</x:v>
      </x:c>
      <x:c r="J981" s="23" t="n">
        <x:v>9</x:v>
      </x:c>
      <x:c r="K981" s="23" t="n">
        <x:v>192.48933110957108</x:v>
      </x:c>
      <x:c r="L981" s="23" t="n">
        <x:v>50</x:v>
      </x:c>
      <x:c r="M981" s="23" t="n">
        <x:v>25</x:v>
      </x:c>
      <x:c r="N981" s="23" t="n">
        <x:v>1.189486304375557</x:v>
      </x:c>
      <x:c r="O981" s="23" t="n">
        <x:v>52.19973289770812</x:v>
      </x:c>
      <x:c r="P981" s="23" t="n">
        <x:v>1452.1697801887058</x:v>
      </x:c>
      <x:c r="Q981" s="23" t="n">
        <x:v>1.1796034563662539</x:v>
      </x:c>
      <x:c r="R981" s="23" t="n">
        <x:v>52.5544376328334</x:v>
      </x:c>
      <x:c r="S981" s="23" t="n">
        <x:v>1457.3013404490564</x:v>
      </x:c>
      <x:c r="T981" s="23" t="n">
        <x:v>-0.009882848009303169</x:v>
      </x:c>
      <x:c r="U981" s="23" t="n">
        <x:v>0.35470473512528145</x:v>
      </x:c>
      <x:c r="V981" s="23" t="n">
        <x:v>5.131560260350625</x:v>
      </x:c>
    </x:row>
    <x:row r="982">
      <x:c r="A982" s="23" t="n">
        <x:v>981</x:v>
      </x:c>
      <x:c r="B982" s="23" t="str">
        <x:v>Train</x:v>
      </x:c>
      <x:c r="C982" s="23" t="str">
        <x:v>Lightning</x:v>
      </x:c>
      <x:c r="D982" s="23" t="n">
        <x:v>1355.5733412969857</x:v>
      </x:c>
      <x:c r="E982" s="23" t="n">
        <x:v>1039.107764873188</x:v>
      </x:c>
      <x:c r="F982" s="23" t="n">
        <x:v>661.2429080531001</x:v>
      </x:c>
      <x:c r="G982" s="23" t="n">
        <x:v>139.9714222480543</x:v>
      </x:c>
      <x:c r="H982" s="23" t="n">
        <x:v>29.175830349326134</x:v>
      </x:c>
      <x:c r="I982" s="23" t="n">
        <x:v>0.8161090692714789</x:v>
      </x:c>
      <x:c r="J982" s="23" t="n">
        <x:v>9</x:v>
      </x:c>
      <x:c r="K982" s="23" t="n">
        <x:v>184.5577580439876</x:v>
      </x:c>
      <x:c r="L982" s="23" t="n">
        <x:v>35</x:v>
      </x:c>
      <x:c r="M982" s="23" t="n">
        <x:v>25</x:v>
      </x:c>
      <x:c r="N982" s="23" t="n">
        <x:v>1.1452427221175039</x:v>
      </x:c>
      <x:c r="O982" s="23" t="n">
        <x:v>52.261952222690056</x:v>
      </x:c>
      <x:c r="P982" s="23" t="n">
        <x:v>1355.5733412969857</x:v>
      </x:c>
      <x:c r="Q982" s="23" t="n">
        <x:v>1.155991685748177</x:v>
      </x:c>
      <x:c r="R982" s="23" t="n">
        <x:v>52.59186801437149</x:v>
      </x:c>
      <x:c r="S982" s="23" t="n">
        <x:v>1331.467075772016</x:v>
      </x:c>
      <x:c r="T982" s="23" t="n">
        <x:v>0.010748963630673014</x:v>
      </x:c>
      <x:c r="U982" s="23" t="n">
        <x:v>0.3299157916814366</x:v>
      </x:c>
      <x:c r="V982" s="23" t="n">
        <x:v>-24.106265524969785</x:v>
      </x:c>
    </x:row>
    <x:row r="983">
      <x:c r="A983" s="23" t="n">
        <x:v>982</x:v>
      </x:c>
      <x:c r="B983" s="23" t="str">
        <x:v>Train</x:v>
      </x:c>
      <x:c r="C983" s="23" t="str">
        <x:v>Lightning</x:v>
      </x:c>
      <x:c r="D983" s="23" t="n">
        <x:v>1351.3758850400336</x:v>
      </x:c>
      <x:c r="E983" s="23" t="n">
        <x:v>731.9779840996489</x:v>
      </x:c>
      <x:c r="F983" s="23" t="n">
        <x:v>539.1862464137375</x:v>
      </x:c>
      <x:c r="G983" s="23" t="n">
        <x:v>162.02438475564122</x:v>
      </x:c>
      <x:c r="H983" s="23" t="n">
        <x:v>25.428609168622643</x:v>
      </x:c>
      <x:c r="I983" s="23" t="n">
        <x:v>0.8436769450223074</x:v>
      </x:c>
      <x:c r="J983" s="23" t="n">
        <x:v>9</x:v>
      </x:c>
      <x:c r="K983" s="23" t="n">
        <x:v>177.97437396086383</x:v>
      </x:c>
      <x:c r="L983" s="23" t="n">
        <x:v>50</x:v>
      </x:c>
      <x:c r="M983" s="23" t="n">
        <x:v>25</x:v>
      </x:c>
      <x:c r="N983" s="23" t="n">
        <x:v>1.189165452496857</x:v>
      </x:c>
      <x:c r="O983" s="23" t="n">
        <x:v>52.19846993483582</x:v>
      </x:c>
      <x:c r="P983" s="23" t="n">
        <x:v>1351.3758850400336</x:v>
      </x:c>
      <x:c r="Q983" s="23" t="n">
        <x:v>1.1790598475783731</x:v>
      </x:c>
      <x:c r="R983" s="23" t="n">
        <x:v>51.49796061668436</x:v>
      </x:c>
      <x:c r="S983" s="23" t="n">
        <x:v>1343.4946574291255</x:v>
      </x:c>
      <x:c r="T983" s="23" t="n">
        <x:v>-0.01010560491848378</x:v>
      </x:c>
      <x:c r="U983" s="23" t="n">
        <x:v>-0.700509318151461</x:v>
      </x:c>
      <x:c r="V983" s="23" t="n">
        <x:v>-7.881227610908127</x:v>
      </x:c>
    </x:row>
    <x:row r="984">
      <x:c r="A984" s="23" t="n">
        <x:v>983</x:v>
      </x:c>
      <x:c r="B984" s="23" t="str">
        <x:v>Train</x:v>
      </x:c>
      <x:c r="C984" s="23" t="str">
        <x:v>Lightning</x:v>
      </x:c>
      <x:c r="D984" s="23" t="n">
        <x:v>1397.1637268783525</x:v>
      </x:c>
      <x:c r="E984" s="23" t="n">
        <x:v>764.2003374290653</x:v>
      </x:c>
      <x:c r="F984" s="23" t="n">
        <x:v>639.2943367362022</x:v>
      </x:c>
      <x:c r="G984" s="23" t="n">
        <x:v>173.92688510706648</x:v>
      </x:c>
      <x:c r="H984" s="23" t="n">
        <x:v>26.25558530818671</x:v>
      </x:c>
      <x:c r="I984" s="23" t="n">
        <x:v>0.8578637428185902</x:v>
      </x:c>
      <x:c r="J984" s="23" t="n">
        <x:v>9</x:v>
      </x:c>
      <x:c r="K984" s="23" t="n">
        <x:v>180.96162169942986</x:v>
      </x:c>
      <x:c r="L984" s="23" t="n">
        <x:v>45</x:v>
      </x:c>
      <x:c r="M984" s="23" t="n">
        <x:v>25</x:v>
      </x:c>
      <x:c r="N984" s="23" t="n">
        <x:v>1.194577698535721</x:v>
      </x:c>
      <x:c r="O984" s="23" t="n">
        <x:v>52.220959456629544</x:v>
      </x:c>
      <x:c r="P984" s="23" t="n">
        <x:v>1397.1637268783525</x:v>
      </x:c>
      <x:c r="Q984" s="23" t="n">
        <x:v>1.1840622574753654</x:v>
      </x:c>
      <x:c r="R984" s="23" t="n">
        <x:v>52.306577348069894</x:v>
      </x:c>
      <x:c r="S984" s="23" t="n">
        <x:v>1395.2249961199102</x:v>
      </x:c>
      <x:c r="T984" s="23" t="n">
        <x:v>-0.010515441060355624</x:v>
      </x:c>
      <x:c r="U984" s="23" t="n">
        <x:v>0.08561789144035004</x:v>
      </x:c>
      <x:c r="V984" s="23" t="n">
        <x:v>-1.9387307584422615</x:v>
      </x:c>
    </x:row>
    <x:row r="985">
      <x:c r="A985" s="23" t="n">
        <x:v>984</x:v>
      </x:c>
      <x:c r="B985" s="23" t="str">
        <x:v>Train</x:v>
      </x:c>
      <x:c r="C985" s="23" t="str">
        <x:v>Lightning</x:v>
      </x:c>
      <x:c r="D985" s="23" t="n">
        <x:v>1482.8241514856927</x:v>
      </x:c>
      <x:c r="E985" s="23" t="n">
        <x:v>1060.034980531782</x:v>
      </x:c>
      <x:c r="F985" s="23" t="n">
        <x:v>491.177751775831</x:v>
      </x:c>
      <x:c r="G985" s="23" t="n">
        <x:v>324.81365887913853</x:v>
      </x:c>
      <x:c r="H985" s="23" t="n">
        <x:v>9.281525631900877</x:v>
      </x:c>
      <x:c r="I985" s="23" t="n">
        <x:v>0.8429643393028527</x:v>
      </x:c>
      <x:c r="J985" s="23" t="n">
        <x:v>9</x:v>
      </x:c>
      <x:c r="K985" s="23" t="n">
        <x:v>195.4510189484694</x:v>
      </x:c>
      <x:c r="L985" s="23" t="n">
        <x:v>40</x:v>
      </x:c>
      <x:c r="M985" s="23" t="n">
        <x:v>25</x:v>
      </x:c>
      <x:c r="N985" s="23" t="n">
        <x:v>1.1804607723000218</x:v>
      </x:c>
      <x:c r="O985" s="23" t="n">
        <x:v>52.26751941504579</x:v>
      </x:c>
      <x:c r="P985" s="23" t="n">
        <x:v>1482.8241514856927</x:v>
      </x:c>
      <x:c r="Q985" s="23" t="n">
        <x:v>1.1926401130541446</x:v>
      </x:c>
      <x:c r="R985" s="23" t="n">
        <x:v>53.71392133730712</x:v>
      </x:c>
      <x:c r="S985" s="23" t="n">
        <x:v>1484.705842450919</x:v>
      </x:c>
      <x:c r="T985" s="23" t="n">
        <x:v>0.012179340754122858</x:v>
      </x:c>
      <x:c r="U985" s="23" t="n">
        <x:v>1.4464019222613302</x:v>
      </x:c>
      <x:c r="V985" s="23" t="n">
        <x:v>1.8816909652261984</x:v>
      </x:c>
    </x:row>
    <x:row r="986">
      <x:c r="A986" s="23" t="n">
        <x:v>985</x:v>
      </x:c>
      <x:c r="B986" s="23" t="str">
        <x:v>Train</x:v>
      </x:c>
      <x:c r="C986" s="23" t="str">
        <x:v>Lightning</x:v>
      </x:c>
      <x:c r="D986" s="23" t="n">
        <x:v>1406.9719456136227</x:v>
      </x:c>
      <x:c r="E986" s="23" t="n">
        <x:v>873.7917485064827</x:v>
      </x:c>
      <x:c r="F986" s="23" t="n">
        <x:v>450.69349873811007</x:v>
      </x:c>
      <x:c r="G986" s="23" t="n">
        <x:v>167.75890112156048</x:v>
      </x:c>
      <x:c r="H986" s="23" t="n">
        <x:v>25.06375956349075</x:v>
      </x:c>
      <x:c r="I986" s="23" t="n">
        <x:v>0.8013938199472614</x:v>
      </x:c>
      <x:c r="J986" s="23" t="n">
        <x:v>9</x:v>
      </x:c>
      <x:c r="K986" s="23" t="n">
        <x:v>195.07289960082207</x:v>
      </x:c>
      <x:c r="L986" s="23" t="n">
        <x:v>50</x:v>
      </x:c>
      <x:c r="M986" s="23" t="n">
        <x:v>25</x:v>
      </x:c>
      <x:c r="N986" s="23" t="n">
        <x:v>1.2322162900065619</x:v>
      </x:c>
      <x:c r="O986" s="23" t="n">
        <x:v>52.20767816883399</x:v>
      </x:c>
      <x:c r="P986" s="23" t="n">
        <x:v>1406.9719456136227</x:v>
      </x:c>
      <x:c r="Q986" s="23" t="n">
        <x:v>1.213474527967693</x:v>
      </x:c>
      <x:c r="R986" s="23" t="n">
        <x:v>52.45422360559412</x:v>
      </x:c>
      <x:c r="S986" s="23" t="n">
        <x:v>1404.1987477686514</x:v>
      </x:c>
      <x:c r="T986" s="23" t="n">
        <x:v>-0.018741762038868792</x:v>
      </x:c>
      <x:c r="U986" s="23" t="n">
        <x:v>0.24654543676012963</x:v>
      </x:c>
      <x:c r="V986" s="23" t="n">
        <x:v>-2.773197844971264</x:v>
      </x:c>
    </x:row>
    <x:row r="987">
      <x:c r="A987" s="23" t="n">
        <x:v>986</x:v>
      </x:c>
      <x:c r="B987" s="23" t="str">
        <x:v>Train</x:v>
      </x:c>
      <x:c r="C987" s="23" t="str">
        <x:v>Lightning</x:v>
      </x:c>
      <x:c r="D987" s="23" t="n">
        <x:v>1457.4546410352923</x:v>
      </x:c>
      <x:c r="E987" s="23" t="n">
        <x:v>911.0443519661203</x:v>
      </x:c>
      <x:c r="F987" s="23" t="n">
        <x:v>352.0926699973643</x:v>
      </x:c>
      <x:c r="G987" s="23" t="n">
        <x:v>202.47159495018423</x:v>
      </x:c>
      <x:c r="H987" s="23" t="n">
        <x:v>15.972927477676421</x:v>
      </x:c>
      <x:c r="I987" s="23" t="n">
        <x:v>0.841874056016095</x:v>
      </x:c>
      <x:c r="J987" s="23" t="n">
        <x:v>9</x:v>
      </x:c>
      <x:c r="K987" s="23" t="n">
        <x:v>192.35585584594966</x:v>
      </x:c>
      <x:c r="L987" s="23" t="n">
        <x:v>50</x:v>
      </x:c>
      <x:c r="M987" s="23" t="n">
        <x:v>25</x:v>
      </x:c>
      <x:c r="N987" s="23" t="n">
        <x:v>1.1731638810882574</x:v>
      </x:c>
      <x:c r="O987" s="23" t="n">
        <x:v>52.203525023592256</x:v>
      </x:c>
      <x:c r="P987" s="23" t="n">
        <x:v>1457.4546410352923</x:v>
      </x:c>
      <x:c r="Q987" s="23" t="n">
        <x:v>1.1777372535856954</x:v>
      </x:c>
      <x:c r="R987" s="23" t="n">
        <x:v>52.355233019378</x:v>
      </x:c>
      <x:c r="S987" s="23" t="n">
        <x:v>1473.4666105787542</x:v>
      </x:c>
      <x:c r="T987" s="23" t="n">
        <x:v>0.004573372497437944</x:v>
      </x:c>
      <x:c r="U987" s="23" t="n">
        <x:v>0.1517079957857419</x:v>
      </x:c>
      <x:c r="V987" s="23" t="n">
        <x:v>16.011969543461873</x:v>
      </x:c>
    </x:row>
    <x:row r="988">
      <x:c r="A988" s="23" t="n">
        <x:v>987</x:v>
      </x:c>
      <x:c r="B988" s="23" t="str">
        <x:v>Train</x:v>
      </x:c>
      <x:c r="C988" s="23" t="str">
        <x:v>Lightning</x:v>
      </x:c>
      <x:c r="D988" s="23" t="n">
        <x:v>1457.5972818536684</x:v>
      </x:c>
      <x:c r="E988" s="23" t="n">
        <x:v>820.9465843276121</x:v>
      </x:c>
      <x:c r="F988" s="23" t="n">
        <x:v>729.5212928205729</x:v>
      </x:c>
      <x:c r="G988" s="23" t="n">
        <x:v>313.974595728796</x:v>
      </x:c>
      <x:c r="H988" s="23" t="n">
        <x:v>18.82157712522894</x:v>
      </x:c>
      <x:c r="I988" s="23" t="n">
        <x:v>0.8054568498837762</x:v>
      </x:c>
      <x:c r="J988" s="23" t="n">
        <x:v>10</x:v>
      </x:c>
      <x:c r="K988" s="23" t="n">
        <x:v>180.9652847404542</x:v>
      </x:c>
      <x:c r="L988" s="23" t="n">
        <x:v>35</x:v>
      </x:c>
      <x:c r="M988" s="23" t="n">
        <x:v>25</x:v>
      </x:c>
      <x:c r="N988" s="23" t="n">
        <x:v>1.1967705445984678</x:v>
      </x:c>
      <x:c r="O988" s="23" t="n">
        <x:v>52.29801465842593</x:v>
      </x:c>
      <x:c r="P988" s="23" t="n">
        <x:v>1457.5972818536684</x:v>
      </x:c>
      <x:c r="Q988" s="23" t="n">
        <x:v>1.2049272874179122</x:v>
      </x:c>
      <x:c r="R988" s="23" t="n">
        <x:v>53.145542976890376</x:v>
      </x:c>
      <x:c r="S988" s="23" t="n">
        <x:v>1451.4448941266555</x:v>
      </x:c>
      <x:c r="T988" s="23" t="n">
        <x:v>0.008156742819444451</x:v>
      </x:c>
      <x:c r="U988" s="23" t="n">
        <x:v>0.8475283184644482</x:v>
      </x:c>
      <x:c r="V988" s="23" t="n">
        <x:v>-6.152387727012865</x:v>
      </x:c>
    </x:row>
    <x:row r="989">
      <x:c r="A989" s="23" t="n">
        <x:v>988</x:v>
      </x:c>
      <x:c r="B989" s="23" t="str">
        <x:v>Train</x:v>
      </x:c>
      <x:c r="C989" s="23" t="str">
        <x:v>Lightning</x:v>
      </x:c>
      <x:c r="D989" s="23" t="n">
        <x:v>1351.4524117461406</x:v>
      </x:c>
      <x:c r="E989" s="23" t="n">
        <x:v>864.6450757514685</x:v>
      </x:c>
      <x:c r="F989" s="23" t="n">
        <x:v>502.7134741656482</x:v>
      </x:c>
      <x:c r="G989" s="23" t="n">
        <x:v>261.25797796528786</x:v>
      </x:c>
      <x:c r="H989" s="23" t="n">
        <x:v>29.54149043140933</x:v>
      </x:c>
      <x:c r="I989" s="23" t="n">
        <x:v>0.8108531177788973</x:v>
      </x:c>
      <x:c r="J989" s="23" t="n">
        <x:v>9</x:v>
      </x:c>
      <x:c r="K989" s="23" t="n">
        <x:v>185.18937128123662</x:v>
      </x:c>
      <x:c r="L989" s="23" t="n">
        <x:v>45</x:v>
      </x:c>
      <x:c r="M989" s="23" t="n">
        <x:v>25</x:v>
      </x:c>
      <x:c r="N989" s="23" t="n">
        <x:v>1.2445007212829144</x:v>
      </x:c>
      <x:c r="O989" s="23" t="n">
        <x:v>52.22894203211006</x:v>
      </x:c>
      <x:c r="P989" s="23" t="n">
        <x:v>1351.4524117461406</x:v>
      </x:c>
      <x:c r="Q989" s="23" t="n">
        <x:v>1.2277250747070294</x:v>
      </x:c>
      <x:c r="R989" s="23" t="n">
        <x:v>52.94584003651023</x:v>
      </x:c>
      <x:c r="S989" s="23" t="n">
        <x:v>1341.954126926965</x:v>
      </x:c>
      <x:c r="T989" s="23" t="n">
        <x:v>-0.01677564657588504</x:v>
      </x:c>
      <x:c r="U989" s="23" t="n">
        <x:v>0.7168980044001714</x:v>
      </x:c>
      <x:c r="V989" s="23" t="n">
        <x:v>-9.498284819175524</x:v>
      </x:c>
    </x:row>
    <x:row r="990">
      <x:c r="A990" s="23" t="n">
        <x:v>989</x:v>
      </x:c>
      <x:c r="B990" s="23" t="str">
        <x:v>Train</x:v>
      </x:c>
      <x:c r="C990" s="23" t="str">
        <x:v>Lightning</x:v>
      </x:c>
      <x:c r="D990" s="23" t="n">
        <x:v>1484.6002049278468</x:v>
      </x:c>
      <x:c r="E990" s="23" t="n">
        <x:v>779.9101204494946</x:v>
      </x:c>
      <x:c r="F990" s="23" t="n">
        <x:v>532.575616799295</x:v>
      </x:c>
      <x:c r="G990" s="23" t="n">
        <x:v>188.11252222629264</x:v>
      </x:c>
      <x:c r="H990" s="23" t="n">
        <x:v>12.846662741154432</x:v>
      </x:c>
      <x:c r="I990" s="23" t="n">
        <x:v>0.8488404583581723</x:v>
      </x:c>
      <x:c r="J990" s="23" t="n">
        <x:v>9</x:v>
      </x:c>
      <x:c r="K990" s="23" t="n">
        <x:v>194.3304854299399</x:v>
      </x:c>
      <x:c r="L990" s="23" t="n">
        <x:v>50</x:v>
      </x:c>
      <x:c r="M990" s="23" t="n">
        <x:v>25</x:v>
      </x:c>
      <x:c r="N990" s="23" t="n">
        <x:v>1.1857972729011916</x:v>
      </x:c>
      <x:c r="O990" s="23" t="n">
        <x:v>52.20898078360865</x:v>
      </x:c>
      <x:c r="P990" s="23" t="n">
        <x:v>1484.6002049278468</x:v>
      </x:c>
      <x:c r="Q990" s="23" t="n">
        <x:v>1.1831205865813237</x:v>
      </x:c>
      <x:c r="R990" s="23" t="n">
        <x:v>52.1668612561901</x:v>
      </x:c>
      <x:c r="S990" s="23" t="n">
        <x:v>1489.1711049995672</x:v>
      </x:c>
      <x:c r="T990" s="23" t="n">
        <x:v>-0.002676686319867949</x:v>
      </x:c>
      <x:c r="U990" s="23" t="n">
        <x:v>-0.042119527418549296</x:v>
      </x:c>
      <x:c r="V990" s="23" t="n">
        <x:v>4.570900071720416</x:v>
      </x:c>
    </x:row>
    <x:row r="991">
      <x:c r="A991" s="23" t="n">
        <x:v>990</x:v>
      </x:c>
      <x:c r="B991" s="23" t="str">
        <x:v>Train</x:v>
      </x:c>
      <x:c r="C991" s="23" t="str">
        <x:v>Lightning</x:v>
      </x:c>
      <x:c r="D991" s="23" t="n">
        <x:v>1466.6645981487818</x:v>
      </x:c>
      <x:c r="E991" s="23" t="n">
        <x:v>1144.4564535049722</x:v>
      </x:c>
      <x:c r="F991" s="23" t="n">
        <x:v>554.1320283897221</x:v>
      </x:c>
      <x:c r="G991" s="23" t="n">
        <x:v>179.36411958187819</x:v>
      </x:c>
      <x:c r="H991" s="23" t="n">
        <x:v>18.574433671776205</x:v>
      </x:c>
      <x:c r="I991" s="23" t="n">
        <x:v>0.810366845834069</x:v>
      </x:c>
      <x:c r="J991" s="23" t="n">
        <x:v>10</x:v>
      </x:c>
      <x:c r="K991" s="23" t="n">
        <x:v>180.9877348374512</x:v>
      </x:c>
      <x:c r="L991" s="23" t="n">
        <x:v>35</x:v>
      </x:c>
      <x:c r="M991" s="23" t="n">
        <x:v>25</x:v>
      </x:c>
      <x:c r="N991" s="23" t="n">
        <x:v>1.2033578353000183</x:v>
      </x:c>
      <x:c r="O991" s="23" t="n">
        <x:v>52.30035528820581</x:v>
      </x:c>
      <x:c r="P991" s="23" t="n">
        <x:v>1466.6645981487818</x:v>
      </x:c>
      <x:c r="Q991" s="23" t="n">
        <x:v>1.198136385234879</x:v>
      </x:c>
      <x:c r="R991" s="23" t="n">
        <x:v>53.182028202271056</x:v>
      </x:c>
      <x:c r="S991" s="23" t="n">
        <x:v>1455.02319171761</x:v>
      </x:c>
      <x:c r="T991" s="23" t="n">
        <x:v>-0.005221450065139299</x:v>
      </x:c>
      <x:c r="U991" s="23" t="n">
        <x:v>0.8816729140652484</x:v>
      </x:c>
      <x:c r="V991" s="23" t="n">
        <x:v>-11.641406431171845</x:v>
      </x:c>
    </x:row>
    <x:row r="992">
      <x:c r="A992" s="23" t="n">
        <x:v>991</x:v>
      </x:c>
      <x:c r="B992" s="23" t="str">
        <x:v>Train</x:v>
      </x:c>
      <x:c r="C992" s="23" t="str">
        <x:v>Lightning</x:v>
      </x:c>
      <x:c r="D992" s="23" t="n">
        <x:v>1424.03317282442</x:v>
      </x:c>
      <x:c r="E992" s="23" t="n">
        <x:v>610.424975969363</x:v>
      </x:c>
      <x:c r="F992" s="23" t="n">
        <x:v>587.8889761865139</x:v>
      </x:c>
      <x:c r="G992" s="23" t="n">
        <x:v>231.57127886777744</x:v>
      </x:c>
      <x:c r="H992" s="23" t="n">
        <x:v>29.293745479546487</x:v>
      </x:c>
      <x:c r="I992" s="23" t="n">
        <x:v>0.8500976648344659</x:v>
      </x:c>
      <x:c r="J992" s="23" t="n">
        <x:v>9</x:v>
      </x:c>
      <x:c r="K992" s="23" t="n">
        <x:v>186.12674124026978</x:v>
      </x:c>
      <x:c r="L992" s="23" t="n">
        <x:v>50</x:v>
      </x:c>
      <x:c r="M992" s="23" t="n">
        <x:v>25</x:v>
      </x:c>
      <x:c r="N992" s="23" t="n">
        <x:v>1.2027971616175077</x:v>
      </x:c>
      <x:c r="O992" s="23" t="n">
        <x:v>52.197954854647364</x:v>
      </x:c>
      <x:c r="P992" s="23" t="n">
        <x:v>1424.03317282442</x:v>
      </x:c>
      <x:c r="Q992" s="23" t="n">
        <x:v>1.1879802124753198</x:v>
      </x:c>
      <x:c r="R992" s="23" t="n">
        <x:v>51.63213286395579</x:v>
      </x:c>
      <x:c r="S992" s="23" t="n">
        <x:v>1419.3874812749864</x:v>
      </x:c>
      <x:c r="T992" s="23" t="n">
        <x:v>-0.014816949142187896</x:v>
      </x:c>
      <x:c r="U992" s="23" t="n">
        <x:v>-0.5658219906915747</x:v>
      </x:c>
      <x:c r="V992" s="23" t="n">
        <x:v>-4.64569154943365</x:v>
      </x:c>
    </x:row>
    <x:row r="993">
      <x:c r="A993" s="23" t="n">
        <x:v>992</x:v>
      </x:c>
      <x:c r="B993" s="23" t="str">
        <x:v>Train</x:v>
      </x:c>
      <x:c r="C993" s="23" t="str">
        <x:v>Lightning</x:v>
      </x:c>
      <x:c r="D993" s="23" t="n">
        <x:v>1437.2233932721429</x:v>
      </x:c>
      <x:c r="E993" s="23" t="n">
        <x:v>1051.0848745703697</x:v>
      </x:c>
      <x:c r="F993" s="23" t="n">
        <x:v>691.1005704663694</x:v>
      </x:c>
      <x:c r="G993" s="23" t="n">
        <x:v>155.92670165468007</x:v>
      </x:c>
      <x:c r="H993" s="23" t="n">
        <x:v>25.783809961285442</x:v>
      </x:c>
      <x:c r="I993" s="23" t="n">
        <x:v>0.8137659674417228</x:v>
      </x:c>
      <x:c r="J993" s="23" t="n">
        <x:v>9</x:v>
      </x:c>
      <x:c r="K993" s="23" t="n">
        <x:v>196.2376094977029</x:v>
      </x:c>
      <x:c r="L993" s="23" t="n">
        <x:v>35</x:v>
      </x:c>
      <x:c r="M993" s="23" t="n">
        <x:v>25</x:v>
      </x:c>
      <x:c r="N993" s="23" t="n">
        <x:v>1.1568197237953843</x:v>
      </x:c>
      <x:c r="O993" s="23" t="n">
        <x:v>52.27096313647286</x:v>
      </x:c>
      <x:c r="P993" s="23" t="n">
        <x:v>1437.2233932721429</x:v>
      </x:c>
      <x:c r="Q993" s="23" t="n">
        <x:v>1.158020247570439</x:v>
      </x:c>
      <x:c r="R993" s="23" t="n">
        <x:v>52.04707439236678</x:v>
      </x:c>
      <x:c r="S993" s="23" t="n">
        <x:v>1413.9519178191927</x:v>
      </x:c>
      <x:c r="T993" s="23" t="n">
        <x:v>0.0012005237750547515</x:v>
      </x:c>
      <x:c r="U993" s="23" t="n">
        <x:v>-0.22388874410607684</x:v>
      </x:c>
      <x:c r="V993" s="23" t="n">
        <x:v>-23.2714754529502</x:v>
      </x:c>
    </x:row>
    <x:row r="994">
      <x:c r="A994" s="23" t="n">
        <x:v>993</x:v>
      </x:c>
      <x:c r="B994" s="23" t="str">
        <x:v>Train</x:v>
      </x:c>
      <x:c r="C994" s="23" t="str">
        <x:v>Lightning</x:v>
      </x:c>
      <x:c r="D994" s="23" t="n">
        <x:v>1413.3190616033971</x:v>
      </x:c>
      <x:c r="E994" s="23" t="n">
        <x:v>801.1775589897297</x:v>
      </x:c>
      <x:c r="F994" s="23" t="n">
        <x:v>460.6594229117036</x:v>
      </x:c>
      <x:c r="G994" s="23" t="n">
        <x:v>248.9683078438975</x:v>
      </x:c>
      <x:c r="H994" s="23" t="n">
        <x:v>10.783515388146043</x:v>
      </x:c>
      <x:c r="I994" s="23" t="n">
        <x:v>0.8350066565279849</x:v>
      </x:c>
      <x:c r="J994" s="23" t="n">
        <x:v>9</x:v>
      </x:c>
      <x:c r="K994" s="23" t="n">
        <x:v>188.0649094969261</x:v>
      </x:c>
      <x:c r="L994" s="23" t="n">
        <x:v>50</x:v>
      </x:c>
      <x:c r="M994" s="23" t="n">
        <x:v>25</x:v>
      </x:c>
      <x:c r="N994" s="23" t="n">
        <x:v>1.1843377399354618</x:v>
      </x:c>
      <x:c r="O994" s="23" t="n">
        <x:v>52.210572314803535</x:v>
      </x:c>
      <x:c r="P994" s="23" t="n">
        <x:v>1413.3190616033971</x:v>
      </x:c>
      <x:c r="Q994" s="23" t="n">
        <x:v>1.183075447205134</x:v>
      </x:c>
      <x:c r="R994" s="23" t="n">
        <x:v>51.344771007547955</x:v>
      </x:c>
      <x:c r="S994" s="23" t="n">
        <x:v>1422.4473615528707</x:v>
      </x:c>
      <x:c r="T994" s="23" t="n">
        <x:v>-0.001262292730327852</x:v>
      </x:c>
      <x:c r="U994" s="23" t="n">
        <x:v>-0.8658013072555804</x:v>
      </x:c>
      <x:c r="V994" s="23" t="n">
        <x:v>9.128299949473558</x:v>
      </x:c>
    </x:row>
    <x:row r="995">
      <x:c r="A995" s="23" t="n">
        <x:v>994</x:v>
      </x:c>
      <x:c r="B995" s="23" t="str">
        <x:v>Train</x:v>
      </x:c>
      <x:c r="C995" s="23" t="str">
        <x:v>Lightning</x:v>
      </x:c>
      <x:c r="D995" s="23" t="n">
        <x:v>1358.003594877664</x:v>
      </x:c>
      <x:c r="E995" s="23" t="n">
        <x:v>1116.4204049156979</x:v>
      </x:c>
      <x:c r="F995" s="23" t="n">
        <x:v>582.5762980617583</x:v>
      </x:c>
      <x:c r="G995" s="23" t="n">
        <x:v>303.09902333654463</x:v>
      </x:c>
      <x:c r="H995" s="23" t="n">
        <x:v>26.55359045462683</x:v>
      </x:c>
      <x:c r="I995" s="23" t="n">
        <x:v>0.7974613099405542</x:v>
      </x:c>
      <x:c r="J995" s="23" t="n">
        <x:v>9</x:v>
      </x:c>
      <x:c r="K995" s="23" t="n">
        <x:v>189.21204883405355</x:v>
      </x:c>
      <x:c r="L995" s="23" t="n">
        <x:v>35</x:v>
      </x:c>
      <x:c r="M995" s="23" t="n">
        <x:v>25</x:v>
      </x:c>
      <x:c r="N995" s="23" t="n">
        <x:v>1.2165113876607758</x:v>
      </x:c>
      <x:c r="O995" s="23" t="n">
        <x:v>52.287176776125506</x:v>
      </x:c>
      <x:c r="P995" s="23" t="n">
        <x:v>1358.003594877664</x:v>
      </x:c>
      <x:c r="Q995" s="23" t="n">
        <x:v>1.2123960856293654</x:v>
      </x:c>
      <x:c r="R995" s="23" t="n">
        <x:v>52.762244999837755</x:v>
      </x:c>
      <x:c r="S995" s="23" t="n">
        <x:v>1341.7919367554464</x:v>
      </x:c>
      <x:c r="T995" s="23" t="n">
        <x:v>-0.004115302031410417</x:v>
      </x:c>
      <x:c r="U995" s="23" t="n">
        <x:v>0.475068223712249</x:v>
      </x:c>
      <x:c r="V995" s="23" t="n">
        <x:v>-16.211658122217614</x:v>
      </x:c>
    </x:row>
    <x:row r="996">
      <x:c r="A996" s="23" t="n">
        <x:v>995</x:v>
      </x:c>
      <x:c r="B996" s="23" t="str">
        <x:v>Validation</x:v>
      </x:c>
      <x:c r="C996" s="23" t="str">
        <x:v>Lightning</x:v>
      </x:c>
      <x:c r="D996" s="23" t="n">
        <x:v>1415.7982654636726</x:v>
      </x:c>
      <x:c r="E996" s="23" t="n">
        <x:v>1004.0015006088652</x:v>
      </x:c>
      <x:c r="F996" s="23" t="n">
        <x:v>504.61240224540234</x:v>
      </x:c>
      <x:c r="G996" s="23" t="n">
        <x:v>269.5466984133236</x:v>
      </x:c>
      <x:c r="H996" s="23" t="n">
        <x:v>10.393021901138127</x:v>
      </x:c>
      <x:c r="I996" s="23" t="n">
        <x:v>0.8471883688191884</x:v>
      </x:c>
      <x:c r="J996" s="23" t="n">
        <x:v>9</x:v>
      </x:c>
      <x:c r="K996" s="23" t="n">
        <x:v>185.6858807022015</x:v>
      </x:c>
      <x:c r="L996" s="23" t="n">
        <x:v>45</x:v>
      </x:c>
      <x:c r="M996" s="23" t="n">
        <x:v>25</x:v>
      </x:c>
      <x:c r="N996" s="23" t="n">
        <x:v>1.255085210636251</x:v>
      </x:c>
      <x:c r="O996" s="23" t="n">
        <x:v>52.25225969175265</x:v>
      </x:c>
      <x:c r="P996" s="23" t="n">
        <x:v>1415.7982654636726</x:v>
      </x:c>
      <x:c r="Q996" s="23" t="n">
        <x:v>1.2623255029299185</x:v>
      </x:c>
      <x:c r="R996" s="23" t="n">
        <x:v>52.06231525321739</x:v>
      </x:c>
      <x:c r="S996" s="23" t="n">
        <x:v>1410.421605797914</x:v>
      </x:c>
      <x:c r="T996" s="23" t="n">
        <x:v>0.007240292293667627</x:v>
      </x:c>
      <x:c r="U996" s="23" t="n">
        <x:v>-0.18994443853525667</x:v>
      </x:c>
      <x:c r="V996" s="23" t="n">
        <x:v>-5.376659665758552</x:v>
      </x:c>
    </x:row>
    <x:row r="997">
      <x:c r="A997" s="23" t="n">
        <x:v>996</x:v>
      </x:c>
      <x:c r="B997" s="23" t="str">
        <x:v>Validation</x:v>
      </x:c>
      <x:c r="C997" s="23" t="str">
        <x:v>Lightning</x:v>
      </x:c>
      <x:c r="D997" s="23" t="n">
        <x:v>1365.7679873867892</x:v>
      </x:c>
      <x:c r="E997" s="23" t="n">
        <x:v>1226.6658284235746</x:v>
      </x:c>
      <x:c r="F997" s="23" t="n">
        <x:v>714.0005740337074</x:v>
      </x:c>
      <x:c r="G997" s="23" t="n">
        <x:v>173.7004036968574</x:v>
      </x:c>
      <x:c r="H997" s="23" t="n">
        <x:v>27.666284419130534</x:v>
      </x:c>
      <x:c r="I997" s="23" t="n">
        <x:v>0.8449380639009179</x:v>
      </x:c>
      <x:c r="J997" s="23" t="n">
        <x:v>9</x:v>
      </x:c>
      <x:c r="K997" s="23" t="n">
        <x:v>179.60132828898975</x:v>
      </x:c>
      <x:c r="L997" s="23" t="n">
        <x:v>30</x:v>
      </x:c>
      <x:c r="M997" s="23" t="n">
        <x:v>25</x:v>
      </x:c>
      <x:c r="N997" s="23" t="n">
        <x:v>1.1475033599806583</x:v>
      </x:c>
      <x:c r="O997" s="23" t="n">
        <x:v>52.30468264424959</x:v>
      </x:c>
      <x:c r="P997" s="23" t="n">
        <x:v>1365.7679873867892</x:v>
      </x:c>
      <x:c r="Q997" s="23" t="n">
        <x:v>1.1536376391667726</x:v>
      </x:c>
      <x:c r="R997" s="23" t="n">
        <x:v>54.10291188218814</x:v>
      </x:c>
      <x:c r="S997" s="23" t="n">
        <x:v>1339.5552373302876</x:v>
      </x:c>
      <x:c r="T997" s="23" t="n">
        <x:v>0.006134279186114311</x:v>
      </x:c>
      <x:c r="U997" s="23" t="n">
        <x:v>1.7982292379385498</x:v>
      </x:c>
      <x:c r="V997" s="23" t="n">
        <x:v>-26.21275005650159</x:v>
      </x:c>
    </x:row>
    <x:row r="998">
      <x:c r="A998" s="23" t="n">
        <x:v>997</x:v>
      </x:c>
      <x:c r="B998" s="23" t="str">
        <x:v>Validation</x:v>
      </x:c>
      <x:c r="C998" s="23" t="str">
        <x:v>Lightning</x:v>
      </x:c>
      <x:c r="D998" s="23" t="n">
        <x:v>1495.622934261337</x:v>
      </x:c>
      <x:c r="E998" s="23" t="n">
        <x:v>1033.600040327292</x:v>
      </x:c>
      <x:c r="F998" s="23" t="n">
        <x:v>571.8892110511661</x:v>
      </x:c>
      <x:c r="G998" s="23" t="n">
        <x:v>225.90758207486942</x:v>
      </x:c>
      <x:c r="H998" s="23" t="n">
        <x:v>19.182174541056156</x:v>
      </x:c>
      <x:c r="I998" s="23" t="n">
        <x:v>0.7972273310483433</x:v>
      </x:c>
      <x:c r="J998" s="23" t="n">
        <x:v>10</x:v>
      </x:c>
      <x:c r="K998" s="23" t="n">
        <x:v>187.6030682860073</x:v>
      </x:c>
      <x:c r="L998" s="23" t="n">
        <x:v>35</x:v>
      </x:c>
      <x:c r="M998" s="23" t="n">
        <x:v>25</x:v>
      </x:c>
      <x:c r="N998" s="23" t="n">
        <x:v>1.1793229662254932</x:v>
      </x:c>
      <x:c r="O998" s="23" t="n">
        <x:v>52.292289501395786</x:v>
      </x:c>
      <x:c r="P998" s="23" t="n">
        <x:v>1495.622934261337</x:v>
      </x:c>
      <x:c r="Q998" s="23" t="n">
        <x:v>1.1828537742045802</x:v>
      </x:c>
      <x:c r="R998" s="23" t="n">
        <x:v>51.68154695841027</x:v>
      </x:c>
      <x:c r="S998" s="23" t="n">
        <x:v>1488.6681967892068</x:v>
      </x:c>
      <x:c r="T998" s="23" t="n">
        <x:v>0.003530807979087003</x:v>
      </x:c>
      <x:c r="U998" s="23" t="n">
        <x:v>-0.6107425429855127</x:v>
      </x:c>
      <x:c r="V998" s="23" t="n">
        <x:v>-6.954737472130091</x:v>
      </x:c>
    </x:row>
    <x:row r="999">
      <x:c r="A999" s="23" t="n">
        <x:v>998</x:v>
      </x:c>
      <x:c r="B999" s="23" t="str">
        <x:v>Hidden Test</x:v>
      </x:c>
      <x:c r="C999" s="23" t="str">
        <x:v>Lightning</x:v>
      </x:c>
      <x:c r="D999" s="23" t="n">
        <x:v>1396.1878153611906</x:v>
      </x:c>
      <x:c r="E999" s="23" t="n">
        <x:v>1071.3552206521854</x:v>
      </x:c>
      <x:c r="F999" s="23" t="n">
        <x:v>474.3693915195763</x:v>
      </x:c>
      <x:c r="G999" s="23" t="n">
        <x:v>114.90394493564963</x:v>
      </x:c>
      <x:c r="H999" s="23" t="n">
        <x:v>12.220568476710469</x:v>
      </x:c>
      <x:c r="I999" s="23" t="n">
        <x:v>0.8184365196665749</x:v>
      </x:c>
      <x:c r="J999" s="23" t="n">
        <x:v>9</x:v>
      </x:c>
      <x:c r="K999" s="23" t="n">
        <x:v>189.54674645722844</x:v>
      </x:c>
      <x:c r="L999" s="23" t="n">
        <x:v>45</x:v>
      </x:c>
      <x:c r="M999" s="23" t="n">
        <x:v>25</x:v>
      </x:c>
      <x:c r="N999" s="23" t="n">
        <x:v>1.1844812217929037</x:v>
      </x:c>
      <x:c r="O999" s="23" t="n">
        <x:v>52.23393350776697</x:v>
      </x:c>
      <x:c r="P999" s="23" t="n">
        <x:v>1396.1878153611906</x:v>
      </x:c>
      <x:c r="Q999" s="23" t="n">
        <x:v>1.184047672398084</x:v>
      </x:c>
      <x:c r="R999" s="23" t="n">
        <x:v>51.823139678303676</x:v>
      </x:c>
      <x:c r="S999" s="23" t="n">
        <x:v>1396.3133305498418</x:v>
      </x:c>
      <x:c r="T999" s="23" t="n">
        <x:v>-0.0004335493948197655</x:v>
      </x:c>
      <x:c r="U999" s="23" t="n">
        <x:v>-0.41079382946329446</x:v>
      </x:c>
      <x:c r="V999" s="23" t="n">
        <x:v>0.1255151886512067</x:v>
      </x:c>
    </x:row>
    <x:row r="1000">
      <x:c r="A1000" s="23" t="n">
        <x:v>999</x:v>
      </x:c>
      <x:c r="B1000" s="23" t="str">
        <x:v>Hidden Test</x:v>
      </x:c>
      <x:c r="C1000" s="23" t="str">
        <x:v>Lightning</x:v>
      </x:c>
      <x:c r="D1000" s="23" t="n">
        <x:v>1355.9561121510342</x:v>
      </x:c>
      <x:c r="E1000" s="23" t="n">
        <x:v>742.9497163859196</x:v>
      </x:c>
      <x:c r="F1000" s="23" t="n">
        <x:v>737.7608954906464</x:v>
      </x:c>
      <x:c r="G1000" s="23" t="n">
        <x:v>204.37109829625115</x:v>
      </x:c>
      <x:c r="H1000" s="23" t="n">
        <x:v>17.803953337483108</x:v>
      </x:c>
      <x:c r="I1000" s="23" t="n">
        <x:v>0.8301627210504375</x:v>
      </x:c>
      <x:c r="J1000" s="23" t="n">
        <x:v>9</x:v>
      </x:c>
      <x:c r="K1000" s="23" t="n">
        <x:v>181.48464923643584</x:v>
      </x:c>
      <x:c r="L1000" s="23" t="n">
        <x:v>45</x:v>
      </x:c>
      <x:c r="M1000" s="23" t="n">
        <x:v>25</x:v>
      </x:c>
      <x:c r="N1000" s="23" t="n">
        <x:v>1.2280483713876003</x:v>
      </x:c>
      <x:c r="O1000" s="23" t="n">
        <x:v>52.237746365658694</x:v>
      </x:c>
      <x:c r="P1000" s="23" t="n">
        <x:v>1355.9561121510342</x:v>
      </x:c>
      <x:c r="Q1000" s="23" t="n">
        <x:v>1.2365448080947405</x:v>
      </x:c>
      <x:c r="R1000" s="23" t="n">
        <x:v>52.318418803781086</x:v>
      </x:c>
      <x:c r="S1000" s="23" t="n">
        <x:v>1351.5019509672818</x:v>
      </x:c>
      <x:c r="T1000" s="23" t="n">
        <x:v>0.008496436707140287</x:v>
      </x:c>
      <x:c r="U1000" s="23" t="n">
        <x:v>0.08067243812239155</x:v>
      </x:c>
      <x:c r="V1000" s="23" t="n">
        <x:v>-4.454161183752376</x:v>
      </x:c>
    </x:row>
    <x:row r="1001">
      <x:c r="A1001" s="23" t="n">
        <x:v>1000</x:v>
      </x:c>
      <x:c r="B1001" s="23" t="str">
        <x:v>Hidden Test</x:v>
      </x:c>
      <x:c r="C1001" s="23" t="str">
        <x:v>Lightning</x:v>
      </x:c>
      <x:c r="D1001" s="23" t="n">
        <x:v>1378.7439637701027</x:v>
      </x:c>
      <x:c r="E1001" s="23" t="n">
        <x:v>737.386713270098</x:v>
      </x:c>
      <x:c r="F1001" s="23" t="n">
        <x:v>425.29236441478133</x:v>
      </x:c>
      <x:c r="G1001" s="23" t="n">
        <x:v>153.31543939653784</x:v>
      </x:c>
      <x:c r="H1001" s="23" t="n">
        <x:v>24.788509351667017</x:v>
      </x:c>
      <x:c r="I1001" s="23" t="n">
        <x:v>0.836842978456989</x:v>
      </x:c>
      <x:c r="J1001" s="23" t="n">
        <x:v>9</x:v>
      </x:c>
      <x:c r="K1001" s="23" t="n">
        <x:v>183.06155120605735</x:v>
      </x:c>
      <x:c r="L1001" s="23" t="n">
        <x:v>55</x:v>
      </x:c>
      <x:c r="M1001" s="23" t="n">
        <x:v>25</x:v>
      </x:c>
      <x:c r="N1001" s="23" t="n">
        <x:v>1.1878130620831835</x:v>
      </x:c>
      <x:c r="O1001" s="23" t="n">
        <x:v>52.180196445075914</x:v>
      </x:c>
      <x:c r="P1001" s="23" t="n">
        <x:v>1378.7439637701027</x:v>
      </x:c>
      <x:c r="Q1001" s="23" t="n">
        <x:v>1.1652422041572577</x:v>
      </x:c>
      <x:c r="R1001" s="23" t="n">
        <x:v>52.15860233685035</x:v>
      </x:c>
      <x:c r="S1001" s="23" t="n">
        <x:v>1378.804528084089</x:v>
      </x:c>
      <x:c r="T1001" s="23" t="n">
        <x:v>-0.022570857925925836</x:v>
      </x:c>
      <x:c r="U1001" s="23" t="n">
        <x:v>-0.021594108225563957</x:v>
      </x:c>
      <x:c r="V1001" s="23" t="n">
        <x:v>0.06056431398633322</x:v>
      </x:c>
    </x:row>
    <x:row r="1002">
      <x:c r="A1002" s="23" t="n">
        <x:v>1001</x:v>
      </x:c>
      <x:c r="B1002" s="23" t="str">
        <x:v>Train</x:v>
      </x:c>
      <x:c r="C1002" s="23" t="str">
        <x:v>Switching</x:v>
      </x:c>
      <x:c r="D1002" s="23" t="n">
        <x:v>1031.5097128972411</x:v>
      </x:c>
      <x:c r="E1002" s="23" t="n">
        <x:v>1207.838730176445</x:v>
      </x:c>
      <x:c r="F1002" s="23" t="n">
        <x:v>482.7945413067937</x:v>
      </x:c>
      <x:c r="G1002" s="23" t="n">
        <x:v>285.184924940113</x:v>
      </x:c>
      <x:c r="H1002" s="23" t="n">
        <x:v>29.665858259424567</x:v>
      </x:c>
      <x:c r="I1002" s="23" t="n">
        <x:v>0.8597224311647006</x:v>
      </x:c>
      <x:c r="J1002" s="23" t="n">
        <x:v>6</x:v>
      </x:c>
      <x:c r="K1002" s="23" t="n">
        <x:v>199.96952417534214</x:v>
      </x:c>
      <x:c r="L1002" s="23" t="n">
        <x:v>12630</x:v>
      </x:c>
      <x:c r="M1002" s="23" t="n">
        <x:v>1200</x:v>
      </x:c>
      <x:c r="N1002" s="23" t="n">
        <x:v>250.04574708418338</x:v>
      </x:c>
      <x:c r="O1002" s="23" t="n">
        <x:v>2504.6585424728733</x:v>
      </x:c>
      <x:c r="P1002" s="23" t="n">
        <x:v>1031.5097128972411</x:v>
      </x:c>
      <x:c r="Q1002" s="23" t="n">
        <x:v>253.12964038289073</x:v>
      </x:c>
      <x:c r="R1002" s="23" t="n">
        <x:v>2541.5095055491597</x:v>
      </x:c>
      <x:c r="S1002" s="23" t="n">
        <x:v>1019.974141710366</x:v>
      </x:c>
      <x:c r="T1002" s="23" t="n">
        <x:v>3.083893298707352</x:v>
      </x:c>
      <x:c r="U1002" s="23" t="n">
        <x:v>36.85096307628646</x:v>
      </x:c>
      <x:c r="V1002" s="23" t="n">
        <x:v>-11.535571186875131</x:v>
      </x:c>
    </x:row>
    <x:row r="1003">
      <x:c r="A1003" s="23" t="n">
        <x:v>1002</x:v>
      </x:c>
      <x:c r="B1003" s="23" t="str">
        <x:v>Train</x:v>
      </x:c>
      <x:c r="C1003" s="23" t="str">
        <x:v>Switching</x:v>
      </x:c>
      <x:c r="D1003" s="23" t="n">
        <x:v>951.1921946541406</x:v>
      </x:c>
      <x:c r="E1003" s="23" t="n">
        <x:v>1133.9398104930297</x:v>
      </x:c>
      <x:c r="F1003" s="23" t="n">
        <x:v>514.003133866936</x:v>
      </x:c>
      <x:c r="G1003" s="23" t="n">
        <x:v>211.76690670661628</x:v>
      </x:c>
      <x:c r="H1003" s="23" t="n">
        <x:v>18.507448483724147</x:v>
      </x:c>
      <x:c r="I1003" s="23" t="n">
        <x:v>0.8023482110770419</x:v>
      </x:c>
      <x:c r="J1003" s="23" t="n">
        <x:v>6</x:v>
      </x:c>
      <x:c r="K1003" s="23" t="n">
        <x:v>197.58507622214222</x:v>
      </x:c>
      <x:c r="L1003" s="23" t="n">
        <x:v>13415</x:v>
      </x:c>
      <x:c r="M1003" s="23" t="n">
        <x:v>1200</x:v>
      </x:c>
      <x:c r="N1003" s="23" t="n">
        <x:v>249.97951666196474</x:v>
      </x:c>
      <x:c r="O1003" s="23" t="n">
        <x:v>2504.0792082728817</x:v>
      </x:c>
      <x:c r="P1003" s="23" t="n">
        <x:v>951.1921946541406</x:v>
      </x:c>
      <x:c r="Q1003" s="23" t="n">
        <x:v>251.20505833621127</x:v>
      </x:c>
      <x:c r="R1003" s="23" t="n">
        <x:v>2568.020961890356</x:v>
      </x:c>
      <x:c r="S1003" s="23" t="n">
        <x:v>946.8451886311049</x:v>
      </x:c>
      <x:c r="T1003" s="23" t="n">
        <x:v>1.2255416742465286</x:v>
      </x:c>
      <x:c r="U1003" s="23" t="n">
        <x:v>63.941753617474205</x:v>
      </x:c>
      <x:c r="V1003" s="23" t="n">
        <x:v>-4.34700602303576</x:v>
      </x:c>
    </x:row>
    <x:row r="1004">
      <x:c r="A1004" s="23" t="n">
        <x:v>1003</x:v>
      </x:c>
      <x:c r="B1004" s="23" t="str">
        <x:v>Train</x:v>
      </x:c>
      <x:c r="C1004" s="23" t="str">
        <x:v>Switching</x:v>
      </x:c>
      <x:c r="D1004" s="23" t="n">
        <x:v>1093.2033142773435</x:v>
      </x:c>
      <x:c r="E1004" s="23" t="n">
        <x:v>955.7999944896437</x:v>
      </x:c>
      <x:c r="F1004" s="23" t="n">
        <x:v>589.5520348101854</x:v>
      </x:c>
      <x:c r="G1004" s="23" t="n">
        <x:v>108.2310081529431</x:v>
      </x:c>
      <x:c r="H1004" s="23" t="n">
        <x:v>10.451923833228648</x:v>
      </x:c>
      <x:c r="I1004" s="23" t="n">
        <x:v>0.8145381828281097</x:v>
      </x:c>
      <x:c r="J1004" s="23" t="n">
        <x:v>7</x:v>
      </x:c>
      <x:c r="K1004" s="23" t="n">
        <x:v>191.73060923600326</x:v>
      </x:c>
      <x:c r="L1004" s="23" t="n">
        <x:v>12935</x:v>
      </x:c>
      <x:c r="M1004" s="23" t="n">
        <x:v>1200</x:v>
      </x:c>
      <x:c r="N1004" s="23" t="n">
        <x:v>250.03878009794855</x:v>
      </x:c>
      <x:c r="O1004" s="23" t="n">
        <x:v>2504.42583757762</x:v>
      </x:c>
      <x:c r="P1004" s="23" t="n">
        <x:v>1093.2033142773435</x:v>
      </x:c>
      <x:c r="Q1004" s="23" t="n">
        <x:v>254.4040279952221</x:v>
      </x:c>
      <x:c r="R1004" s="23" t="n">
        <x:v>2484.9302021481226</x:v>
      </x:c>
      <x:c r="S1004" s="23" t="n">
        <x:v>1101.1726363024266</x:v>
      </x:c>
      <x:c r="T1004" s="23" t="n">
        <x:v>4.365247897273548</x:v>
      </x:c>
      <x:c r="U1004" s="23" t="n">
        <x:v>-19.49563542949727</x:v>
      </x:c>
      <x:c r="V1004" s="23" t="n">
        <x:v>7.969322025083102</x:v>
      </x:c>
    </x:row>
    <x:row r="1005">
      <x:c r="A1005" s="23" t="n">
        <x:v>1004</x:v>
      </x:c>
      <x:c r="B1005" s="23" t="str">
        <x:v>Train</x:v>
      </x:c>
      <x:c r="C1005" s="23" t="str">
        <x:v>Switching</x:v>
      </x:c>
      <x:c r="D1005" s="23" t="n">
        <x:v>1085.1878991699778</x:v>
      </x:c>
      <x:c r="E1005" s="23" t="n">
        <x:v>1134.196446975693</x:v>
      </x:c>
      <x:c r="F1005" s="23" t="n">
        <x:v>592.6747064106166</x:v>
      </x:c>
      <x:c r="G1005" s="23" t="n">
        <x:v>211.32207549642771</x:v>
      </x:c>
      <x:c r="H1005" s="23" t="n">
        <x:v>24.432476240675896</x:v>
      </x:c>
      <x:c r="I1005" s="23" t="n">
        <x:v>0.7986163841560483</x:v>
      </x:c>
      <x:c r="J1005" s="23" t="n">
        <x:v>7</x:v>
      </x:c>
      <x:c r="K1005" s="23" t="n">
        <x:v>194.11928657386056</x:v>
      </x:c>
      <x:c r="L1005" s="23" t="n">
        <x:v>11035</x:v>
      </x:c>
      <x:c r="M1005" s="23" t="n">
        <x:v>1195</x:v>
      </x:c>
      <x:c r="N1005" s="23" t="n">
        <x:v>250.0259393338379</x:v>
      </x:c>
      <x:c r="O1005" s="23" t="n">
        <x:v>2495.6405995472055</x:v>
      </x:c>
      <x:c r="P1005" s="23" t="n">
        <x:v>1085.1878991699778</x:v>
      </x:c>
      <x:c r="Q1005" s="23" t="n">
        <x:v>251.24507247619624</x:v>
      </x:c>
      <x:c r="R1005" s="23" t="n">
        <x:v>2530.3904986968937</x:v>
      </x:c>
      <x:c r="S1005" s="23" t="n">
        <x:v>1074.4729057502204</x:v>
      </x:c>
      <x:c r="T1005" s="23" t="n">
        <x:v>1.219133142358345</x:v>
      </x:c>
      <x:c r="U1005" s="23" t="n">
        <x:v>34.74989914968819</x:v>
      </x:c>
      <x:c r="V1005" s="23" t="n">
        <x:v>-10.71499341975732</x:v>
      </x:c>
    </x:row>
    <x:row r="1006">
      <x:c r="A1006" s="23" t="n">
        <x:v>1005</x:v>
      </x:c>
      <x:c r="B1006" s="23" t="str">
        <x:v>Train</x:v>
      </x:c>
      <x:c r="C1006" s="23" t="str">
        <x:v>Switching</x:v>
      </x:c>
      <x:c r="D1006" s="23" t="n">
        <x:v>1000.0206758733839</x:v>
      </x:c>
      <x:c r="E1006" s="23" t="n">
        <x:v>820.6461409921758</x:v>
      </x:c>
      <x:c r="F1006" s="23" t="n">
        <x:v>578.4794976934791</x:v>
      </x:c>
      <x:c r="G1006" s="23" t="n">
        <x:v>286.45339210750535</x:v>
      </x:c>
      <x:c r="H1006" s="23" t="n">
        <x:v>20.45329699292779</x:v>
      </x:c>
      <x:c r="I1006" s="23" t="n">
        <x:v>0.8261793362372555</x:v>
      </x:c>
      <x:c r="J1006" s="23" t="n">
        <x:v>7</x:v>
      </x:c>
      <x:c r="K1006" s="23" t="n">
        <x:v>172.91656942665915</x:v>
      </x:c>
      <x:c r="L1006" s="23" t="n">
        <x:v>12685</x:v>
      </x:c>
      <x:c r="M1006" s="23" t="n">
        <x:v>1200</x:v>
      </x:c>
      <x:c r="N1006" s="23" t="n">
        <x:v>249.9510342059175</x:v>
      </x:c>
      <x:c r="O1006" s="23" t="n">
        <x:v>2504.612092654053</x:v>
      </x:c>
      <x:c r="P1006" s="23" t="n">
        <x:v>1000.0206758733839</x:v>
      </x:c>
      <x:c r="Q1006" s="23" t="n">
        <x:v>247.5464192617619</x:v>
      </x:c>
      <x:c r="R1006" s="23" t="n">
        <x:v>2533.9397274039443</x:v>
      </x:c>
      <x:c r="S1006" s="23" t="n">
        <x:v>995.225678152312</x:v>
      </x:c>
      <x:c r="T1006" s="23" t="n">
        <x:v>-2.4046149441555826</x:v>
      </x:c>
      <x:c r="U1006" s="23" t="n">
        <x:v>29.32763474989133</x:v>
      </x:c>
      <x:c r="V1006" s="23" t="n">
        <x:v>-4.794997721071923</x:v>
      </x:c>
    </x:row>
    <x:row r="1007">
      <x:c r="A1007" s="23" t="n">
        <x:v>1006</x:v>
      </x:c>
      <x:c r="B1007" s="23" t="str">
        <x:v>Train</x:v>
      </x:c>
      <x:c r="C1007" s="23" t="str">
        <x:v>Switching</x:v>
      </x:c>
      <x:c r="D1007" s="23" t="n">
        <x:v>1099.187308375258</x:v>
      </x:c>
      <x:c r="E1007" s="23" t="n">
        <x:v>1206.1619297368452</x:v>
      </x:c>
      <x:c r="F1007" s="23" t="n">
        <x:v>497.40886436775327</x:v>
      </x:c>
      <x:c r="G1007" s="23" t="n">
        <x:v>226.4930772781372</x:v>
      </x:c>
      <x:c r="H1007" s="23" t="n">
        <x:v>25.46565784001723</x:v>
      </x:c>
      <x:c r="I1007" s="23" t="n">
        <x:v>0.8514397957129405</x:v>
      </x:c>
      <x:c r="J1007" s="23" t="n">
        <x:v>7</x:v>
      </x:c>
      <x:c r="K1007" s="23" t="n">
        <x:v>184.42496948106418</x:v>
      </x:c>
      <x:c r="L1007" s="23" t="n">
        <x:v>11080</x:v>
      </x:c>
      <x:c r="M1007" s="23" t="n">
        <x:v>1195</x:v>
      </x:c>
      <x:c r="N1007" s="23" t="n">
        <x:v>249.9925943518679</x:v>
      </x:c>
      <x:c r="O1007" s="23" t="n">
        <x:v>2495.5934741088927</x:v>
      </x:c>
      <x:c r="P1007" s="23" t="n">
        <x:v>1099.187308375258</x:v>
      </x:c>
      <x:c r="Q1007" s="23" t="n">
        <x:v>251.82239768435463</x:v>
      </x:c>
      <x:c r="R1007" s="23" t="n">
        <x:v>2545.7319269950012</x:v>
      </x:c>
      <x:c r="S1007" s="23" t="n">
        <x:v>1081.9536041188292</x:v>
      </x:c>
      <x:c r="T1007" s="23" t="n">
        <x:v>1.8298033324867333</x:v>
      </x:c>
      <x:c r="U1007" s="23" t="n">
        <x:v>50.13845288610855</x:v>
      </x:c>
      <x:c r="V1007" s="23" t="n">
        <x:v>-17.233704256428837</x:v>
      </x:c>
    </x:row>
    <x:row r="1008">
      <x:c r="A1008" s="23" t="n">
        <x:v>1007</x:v>
      </x:c>
      <x:c r="B1008" s="23" t="str">
        <x:v>Train</x:v>
      </x:c>
      <x:c r="C1008" s="23" t="str">
        <x:v>Switching</x:v>
      </x:c>
      <x:c r="D1008" s="23" t="n">
        <x:v>1067.857681424357</x:v>
      </x:c>
      <x:c r="E1008" s="23" t="n">
        <x:v>784.5266529475339</x:v>
      </x:c>
      <x:c r="F1008" s="23" t="n">
        <x:v>553.3487237989902</x:v>
      </x:c>
      <x:c r="G1008" s="23" t="n">
        <x:v>285.56793961441144</x:v>
      </x:c>
      <x:c r="H1008" s="23" t="n">
        <x:v>10.965923084877431</x:v>
      </x:c>
      <x:c r="I1008" s="23" t="n">
        <x:v>0.835552025937941</x:v>
      </x:c>
      <x:c r="J1008" s="23" t="n">
        <x:v>7</x:v>
      </x:c>
      <x:c r="K1008" s="23" t="n">
        <x:v>182.57522285951248</x:v>
      </x:c>
      <x:c r="L1008" s="23" t="n">
        <x:v>13175</x:v>
      </x:c>
      <x:c r="M1008" s="23" t="n">
        <x:v>1200</x:v>
      </x:c>
      <x:c r="N1008" s="23" t="n">
        <x:v>250.0360881638317</x:v>
      </x:c>
      <x:c r="O1008" s="23" t="n">
        <x:v>2504.2503882332</x:v>
      </x:c>
      <x:c r="P1008" s="23" t="n">
        <x:v>1067.857681424357</x:v>
      </x:c>
      <x:c r="Q1008" s="23" t="n">
        <x:v>252.2568747257949</x:v>
      </x:c>
      <x:c r="R1008" s="23" t="n">
        <x:v>2493.435303338262</x:v>
      </x:c>
      <x:c r="S1008" s="23" t="n">
        <x:v>1074.4241474054018</x:v>
      </x:c>
      <x:c r="T1008" s="23" t="n">
        <x:v>2.2207865619631946</x:v>
      </x:c>
      <x:c r="U1008" s="23" t="n">
        <x:v>-10.815084894937627</x:v>
      </x:c>
      <x:c r="V1008" s="23" t="n">
        <x:v>6.566465981044757</x:v>
      </x:c>
    </x:row>
    <x:row r="1009">
      <x:c r="A1009" s="23" t="n">
        <x:v>1008</x:v>
      </x:c>
      <x:c r="B1009" s="23" t="str">
        <x:v>Train</x:v>
      </x:c>
      <x:c r="C1009" s="23" t="str">
        <x:v>Switching</x:v>
      </x:c>
      <x:c r="D1009" s="23" t="n">
        <x:v>1053.2479654881172</x:v>
      </x:c>
      <x:c r="E1009" s="23" t="n">
        <x:v>1055.711984820664</x:v>
      </x:c>
      <x:c r="F1009" s="23" t="n">
        <x:v>746.9094141386449</x:v>
      </x:c>
      <x:c r="G1009" s="23" t="n">
        <x:v>165.6226981850341</x:v>
      </x:c>
      <x:c r="H1009" s="23" t="n">
        <x:v>23.902782463934273</x:v>
      </x:c>
      <x:c r="I1009" s="23" t="n">
        <x:v>0.8160090587195009</x:v>
      </x:c>
      <x:c r="J1009" s="23" t="n">
        <x:v>7</x:v>
      </x:c>
      <x:c r="K1009" s="23" t="n">
        <x:v>184.3901038376245</x:v>
      </x:c>
      <x:c r="L1009" s="23" t="n">
        <x:v>10865</x:v>
      </x:c>
      <x:c r="M1009" s="23" t="n">
        <x:v>1195</x:v>
      </x:c>
      <x:c r="N1009" s="23" t="n">
        <x:v>249.99098009447965</x:v>
      </x:c>
      <x:c r="O1009" s="23" t="n">
        <x:v>2495.8148027777206</x:v>
      </x:c>
      <x:c r="P1009" s="23" t="n">
        <x:v>1053.2479654881172</x:v>
      </x:c>
      <x:c r="Q1009" s="23" t="n">
        <x:v>252.4182158670583</x:v>
      </x:c>
      <x:c r="R1009" s="23" t="n">
        <x:v>2521.64576747766</x:v>
      </x:c>
      <x:c r="S1009" s="23" t="n">
        <x:v>1041.6051706873475</x:v>
      </x:c>
      <x:c r="T1009" s="23" t="n">
        <x:v>2.427235772578655</x:v>
      </x:c>
      <x:c r="U1009" s="23" t="n">
        <x:v>25.83096469993916</x:v>
      </x:c>
      <x:c r="V1009" s="23" t="n">
        <x:v>-11.642794800769707</x:v>
      </x:c>
    </x:row>
    <x:row r="1010">
      <x:c r="A1010" s="23" t="n">
        <x:v>1009</x:v>
      </x:c>
      <x:c r="B1010" s="23" t="str">
        <x:v>Train</x:v>
      </x:c>
      <x:c r="C1010" s="23" t="str">
        <x:v>Switching</x:v>
      </x:c>
      <x:c r="D1010" s="23" t="n">
        <x:v>1089.169078785926</x:v>
      </x:c>
      <x:c r="E1010" s="23" t="n">
        <x:v>800.5308048217557</x:v>
      </x:c>
      <x:c r="F1010" s="23" t="n">
        <x:v>375.440070964396</x:v>
      </x:c>
      <x:c r="G1010" s="23" t="n">
        <x:v>160.3432502434589</x:v>
      </x:c>
      <x:c r="H1010" s="23" t="n">
        <x:v>21.871306823566556</x:v>
      </x:c>
      <x:c r="I1010" s="23" t="n">
        <x:v>0.8224036125768908</x:v>
      </x:c>
      <x:c r="J1010" s="23" t="n">
        <x:v>7</x:v>
      </x:c>
      <x:c r="K1010" s="23" t="n">
        <x:v>189.19613229344407</x:v>
      </x:c>
      <x:c r="L1010" s="23" t="n">
        <x:v>16005</x:v>
      </x:c>
      <x:c r="M1010" s="23" t="n">
        <x:v>1200</x:v>
      </x:c>
      <x:c r="N1010" s="23" t="n">
        <x:v>250.022709211572</x:v>
      </x:c>
      <x:c r="O1010" s="23" t="n">
        <x:v>2502.5789517904436</x:v>
      </x:c>
      <x:c r="P1010" s="23" t="n">
        <x:v>1089.169078785926</x:v>
      </x:c>
      <x:c r="Q1010" s="23" t="n">
        <x:v>247.48137861078698</x:v>
      </x:c>
      <x:c r="R1010" s="23" t="n">
        <x:v>2526.5108176371195</x:v>
      </x:c>
      <x:c r="S1010" s="23" t="n">
        <x:v>1086.9217975117476</x:v>
      </x:c>
      <x:c r="T1010" s="23" t="n">
        <x:v>-2.5413306007850167</x:v>
      </x:c>
      <x:c r="U1010" s="23" t="n">
        <x:v>23.93186584667592</x:v>
      </x:c>
      <x:c r="V1010" s="23" t="n">
        <x:v>-2.2472812741784765</x:v>
      </x:c>
    </x:row>
    <x:row r="1011">
      <x:c r="A1011" s="23" t="n">
        <x:v>1010</x:v>
      </x:c>
      <x:c r="B1011" s="23" t="str">
        <x:v>Train</x:v>
      </x:c>
      <x:c r="C1011" s="23" t="str">
        <x:v>Switching</x:v>
      </x:c>
      <x:c r="D1011" s="23" t="n">
        <x:v>957.216496730689</x:v>
      </x:c>
      <x:c r="E1011" s="23" t="n">
        <x:v>923.4003325225785</x:v>
      </x:c>
      <x:c r="F1011" s="23" t="n">
        <x:v>468.1146630086005</x:v>
      </x:c>
      <x:c r="G1011" s="23" t="n">
        <x:v>144.91973740048707</x:v>
      </x:c>
      <x:c r="H1011" s="23" t="n">
        <x:v>15.472391427028924</x:v>
      </x:c>
      <x:c r="I1011" s="23" t="n">
        <x:v>0.7948795432085172</x:v>
      </x:c>
      <x:c r="J1011" s="23" t="n">
        <x:v>7</x:v>
      </x:c>
      <x:c r="K1011" s="23" t="n">
        <x:v>172.03262429763913</x:v>
      </x:c>
      <x:c r="L1011" s="23" t="n">
        <x:v>13920</x:v>
      </x:c>
      <x:c r="M1011" s="23" t="n">
        <x:v>1200</x:v>
      </x:c>
      <x:c r="N1011" s="23" t="n">
        <x:v>250.01636610098942</x:v>
      </x:c>
      <x:c r="O1011" s="23" t="n">
        <x:v>2503.7438938673417</x:v>
      </x:c>
      <x:c r="P1011" s="23" t="n">
        <x:v>957.216496730689</x:v>
      </x:c>
      <x:c r="Q1011" s="23" t="n">
        <x:v>250.74556158455215</x:v>
      </x:c>
      <x:c r="R1011" s="23" t="n">
        <x:v>2535.6000689944176</x:v>
      </x:c>
      <x:c r="S1011" s="23" t="n">
        <x:v>962.3633811944154</x:v>
      </x:c>
      <x:c r="T1011" s="23" t="n">
        <x:v>0.7291954835627337</x:v>
      </x:c>
      <x:c r="U1011" s="23" t="n">
        <x:v>31.856175127075858</x:v>
      </x:c>
      <x:c r="V1011" s="23" t="n">
        <x:v>5.146884463726451</x:v>
      </x:c>
    </x:row>
    <x:row r="1012">
      <x:c r="A1012" s="23" t="n">
        <x:v>1011</x:v>
      </x:c>
      <x:c r="B1012" s="23" t="str">
        <x:v>Train</x:v>
      </x:c>
      <x:c r="C1012" s="23" t="str">
        <x:v>Switching</x:v>
      </x:c>
      <x:c r="D1012" s="23" t="n">
        <x:v>1077.4069374194369</x:v>
      </x:c>
      <x:c r="E1012" s="23" t="n">
        <x:v>1110.9792310395278</x:v>
      </x:c>
      <x:c r="F1012" s="23" t="n">
        <x:v>662.6093860715628</x:v>
      </x:c>
      <x:c r="G1012" s="23" t="n">
        <x:v>225.48622322035953</x:v>
      </x:c>
      <x:c r="H1012" s="23" t="n">
        <x:v>9.295611870475113</x:v>
      </x:c>
      <x:c r="I1012" s="23" t="n">
        <x:v>0.8267251754249446</x:v>
      </x:c>
      <x:c r="J1012" s="23" t="n">
        <x:v>7</x:v>
      </x:c>
      <x:c r="K1012" s="23" t="n">
        <x:v>186.17465797517457</x:v>
      </x:c>
      <x:c r="L1012" s="23" t="n">
        <x:v>10700</x:v>
      </x:c>
      <x:c r="M1012" s="23" t="n">
        <x:v>1195</x:v>
      </x:c>
      <x:c r="N1012" s="23" t="n">
        <x:v>250.05053732633934</x:v>
      </x:c>
      <x:c r="O1012" s="23" t="n">
        <x:v>2495.9935269002854</x:v>
      </x:c>
      <x:c r="P1012" s="23" t="n">
        <x:v>1077.4069374194369</x:v>
      </x:c>
      <x:c r="Q1012" s="23" t="n">
        <x:v>253.86447885791742</x:v>
      </x:c>
      <x:c r="R1012" s="23" t="n">
        <x:v>2531.889294863788</x:v>
      </x:c>
      <x:c r="S1012" s="23" t="n">
        <x:v>1075.1821056312795</x:v>
      </x:c>
      <x:c r="T1012" s="23" t="n">
        <x:v>3.813941531578081</x:v>
      </x:c>
      <x:c r="U1012" s="23" t="n">
        <x:v>35.89576796350275</x:v>
      </x:c>
      <x:c r="V1012" s="23" t="n">
        <x:v>-2.2248317881574167</x:v>
      </x:c>
    </x:row>
    <x:row r="1013">
      <x:c r="A1013" s="23" t="n">
        <x:v>1012</x:v>
      </x:c>
      <x:c r="B1013" s="23" t="str">
        <x:v>Train</x:v>
      </x:c>
      <x:c r="C1013" s="23" t="str">
        <x:v>Switching</x:v>
      </x:c>
      <x:c r="D1013" s="23" t="n">
        <x:v>1038.39132724097</x:v>
      </x:c>
      <x:c r="E1013" s="23" t="n">
        <x:v>640.6725431326777</x:v>
      </x:c>
      <x:c r="F1013" s="23" t="n">
        <x:v>668.9551400952041</x:v>
      </x:c>
      <x:c r="G1013" s="23" t="n">
        <x:v>141.87134922947735</x:v>
      </x:c>
      <x:c r="H1013" s="23" t="n">
        <x:v>27.06020063115284</x:v>
      </x:c>
      <x:c r="I1013" s="23" t="n">
        <x:v>0.8143379343487323</x:v>
      </x:c>
      <x:c r="J1013" s="23" t="n">
        <x:v>7</x:v>
      </x:c>
      <x:c r="K1013" s="23" t="n">
        <x:v>182.16223501354852</x:v>
      </x:c>
      <x:c r="L1013" s="23" t="n">
        <x:v>14735</x:v>
      </x:c>
      <x:c r="M1013" s="23" t="n">
        <x:v>1200</x:v>
      </x:c>
      <x:c r="N1013" s="23" t="n">
        <x:v>250.02437672094888</x:v>
      </x:c>
      <x:c r="O1013" s="23" t="n">
        <x:v>2503.2494661677406</x:v>
      </x:c>
      <x:c r="P1013" s="23" t="n">
        <x:v>1038.39132724097</x:v>
      </x:c>
      <x:c r="Q1013" s="23" t="n">
        <x:v>246.19185014866218</x:v>
      </x:c>
      <x:c r="R1013" s="23" t="n">
        <x:v>2437.2333857652106</x:v>
      </x:c>
      <x:c r="S1013" s="23" t="n">
        <x:v>1028.75925922744</x:v>
      </x:c>
      <x:c r="T1013" s="23" t="n">
        <x:v>-3.832526572286696</x:v>
      </x:c>
      <x:c r="U1013" s="23" t="n">
        <x:v>-66.01608040252995</x:v>
      </x:c>
      <x:c r="V1013" s="23" t="n">
        <x:v>-9.632068013529988</x:v>
      </x:c>
    </x:row>
    <x:row r="1014">
      <x:c r="A1014" s="23" t="n">
        <x:v>1013</x:v>
      </x:c>
      <x:c r="B1014" s="23" t="str">
        <x:v>Train</x:v>
      </x:c>
      <x:c r="C1014" s="23" t="str">
        <x:v>Switching</x:v>
      </x:c>
      <x:c r="D1014" s="23" t="n">
        <x:v>998.4761652071029</x:v>
      </x:c>
      <x:c r="E1014" s="23" t="n">
        <x:v>705.3067117813043</x:v>
      </x:c>
      <x:c r="F1014" s="23" t="n">
        <x:v>539.4596664234996</x:v>
      </x:c>
      <x:c r="G1014" s="23" t="n">
        <x:v>108.55047798948362</x:v>
      </x:c>
      <x:c r="H1014" s="23" t="n">
        <x:v>11.818534582853317</x:v>
      </x:c>
      <x:c r="I1014" s="23" t="n">
        <x:v>0.82013187965611</x:v>
      </x:c>
      <x:c r="J1014" s="23" t="n">
        <x:v>7</x:v>
      </x:c>
      <x:c r="K1014" s="23" t="n">
        <x:v>173.92257966152164</x:v>
      </x:c>
      <x:c r="L1014" s="23" t="n">
        <x:v>15800</x:v>
      </x:c>
      <x:c r="M1014" s="23" t="n">
        <x:v>1200</x:v>
      </x:c>
      <x:c r="N1014" s="23" t="n">
        <x:v>249.9605530395236</x:v>
      </x:c>
      <x:c r="O1014" s="23" t="n">
        <x:v>2502.6779280832784</x:v>
      </x:c>
      <x:c r="P1014" s="23" t="n">
        <x:v>998.4761652071029</x:v>
      </x:c>
      <x:c r="Q1014" s="23" t="n">
        <x:v>247.35722883833586</x:v>
      </x:c>
      <x:c r="R1014" s="23" t="n">
        <x:v>2499.286989899075</x:v>
      </x:c>
      <x:c r="S1014" s="23" t="n">
        <x:v>1009.1855970358447</x:v>
      </x:c>
      <x:c r="T1014" s="23" t="n">
        <x:v>-2.603324201187746</x:v>
      </x:c>
      <x:c r="U1014" s="23" t="n">
        <x:v>-3.3909381842036055</x:v>
      </x:c>
      <x:c r="V1014" s="23" t="n">
        <x:v>10.709431828741799</x:v>
      </x:c>
    </x:row>
    <x:row r="1015">
      <x:c r="A1015" s="23" t="n">
        <x:v>1014</x:v>
      </x:c>
      <x:c r="B1015" s="23" t="str">
        <x:v>Train</x:v>
      </x:c>
      <x:c r="C1015" s="23" t="str">
        <x:v>Switching</x:v>
      </x:c>
      <x:c r="D1015" s="23" t="n">
        <x:v>1041.4569729124196</x:v>
      </x:c>
      <x:c r="E1015" s="23" t="n">
        <x:v>614.0713782748207</x:v>
      </x:c>
      <x:c r="F1015" s="23" t="n">
        <x:v>481.9182020612061</x:v>
      </x:c>
      <x:c r="G1015" s="23" t="n">
        <x:v>104.82069889083505</x:v>
      </x:c>
      <x:c r="H1015" s="23" t="n">
        <x:v>28.489766916725785</x:v>
      </x:c>
      <x:c r="I1015" s="23" t="n">
        <x:v>0.8360426857834682</x:v>
      </x:c>
      <x:c r="J1015" s="23" t="n">
        <x:v>7</x:v>
      </x:c>
      <x:c r="K1015" s="23" t="n">
        <x:v>177.9569035036692</x:v>
      </x:c>
      <x:c r="L1015" s="23" t="n">
        <x:v>17810</x:v>
      </x:c>
      <x:c r="M1015" s="23" t="n">
        <x:v>1200</x:v>
      </x:c>
      <x:c r="N1015" s="23" t="n">
        <x:v>250.00785628175947</x:v>
      </x:c>
      <x:c r="O1015" s="23" t="n">
        <x:v>2501.790156797435</x:v>
      </x:c>
      <x:c r="P1015" s="23" t="n">
        <x:v>1041.4569729124196</x:v>
      </x:c>
      <x:c r="Q1015" s="23" t="n">
        <x:v>249.3850003138925</x:v>
      </x:c>
      <x:c r="R1015" s="23" t="n">
        <x:v>2489.5358373818945</x:v>
      </x:c>
      <x:c r="S1015" s="23" t="n">
        <x:v>1036.2913969569634</x:v>
      </x:c>
      <x:c r="T1015" s="23" t="n">
        <x:v>-0.6228559678669683</x:v>
      </x:c>
      <x:c r="U1015" s="23" t="n">
        <x:v>-12.254319415540522</x:v>
      </x:c>
      <x:c r="V1015" s="23" t="n">
        <x:v>-5.165575955456234</x:v>
      </x:c>
    </x:row>
    <x:row r="1016">
      <x:c r="A1016" s="23" t="n">
        <x:v>1015</x:v>
      </x:c>
      <x:c r="B1016" s="23" t="str">
        <x:v>Validation</x:v>
      </x:c>
      <x:c r="C1016" s="23" t="str">
        <x:v>Switching</x:v>
      </x:c>
      <x:c r="D1016" s="23" t="n">
        <x:v>1084.586723265238</x:v>
      </x:c>
      <x:c r="E1016" s="23" t="n">
        <x:v>1037.4641543370672</x:v>
      </x:c>
      <x:c r="F1016" s="23" t="n">
        <x:v>673.0412855744362</x:v>
      </x:c>
      <x:c r="G1016" s="23" t="n">
        <x:v>323.93623595824465</x:v>
      </x:c>
      <x:c r="H1016" s="23" t="n">
        <x:v>9.951434354297817</x:v>
      </x:c>
      <x:c r="I1016" s="23" t="n">
        <x:v>0.804197536741849</x:v>
      </x:c>
      <x:c r="J1016" s="23" t="n">
        <x:v>7</x:v>
      </x:c>
      <x:c r="K1016" s="23" t="n">
        <x:v>192.66530098338183</x:v>
      </x:c>
      <x:c r="L1016" s="23" t="n">
        <x:v>10510</x:v>
      </x:c>
      <x:c r="M1016" s="23" t="n">
        <x:v>1195</x:v>
      </x:c>
      <x:c r="N1016" s="23" t="n">
        <x:v>249.95565210173757</x:v>
      </x:c>
      <x:c r="O1016" s="23" t="n">
        <x:v>2496.1985465007247</x:v>
      </x:c>
      <x:c r="P1016" s="23" t="n">
        <x:v>1084.586723265238</x:v>
      </x:c>
      <x:c r="Q1016" s="23" t="n">
        <x:v>253.23468845913132</x:v>
      </x:c>
      <x:c r="R1016" s="23" t="n">
        <x:v>2542.7692679032407</x:v>
      </x:c>
      <x:c r="S1016" s="23" t="n">
        <x:v>1087.1807037090366</x:v>
      </x:c>
      <x:c r="T1016" s="23" t="n">
        <x:v>3.2790363573937498</x:v>
      </x:c>
      <x:c r="U1016" s="23" t="n">
        <x:v>46.57072140251603</x:v>
      </x:c>
      <x:c r="V1016" s="23" t="n">
        <x:v>2.5939804437985003</x:v>
      </x:c>
    </x:row>
    <x:row r="1017">
      <x:c r="A1017" s="23" t="n">
        <x:v>1016</x:v>
      </x:c>
      <x:c r="B1017" s="23" t="str">
        <x:v>Validation</x:v>
      </x:c>
      <x:c r="C1017" s="23" t="str">
        <x:v>Switching</x:v>
      </x:c>
      <x:c r="D1017" s="23" t="n">
        <x:v>1031.6798983956687</x:v>
      </x:c>
      <x:c r="E1017" s="23" t="n">
        <x:v>895.9114010445774</x:v>
      </x:c>
      <x:c r="F1017" s="23" t="n">
        <x:v>521.2417892180383</x:v>
      </x:c>
      <x:c r="G1017" s="23" t="n">
        <x:v>288.5158402333036</x:v>
      </x:c>
      <x:c r="H1017" s="23" t="n">
        <x:v>20.14235729491338</x:v>
      </x:c>
      <x:c r="I1017" s="23" t="n">
        <x:v>0.8424039444047958</x:v>
      </x:c>
      <x:c r="J1017" s="23" t="n">
        <x:v>7</x:v>
      </x:c>
      <x:c r="K1017" s="23" t="n">
        <x:v>174.95507185936395</x:v>
      </x:c>
      <x:c r="L1017" s="23" t="n">
        <x:v>12540</x:v>
      </x:c>
      <x:c r="M1017" s="23" t="n">
        <x:v>1200</x:v>
      </x:c>
      <x:c r="N1017" s="23" t="n">
        <x:v>250.03893692569264</x:v>
      </x:c>
      <x:c r="O1017" s="23" t="n">
        <x:v>2504.7290405603226</x:v>
      </x:c>
      <x:c r="P1017" s="23" t="n">
        <x:v>1031.6798983956687</x:v>
      </x:c>
      <x:c r="Q1017" s="23" t="n">
        <x:v>252.60912994531608</x:v>
      </x:c>
      <x:c r="R1017" s="23" t="n">
        <x:v>2513.4237813095147</x:v>
      </x:c>
      <x:c r="S1017" s="23" t="n">
        <x:v>1026.5733923835112</x:v>
      </x:c>
      <x:c r="T1017" s="23" t="n">
        <x:v>2.5701930196234457</x:v>
      </x:c>
      <x:c r="U1017" s="23" t="n">
        <x:v>8.694740749192079</x:v>
      </x:c>
      <x:c r="V1017" s="23" t="n">
        <x:v>-5.106506012157524</x:v>
      </x:c>
    </x:row>
    <x:row r="1018">
      <x:c r="A1018" s="23" t="n">
        <x:v>1017</x:v>
      </x:c>
      <x:c r="B1018" s="23" t="str">
        <x:v>Validation</x:v>
      </x:c>
      <x:c r="C1018" s="23" t="str">
        <x:v>Switching</x:v>
      </x:c>
      <x:c r="D1018" s="23" t="n">
        <x:v>1075.833349302411</x:v>
      </x:c>
      <x:c r="E1018" s="23" t="n">
        <x:v>1211.683764157351</x:v>
      </x:c>
      <x:c r="F1018" s="23" t="n">
        <x:v>639.8327367380261</x:v>
      </x:c>
      <x:c r="G1018" s="23" t="n">
        <x:v>286.5912825637497</x:v>
      </x:c>
      <x:c r="H1018" s="23" t="n">
        <x:v>22.399124843999743</x:v>
      </x:c>
      <x:c r="I1018" s="23" t="n">
        <x:v>0.8106005356949755</x:v>
      </x:c>
      <x:c r="J1018" s="23" t="n">
        <x:v>7</x:v>
      </x:c>
      <x:c r="K1018" s="23" t="n">
        <x:v>189.6007610456427</x:v>
      </x:c>
      <x:c r="L1018" s="23" t="n">
        <x:v>10000</x:v>
      </x:c>
      <x:c r="M1018" s="23" t="n">
        <x:v>1195</x:v>
      </x:c>
      <x:c r="N1018" s="23" t="n">
        <x:v>249.94546785938095</x:v>
      </x:c>
      <x:c r="O1018" s="23" t="n">
        <x:v>2496.799493224784</x:v>
      </x:c>
      <x:c r="P1018" s="23" t="n">
        <x:v>1075.833349302411</x:v>
      </x:c>
      <x:c r="Q1018" s="23" t="n">
        <x:v>253.98180453349966</x:v>
      </x:c>
      <x:c r="R1018" s="23" t="n">
        <x:v>2524.7115381988942</x:v>
      </x:c>
      <x:c r="S1018" s="23" t="n">
        <x:v>1067.3226120428778</x:v>
      </x:c>
      <x:c r="T1018" s="23" t="n">
        <x:v>4.036336674118701</x:v>
      </x:c>
      <x:c r="U1018" s="23" t="n">
        <x:v>27.91204497411036</x:v>
      </x:c>
      <x:c r="V1018" s="23" t="n">
        <x:v>-8.510737259533244</x:v>
      </x:c>
    </x:row>
    <x:row r="1019">
      <x:c r="A1019" s="23" t="n">
        <x:v>1018</x:v>
      </x:c>
      <x:c r="B1019" s="23" t="str">
        <x:v>Hidden Test</x:v>
      </x:c>
      <x:c r="C1019" s="23" t="str">
        <x:v>Switching</x:v>
      </x:c>
      <x:c r="D1019" s="23" t="n">
        <x:v>976.4086658717133</x:v>
      </x:c>
      <x:c r="E1019" s="23" t="n">
        <x:v>1119.87134127412</x:v>
      </x:c>
      <x:c r="F1019" s="23" t="n">
        <x:v>656.3252226449549</x:v>
      </x:c>
      <x:c r="G1019" s="23" t="n">
        <x:v>133.53142670355737</x:v>
      </x:c>
      <x:c r="H1019" s="23" t="n">
        <x:v>26.220464420039207</x:v>
      </x:c>
      <x:c r="I1019" s="23" t="n">
        <x:v>0.8400571946101264</x:v>
      </x:c>
      <x:c r="J1019" s="23" t="n">
        <x:v>6</x:v>
      </x:c>
      <x:c r="K1019" s="23" t="n">
        <x:v>193.71868807196083</x:v>
      </x:c>
      <x:c r="L1019" s="23" t="n">
        <x:v>13065</x:v>
      </x:c>
      <x:c r="M1019" s="23" t="n">
        <x:v>1200</x:v>
      </x:c>
      <x:c r="N1019" s="23" t="n">
        <x:v>250.00567214019264</x:v>
      </x:c>
      <x:c r="O1019" s="23" t="n">
        <x:v>2504.3287787820104</x:v>
      </x:c>
      <x:c r="P1019" s="23" t="n">
        <x:v>976.4086658717133</x:v>
      </x:c>
      <x:c r="Q1019" s="23" t="n">
        <x:v>251.3194462658022</x:v>
      </x:c>
      <x:c r="R1019" s="23" t="n">
        <x:v>2516.6457258673695</x:v>
      </x:c>
      <x:c r="S1019" s="23" t="n">
        <x:v>958.8388940148348</x:v>
      </x:c>
      <x:c r="T1019" s="23" t="n">
        <x:v>1.3137741256095694</x:v>
      </x:c>
      <x:c r="U1019" s="23" t="n">
        <x:v>12.316947085359061</x:v>
      </x:c>
      <x:c r="V1019" s="23" t="n">
        <x:v>-17.56977185687856</x:v>
      </x:c>
    </x:row>
    <x:row r="1020">
      <x:c r="A1020" s="23" t="n">
        <x:v>1019</x:v>
      </x:c>
      <x:c r="B1020" s="23" t="str">
        <x:v>Hidden Test</x:v>
      </x:c>
      <x:c r="C1020" s="23" t="str">
        <x:v>Switching</x:v>
      </x:c>
      <x:c r="D1020" s="23" t="n">
        <x:v>1098.4566469443962</x:v>
      </x:c>
      <x:c r="E1020" s="23" t="n">
        <x:v>1187.88304036716</x:v>
      </x:c>
      <x:c r="F1020" s="23" t="n">
        <x:v>609.206971898675</x:v>
      </x:c>
      <x:c r="G1020" s="23" t="n">
        <x:v>192.07926942734048</x:v>
      </x:c>
      <x:c r="H1020" s="23" t="n">
        <x:v>12.836527266539633</x:v>
      </x:c>
      <x:c r="I1020" s="23" t="n">
        <x:v>0.8591785572725349</x:v>
      </x:c>
      <x:c r="J1020" s="23" t="n">
        <x:v>7</x:v>
      </x:c>
      <x:c r="K1020" s="23" t="n">
        <x:v>182.64233529414926</x:v>
      </x:c>
      <x:c r="L1020" s="23" t="n">
        <x:v>10750</x:v>
      </x:c>
      <x:c r="M1020" s="23" t="n">
        <x:v>1195</x:v>
      </x:c>
      <x:c r="N1020" s="23" t="n">
        <x:v>249.97428680327783</x:v>
      </x:c>
      <x:c r="O1020" s="23" t="n">
        <x:v>2495.936104921665</x:v>
      </x:c>
      <x:c r="P1020" s="23" t="n">
        <x:v>1098.4566469443962</x:v>
      </x:c>
      <x:c r="Q1020" s="23" t="n">
        <x:v>251.40589584528325</x:v>
      </x:c>
      <x:c r="R1020" s="23" t="n">
        <x:v>2503.281662418382</x:v>
      </x:c>
      <x:c r="S1020" s="23" t="n">
        <x:v>1097.598393467061</x:v>
      </x:c>
      <x:c r="T1020" s="23" t="n">
        <x:v>1.4316090420054195</x:v>
      </x:c>
      <x:c r="U1020" s="23" t="n">
        <x:v>7.345557496716992</x:v>
      </x:c>
      <x:c r="V1020" s="23" t="n">
        <x:v>-0.8582534773352108</x:v>
      </x:c>
    </x:row>
    <x:row r="1021">
      <x:c r="A1021" s="23" t="n">
        <x:v>1020</x:v>
      </x:c>
      <x:c r="B1021" s="23" t="str">
        <x:v>Hidden Test</x:v>
      </x:c>
      <x:c r="C1021" s="23" t="str">
        <x:v>Switching</x:v>
      </x:c>
      <x:c r="D1021" s="23" t="n">
        <x:v>1099.208208580967</x:v>
      </x:c>
      <x:c r="E1021" s="23" t="n">
        <x:v>1158.1265303771943</x:v>
      </x:c>
      <x:c r="F1021" s="23" t="n">
        <x:v>729.3355579487979</x:v>
      </x:c>
      <x:c r="G1021" s="23" t="n">
        <x:v>88.7636950192973</x:v>
      </x:c>
      <x:c r="H1021" s="23" t="n">
        <x:v>25.465271036606282</x:v>
      </x:c>
      <x:c r="I1021" s="23" t="n">
        <x:v>0.8328454169631004</x:v>
      </x:c>
      <x:c r="J1021" s="23" t="n">
        <x:v>7</x:v>
      </x:c>
      <x:c r="K1021" s="23" t="n">
        <x:v>188.54608656620914</x:v>
      </x:c>
      <x:c r="L1021" s="23" t="n">
        <x:v>10820</x:v>
      </x:c>
      <x:c r="M1021" s="23" t="n">
        <x:v>1195</x:v>
      </x:c>
      <x:c r="N1021" s="23" t="n">
        <x:v>249.96520104444483</x:v>
      </x:c>
      <x:c r="O1021" s="23" t="n">
        <x:v>2495.861072173634</x:v>
      </x:c>
      <x:c r="P1021" s="23" t="n">
        <x:v>1099.208208580967</x:v>
      </x:c>
      <x:c r="Q1021" s="23" t="n">
        <x:v>249.56654669442312</x:v>
      </x:c>
      <x:c r="R1021" s="23" t="n">
        <x:v>2536.6538679685746</x:v>
      </x:c>
      <x:c r="S1021" s="23" t="n">
        <x:v>1090.9751324691576</x:v>
      </x:c>
      <x:c r="T1021" s="23" t="n">
        <x:v>-0.398654350021701</x:v>
      </x:c>
      <x:c r="U1021" s="23" t="n">
        <x:v>40.7927957949405</x:v>
      </x:c>
      <x:c r="V1021" s="23" t="n">
        <x:v>-8.233076111809396</x:v>
      </x:c>
    </x:row>
    <x:row r="1022">
      <x:c r="A1022" s="23" t="n">
        <x:v>1021</x:v>
      </x:c>
      <x:c r="B1022" s="23" t="str">
        <x:v>Train</x:v>
      </x:c>
      <x:c r="C1022" s="23" t="str">
        <x:v>Switching</x:v>
      </x:c>
      <x:c r="D1022" s="23" t="n">
        <x:v>987.9093203227967</x:v>
      </x:c>
      <x:c r="E1022" s="23" t="n">
        <x:v>1019.5554961333983</x:v>
      </x:c>
      <x:c r="F1022" s="23" t="n">
        <x:v>421.16653975099325</x:v>
      </x:c>
      <x:c r="G1022" s="23" t="n">
        <x:v>191.87888198764995</x:v>
      </x:c>
      <x:c r="H1022" s="23" t="n">
        <x:v>8.445058789104223</x:v>
      </x:c>
      <x:c r="I1022" s="23" t="n">
        <x:v>0.8239640926220455</x:v>
      </x:c>
      <x:c r="J1022" s="23" t="n">
        <x:v>6</x:v>
      </x:c>
      <x:c r="K1022" s="23" t="n">
        <x:v>199.82855425552975</x:v>
      </x:c>
      <x:c r="L1022" s="23" t="n">
        <x:v>15280</x:v>
      </x:c>
      <x:c r="M1022" s="23" t="n">
        <x:v>1200</x:v>
      </x:c>
      <x:c r="N1022" s="23" t="n">
        <x:v>249.96053538032692</x:v>
      </x:c>
      <x:c r="O1022" s="23" t="n">
        <x:v>2502.946025539814</x:v>
      </x:c>
      <x:c r="P1022" s="23" t="n">
        <x:v>987.9093203227967</x:v>
      </x:c>
      <x:c r="Q1022" s="23" t="n">
        <x:v>254.4285573218919</x:v>
      </x:c>
      <x:c r="R1022" s="23" t="n">
        <x:v>2525.9611520198223</x:v>
      </x:c>
      <x:c r="S1022" s="23" t="n">
        <x:v>996.8292639352169</x:v>
      </x:c>
      <x:c r="T1022" s="23" t="n">
        <x:v>4.4680219415649844</x:v>
      </x:c>
      <x:c r="U1022" s="23" t="n">
        <x:v>23.015126480008348</x:v>
      </x:c>
      <x:c r="V1022" s="23" t="n">
        <x:v>8.919943612420184</x:v>
      </x:c>
    </x:row>
    <x:row r="1023">
      <x:c r="A1023" s="23" t="n">
        <x:v>1022</x:v>
      </x:c>
      <x:c r="B1023" s="23" t="str">
        <x:v>Train</x:v>
      </x:c>
      <x:c r="C1023" s="23" t="str">
        <x:v>Switching</x:v>
      </x:c>
      <x:c r="D1023" s="23" t="n">
        <x:v>969.8545474675484</x:v>
      </x:c>
      <x:c r="E1023" s="23" t="n">
        <x:v>1146.1456733522937</x:v>
      </x:c>
      <x:c r="F1023" s="23" t="n">
        <x:v>461.00363628938794</x:v>
      </x:c>
      <x:c r="G1023" s="23" t="n">
        <x:v>93.8261141255498</x:v>
      </x:c>
      <x:c r="H1023" s="23" t="n">
        <x:v>27.50360051030293</x:v>
      </x:c>
      <x:c r="I1023" s="23" t="n">
        <x:v>0.7958319780556485</x:v>
      </x:c>
      <x:c r="J1023" s="23" t="n">
        <x:v>7</x:v>
      </x:c>
      <x:c r="K1023" s="23" t="n">
        <x:v>174.09535361562595</x:v>
      </x:c>
      <x:c r="L1023" s="23" t="n">
        <x:v>12575</x:v>
      </x:c>
      <x:c r="M1023" s="23" t="n">
        <x:v>1200</x:v>
      </x:c>
      <x:c r="N1023" s="23" t="n">
        <x:v>250.04701624378717</x:v>
      </x:c>
      <x:c r="O1023" s="23" t="n">
        <x:v>2504.7017181368337</x:v>
      </x:c>
      <x:c r="P1023" s="23" t="n">
        <x:v>969.8545474675484</x:v>
      </x:c>
      <x:c r="Q1023" s="23" t="n">
        <x:v>248.65785677848137</x:v>
      </x:c>
      <x:c r="R1023" s="23" t="n">
        <x:v>2562.190157184729</x:v>
      </x:c>
      <x:c r="S1023" s="23" t="n">
        <x:v>955.3077786383948</x:v>
      </x:c>
      <x:c r="T1023" s="23" t="n">
        <x:v>-1.389159465305795</x:v>
      </x:c>
      <x:c r="U1023" s="23" t="n">
        <x:v>57.4884390478951</x:v>
      </x:c>
      <x:c r="V1023" s="23" t="n">
        <x:v>-14.54676882915362</x:v>
      </x:c>
    </x:row>
    <x:row r="1024">
      <x:c r="A1024" s="23" t="n">
        <x:v>1023</x:v>
      </x:c>
      <x:c r="B1024" s="23" t="str">
        <x:v>Train</x:v>
      </x:c>
      <x:c r="C1024" s="23" t="str">
        <x:v>Switching</x:v>
      </x:c>
      <x:c r="D1024" s="23" t="n">
        <x:v>1096.4431300992146</x:v>
      </x:c>
      <x:c r="E1024" s="23" t="n">
        <x:v>758.3338949014433</x:v>
      </x:c>
      <x:c r="F1024" s="23" t="n">
        <x:v>706.8338505923748</x:v>
      </x:c>
      <x:c r="G1024" s="23" t="n">
        <x:v>179.7402886277996</x:v>
      </x:c>
      <x:c r="H1024" s="23" t="n">
        <x:v>9.139175958000124</x:v>
      </x:c>
      <x:c r="I1024" s="23" t="n">
        <x:v>0.8283567722304724</x:v>
      </x:c>
      <x:c r="J1024" s="23" t="n">
        <x:v>7</x:v>
      </x:c>
      <x:c r="K1024" s="23" t="n">
        <x:v>189.09090638512475</x:v>
      </x:c>
      <x:c r="L1024" s="23" t="n">
        <x:v>13000</x:v>
      </x:c>
      <x:c r="M1024" s="23" t="n">
        <x:v>1200</x:v>
      </x:c>
      <x:c r="N1024" s="23" t="n">
        <x:v>249.97688359405362</x:v>
      </x:c>
      <x:c r="O1024" s="23" t="n">
        <x:v>2504.375338648229</x:v>
      </x:c>
      <x:c r="P1024" s="23" t="n">
        <x:v>1096.4431300992146</x:v>
      </x:c>
      <x:c r="Q1024" s="23" t="n">
        <x:v>249.817638722961</x:v>
      </x:c>
      <x:c r="R1024" s="23" t="n">
        <x:v>2459.723682127819</x:v>
      </x:c>
      <x:c r="S1024" s="23" t="n">
        <x:v>1104.046868613686</x:v>
      </x:c>
      <x:c r="T1024" s="23" t="n">
        <x:v>-0.15924487109262486</x:v>
      </x:c>
      <x:c r="U1024" s="23" t="n">
        <x:v>-44.65165652041014</x:v>
      </x:c>
      <x:c r="V1024" s="23" t="n">
        <x:v>7.603738514471388</x:v>
      </x:c>
    </x:row>
    <x:row r="1025">
      <x:c r="A1025" s="23" t="n">
        <x:v>1024</x:v>
      </x:c>
      <x:c r="B1025" s="23" t="str">
        <x:v>Train</x:v>
      </x:c>
      <x:c r="C1025" s="23" t="str">
        <x:v>Switching</x:v>
      </x:c>
      <x:c r="D1025" s="23" t="n">
        <x:v>971.2971286731772</x:v>
      </x:c>
      <x:c r="E1025" s="23" t="n">
        <x:v>1200.2313036471605</x:v>
      </x:c>
      <x:c r="F1025" s="23" t="n">
        <x:v>420.2445982955396</x:v>
      </x:c>
      <x:c r="G1025" s="23" t="n">
        <x:v>320.25317013729364</x:v>
      </x:c>
      <x:c r="H1025" s="23" t="n">
        <x:v>27.099499927368015</x:v>
      </x:c>
      <x:c r="I1025" s="23" t="n">
        <x:v>0.8418957652430982</x:v>
      </x:c>
      <x:c r="J1025" s="23" t="n">
        <x:v>6</x:v>
      </x:c>
      <x:c r="K1025" s="23" t="n">
        <x:v>192.28372615951935</x:v>
      </x:c>
      <x:c r="L1025" s="23" t="n">
        <x:v>12855</x:v>
      </x:c>
      <x:c r="M1025" s="23" t="n">
        <x:v>1200</x:v>
      </x:c>
      <x:c r="N1025" s="23" t="n">
        <x:v>249.9804170989654</x:v>
      </x:c>
      <x:c r="O1025" s="23" t="n">
        <x:v>2504.4834617780502</x:v>
      </x:c>
      <x:c r="P1025" s="23" t="n">
        <x:v>971.2971286731772</x:v>
      </x:c>
      <x:c r="Q1025" s="23" t="n">
        <x:v>252.81096315531826</x:v>
      </x:c>
      <x:c r="R1025" s="23" t="n">
        <x:v>2535.328447384943</x:v>
      </x:c>
      <x:c r="S1025" s="23" t="n">
        <x:v>955.873300436254</x:v>
      </x:c>
      <x:c r="T1025" s="23" t="n">
        <x:v>2.8305460563528584</x:v>
      </x:c>
      <x:c r="U1025" s="23" t="n">
        <x:v>30.844985606892806</x:v>
      </x:c>
      <x:c r="V1025" s="23" t="n">
        <x:v>-15.423828236923214</x:v>
      </x:c>
    </x:row>
    <x:row r="1026">
      <x:c r="A1026" s="23" t="n">
        <x:v>1025</x:v>
      </x:c>
      <x:c r="B1026" s="23" t="str">
        <x:v>Train</x:v>
      </x:c>
      <x:c r="C1026" s="23" t="str">
        <x:v>Switching</x:v>
      </x:c>
      <x:c r="D1026" s="23" t="n">
        <x:v>1060.8208189718425</x:v>
      </x:c>
      <x:c r="E1026" s="23" t="n">
        <x:v>856.1403091414832</x:v>
      </x:c>
      <x:c r="F1026" s="23" t="n">
        <x:v>474.01102129369974</x:v>
      </x:c>
      <x:c r="G1026" s="23" t="n">
        <x:v>292.27880293736234</x:v>
      </x:c>
      <x:c r="H1026" s="23" t="n">
        <x:v>24.145914951339364</x:v>
      </x:c>
      <x:c r="I1026" s="23" t="n">
        <x:v>0.848156870410312</x:v>
      </x:c>
      <x:c r="J1026" s="23" t="n">
        <x:v>7</x:v>
      </x:c>
      <x:c r="K1026" s="23" t="n">
        <x:v>178.67665353978518</x:v>
      </x:c>
      <x:c r="L1026" s="23" t="n">
        <x:v>13180</x:v>
      </x:c>
      <x:c r="M1026" s="23" t="n">
        <x:v>1200</x:v>
      </x:c>
      <x:c r="N1026" s="23" t="n">
        <x:v>249.97517118674858</x:v>
      </x:c>
      <x:c r="O1026" s="23" t="n">
        <x:v>2504.2444902923885</x:v>
      </x:c>
      <x:c r="P1026" s="23" t="n">
        <x:v>1060.8208189718425</x:v>
      </x:c>
      <x:c r="Q1026" s="23" t="n">
        <x:v>247.7591389532258</x:v>
      </x:c>
      <x:c r="R1026" s="23" t="n">
        <x:v>2478.819876605229</x:v>
      </x:c>
      <x:c r="S1026" s="23" t="n">
        <x:v>1054.2712832945333</x:v>
      </x:c>
      <x:c r="T1026" s="23" t="n">
        <x:v>-2.216032233522782</x:v>
      </x:c>
      <x:c r="U1026" s="23" t="n">
        <x:v>-25.424613687159308</x:v>
      </x:c>
      <x:c r="V1026" s="23" t="n">
        <x:v>-6.549535677309223</x:v>
      </x:c>
    </x:row>
    <x:row r="1027">
      <x:c r="A1027" s="23" t="n">
        <x:v>1026</x:v>
      </x:c>
      <x:c r="B1027" s="23" t="str">
        <x:v>Train</x:v>
      </x:c>
      <x:c r="C1027" s="23" t="str">
        <x:v>Switching</x:v>
      </x:c>
      <x:c r="D1027" s="23" t="n">
        <x:v>955.9361939900555</x:v>
      </x:c>
      <x:c r="E1027" s="23" t="n">
        <x:v>724.4164697127417</x:v>
      </x:c>
      <x:c r="F1027" s="23" t="n">
        <x:v>705.5032514967024</x:v>
      </x:c>
      <x:c r="G1027" s="23" t="n">
        <x:v>170.0779610965401</x:v>
      </x:c>
      <x:c r="H1027" s="23" t="n">
        <x:v>14.794586621690542</x:v>
      </x:c>
      <x:c r="I1027" s="23" t="n">
        <x:v>0.8042862517992035</x:v>
      </x:c>
      <x:c r="J1027" s="23" t="n">
        <x:v>6</x:v>
      </x:c>
      <x:c r="K1027" s="23" t="n">
        <x:v>198.09203333009197</x:v>
      </x:c>
      <x:c r="L1027" s="23" t="n">
        <x:v>15595</x:v>
      </x:c>
      <x:c r="M1027" s="23" t="n">
        <x:v>1200</x:v>
      </x:c>
      <x:c r="N1027" s="23" t="n">
        <x:v>250.01900789235526</x:v>
      </x:c>
      <x:c r="O1027" s="23" t="n">
        <x:v>2502.783348435634</x:v>
      </x:c>
      <x:c r="P1027" s="23" t="n">
        <x:v>955.9361939900555</x:v>
      </x:c>
      <x:c r="Q1027" s="23" t="n">
        <x:v>253.94023890417265</x:v>
      </x:c>
      <x:c r="R1027" s="23" t="n">
        <x:v>2450.117195594632</x:v>
      </x:c>
      <x:c r="S1027" s="23" t="n">
        <x:v>963.2220350035935</x:v>
      </x:c>
      <x:c r="T1027" s="23" t="n">
        <x:v>3.921231011817383</x:v>
      </x:c>
      <x:c r="U1027" s="23" t="n">
        <x:v>-52.666152841001804</x:v>
      </x:c>
      <x:c r="V1027" s="23" t="n">
        <x:v>7.285841013538061</x:v>
      </x:c>
    </x:row>
    <x:row r="1028">
      <x:c r="A1028" s="23" t="n">
        <x:v>1027</x:v>
      </x:c>
      <x:c r="B1028" s="23" t="str">
        <x:v>Train</x:v>
      </x:c>
      <x:c r="C1028" s="23" t="str">
        <x:v>Switching</x:v>
      </x:c>
      <x:c r="D1028" s="23" t="n">
        <x:v>992.8178015863523</x:v>
      </x:c>
      <x:c r="E1028" s="23" t="n">
        <x:v>758.5814488702454</x:v>
      </x:c>
      <x:c r="F1028" s="23" t="n">
        <x:v>682.0768784731627</x:v>
      </x:c>
      <x:c r="G1028" s="23" t="n">
        <x:v>305.354831374716</x:v>
      </x:c>
      <x:c r="H1028" s="23" t="n">
        <x:v>13.254567329771817</x:v>
      </x:c>
      <x:c r="I1028" s="23" t="n">
        <x:v>0.8596120849321597</x:v>
      </x:c>
      <x:c r="J1028" s="23" t="n">
        <x:v>6</x:v>
      </x:c>
      <x:c r="K1028" s="23" t="n">
        <x:v>192.49337753410504</x:v>
      </x:c>
      <x:c r="L1028" s="23" t="n">
        <x:v>14290</x:v>
      </x:c>
      <x:c r="M1028" s="23" t="n">
        <x:v>1200</x:v>
      </x:c>
      <x:c r="N1028" s="23" t="n">
        <x:v>250.004613648503</x:v>
      </x:c>
      <x:c r="O1028" s="23" t="n">
        <x:v>2503.5119072567395</x:v>
      </x:c>
      <x:c r="P1028" s="23" t="n">
        <x:v>992.8178015863523</x:v>
      </x:c>
      <x:c r="Q1028" s="23" t="n">
        <x:v>249.1788916144001</x:v>
      </x:c>
      <x:c r="R1028" s="23" t="n">
        <x:v>2508.8727507301037</x:v>
      </x:c>
      <x:c r="S1028" s="23" t="n">
        <x:v>997.0088694266424</x:v>
      </x:c>
      <x:c r="T1028" s="23" t="n">
        <x:v>-0.8257220341029097</x:v>
      </x:c>
      <x:c r="U1028" s="23" t="n">
        <x:v>5.360843473364184</x:v>
      </x:c>
      <x:c r="V1028" s="23" t="n">
        <x:v>4.1910678402900885</x:v>
      </x:c>
    </x:row>
    <x:row r="1029">
      <x:c r="A1029" s="23" t="n">
        <x:v>1028</x:v>
      </x:c>
      <x:c r="B1029" s="23" t="str">
        <x:v>Train</x:v>
      </x:c>
      <x:c r="C1029" s="23" t="str">
        <x:v>Switching</x:v>
      </x:c>
      <x:c r="D1029" s="23" t="n">
        <x:v>1027.5372057571076</x:v>
      </x:c>
      <x:c r="E1029" s="23" t="n">
        <x:v>1045.5665301997215</x:v>
      </x:c>
      <x:c r="F1029" s="23" t="n">
        <x:v>523.6153068952262</x:v>
      </x:c>
      <x:c r="G1029" s="23" t="n">
        <x:v>275.7106034969911</x:v>
      </x:c>
      <x:c r="H1029" s="23" t="n">
        <x:v>8.114648364018649</x:v>
      </x:c>
      <x:c r="I1029" s="23" t="n">
        <x:v>0.8290142249129713</x:v>
      </x:c>
      <x:c r="J1029" s="23" t="n">
        <x:v>7</x:v>
      </x:c>
      <x:c r="K1029" s="23" t="n">
        <x:v>177.0669609550818</x:v>
      </x:c>
      <x:c r="L1029" s="23" t="n">
        <x:v>11590</x:v>
      </x:c>
      <x:c r="M1029" s="23" t="n">
        <x:v>1195</x:v>
      </x:c>
      <x:c r="N1029" s="23" t="n">
        <x:v>249.9593353800497</x:v>
      </x:c>
      <x:c r="O1029" s="23" t="n">
        <x:v>2495.0997400090273</x:v>
      </x:c>
      <x:c r="P1029" s="23" t="n">
        <x:v>1027.5372057571076</x:v>
      </x:c>
      <x:c r="Q1029" s="23" t="n">
        <x:v>253.92268628394226</x:v>
      </x:c>
      <x:c r="R1029" s="23" t="n">
        <x:v>2503.7953406796787</x:v>
      </x:c>
      <x:c r="S1029" s="23" t="n">
        <x:v>1030.0707422682012</x:v>
      </x:c>
      <x:c r="T1029" s="23" t="n">
        <x:v>3.9633509038925467</x:v>
      </x:c>
      <x:c r="U1029" s="23" t="n">
        <x:v>8.695600670651402</x:v>
      </x:c>
      <x:c r="V1029" s="23" t="n">
        <x:v>2.5335365110936436</x:v>
      </x:c>
    </x:row>
    <x:row r="1030">
      <x:c r="A1030" s="23" t="n">
        <x:v>1029</x:v>
      </x:c>
      <x:c r="B1030" s="23" t="str">
        <x:v>Train</x:v>
      </x:c>
      <x:c r="C1030" s="23" t="str">
        <x:v>Switching</x:v>
      </x:c>
      <x:c r="D1030" s="23" t="n">
        <x:v>1015.2858356479555</x:v>
      </x:c>
      <x:c r="E1030" s="23" t="n">
        <x:v>777.6324728387408</x:v>
      </x:c>
      <x:c r="F1030" s="23" t="n">
        <x:v>685.5668229982257</x:v>
      </x:c>
      <x:c r="G1030" s="23" t="n">
        <x:v>242.79894422041252</x:v>
      </x:c>
      <x:c r="H1030" s="23" t="n">
        <x:v>27.504801832139492</x:v>
      </x:c>
      <x:c r="I1030" s="23" t="n">
        <x:v>0.8582918007881382</x:v>
      </x:c>
      <x:c r="J1030" s="23" t="n">
        <x:v>6</x:v>
      </x:c>
      <x:c r="K1030" s="23" t="n">
        <x:v>197.15242040753807</x:v>
      </x:c>
      <x:c r="L1030" s="23" t="n">
        <x:v>14625</x:v>
      </x:c>
      <x:c r="M1030" s="23" t="n">
        <x:v>1200</x:v>
      </x:c>
      <x:c r="N1030" s="23" t="n">
        <x:v>250.001901409263</x:v>
      </x:c>
      <x:c r="O1030" s="23" t="n">
        <x:v>2503.31224881859</x:v>
      </x:c>
      <x:c r="P1030" s="23" t="n">
        <x:v>1015.2858356479555</x:v>
      </x:c>
      <x:c r="Q1030" s="23" t="n">
        <x:v>246.61942249974584</x:v>
      </x:c>
      <x:c r="R1030" s="23" t="n">
        <x:v>2517.697210790629</x:v>
      </x:c>
      <x:c r="S1030" s="23" t="n">
        <x:v>1004.9598443910745</x:v>
      </x:c>
      <x:c r="T1030" s="23" t="n">
        <x:v>-3.3824789095171752</x:v>
      </x:c>
      <x:c r="U1030" s="23" t="n">
        <x:v>14.384961972039036</x:v>
      </x:c>
      <x:c r="V1030" s="23" t="n">
        <x:v>-10.325991256881025</x:v>
      </x:c>
    </x:row>
    <x:row r="1031">
      <x:c r="A1031" s="23" t="n">
        <x:v>1030</x:v>
      </x:c>
      <x:c r="B1031" s="23" t="str">
        <x:v>Train</x:v>
      </x:c>
      <x:c r="C1031" s="23" t="str">
        <x:v>Switching</x:v>
      </x:c>
      <x:c r="D1031" s="23" t="n">
        <x:v>1046.188332058955</x:v>
      </x:c>
      <x:c r="E1031" s="23" t="n">
        <x:v>681.5993878757581</x:v>
      </x:c>
      <x:c r="F1031" s="23" t="n">
        <x:v>580.4911253042519</x:v>
      </x:c>
      <x:c r="G1031" s="23" t="n">
        <x:v>289.2339056544006</x:v>
      </x:c>
      <x:c r="H1031" s="23" t="n">
        <x:v>19.072721822652966</x:v>
      </x:c>
      <x:c r="I1031" s="23" t="n">
        <x:v>0.8519988308241592</x:v>
      </x:c>
      <x:c r="J1031" s="23" t="n">
        <x:v>7</x:v>
      </x:c>
      <x:c r="K1031" s="23" t="n">
        <x:v>175.41746608249477</x:v>
      </x:c>
      <x:c r="L1031" s="23" t="n">
        <x:v>13785</x:v>
      </x:c>
      <x:c r="M1031" s="23" t="n">
        <x:v>1200</x:v>
      </x:c>
      <x:c r="N1031" s="23" t="n">
        <x:v>249.99114576289034</x:v>
      </x:c>
      <x:c r="O1031" s="23" t="n">
        <x:v>2503.8305697069186</x:v>
      </x:c>
      <x:c r="P1031" s="23" t="n">
        <x:v>1046.188332058955</x:v>
      </x:c>
      <x:c r="Q1031" s="23" t="n">
        <x:v>246.70603976775823</x:v>
      </x:c>
      <x:c r="R1031" s="23" t="n">
        <x:v>2479.9561783222207</x:v>
      </x:c>
      <x:c r="S1031" s="23" t="n">
        <x:v>1054.554691665167</x:v>
      </x:c>
      <x:c r="T1031" s="23" t="n">
        <x:v>-3.2851059951321133</x:v>
      </x:c>
      <x:c r="U1031" s="23" t="n">
        <x:v>-23.8743913846979</x:v>
      </x:c>
      <x:c r="V1031" s="23" t="n">
        <x:v>8.366359606211972</x:v>
      </x:c>
    </x:row>
    <x:row r="1032">
      <x:c r="A1032" s="23" t="n">
        <x:v>1031</x:v>
      </x:c>
      <x:c r="B1032" s="23" t="str">
        <x:v>Train</x:v>
      </x:c>
      <x:c r="C1032" s="23" t="str">
        <x:v>Switching</x:v>
      </x:c>
      <x:c r="D1032" s="23" t="n">
        <x:v>1096.5801879065111</x:v>
      </x:c>
      <x:c r="E1032" s="23" t="n">
        <x:v>698.3028859016486</x:v>
      </x:c>
      <x:c r="F1032" s="23" t="n">
        <x:v>358.9843839406967</x:v>
      </x:c>
      <x:c r="G1032" s="23" t="n">
        <x:v>96.31629833718762</x:v>
      </x:c>
      <x:c r="H1032" s="23" t="n">
        <x:v>25.20458963792771</x:v>
      </x:c>
      <x:c r="I1032" s="23" t="n">
        <x:v>0.8178745314455591</x:v>
      </x:c>
      <x:c r="J1032" s="23" t="n">
        <x:v>7</x:v>
      </x:c>
      <x:c r="K1032" s="23" t="n">
        <x:v>191.53831857460221</x:v>
      </x:c>
      <x:c r="L1032" s="23" t="n">
        <x:v>18540</x:v>
      </x:c>
      <x:c r="M1032" s="23" t="n">
        <x:v>1200</x:v>
      </x:c>
      <x:c r="N1032" s="23" t="n">
        <x:v>250.0239061141285</x:v>
      </x:c>
      <x:c r="O1032" s="23" t="n">
        <x:v>2501.5153570910866</x:v>
      </x:c>
      <x:c r="P1032" s="23" t="n">
        <x:v>1096.5801879065111</x:v>
      </x:c>
      <x:c r="Q1032" s="23" t="n">
        <x:v>247.944940644684</x:v>
      </x:c>
      <x:c r="R1032" s="23" t="n">
        <x:v>2476.292115045457</x:v>
      </x:c>
      <x:c r="S1032" s="23" t="n">
        <x:v>1094.917568048938</x:v>
      </x:c>
      <x:c r="T1032" s="23" t="n">
        <x:v>-2.0789654694444835</x:v>
      </x:c>
      <x:c r="U1032" s="23" t="n">
        <x:v>-25.223242045629377</x:v>
      </x:c>
      <x:c r="V1032" s="23" t="n">
        <x:v>-1.6626198575731905</x:v>
      </x:c>
    </x:row>
    <x:row r="1033">
      <x:c r="A1033" s="23" t="n">
        <x:v>1032</x:v>
      </x:c>
      <x:c r="B1033" s="23" t="str">
        <x:v>Train</x:v>
      </x:c>
      <x:c r="C1033" s="23" t="str">
        <x:v>Switching</x:v>
      </x:c>
      <x:c r="D1033" s="23" t="n">
        <x:v>1061.275357462</x:v>
      </x:c>
      <x:c r="E1033" s="23" t="n">
        <x:v>815.7550704665482</x:v>
      </x:c>
      <x:c r="F1033" s="23" t="n">
        <x:v>542.069239076227</x:v>
      </x:c>
      <x:c r="G1033" s="23" t="n">
        <x:v>170.37534112576395</x:v>
      </x:c>
      <x:c r="H1033" s="23" t="n">
        <x:v>14.485983279999346</x:v>
      </x:c>
      <x:c r="I1033" s="23" t="n">
        <x:v>0.8043583882693202</x:v>
      </x:c>
      <x:c r="J1033" s="23" t="n">
        <x:v>7</x:v>
      </x:c>
      <x:c r="K1033" s="23" t="n">
        <x:v>188.48658454090872</x:v>
      </x:c>
      <x:c r="L1033" s="23" t="n">
        <x:v>13995</x:v>
      </x:c>
      <x:c r="M1033" s="23" t="n">
        <x:v>1200</x:v>
      </x:c>
      <x:c r="N1033" s="23" t="n">
        <x:v>250.01614023510803</x:v>
      </x:c>
      <x:c r="O1033" s="23" t="n">
        <x:v>2503.6959558064714</x:v>
      </x:c>
      <x:c r="P1033" s="23" t="n">
        <x:v>1061.275357462</x:v>
      </x:c>
      <x:c r="Q1033" s="23" t="n">
        <x:v>249.57571835722706</x:v>
      </x:c>
      <x:c r="R1033" s="23" t="n">
        <x:v>2529.042533912288</x:v>
      </x:c>
      <x:c r="S1033" s="23" t="n">
        <x:v>1068.547918060379</x:v>
      </x:c>
      <x:c r="T1033" s="23" t="n">
        <x:v>-0.440421877880965</x:v>
      </x:c>
      <x:c r="U1033" s="23" t="n">
        <x:v>25.34657810581666</x:v>
      </x:c>
      <x:c r="V1033" s="23" t="n">
        <x:v>7.272560598378959</x:v>
      </x:c>
    </x:row>
    <x:row r="1034">
      <x:c r="A1034" s="23" t="n">
        <x:v>1033</x:v>
      </x:c>
      <x:c r="B1034" s="23" t="str">
        <x:v>Train</x:v>
      </x:c>
      <x:c r="C1034" s="23" t="str">
        <x:v>Switching</x:v>
      </x:c>
      <x:c r="D1034" s="23" t="n">
        <x:v>1057.9779805615544</x:v>
      </x:c>
      <x:c r="E1034" s="23" t="n">
        <x:v>1178.5191417089663</x:v>
      </x:c>
      <x:c r="F1034" s="23" t="n">
        <x:v>551.7214151099324</x:v>
      </x:c>
      <x:c r="G1034" s="23" t="n">
        <x:v>100.57065587723628</x:v>
      </x:c>
      <x:c r="H1034" s="23" t="n">
        <x:v>23.839212393388152</x:v>
      </x:c>
      <x:c r="I1034" s="23" t="n">
        <x:v>0.8351900903251954</x:v>
      </x:c>
      <x:c r="J1034" s="23" t="n">
        <x:v>7</x:v>
      </x:c>
      <x:c r="K1034" s="23" t="n">
        <x:v>180.96444541139692</x:v>
      </x:c>
      <x:c r="L1034" s="23" t="n">
        <x:v>11680</x:v>
      </x:c>
      <x:c r="M1034" s="23" t="n">
        <x:v>1195</x:v>
      </x:c>
      <x:c r="N1034" s="23" t="n">
        <x:v>249.97810699566296</x:v>
      </x:c>
      <x:c r="O1034" s="23" t="n">
        <x:v>2495.0181119053827</x:v>
      </x:c>
      <x:c r="P1034" s="23" t="n">
        <x:v>1057.9779805615544</x:v>
      </x:c>
      <x:c r="Q1034" s="23" t="n">
        <x:v>248.07532333690588</x:v>
      </x:c>
      <x:c r="R1034" s="23" t="n">
        <x:v>2563.219325784695</x:v>
      </x:c>
      <x:c r="S1034" s="23" t="n">
        <x:v>1045.9022946446182</x:v>
      </x:c>
      <x:c r="T1034" s="23" t="n">
        <x:v>-1.9027836587570732</x:v>
      </x:c>
      <x:c r="U1034" s="23" t="n">
        <x:v>68.20121387931204</x:v>
      </x:c>
      <x:c r="V1034" s="23" t="n">
        <x:v>-12.075685916936209</x:v>
      </x:c>
    </x:row>
    <x:row r="1035">
      <x:c r="A1035" s="23" t="n">
        <x:v>1034</x:v>
      </x:c>
      <x:c r="B1035" s="23" t="str">
        <x:v>Train</x:v>
      </x:c>
      <x:c r="C1035" s="23" t="str">
        <x:v>Switching</x:v>
      </x:c>
      <x:c r="D1035" s="23" t="n">
        <x:v>965.8761188969947</x:v>
      </x:c>
      <x:c r="E1035" s="23" t="n">
        <x:v>1172.9412697488442</x:v>
      </x:c>
      <x:c r="F1035" s="23" t="n">
        <x:v>608.7525398470461</x:v>
      </x:c>
      <x:c r="G1035" s="23" t="n">
        <x:v>183.63505850546062</x:v>
      </x:c>
      <x:c r="H1035" s="23" t="n">
        <x:v>26.020269964355975</x:v>
      </x:c>
      <x:c r="I1035" s="23" t="n">
        <x:v>0.85699609328527</x:v>
      </x:c>
      <x:c r="J1035" s="23" t="n">
        <x:v>6</x:v>
      </x:c>
      <x:c r="K1035" s="23" t="n">
        <x:v>187.84140839241093</x:v>
      </x:c>
      <x:c r="L1035" s="23" t="n">
        <x:v>12695</x:v>
      </x:c>
      <x:c r="M1035" s="23" t="n">
        <x:v>1200</x:v>
      </x:c>
      <x:c r="N1035" s="23" t="n">
        <x:v>249.99820991044805</x:v>
      </x:c>
      <x:c r="O1035" s="23" t="n">
        <x:v>2504.6062049202783</x:v>
      </x:c>
      <x:c r="P1035" s="23" t="n">
        <x:v>965.8761188969947</x:v>
      </x:c>
      <x:c r="Q1035" s="23" t="n">
        <x:v>250.7408226373156</x:v>
      </x:c>
      <x:c r="R1035" s="23" t="n">
        <x:v>2559.9866408627163</x:v>
      </x:c>
      <x:c r="S1035" s="23" t="n">
        <x:v>946.9503143480106</x:v>
      </x:c>
      <x:c r="T1035" s="23" t="n">
        <x:v>0.7426127268675486</x:v>
      </x:c>
      <x:c r="U1035" s="23" t="n">
        <x:v>55.380435942438</x:v>
      </x:c>
      <x:c r="V1035" s="23" t="n">
        <x:v>-18.92580454898416</x:v>
      </x:c>
    </x:row>
    <x:row r="1036">
      <x:c r="A1036" s="23" t="n">
        <x:v>1035</x:v>
      </x:c>
      <x:c r="B1036" s="23" t="str">
        <x:v>Validation</x:v>
      </x:c>
      <x:c r="C1036" s="23" t="str">
        <x:v>Switching</x:v>
      </x:c>
      <x:c r="D1036" s="23" t="n">
        <x:v>989.2134505091235</x:v>
      </x:c>
      <x:c r="E1036" s="23" t="n">
        <x:v>834.5152104855515</x:v>
      </x:c>
      <x:c r="F1036" s="23" t="n">
        <x:v>586.4170122891665</x:v>
      </x:c>
      <x:c r="G1036" s="23" t="n">
        <x:v>156.12988370237872</x:v>
      </x:c>
      <x:c r="H1036" s="23" t="n">
        <x:v>21.524429173208773</x:v>
      </x:c>
      <x:c r="I1036" s="23" t="n">
        <x:v>0.8334732796135359</x:v>
      </x:c>
      <x:c r="J1036" s="23" t="n">
        <x:v>6</x:v>
      </x:c>
      <x:c r="K1036" s="23" t="n">
        <x:v>197.8094708622615</x:v>
      </x:c>
      <x:c r="L1036" s="23" t="n">
        <x:v>15820</x:v>
      </x:c>
      <x:c r="M1036" s="23" t="n">
        <x:v>1200</x:v>
      </x:c>
      <x:c r="N1036" s="23" t="n">
        <x:v>249.9906810643544</x:v>
      </x:c>
      <x:c r="O1036" s="23" t="n">
        <x:v>2502.6689090864775</x:v>
      </x:c>
      <x:c r="P1036" s="23" t="n">
        <x:v>989.2134505091235</x:v>
      </x:c>
      <x:c r="Q1036" s="23" t="n">
        <x:v>247.70000325325142</x:v>
      </x:c>
      <x:c r="R1036" s="23" t="n">
        <x:v>2455.555949690308</x:v>
      </x:c>
      <x:c r="S1036" s="23" t="n">
        <x:v>989.56600947742</x:v>
      </x:c>
      <x:c r="T1036" s="23" t="n">
        <x:v>-2.2906778111029666</x:v>
      </x:c>
      <x:c r="U1036" s="23" t="n">
        <x:v>-47.11295939616957</x:v>
      </x:c>
      <x:c r="V1036" s="23" t="n">
        <x:v>0.35255896829653466</x:v>
      </x:c>
    </x:row>
    <x:row r="1037">
      <x:c r="A1037" s="23" t="n">
        <x:v>1036</x:v>
      </x:c>
      <x:c r="B1037" s="23" t="str">
        <x:v>Validation</x:v>
      </x:c>
      <x:c r="C1037" s="23" t="str">
        <x:v>Switching</x:v>
      </x:c>
      <x:c r="D1037" s="23" t="n">
        <x:v>1044.6386756724678</x:v>
      </x:c>
      <x:c r="E1037" s="23" t="n">
        <x:v>1150.4802783485502</x:v>
      </x:c>
      <x:c r="F1037" s="23" t="n">
        <x:v>496.93064792081714</x:v>
      </x:c>
      <x:c r="G1037" s="23" t="n">
        <x:v>224.47349205147475</x:v>
      </x:c>
      <x:c r="H1037" s="23" t="n">
        <x:v>12.256909731309861</x:v>
      </x:c>
      <x:c r="I1037" s="23" t="n">
        <x:v>0.8595672852918506</x:v>
      </x:c>
      <x:c r="J1037" s="23" t="n">
        <x:v>7</x:v>
      </x:c>
      <x:c r="K1037" s="23" t="n">
        <x:v>173.61537494294996</x:v>
      </x:c>
      <x:c r="L1037" s="23" t="n">
        <x:v>11425</x:v>
      </x:c>
      <x:c r="M1037" s="23" t="n">
        <x:v>1195</x:v>
      </x:c>
      <x:c r="N1037" s="23" t="n">
        <x:v>250.00592704171095</x:v>
      </x:c>
      <x:c r="O1037" s="23" t="n">
        <x:v>2495.2562110193626</x:v>
      </x:c>
      <x:c r="P1037" s="23" t="n">
        <x:v>1044.6386756724678</x:v>
      </x:c>
      <x:c r="Q1037" s="23" t="n">
        <x:v>254.21143458779184</x:v>
      </x:c>
      <x:c r="R1037" s="23" t="n">
        <x:v>2486.3814319592225</x:v>
      </x:c>
      <x:c r="S1037" s="23" t="n">
        <x:v>1038.5596955072258</x:v>
      </x:c>
      <x:c r="T1037" s="23" t="n">
        <x:v>4.205507546080895</x:v>
      </x:c>
      <x:c r="U1037" s="23" t="n">
        <x:v>-8.8747790601401</x:v>
      </x:c>
      <x:c r="V1037" s="23" t="n">
        <x:v>-6.078980165242001</x:v>
      </x:c>
    </x:row>
    <x:row r="1038">
      <x:c r="A1038" s="23" t="n">
        <x:v>1037</x:v>
      </x:c>
      <x:c r="B1038" s="23" t="str">
        <x:v>Validation</x:v>
      </x:c>
      <x:c r="C1038" s="23" t="str">
        <x:v>Switching</x:v>
      </x:c>
      <x:c r="D1038" s="23" t="n">
        <x:v>1028.3007757272571</x:v>
      </x:c>
      <x:c r="E1038" s="23" t="n">
        <x:v>1181.2196372891776</x:v>
      </x:c>
      <x:c r="F1038" s="23" t="n">
        <x:v>731.6633542999625</x:v>
      </x:c>
      <x:c r="G1038" s="23" t="n">
        <x:v>260.77708390774205</x:v>
      </x:c>
      <x:c r="H1038" s="23" t="n">
        <x:v>11.045550424605608</x:v>
      </x:c>
      <x:c r="I1038" s="23" t="n">
        <x:v>0.8091354928934016</x:v>
      </x:c>
      <x:c r="J1038" s="23" t="n">
        <x:v>7</x:v>
      </x:c>
      <x:c r="K1038" s="23" t="n">
        <x:v>181.55193055847414</x:v>
      </x:c>
      <x:c r="L1038" s="23" t="n">
        <x:v>9840</x:v>
      </x:c>
      <x:c r="M1038" s="23" t="n">
        <x:v>1195</x:v>
      </x:c>
      <x:c r="N1038" s="23" t="n">
        <x:v>250.03558377024663</x:v>
      </x:c>
      <x:c r="O1038" s="23" t="n">
        <x:v>2497.005587906351</x:v>
      </x:c>
      <x:c r="P1038" s="23" t="n">
        <x:v>1028.3007757272571</x:v>
      </x:c>
      <x:c r="Q1038" s="23" t="n">
        <x:v>255.57400490599215</x:v>
      </x:c>
      <x:c r="R1038" s="23" t="n">
        <x:v>2558.4873986994235</x:v>
      </x:c>
      <x:c r="S1038" s="23" t="n">
        <x:v>1023.3012871134563</x:v>
      </x:c>
      <x:c r="T1038" s="23" t="n">
        <x:v>5.538421135745523</x:v>
      </x:c>
      <x:c r="U1038" s="23" t="n">
        <x:v>61.48181079307233</x:v>
      </x:c>
      <x:c r="V1038" s="23" t="n">
        <x:v>-4.99948861380085</x:v>
      </x:c>
    </x:row>
    <x:row r="1039">
      <x:c r="A1039" s="23" t="n">
        <x:v>1038</x:v>
      </x:c>
      <x:c r="B1039" s="23" t="str">
        <x:v>Hidden Test</x:v>
      </x:c>
      <x:c r="C1039" s="23" t="str">
        <x:v>Switching</x:v>
      </x:c>
      <x:c r="D1039" s="23" t="n">
        <x:v>990.4789069783874</x:v>
      </x:c>
      <x:c r="E1039" s="23" t="n">
        <x:v>1198.2097168220207</x:v>
      </x:c>
      <x:c r="F1039" s="23" t="n">
        <x:v>462.20760392025113</x:v>
      </x:c>
      <x:c r="G1039" s="23" t="n">
        <x:v>115.21409071981907</x:v>
      </x:c>
      <x:c r="H1039" s="23" t="n">
        <x:v>11.816771204117686</x:v>
      </x:c>
      <x:c r="I1039" s="23" t="n">
        <x:v>0.7908973662508652</x:v>
      </x:c>
      <x:c r="J1039" s="23" t="n">
        <x:v>7</x:v>
      </x:c>
      <x:c r="K1039" s="23" t="n">
        <x:v>178.90688823752728</x:v>
      </x:c>
      <x:c r="L1039" s="23" t="n">
        <x:v>12045</x:v>
      </x:c>
      <x:c r="M1039" s="23" t="n">
        <x:v>1200</x:v>
      </x:c>
      <x:c r="N1039" s="23" t="n">
        <x:v>250.01993786744862</x:v>
      </x:c>
      <x:c r="O1039" s="23" t="n">
        <x:v>2505.1363055724028</x:v>
      </x:c>
      <x:c r="P1039" s="23" t="n">
        <x:v>990.4789069783874</x:v>
      </x:c>
      <x:c r="Q1039" s="23" t="n">
        <x:v>253.20051811754865</x:v>
      </x:c>
      <x:c r="R1039" s="23" t="n">
        <x:v>2496.1244340828225</x:v>
      </x:c>
      <x:c r="S1039" s="23" t="n">
        <x:v>990.2587810326407</x:v>
      </x:c>
      <x:c r="T1039" s="23" t="n">
        <x:v>3.1805802501000358</x:v>
      </x:c>
      <x:c r="U1039" s="23" t="n">
        <x:v>-9.011871489580244</x:v>
      </x:c>
      <x:c r="V1039" s="23" t="n">
        <x:v>-0.2201259457466449</x:v>
      </x:c>
    </x:row>
    <x:row r="1040">
      <x:c r="A1040" s="23" t="n">
        <x:v>1039</x:v>
      </x:c>
      <x:c r="B1040" s="23" t="str">
        <x:v>Hidden Test</x:v>
      </x:c>
      <x:c r="C1040" s="23" t="str">
        <x:v>Switching</x:v>
      </x:c>
      <x:c r="D1040" s="23" t="n">
        <x:v>1090.2819199720398</x:v>
      </x:c>
      <x:c r="E1040" s="23" t="n">
        <x:v>809.0905067627318</x:v>
      </x:c>
      <x:c r="F1040" s="23" t="n">
        <x:v>675.6697960197926</x:v>
      </x:c>
      <x:c r="G1040" s="23" t="n">
        <x:v>87.27939646458253</x:v>
      </x:c>
      <x:c r="H1040" s="23" t="n">
        <x:v>12.084713815711439</x:v>
      </x:c>
      <x:c r="I1040" s="23" t="n">
        <x:v>0.8328196124522947</x:v>
      </x:c>
      <x:c r="J1040" s="23" t="n">
        <x:v>7</x:v>
      </x:c>
      <x:c r="K1040" s="23" t="n">
        <x:v>187.02076376104503</x:v>
      </x:c>
      <x:c r="L1040" s="23" t="n">
        <x:v>13605</x:v>
      </x:c>
      <x:c r="M1040" s="23" t="n">
        <x:v>1200</x:v>
      </x:c>
      <x:c r="N1040" s="23" t="n">
        <x:v>250.02131015581256</x:v>
      </x:c>
      <x:c r="O1040" s="23" t="n">
        <x:v>2503.9511574972576</x:v>
      </x:c>
      <x:c r="P1040" s="23" t="n">
        <x:v>1090.2819199720398</x:v>
      </x:c>
      <x:c r="Q1040" s="23" t="n">
        <x:v>252.67676752578</x:v>
      </x:c>
      <x:c r="R1040" s="23" t="n">
        <x:v>2475.744159533277</x:v>
      </x:c>
      <x:c r="S1040" s="23" t="n">
        <x:v>1100.604602836218</x:v>
      </x:c>
      <x:c r="T1040" s="23" t="n">
        <x:v>2.6554573699674506</x:v>
      </x:c>
      <x:c r="U1040" s="23" t="n">
        <x:v>-28.206997963980484</x:v>
      </x:c>
      <x:c r="V1040" s="23" t="n">
        <x:v>10.322682864178205</x:v>
      </x:c>
    </x:row>
    <x:row r="1041">
      <x:c r="A1041" s="23" t="n">
        <x:v>1040</x:v>
      </x:c>
      <x:c r="B1041" s="23" t="str">
        <x:v>Hidden Test</x:v>
      </x:c>
      <x:c r="C1041" s="23" t="str">
        <x:v>Switching</x:v>
      </x:c>
      <x:c r="D1041" s="23" t="n">
        <x:v>952.6890896144323</x:v>
      </x:c>
      <x:c r="E1041" s="23" t="n">
        <x:v>999.9695217236876</x:v>
      </x:c>
      <x:c r="F1041" s="23" t="n">
        <x:v>455.59464832767844</x:v>
      </x:c>
      <x:c r="G1041" s="23" t="n">
        <x:v>221.52176131028682</x:v>
      </x:c>
      <x:c r="H1041" s="23" t="n">
        <x:v>14.051055857446045</x:v>
      </x:c>
      <x:c r="I1041" s="23" t="n">
        <x:v>0.8248237615730614</x:v>
      </x:c>
      <x:c r="J1041" s="23" t="n">
        <x:v>6</x:v>
      </x:c>
      <x:c r="K1041" s="23" t="n">
        <x:v>192.50356540761967</x:v>
      </x:c>
      <x:c r="L1041" s="23" t="n">
        <x:v>14875</x:v>
      </x:c>
      <x:c r="M1041" s="23" t="n">
        <x:v>1200</x:v>
      </x:c>
      <x:c r="N1041" s="23" t="n">
        <x:v>249.96579399955388</x:v>
      </x:c>
      <x:c r="O1041" s="23" t="n">
        <x:v>2503.1679879631215</x:v>
      </x:c>
      <x:c r="P1041" s="23" t="n">
        <x:v>952.6890896144323</x:v>
      </x:c>
      <x:c r="Q1041" s="23" t="n">
        <x:v>254.3089634604298</x:v>
      </x:c>
      <x:c r="R1041" s="23" t="n">
        <x:v>2497.9586594622215</x:v>
      </x:c>
      <x:c r="S1041" s="23" t="n">
        <x:v>951.8433672324371</x:v>
      </x:c>
      <x:c r="T1041" s="23" t="n">
        <x:v>4.343169460875913</x:v>
      </x:c>
      <x:c r="U1041" s="23" t="n">
        <x:v>-5.209328500900028</x:v>
      </x:c>
      <x:c r="V1041" s="23" t="n">
        <x:v>-0.8457223819951878</x:v>
      </x:c>
    </x:row>
    <x:row r="1042">
      <x:c r="A1042" s="23" t="n">
        <x:v>1041</x:v>
      </x:c>
      <x:c r="B1042" s="23" t="str">
        <x:v>Train</x:v>
      </x:c>
      <x:c r="C1042" s="23" t="str">
        <x:v>Switching</x:v>
      </x:c>
      <x:c r="D1042" s="23" t="n">
        <x:v>987.3006188310683</x:v>
      </x:c>
      <x:c r="E1042" s="23" t="n">
        <x:v>1241.2032460211776</x:v>
      </x:c>
      <x:c r="F1042" s="23" t="n">
        <x:v>526.3246664777398</x:v>
      </x:c>
      <x:c r="G1042" s="23" t="n">
        <x:v>148.68503062287346</x:v>
      </x:c>
      <x:c r="H1042" s="23" t="n">
        <x:v>8.846078785136342</x:v>
      </x:c>
      <x:c r="I1042" s="23" t="n">
        <x:v>0.842446941502858</x:v>
      </x:c>
      <x:c r="J1042" s="23" t="n">
        <x:v>6</x:v>
      </x:c>
      <x:c r="K1042" s="23" t="n">
        <x:v>195.3239961260553</x:v>
      </x:c>
      <x:c r="L1042" s="23" t="n">
        <x:v>13020</x:v>
      </x:c>
      <x:c r="M1042" s="23" t="n">
        <x:v>1200</x:v>
      </x:c>
      <x:c r="N1042" s="23" t="n">
        <x:v>249.99014342708793</x:v>
      </x:c>
      <x:c r="O1042" s="23" t="n">
        <x:v>2504.3611361010003</x:v>
      </x:c>
      <x:c r="P1042" s="23" t="n">
        <x:v>987.3006188310683</x:v>
      </x:c>
      <x:c r="Q1042" s="23" t="n">
        <x:v>251.962922618092</x:v>
      </x:c>
      <x:c r="R1042" s="23" t="n">
        <x:v>2542.0210289268107</x:v>
      </x:c>
      <x:c r="S1042" s="23" t="n">
        <x:v>987.3067017826168</x:v>
      </x:c>
      <x:c r="T1042" s="23" t="n">
        <x:v>1.972779191004065</x:v>
      </x:c>
      <x:c r="U1042" s="23" t="n">
        <x:v>37.6598928258104</x:v>
      </x:c>
      <x:c r="V1042" s="23" t="n">
        <x:v>0.006082951548478377</x:v>
      </x:c>
    </x:row>
    <x:row r="1043">
      <x:c r="A1043" s="23" t="n">
        <x:v>1042</x:v>
      </x:c>
      <x:c r="B1043" s="23" t="str">
        <x:v>Train</x:v>
      </x:c>
      <x:c r="C1043" s="23" t="str">
        <x:v>Switching</x:v>
      </x:c>
      <x:c r="D1043" s="23" t="n">
        <x:v>1084.664243052248</x:v>
      </x:c>
      <x:c r="E1043" s="23" t="n">
        <x:v>1183.1658684881404</x:v>
      </x:c>
      <x:c r="F1043" s="23" t="n">
        <x:v>701.1934795416892</x:v>
      </x:c>
      <x:c r="G1043" s="23" t="n">
        <x:v>93.10082455165684</x:v>
      </x:c>
      <x:c r="H1043" s="23" t="n">
        <x:v>26.392337903846055</x:v>
      </x:c>
      <x:c r="I1043" s="23" t="n">
        <x:v>0.8391364833200351</x:v>
      </x:c>
      <x:c r="J1043" s="23" t="n">
        <x:v>7</x:v>
      </x:c>
      <x:c r="K1043" s="23" t="n">
        <x:v>184.656534189389</x:v>
      </x:c>
      <x:c r="L1043" s="23" t="n">
        <x:v>10815</x:v>
      </x:c>
      <x:c r="M1043" s="23" t="n">
        <x:v>1195</x:v>
      </x:c>
      <x:c r="N1043" s="23" t="n">
        <x:v>250.00577709488738</x:v>
      </x:c>
      <x:c r="O1043" s="23" t="n">
        <x:v>2495.8682278601455</x:v>
      </x:c>
      <x:c r="P1043" s="23" t="n">
        <x:v>1084.664243052248</x:v>
      </x:c>
      <x:c r="Q1043" s="23" t="n">
        <x:v>248.4292166729925</x:v>
      </x:c>
      <x:c r="R1043" s="23" t="n">
        <x:v>2557.7800235567847</x:v>
      </x:c>
      <x:c r="S1043" s="23" t="n">
        <x:v>1066.0299156785245</x:v>
      </x:c>
      <x:c r="T1043" s="23" t="n">
        <x:v>-1.5765604218948681</x:v>
      </x:c>
      <x:c r="U1043" s="23" t="n">
        <x:v>61.911795696639274</x:v>
      </x:c>
      <x:c r="V1043" s="23" t="n">
        <x:v>-18.63432737372341</x:v>
      </x:c>
    </x:row>
    <x:row r="1044">
      <x:c r="A1044" s="23" t="n">
        <x:v>1043</x:v>
      </x:c>
      <x:c r="B1044" s="23" t="str">
        <x:v>Train</x:v>
      </x:c>
      <x:c r="C1044" s="23" t="str">
        <x:v>Switching</x:v>
      </x:c>
      <x:c r="D1044" s="23" t="n">
        <x:v>1016.3391770562157</x:v>
      </x:c>
      <x:c r="E1044" s="23" t="n">
        <x:v>617.7653379389085</x:v>
      </x:c>
      <x:c r="F1044" s="23" t="n">
        <x:v>690.047350153327</x:v>
      </x:c>
      <x:c r="G1044" s="23" t="n">
        <x:v>211.21322233928367</x:v>
      </x:c>
      <x:c r="H1044" s="23" t="n">
        <x:v>29.817953464575112</x:v>
      </x:c>
      <x:c r="I1044" s="23" t="n">
        <x:v>0.8287676459248178</x:v>
      </x:c>
      <x:c r="J1044" s="23" t="n">
        <x:v>7</x:v>
      </x:c>
      <x:c r="K1044" s="23" t="n">
        <x:v>175.1894052838085</x:v>
      </x:c>
      <x:c r="L1044" s="23" t="n">
        <x:v>14080</x:v>
      </x:c>
      <x:c r="M1044" s="23" t="n">
        <x:v>1200</x:v>
      </x:c>
      <x:c r="N1044" s="23" t="n">
        <x:v>250.02500507587268</x:v>
      </x:c>
      <x:c r="O1044" s="23" t="n">
        <x:v>2503.642553629804</x:v>
      </x:c>
      <x:c r="P1044" s="23" t="n">
        <x:v>1016.3391770562157</x:v>
      </x:c>
      <x:c r="Q1044" s="23" t="n">
        <x:v>247.05312924336965</x:v>
      </x:c>
      <x:c r="R1044" s="23" t="n">
        <x:v>2515.3473336302973</x:v>
      </x:c>
      <x:c r="S1044" s="23" t="n">
        <x:v>1007.793743660923</x:v>
      </x:c>
      <x:c r="T1044" s="23" t="n">
        <x:v>-2.971875832503031</x:v>
      </x:c>
      <x:c r="U1044" s="23" t="n">
        <x:v>11.704780000493429</x:v>
      </x:c>
      <x:c r="V1044" s="23" t="n">
        <x:v>-8.545433395292662</x:v>
      </x:c>
    </x:row>
    <x:row r="1045">
      <x:c r="A1045" s="23" t="n">
        <x:v>1044</x:v>
      </x:c>
      <x:c r="B1045" s="23" t="str">
        <x:v>Train</x:v>
      </x:c>
      <x:c r="C1045" s="23" t="str">
        <x:v>Switching</x:v>
      </x:c>
      <x:c r="D1045" s="23" t="n">
        <x:v>1092.8026383160613</x:v>
      </x:c>
      <x:c r="E1045" s="23" t="n">
        <x:v>803.464031079784</x:v>
      </x:c>
      <x:c r="F1045" s="23" t="n">
        <x:v>546.7860060743988</x:v>
      </x:c>
      <x:c r="G1045" s="23" t="n">
        <x:v>155.74261107947677</x:v>
      </x:c>
      <x:c r="H1045" s="23" t="n">
        <x:v>10.52771721733734</x:v>
      </x:c>
      <x:c r="I1045" s="23" t="n">
        <x:v>0.8526649031229317</x:v>
      </x:c>
      <x:c r="J1045" s="23" t="n">
        <x:v>7</x:v>
      </x:c>
      <x:c r="K1045" s="23" t="n">
        <x:v>183.09028792530538</x:v>
      </x:c>
      <x:c r="L1045" s="23" t="n">
        <x:v>14200</x:v>
      </x:c>
      <x:c r="M1045" s="23" t="n">
        <x:v>1200</x:v>
      </x:c>
      <x:c r="N1045" s="23" t="n">
        <x:v>249.99198871404604</x:v>
      </x:c>
      <x:c r="O1045" s="23" t="n">
        <x:v>2503.566684403898</x:v>
      </x:c>
      <x:c r="P1045" s="23" t="n">
        <x:v>1092.8026383160613</x:v>
      </x:c>
      <x:c r="Q1045" s="23" t="n">
        <x:v>250.90761910489175</x:v>
      </x:c>
      <x:c r="R1045" s="23" t="n">
        <x:v>2477.5897290765965</x:v>
      </x:c>
      <x:c r="S1045" s="23" t="n">
        <x:v>1099.3034551815576</x:v>
      </x:c>
      <x:c r="T1045" s="23" t="n">
        <x:v>0.9156303908457062</x:v>
      </x:c>
      <x:c r="U1045" s="23" t="n">
        <x:v>-25.97695532730131</x:v>
      </x:c>
      <x:c r="V1045" s="23" t="n">
        <x:v>6.50081686549629</x:v>
      </x:c>
    </x:row>
    <x:row r="1046">
      <x:c r="A1046" s="23" t="n">
        <x:v>1045</x:v>
      </x:c>
      <x:c r="B1046" s="23" t="str">
        <x:v>Train</x:v>
      </x:c>
      <x:c r="C1046" s="23" t="str">
        <x:v>Switching</x:v>
      </x:c>
      <x:c r="D1046" s="23" t="n">
        <x:v>972.9371689725667</x:v>
      </x:c>
      <x:c r="E1046" s="23" t="n">
        <x:v>715.241782728117</x:v>
      </x:c>
      <x:c r="F1046" s="23" t="n">
        <x:v>461.9013546034694</x:v>
      </x:c>
      <x:c r="G1046" s="23" t="n">
        <x:v>265.43658062117174</x:v>
      </x:c>
      <x:c r="H1046" s="23" t="n">
        <x:v>19.737039521336555</x:v>
      </x:c>
      <x:c r="I1046" s="23" t="n">
        <x:v>0.8119632895127871</x:v>
      </x:c>
      <x:c r="J1046" s="23" t="n">
        <x:v>6</x:v>
      </x:c>
      <x:c r="K1046" s="23" t="n">
        <x:v>199.70877615176644</x:v>
      </x:c>
      <x:c r="L1046" s="23" t="n">
        <x:v>17295</x:v>
      </x:c>
      <x:c r="M1046" s="23" t="n">
        <x:v>1200</x:v>
      </x:c>
      <x:c r="N1046" s="23" t="n">
        <x:v>249.9935475862628</x:v>
      </x:c>
      <x:c r="O1046" s="23" t="n">
        <x:v>2501.997895760697</x:v>
      </x:c>
      <x:c r="P1046" s="23" t="n">
        <x:v>972.9371689725667</x:v>
      </x:c>
      <x:c r="Q1046" s="23" t="n">
        <x:v>250.30355508307284</x:v>
      </x:c>
      <x:c r="R1046" s="23" t="n">
        <x:v>2445.0418232090046</x:v>
      </x:c>
      <x:c r="S1046" s="23" t="n">
        <x:v>976.4714071780321</x:v>
      </x:c>
      <x:c r="T1046" s="23" t="n">
        <x:v>0.31000749681004436</x:v>
      </x:c>
      <x:c r="U1046" s="23" t="n">
        <x:v>-56.95607255169216</x:v>
      </x:c>
      <x:c r="V1046" s="23" t="n">
        <x:v>3.5342382054653854</x:v>
      </x:c>
    </x:row>
    <x:row r="1047">
      <x:c r="A1047" s="23" t="n">
        <x:v>1046</x:v>
      </x:c>
      <x:c r="B1047" s="23" t="str">
        <x:v>Train</x:v>
      </x:c>
      <x:c r="C1047" s="23" t="str">
        <x:v>Switching</x:v>
      </x:c>
      <x:c r="D1047" s="23" t="n">
        <x:v>983.5958515410312</x:v>
      </x:c>
      <x:c r="E1047" s="23" t="n">
        <x:v>1120.8516334882006</x:v>
      </x:c>
      <x:c r="F1047" s="23" t="n">
        <x:v>392.26223351433873</x:v>
      </x:c>
      <x:c r="G1047" s="23" t="n">
        <x:v>229.16727738454938</x:v>
      </x:c>
      <x:c r="H1047" s="23" t="n">
        <x:v>27.483684903476387</x:v>
      </x:c>
      <x:c r="I1047" s="23" t="n">
        <x:v>0.8084782641148195</x:v>
      </x:c>
      <x:c r="J1047" s="23" t="n">
        <x:v>7</x:v>
      </x:c>
      <x:c r="K1047" s="23" t="n">
        <x:v>173.80021122909807</x:v>
      </x:c>
      <x:c r="L1047" s="23" t="n">
        <x:v>12275</x:v>
      </x:c>
      <x:c r="M1047" s="23" t="n">
        <x:v>1200</x:v>
      </x:c>
      <x:c r="N1047" s="23" t="n">
        <x:v>250.00886494345917</x:v>
      </x:c>
      <x:c r="O1047" s="23" t="n">
        <x:v>2504.942166997706</x:v>
      </x:c>
      <x:c r="P1047" s="23" t="n">
        <x:v>983.5958515410312</x:v>
      </x:c>
      <x:c r="Q1047" s="23" t="n">
        <x:v>249.63525856525342</x:v>
      </x:c>
      <x:c r="R1047" s="23" t="n">
        <x:v>2546.5699083032655</x:v>
      </x:c>
      <x:c r="S1047" s="23" t="n">
        <x:v>978.5008422277646</x:v>
      </x:c>
      <x:c r="T1047" s="23" t="n">
        <x:v>-0.37360637820574993</x:v>
      </x:c>
      <x:c r="U1047" s="23" t="n">
        <x:v>41.62774130555954</x:v>
      </x:c>
      <x:c r="V1047" s="23" t="n">
        <x:v>-5.095009313266587</x:v>
      </x:c>
    </x:row>
    <x:row r="1048">
      <x:c r="A1048" s="23" t="n">
        <x:v>1047</x:v>
      </x:c>
      <x:c r="B1048" s="23" t="str">
        <x:v>Train</x:v>
      </x:c>
      <x:c r="C1048" s="23" t="str">
        <x:v>Switching</x:v>
      </x:c>
      <x:c r="D1048" s="23" t="n">
        <x:v>1026.1154306354001</x:v>
      </x:c>
      <x:c r="E1048" s="23" t="n">
        <x:v>914.5505363238044</x:v>
      </x:c>
      <x:c r="F1048" s="23" t="n">
        <x:v>617.642192542553</x:v>
      </x:c>
      <x:c r="G1048" s="23" t="n">
        <x:v>89.35567630222067</x:v>
      </x:c>
      <x:c r="H1048" s="23" t="n">
        <x:v>13.818027342669666</x:v>
      </x:c>
      <x:c r="I1048" s="23" t="n">
        <x:v>0.8254965310893022</x:v>
      </x:c>
      <x:c r="J1048" s="23" t="n">
        <x:v>7</x:v>
      </x:c>
      <x:c r="K1048" s="23" t="n">
        <x:v>177.57545082444707</x:v>
      </x:c>
      <x:c r="L1048" s="23" t="n">
        <x:v>13190</x:v>
      </x:c>
      <x:c r="M1048" s="23" t="n">
        <x:v>1200</x:v>
      </x:c>
      <x:c r="N1048" s="23" t="n">
        <x:v>250.02864470942447</x:v>
      </x:c>
      <x:c r="O1048" s="23" t="n">
        <x:v>2504.239357576167</x:v>
      </x:c>
      <x:c r="P1048" s="23" t="n">
        <x:v>1026.1154306354001</x:v>
      </x:c>
      <x:c r="Q1048" s="23" t="n">
        <x:v>252.5413787016453</x:v>
      </x:c>
      <x:c r="R1048" s="23" t="n">
        <x:v>2466.602617169011</x:v>
      </x:c>
      <x:c r="S1048" s="23" t="n">
        <x:v>1026.4037551870972</x:v>
      </x:c>
      <x:c r="T1048" s="23" t="n">
        <x:v>2.5127339922208307</x:v>
      </x:c>
      <x:c r="U1048" s="23" t="n">
        <x:v>-37.63674040715614</x:v>
      </x:c>
      <x:c r="V1048" s="23" t="n">
        <x:v>0.2883245516970874</x:v>
      </x:c>
    </x:row>
    <x:row r="1049">
      <x:c r="A1049" s="23" t="n">
        <x:v>1048</x:v>
      </x:c>
      <x:c r="B1049" s="23" t="str">
        <x:v>Train</x:v>
      </x:c>
      <x:c r="C1049" s="23" t="str">
        <x:v>Switching</x:v>
      </x:c>
      <x:c r="D1049" s="23" t="n">
        <x:v>972.8671024437062</x:v>
      </x:c>
      <x:c r="E1049" s="23" t="n">
        <x:v>1029.4563262723386</x:v>
      </x:c>
      <x:c r="F1049" s="23" t="n">
        <x:v>469.9585518799722</x:v>
      </x:c>
      <x:c r="G1049" s="23" t="n">
        <x:v>144.371999935247</x:v>
      </x:c>
      <x:c r="H1049" s="23" t="n">
        <x:v>17.874410500284284</x:v>
      </x:c>
      <x:c r="I1049" s="23" t="n">
        <x:v>0.816509258048609</x:v>
      </x:c>
      <x:c r="J1049" s="23" t="n">
        <x:v>6</x:v>
      </x:c>
      <x:c r="K1049" s="23" t="n">
        <x:v>198.58258246999344</x:v>
      </x:c>
      <x:c r="L1049" s="23" t="n">
        <x:v>15180</x:v>
      </x:c>
      <x:c r="M1049" s="23" t="n">
        <x:v>1200</x:v>
      </x:c>
      <x:c r="N1049" s="23" t="n">
        <x:v>250.02631146051263</x:v>
      </x:c>
      <x:c r="O1049" s="23" t="n">
        <x:v>2503.001839006905</x:v>
      </x:c>
      <x:c r="P1049" s="23" t="n">
        <x:v>972.8671024437062</x:v>
      </x:c>
      <x:c r="Q1049" s="23" t="n">
        <x:v>253.44454112159494</x:v>
      </x:c>
      <x:c r="R1049" s="23" t="n">
        <x:v>2532.701591446847</x:v>
      </x:c>
      <x:c r="S1049" s="23" t="n">
        <x:v>972.2123916931785</x:v>
      </x:c>
      <x:c r="T1049" s="23" t="n">
        <x:v>3.4182296610823073</x:v>
      </x:c>
      <x:c r="U1049" s="23" t="n">
        <x:v>29.69975243994213</x:v>
      </x:c>
      <x:c r="V1049" s="23" t="n">
        <x:v>-0.6547107505277836</x:v>
      </x:c>
    </x:row>
    <x:row r="1050">
      <x:c r="A1050" s="23" t="n">
        <x:v>1049</x:v>
      </x:c>
      <x:c r="B1050" s="23" t="str">
        <x:v>Train</x:v>
      </x:c>
      <x:c r="C1050" s="23" t="str">
        <x:v>Switching</x:v>
      </x:c>
      <x:c r="D1050" s="23" t="n">
        <x:v>983.429904282093</x:v>
      </x:c>
      <x:c r="E1050" s="23" t="n">
        <x:v>802.9531697160564</x:v>
      </x:c>
      <x:c r="F1050" s="23" t="n">
        <x:v>459.70203150063753</x:v>
      </x:c>
      <x:c r="G1050" s="23" t="n">
        <x:v>247.75674239033833</x:v>
      </x:c>
      <x:c r="H1050" s="23" t="n">
        <x:v>16.856695858761668</x:v>
      </x:c>
      <x:c r="I1050" s="23" t="n">
        <x:v>0.8500339112174697</x:v>
      </x:c>
      <x:c r="J1050" s="23" t="n">
        <x:v>6</x:v>
      </x:c>
      <x:c r="K1050" s="23" t="n">
        <x:v>192.82170026871154</x:v>
      </x:c>
      <x:c r="L1050" s="23" t="n">
        <x:v>16520</x:v>
      </x:c>
      <x:c r="M1050" s="23" t="n">
        <x:v>1200</x:v>
      </x:c>
      <x:c r="N1050" s="23" t="n">
        <x:v>250.01944819739032</x:v>
      </x:c>
      <x:c r="O1050" s="23" t="n">
        <x:v>2502.336351433821</x:v>
      </x:c>
      <x:c r="P1050" s="23" t="n">
        <x:v>983.429904282093</x:v>
      </x:c>
      <x:c r="Q1050" s="23" t="n">
        <x:v>248.96148606551242</x:v>
      </x:c>
      <x:c r="R1050" s="23" t="n">
        <x:v>2514.2746897311913</x:v>
      </x:c>
      <x:c r="S1050" s="23" t="n">
        <x:v>988.19553745427</x:v>
      </x:c>
      <x:c r="T1050" s="23" t="n">
        <x:v>-1.0579621318779004</x:v>
      </x:c>
      <x:c r="U1050" s="23" t="n">
        <x:v>11.938338297370137</x:v>
      </x:c>
      <x:c r="V1050" s="23" t="n">
        <x:v>4.76563317217699</x:v>
      </x:c>
    </x:row>
    <x:row r="1051">
      <x:c r="A1051" s="23" t="n">
        <x:v>1050</x:v>
      </x:c>
      <x:c r="B1051" s="23" t="str">
        <x:v>Train</x:v>
      </x:c>
      <x:c r="C1051" s="23" t="str">
        <x:v>Switching</x:v>
      </x:c>
      <x:c r="D1051" s="23" t="n">
        <x:v>993.9193523139693</x:v>
      </x:c>
      <x:c r="E1051" s="23" t="n">
        <x:v>1229.7226244816557</x:v>
      </x:c>
      <x:c r="F1051" s="23" t="n">
        <x:v>660.7443139888346</x:v>
      </x:c>
      <x:c r="G1051" s="23" t="n">
        <x:v>188.54340880177915</x:v>
      </x:c>
      <x:c r="H1051" s="23" t="n">
        <x:v>10.336644169408828</x:v>
      </x:c>
      <x:c r="I1051" s="23" t="n">
        <x:v>0.808548665647395</x:v>
      </x:c>
      <x:c r="J1051" s="23" t="n">
        <x:v>7</x:v>
      </x:c>
      <x:c r="K1051" s="23" t="n">
        <x:v>175.6090696016512</x:v>
      </x:c>
      <x:c r="L1051" s="23" t="n">
        <x:v>10285</x:v>
      </x:c>
      <x:c r="M1051" s="23" t="n">
        <x:v>1195</x:v>
      </x:c>
      <x:c r="N1051" s="23" t="n">
        <x:v>249.96314413115024</x:v>
      </x:c>
      <x:c r="O1051" s="23" t="n">
        <x:v>2496.456908637568</x:v>
      </x:c>
      <x:c r="P1051" s="23" t="n">
        <x:v>993.9193523139693</x:v>
      </x:c>
      <x:c r="Q1051" s="23" t="n">
        <x:v>254.4937812807708</x:v>
      </x:c>
      <x:c r="R1051" s="23" t="n">
        <x:v>2488.2595465069403</x:v>
      </x:c>
      <x:c r="S1051" s="23" t="n">
        <x:v>991.61934889983</x:v>
      </x:c>
      <x:c r="T1051" s="23" t="n">
        <x:v>4.53063714962056</x:v>
      </x:c>
      <x:c r="U1051" s="23" t="n">
        <x:v>-8.19736213062788</x:v>
      </x:c>
      <x:c r="V1051" s="23" t="n">
        <x:v>-2.300003414139269</x:v>
      </x:c>
    </x:row>
    <x:row r="1052">
      <x:c r="A1052" s="23" t="n">
        <x:v>1051</x:v>
      </x:c>
      <x:c r="B1052" s="23" t="str">
        <x:v>Train</x:v>
      </x:c>
      <x:c r="C1052" s="23" t="str">
        <x:v>Switching</x:v>
      </x:c>
      <x:c r="D1052" s="23" t="n">
        <x:v>1032.4529425008222</x:v>
      </x:c>
      <x:c r="E1052" s="23" t="n">
        <x:v>1117.947633995209</x:v>
      </x:c>
      <x:c r="F1052" s="23" t="n">
        <x:v>558.5661891847849</x:v>
      </x:c>
      <x:c r="G1052" s="23" t="n">
        <x:v>161.54999575344846</x:v>
      </x:c>
      <x:c r="H1052" s="23" t="n">
        <x:v>13.781468176282942</x:v>
      </x:c>
      <x:c r="I1052" s="23" t="n">
        <x:v>0.8202578906225972</x:v>
      </x:c>
      <x:c r="J1052" s="23" t="n">
        <x:v>7</x:v>
      </x:c>
      <x:c r="K1052" s="23" t="n">
        <x:v>179.81329919077794</x:v>
      </x:c>
      <x:c r="L1052" s="23" t="n">
        <x:v>11635</x:v>
      </x:c>
      <x:c r="M1052" s="23" t="n">
        <x:v>1195</x:v>
      </x:c>
      <x:c r="N1052" s="23" t="n">
        <x:v>250.0012031438865</x:v>
      </x:c>
      <x:c r="O1052" s="23" t="n">
        <x:v>2495.060154864847</x:v>
      </x:c>
      <x:c r="P1052" s="23" t="n">
        <x:v>1032.4529425008222</x:v>
      </x:c>
      <x:c r="Q1052" s="23" t="n">
        <x:v>252.102994691244</x:v>
      </x:c>
      <x:c r="R1052" s="23" t="n">
        <x:v>2489.6808964350676</x:v>
      </x:c>
      <x:c r="S1052" s="23" t="n">
        <x:v>1032.9486256031023</x:v>
      </x:c>
      <x:c r="T1052" s="23" t="n">
        <x:v>2.101791547357493</x:v>
      </x:c>
      <x:c r="U1052" s="23" t="n">
        <x:v>-5.379258429779384</x:v>
      </x:c>
      <x:c r="V1052" s="23" t="n">
        <x:v>0.4956831022800543</x:v>
      </x:c>
    </x:row>
    <x:row r="1053">
      <x:c r="A1053" s="23" t="n">
        <x:v>1052</x:v>
      </x:c>
      <x:c r="B1053" s="23" t="str">
        <x:v>Train</x:v>
      </x:c>
      <x:c r="C1053" s="23" t="str">
        <x:v>Switching</x:v>
      </x:c>
      <x:c r="D1053" s="23" t="n">
        <x:v>1079.3917455128394</x:v>
      </x:c>
      <x:c r="E1053" s="23" t="n">
        <x:v>1165.976471407339</x:v>
      </x:c>
      <x:c r="F1053" s="23" t="n">
        <x:v>405.0852204672992</x:v>
      </x:c>
      <x:c r="G1053" s="23" t="n">
        <x:v>93.14095023553818</x:v>
      </x:c>
      <x:c r="H1053" s="23" t="n">
        <x:v>29.93028661189601</x:v>
      </x:c>
      <x:c r="I1053" s="23" t="n">
        <x:v>0.8393696051090956</x:v>
      </x:c>
      <x:c r="J1053" s="23" t="n">
        <x:v>7</x:v>
      </x:c>
      <x:c r="K1053" s="23" t="n">
        <x:v>183.70789202869307</x:v>
      </x:c>
      <x:c r="L1053" s="23" t="n">
        <x:v>12850</x:v>
      </x:c>
      <x:c r="M1053" s="23" t="n">
        <x:v>1200</x:v>
      </x:c>
      <x:c r="N1053" s="23" t="n">
        <x:v>249.9913907898385</x:v>
      </x:c>
      <x:c r="O1053" s="23" t="n">
        <x:v>2504.487656420252</x:v>
      </x:c>
      <x:c r="P1053" s="23" t="n">
        <x:v>1079.3917455128394</x:v>
      </x:c>
      <x:c r="Q1053" s="23" t="n">
        <x:v>249.1930531726115</x:v>
      </x:c>
      <x:c r="R1053" s="23" t="n">
        <x:v>2509.172623379413</x:v>
      </x:c>
      <x:c r="S1053" s="23" t="n">
        <x:v>1066.8991599513524</x:v>
      </x:c>
      <x:c r="T1053" s="23" t="n">
        <x:v>-0.7983376172269914</x:v>
      </x:c>
      <x:c r="U1053" s="23" t="n">
        <x:v>4.684966959161102</x:v>
      </x:c>
      <x:c r="V1053" s="23" t="n">
        <x:v>-12.492585561486976</x:v>
      </x:c>
    </x:row>
    <x:row r="1054">
      <x:c r="A1054" s="23" t="n">
        <x:v>1053</x:v>
      </x:c>
      <x:c r="B1054" s="23" t="str">
        <x:v>Train</x:v>
      </x:c>
      <x:c r="C1054" s="23" t="str">
        <x:v>Switching</x:v>
      </x:c>
      <x:c r="D1054" s="23" t="n">
        <x:v>1087.899601412937</x:v>
      </x:c>
      <x:c r="E1054" s="23" t="n">
        <x:v>684.2922815005295</x:v>
      </x:c>
      <x:c r="F1054" s="23" t="n">
        <x:v>573.5746776685119</x:v>
      </x:c>
      <x:c r="G1054" s="23" t="n">
        <x:v>164.2333555337973</x:v>
      </x:c>
      <x:c r="H1054" s="23" t="n">
        <x:v>15.492046069353819</x:v>
      </x:c>
      <x:c r="I1054" s="23" t="n">
        <x:v>0.8001089118071832</x:v>
      </x:c>
      <x:c r="J1054" s="23" t="n">
        <x:v>7</x:v>
      </x:c>
      <x:c r="K1054" s="23" t="n">
        <x:v>194.24134199711264</x:v>
      </x:c>
      <x:c r="L1054" s="23" t="n">
        <x:v>15040</x:v>
      </x:c>
      <x:c r="M1054" s="23" t="n">
        <x:v>1200</x:v>
      </x:c>
      <x:c r="N1054" s="23" t="n">
        <x:v>250.03057146759932</x:v>
      </x:c>
      <x:c r="O1054" s="23" t="n">
        <x:v>2503.078330351948</x:v>
      </x:c>
      <x:c r="P1054" s="23" t="n">
        <x:v>1087.899601412937</x:v>
      </x:c>
      <x:c r="Q1054" s="23" t="n">
        <x:v>248.84854561410987</x:v>
      </x:c>
      <x:c r="R1054" s="23" t="n">
        <x:v>2448.699986738459</x:v>
      </x:c>
      <x:c r="S1054" s="23" t="n">
        <x:v>1099.640385864402</x:v>
      </x:c>
      <x:c r="T1054" s="23" t="n">
        <x:v>-1.1820258534894492</x:v>
      </x:c>
      <x:c r="U1054" s="23" t="n">
        <x:v>-54.37834361348905</x:v>
      </x:c>
      <x:c r="V1054" s="23" t="n">
        <x:v>11.74078445146506</x:v>
      </x:c>
    </x:row>
    <x:row r="1055">
      <x:c r="A1055" s="23" t="n">
        <x:v>1054</x:v>
      </x:c>
      <x:c r="B1055" s="23" t="str">
        <x:v>Train</x:v>
      </x:c>
      <x:c r="C1055" s="23" t="str">
        <x:v>Switching</x:v>
      </x:c>
      <x:c r="D1055" s="23" t="n">
        <x:v>1079.2694628355093</x:v>
      </x:c>
      <x:c r="E1055" s="23" t="n">
        <x:v>1198.1580457417294</x:v>
      </x:c>
      <x:c r="F1055" s="23" t="n">
        <x:v>734.3276520259678</x:v>
      </x:c>
      <x:c r="G1055" s="23" t="n">
        <x:v>254.63482078164816</x:v>
      </x:c>
      <x:c r="H1055" s="23" t="n">
        <x:v>15.398913817945868</x:v>
      </x:c>
      <x:c r="I1055" s="23" t="n">
        <x:v>0.8415973555622622</x:v>
      </x:c>
      <x:c r="J1055" s="23" t="n">
        <x:v>7</x:v>
      </x:c>
      <x:c r="K1055" s="23" t="n">
        <x:v>183.200851113223</x:v>
      </x:c>
      <x:c r="L1055" s="23" t="n">
        <x:v>9780</x:v>
      </x:c>
      <x:c r="M1055" s="23" t="n">
        <x:v>1195</x:v>
      </x:c>
      <x:c r="N1055" s="23" t="n">
        <x:v>250.0500216160293</x:v>
      </x:c>
      <x:c r="O1055" s="23" t="n">
        <x:v>2497.083617354402</x:v>
      </x:c>
      <x:c r="P1055" s="23" t="n">
        <x:v>1079.2694628355093</x:v>
      </x:c>
      <x:c r="Q1055" s="23" t="n">
        <x:v>250.88019762329867</x:v>
      </x:c>
      <x:c r="R1055" s="23" t="n">
        <x:v>2538.9101151997743</x:v>
      </x:c>
      <x:c r="S1055" s="23" t="n">
        <x:v>1078.291577617775</x:v>
      </x:c>
      <x:c r="T1055" s="23" t="n">
        <x:v>0.8301760072693583</x:v>
      </x:c>
      <x:c r="U1055" s="23" t="n">
        <x:v>41.82649784537216</x:v>
      </x:c>
      <x:c r="V1055" s="23" t="n">
        <x:v>-0.9778852177344106</x:v>
      </x:c>
    </x:row>
    <x:row r="1056">
      <x:c r="A1056" s="23" t="n">
        <x:v>1055</x:v>
      </x:c>
      <x:c r="B1056" s="23" t="str">
        <x:v>Validation</x:v>
      </x:c>
      <x:c r="C1056" s="23" t="str">
        <x:v>Switching</x:v>
      </x:c>
      <x:c r="D1056" s="23" t="n">
        <x:v>998.9582490408793</x:v>
      </x:c>
      <x:c r="E1056" s="23" t="n">
        <x:v>1097.8781840880401</x:v>
      </x:c>
      <x:c r="F1056" s="23" t="n">
        <x:v>557.8851245343685</x:v>
      </x:c>
      <x:c r="G1056" s="23" t="n">
        <x:v>130.83922430640087</x:v>
      </x:c>
      <x:c r="H1056" s="23" t="n">
        <x:v>27.259293249808252</x:v>
      </x:c>
      <x:c r="I1056" s="23" t="n">
        <x:v>0.8418322397186422</x:v>
      </x:c>
      <x:c r="J1056" s="23" t="n">
        <x:v>6</x:v>
      </x:c>
      <x:c r="K1056" s="23" t="n">
        <x:v>197.77460835006588</x:v>
      </x:c>
      <x:c r="L1056" s="23" t="n">
        <x:v>13965</x:v>
      </x:c>
      <x:c r="M1056" s="23" t="n">
        <x:v>1200</x:v>
      </x:c>
      <x:c r="N1056" s="23" t="n">
        <x:v>249.99872093373082</x:v>
      </x:c>
      <x:c r="O1056" s="23" t="n">
        <x:v>2503.714431998301</x:v>
      </x:c>
      <x:c r="P1056" s="23" t="n">
        <x:v>998.9582490408793</x:v>
      </x:c>
      <x:c r="Q1056" s="23" t="n">
        <x:v>248.68199604620347</x:v>
      </x:c>
      <x:c r="R1056" s="23" t="n">
        <x:v>2487.3577799630893</x:v>
      </x:c>
      <x:c r="S1056" s="23" t="n">
        <x:v>989.3447824245828</x:v>
      </x:c>
      <x:c r="T1056" s="23" t="n">
        <x:v>-1.3167248875273572</x:v>
      </x:c>
      <x:c r="U1056" s="23" t="n">
        <x:v>-16.356652035211482</x:v>
      </x:c>
      <x:c r="V1056" s="23" t="n">
        <x:v>-9.613466616296478</x:v>
      </x:c>
    </x:row>
    <x:row r="1057">
      <x:c r="A1057" s="23" t="n">
        <x:v>1056</x:v>
      </x:c>
      <x:c r="B1057" s="23" t="str">
        <x:v>Validation</x:v>
      </x:c>
      <x:c r="C1057" s="23" t="str">
        <x:v>Switching</x:v>
      </x:c>
      <x:c r="D1057" s="23" t="n">
        <x:v>1024.1229144739918</x:v>
      </x:c>
      <x:c r="E1057" s="23" t="n">
        <x:v>1161.7084078490734</x:v>
      </x:c>
      <x:c r="F1057" s="23" t="n">
        <x:v>529.0887146256864</x:v>
      </x:c>
      <x:c r="G1057" s="23" t="n">
        <x:v>165.71219362784177</x:v>
      </x:c>
      <x:c r="H1057" s="23" t="n">
        <x:v>21.034153135027736</x:v>
      </x:c>
      <x:c r="I1057" s="23" t="n">
        <x:v>0.8057200191449374</x:v>
      </x:c>
      <x:c r="J1057" s="23" t="n">
        <x:v>7</x:v>
      </x:c>
      <x:c r="K1057" s="23" t="n">
        <x:v>181.5807849127883</x:v>
      </x:c>
      <x:c r="L1057" s="23" t="n">
        <x:v>11520</x:v>
      </x:c>
      <x:c r="M1057" s="23" t="n">
        <x:v>1195</x:v>
      </x:c>
      <x:c r="N1057" s="23" t="n">
        <x:v>250.01442629166723</x:v>
      </x:c>
      <x:c r="O1057" s="23" t="n">
        <x:v>2495.167082397434</x:v>
      </x:c>
      <x:c r="P1057" s="23" t="n">
        <x:v>1024.1229144739918</x:v>
      </x:c>
      <x:c r="Q1057" s="23" t="n">
        <x:v>250.50433294498848</x:v>
      </x:c>
      <x:c r="R1057" s="23" t="n">
        <x:v>2477.083340639341</x:v>
      </x:c>
      <x:c r="S1057" s="23" t="n">
        <x:v>1020.5888688019336</x:v>
      </x:c>
      <x:c r="T1057" s="23" t="n">
        <x:v>0.48990665332124195</x:v>
      </x:c>
      <x:c r="U1057" s="23" t="n">
        <x:v>-18.08374175809331</x:v>
      </x:c>
      <x:c r="V1057" s="23" t="n">
        <x:v>-3.534045672058255</x:v>
      </x:c>
    </x:row>
    <x:row r="1058">
      <x:c r="A1058" s="23" t="n">
        <x:v>1057</x:v>
      </x:c>
      <x:c r="B1058" s="23" t="str">
        <x:v>Validation</x:v>
      </x:c>
      <x:c r="C1058" s="23" t="str">
        <x:v>Switching</x:v>
      </x:c>
      <x:c r="D1058" s="23" t="n">
        <x:v>1001.0234869085252</x:v>
      </x:c>
      <x:c r="E1058" s="23" t="n">
        <x:v>838.1453051581047</x:v>
      </x:c>
      <x:c r="F1058" s="23" t="n">
        <x:v>576.1615240946412</x:v>
      </x:c>
      <x:c r="G1058" s="23" t="n">
        <x:v>83.32551362225786</x:v>
      </x:c>
      <x:c r="H1058" s="23" t="n">
        <x:v>26.442959213629365</x:v>
      </x:c>
      <x:c r="I1058" s="23" t="n">
        <x:v>0.8405226967041382</x:v>
      </x:c>
      <x:c r="J1058" s="23" t="n">
        <x:v>6</x:v>
      </x:c>
      <x:c r="K1058" s="23" t="n">
        <x:v>198.4922578203903</x:v>
      </x:c>
      <x:c r="L1058" s="23" t="n">
        <x:v>16660</x:v>
      </x:c>
      <x:c r="M1058" s="23" t="n">
        <x:v>1200</x:v>
      </x:c>
      <x:c r="N1058" s="23" t="n">
        <x:v>250.00511163667227</x:v>
      </x:c>
      <x:c r="O1058" s="23" t="n">
        <x:v>2502.2725863380088</x:v>
      </x:c>
      <x:c r="P1058" s="23" t="n">
        <x:v>1001.0234869085252</x:v>
      </x:c>
      <x:c r="Q1058" s="23" t="n">
        <x:v>250.01605191205473</x:v>
      </x:c>
      <x:c r="R1058" s="23" t="n">
        <x:v>2502.3626419610255</x:v>
      </x:c>
      <x:c r="S1058" s="23" t="n">
        <x:v>998.0633677421125</x:v>
      </x:c>
      <x:c r="T1058" s="23" t="n">
        <x:v>0.01094027538246678</x:v>
      </x:c>
      <x:c r="U1058" s="23" t="n">
        <x:v>0.09005562301672398</x:v>
      </x:c>
      <x:c r="V1058" s="23" t="n">
        <x:v>-2.96011916641271</x:v>
      </x:c>
    </x:row>
    <x:row r="1059">
      <x:c r="A1059" s="23" t="n">
        <x:v>1058</x:v>
      </x:c>
      <x:c r="B1059" s="23" t="str">
        <x:v>Hidden Test</x:v>
      </x:c>
      <x:c r="C1059" s="23" t="str">
        <x:v>Switching</x:v>
      </x:c>
      <x:c r="D1059" s="23" t="n">
        <x:v>1082.6424346887507</x:v>
      </x:c>
      <x:c r="E1059" s="23" t="n">
        <x:v>747.3787839757279</x:v>
      </x:c>
      <x:c r="F1059" s="23" t="n">
        <x:v>733.9023881591856</x:v>
      </x:c>
      <x:c r="G1059" s="23" t="n">
        <x:v>90.67366101779044</x:v>
      </x:c>
      <x:c r="H1059" s="23" t="n">
        <x:v>19.84679151372984</x:v>
      </x:c>
      <x:c r="I1059" s="23" t="n">
        <x:v>0.8022114572534338</x:v>
      </x:c>
      <x:c r="J1059" s="23" t="n">
        <x:v>7</x:v>
      </x:c>
      <x:c r="K1059" s="23" t="n">
        <x:v>192.7960558991054</x:v>
      </x:c>
      <x:c r="L1059" s="23" t="n">
        <x:v>13605</x:v>
      </x:c>
      <x:c r="M1059" s="23" t="n">
        <x:v>1200</x:v>
      </x:c>
      <x:c r="N1059" s="23" t="n">
        <x:v>250.00798298456874</x:v>
      </x:c>
      <x:c r="O1059" s="23" t="n">
        <x:v>2503.950663474748</x:v>
      </x:c>
      <x:c r="P1059" s="23" t="n">
        <x:v>1082.6424346887507</x:v>
      </x:c>
      <x:c r="Q1059" s="23" t="n">
        <x:v>250.24275911917576</x:v>
      </x:c>
      <x:c r="R1059" s="23" t="n">
        <x:v>2480.387847877019</x:v>
      </x:c>
      <x:c r="S1059" s="23" t="n">
        <x:v>1085.4562304198444</x:v>
      </x:c>
      <x:c r="T1059" s="23" t="n">
        <x:v>0.23477613460701718</x:v>
      </x:c>
      <x:c r="U1059" s="23" t="n">
        <x:v>-23.56281559772924</x:v>
      </x:c>
      <x:c r="V1059" s="23" t="n">
        <x:v>2.8137957310937054</x:v>
      </x:c>
    </x:row>
    <x:row r="1060">
      <x:c r="A1060" s="23" t="n">
        <x:v>1059</x:v>
      </x:c>
      <x:c r="B1060" s="23" t="str">
        <x:v>Hidden Test</x:v>
      </x:c>
      <x:c r="C1060" s="23" t="str">
        <x:v>Switching</x:v>
      </x:c>
      <x:c r="D1060" s="23" t="n">
        <x:v>1026.839929795824</x:v>
      </x:c>
      <x:c r="E1060" s="23" t="n">
        <x:v>684.7322227084078</x:v>
      </x:c>
      <x:c r="F1060" s="23" t="n">
        <x:v>415.5063968151808</x:v>
      </x:c>
      <x:c r="G1060" s="23" t="n">
        <x:v>285.99123620195314</x:v>
      </x:c>
      <x:c r="H1060" s="23" t="n">
        <x:v>18.688132335431874</x:v>
      </x:c>
      <x:c r="I1060" s="23" t="n">
        <x:v>0.8430381413619035</x:v>
      </x:c>
      <x:c r="J1060" s="23" t="n">
        <x:v>7</x:v>
      </x:c>
      <x:c r="K1060" s="23" t="n">
        <x:v>174.00329990442054</x:v>
      </x:c>
      <x:c r="L1060" s="23" t="n">
        <x:v>15425</x:v>
      </x:c>
      <x:c r="M1060" s="23" t="n">
        <x:v>1200</x:v>
      </x:c>
      <x:c r="N1060" s="23" t="n">
        <x:v>249.96290298292823</x:v>
      </x:c>
      <x:c r="O1060" s="23" t="n">
        <x:v>2502.8695212361495</x:v>
      </x:c>
      <x:c r="P1060" s="23" t="n">
        <x:v>1026.839929795824</x:v>
      </x:c>
      <x:c r="Q1060" s="23" t="n">
        <x:v>248.34400998704234</x:v>
      </x:c>
      <x:c r="R1060" s="23" t="n">
        <x:v>2453.043981305344</x:v>
      </x:c>
      <x:c r="S1060" s="23" t="n">
        <x:v>1029.06706831515</x:v>
      </x:c>
      <x:c r="T1060" s="23" t="n">
        <x:v>-1.6188929958858864</x:v>
      </x:c>
      <x:c r="U1060" s="23" t="n">
        <x:v>-49.82553993080546</x:v>
      </x:c>
      <x:c r="V1060" s="23" t="n">
        <x:v>2.2271385193259903</x:v>
      </x:c>
    </x:row>
    <x:row r="1061">
      <x:c r="A1061" s="23" t="n">
        <x:v>1060</x:v>
      </x:c>
      <x:c r="B1061" s="23" t="str">
        <x:v>Hidden Test</x:v>
      </x:c>
      <x:c r="C1061" s="23" t="str">
        <x:v>Switching</x:v>
      </x:c>
      <x:c r="D1061" s="23" t="n">
        <x:v>1055.2592496736906</x:v>
      </x:c>
      <x:c r="E1061" s="23" t="n">
        <x:v>981.2176153529435</x:v>
      </x:c>
      <x:c r="F1061" s="23" t="n">
        <x:v>445.16279427334666</x:v>
      </x:c>
      <x:c r="G1061" s="23" t="n">
        <x:v>170.3531446820125</x:v>
      </x:c>
      <x:c r="H1061" s="23" t="n">
        <x:v>19.190856165718287</x:v>
      </x:c>
      <x:c r="I1061" s="23" t="n">
        <x:v>0.8569859833829105</x:v>
      </x:c>
      <x:c r="J1061" s="23" t="n">
        <x:v>7</x:v>
      </x:c>
      <x:c r="K1061" s="23" t="n">
        <x:v>175.90873632130166</x:v>
      </x:c>
      <x:c r="L1061" s="23" t="n">
        <x:v>13395</x:v>
      </x:c>
      <x:c r="M1061" s="23" t="n">
        <x:v>1200</x:v>
      </x:c>
      <x:c r="N1061" s="23" t="n">
        <x:v>250.0290225196016</x:v>
      </x:c>
      <x:c r="O1061" s="23" t="n">
        <x:v>2504.0949053663394</x:v>
      </x:c>
      <x:c r="P1061" s="23" t="n">
        <x:v>1055.2592496736906</x:v>
      </x:c>
      <x:c r="Q1061" s="23" t="n">
        <x:v>247.82731407635046</x:v>
      </x:c>
      <x:c r="R1061" s="23" t="n">
        <x:v>2500.241835726912</x:v>
      </x:c>
      <x:c r="S1061" s="23" t="n">
        <x:v>1057.8748069384153</x:v>
      </x:c>
      <x:c r="T1061" s="23" t="n">
        <x:v>-2.2017084432511353</x:v>
      </x:c>
      <x:c r="U1061" s="23" t="n">
        <x:v>-3.8530696394273036</x:v>
      </x:c>
      <x:c r="V1061" s="23" t="n">
        <x:v>2.615557264724657</x:v>
      </x:c>
    </x:row>
    <x:row r="1062">
      <x:c r="A1062" s="23" t="n">
        <x:v>1061</x:v>
      </x:c>
      <x:c r="B1062" s="23" t="str">
        <x:v>Train</x:v>
      </x:c>
      <x:c r="C1062" s="23" t="str">
        <x:v>Switching</x:v>
      </x:c>
      <x:c r="D1062" s="23" t="n">
        <x:v>1045.9228104446083</x:v>
      </x:c>
      <x:c r="E1062" s="23" t="n">
        <x:v>1039.6838663029484</x:v>
      </x:c>
      <x:c r="F1062" s="23" t="n">
        <x:v>375.23206006735563</x:v>
      </x:c>
      <x:c r="G1062" s="23" t="n">
        <x:v>260.7567526702769</x:v>
      </x:c>
      <x:c r="H1062" s="23" t="n">
        <x:v>24.962482757866383</x:v>
      </x:c>
      <x:c r="I1062" s="23" t="n">
        <x:v>0.8275646502734162</x:v>
      </x:c>
      <x:c r="J1062" s="23" t="n">
        <x:v>7</x:v>
      </x:c>
      <x:c r="K1062" s="23" t="n">
        <x:v>180.55090233719412</x:v>
      </x:c>
      <x:c r="L1062" s="23" t="n">
        <x:v>12760</x:v>
      </x:c>
      <x:c r="M1062" s="23" t="n">
        <x:v>1200</x:v>
      </x:c>
      <x:c r="N1062" s="23" t="n">
        <x:v>249.95129316362167</x:v>
      </x:c>
      <x:c r="O1062" s="23" t="n">
        <x:v>2504.554425799231</x:v>
      </x:c>
      <x:c r="P1062" s="23" t="n">
        <x:v>1045.9228104446083</x:v>
      </x:c>
      <x:c r="Q1062" s="23" t="n">
        <x:v>248.31364061618189</x:v>
      </x:c>
      <x:c r="R1062" s="23" t="n">
        <x:v>2519.45821309732</x:v>
      </x:c>
      <x:c r="S1062" s="23" t="n">
        <x:v>1042.0765938430688</x:v>
      </x:c>
      <x:c r="T1062" s="23" t="n">
        <x:v>-1.6376525474397852</x:v>
      </x:c>
      <x:c r="U1062" s="23" t="n">
        <x:v>14.9037872980889</x:v>
      </x:c>
      <x:c r="V1062" s="23" t="n">
        <x:v>-3.8462166015394814</x:v>
      </x:c>
    </x:row>
    <x:row r="1063">
      <x:c r="A1063" s="23" t="n">
        <x:v>1062</x:v>
      </x:c>
      <x:c r="B1063" s="23" t="str">
        <x:v>Train</x:v>
      </x:c>
      <x:c r="C1063" s="23" t="str">
        <x:v>Switching</x:v>
      </x:c>
      <x:c r="D1063" s="23" t="n">
        <x:v>1075.4774744738825</x:v>
      </x:c>
      <x:c r="E1063" s="23" t="n">
        <x:v>1157.3049522703514</x:v>
      </x:c>
      <x:c r="F1063" s="23" t="n">
        <x:v>367.92122395709157</x:v>
      </x:c>
      <x:c r="G1063" s="23" t="n">
        <x:v>92.33397936448455</x:v>
      </x:c>
      <x:c r="H1063" s="23" t="n">
        <x:v>10.289642243180424</x:v>
      </x:c>
      <x:c r="I1063" s="23" t="n">
        <x:v>0.7961992168566212</x:v>
      </x:c>
      <x:c r="J1063" s="23" t="n">
        <x:v>7</x:v>
      </x:c>
      <x:c r="K1063" s="23" t="n">
        <x:v>192.96632797143522</x:v>
      </x:c>
      <x:c r="L1063" s="23" t="n">
        <x:v>13220</x:v>
      </x:c>
      <x:c r="M1063" s="23" t="n">
        <x:v>1200</x:v>
      </x:c>
      <x:c r="N1063" s="23" t="n">
        <x:v>249.98089016517267</x:v>
      </x:c>
      <x:c r="O1063" s="23" t="n">
        <x:v>2504.2161411777315</x:v>
      </x:c>
      <x:c r="P1063" s="23" t="n">
        <x:v>1075.4774744738825</x:v>
      </x:c>
      <x:c r="Q1063" s="23" t="n">
        <x:v>254.386042752521</x:v>
      </x:c>
      <x:c r="R1063" s="23" t="n">
        <x:v>2500.1290636498316</x:v>
      </x:c>
      <x:c r="S1063" s="23" t="n">
        <x:v>1085.6385597957894</x:v>
      </x:c>
      <x:c r="T1063" s="23" t="n">
        <x:v>4.40515258734834</x:v>
      </x:c>
      <x:c r="U1063" s="23" t="n">
        <x:v>-4.0870775278999645</x:v>
      </x:c>
      <x:c r="V1063" s="23" t="n">
        <x:v>10.161085321906967</x:v>
      </x:c>
    </x:row>
    <x:row r="1064">
      <x:c r="A1064" s="23" t="n">
        <x:v>1063</x:v>
      </x:c>
      <x:c r="B1064" s="23" t="str">
        <x:v>Train</x:v>
      </x:c>
      <x:c r="C1064" s="23" t="str">
        <x:v>Switching</x:v>
      </x:c>
      <x:c r="D1064" s="23" t="n">
        <x:v>974.900672887452</x:v>
      </x:c>
      <x:c r="E1064" s="23" t="n">
        <x:v>1154.4421214726754</x:v>
      </x:c>
      <x:c r="F1064" s="23" t="n">
        <x:v>704.2698383331299</x:v>
      </x:c>
      <x:c r="G1064" s="23" t="n">
        <x:v>265.67415134748444</x:v>
      </x:c>
      <x:c r="H1064" s="23" t="n">
        <x:v>14.669402497820556</x:v>
      </x:c>
      <x:c r="I1064" s="23" t="n">
        <x:v>0.8421378459758125</x:v>
      </x:c>
      <x:c r="J1064" s="23" t="n">
        <x:v>6</x:v>
      </x:c>
      <x:c r="K1064" s="23" t="n">
        <x:v>192.94162619299829</x:v>
      </x:c>
      <x:c r="L1064" s="23" t="n">
        <x:v>11745</x:v>
      </x:c>
      <x:c r="M1064" s="23" t="n">
        <x:v>1195</x:v>
      </x:c>
      <x:c r="N1064" s="23" t="n">
        <x:v>250.00860159696637</x:v>
      </x:c>
      <x:c r="O1064" s="23" t="n">
        <x:v>2494.960670952959</x:v>
      </x:c>
      <x:c r="P1064" s="23" t="n">
        <x:v>974.900672887452</x:v>
      </x:c>
      <x:c r="Q1064" s="23" t="n">
        <x:v>252.49107452011066</x:v>
      </x:c>
      <x:c r="R1064" s="23" t="n">
        <x:v>2560.1443398262186</x:v>
      </x:c>
      <x:c r="S1064" s="23" t="n">
        <x:v>970.5255129881638</x:v>
      </x:c>
      <x:c r="T1064" s="23" t="n">
        <x:v>2.482472923144286</x:v>
      </x:c>
      <x:c r="U1064" s="23" t="n">
        <x:v>65.18366887325965</x:v>
      </x:c>
      <x:c r="V1064" s="23" t="n">
        <x:v>-4.375159899288178</x:v>
      </x:c>
    </x:row>
    <x:row r="1065">
      <x:c r="A1065" s="23" t="n">
        <x:v>1064</x:v>
      </x:c>
      <x:c r="B1065" s="23" t="str">
        <x:v>Train</x:v>
      </x:c>
      <x:c r="C1065" s="23" t="str">
        <x:v>Switching</x:v>
      </x:c>
      <x:c r="D1065" s="23" t="n">
        <x:v>1066.8602541903965</x:v>
      </x:c>
      <x:c r="E1065" s="23" t="n">
        <x:v>600.0713513232768</x:v>
      </x:c>
      <x:c r="F1065" s="23" t="n">
        <x:v>731.2341905198991</x:v>
      </x:c>
      <x:c r="G1065" s="23" t="n">
        <x:v>289.6264526480809</x:v>
      </x:c>
      <x:c r="H1065" s="23" t="n">
        <x:v>10.649771524127573</x:v>
      </x:c>
      <x:c r="I1065" s="23" t="n">
        <x:v>0.828626298615709</x:v>
      </x:c>
      <x:c r="J1065" s="23" t="n">
        <x:v>7</x:v>
      </x:c>
      <x:c r="K1065" s="23" t="n">
        <x:v>183.92924288801456</x:v>
      </x:c>
      <x:c r="L1065" s="23" t="n">
        <x:v>13195</x:v>
      </x:c>
      <x:c r="M1065" s="23" t="n">
        <x:v>1200</x:v>
      </x:c>
      <x:c r="N1065" s="23" t="n">
        <x:v>250.02827142147976</x:v>
      </x:c>
      <x:c r="O1065" s="23" t="n">
        <x:v>2504.2357693263325</x:v>
      </x:c>
      <x:c r="P1065" s="23" t="n">
        <x:v>1066.8602541903965</x:v>
      </x:c>
      <x:c r="Q1065" s="23" t="n">
        <x:v>250.00169166127478</x:v>
      </x:c>
      <x:c r="R1065" s="23" t="n">
        <x:v>2463.7279054433616</x:v>
      </x:c>
      <x:c r="S1065" s="23" t="n">
        <x:v>1076.1794405560975</x:v>
      </x:c>
      <x:c r="T1065" s="23" t="n">
        <x:v>-0.02657976020498154</x:v>
      </x:c>
      <x:c r="U1065" s="23" t="n">
        <x:v>-40.50786388297092</x:v>
      </x:c>
      <x:c r="V1065" s="23" t="n">
        <x:v>9.319186365700943</x:v>
      </x:c>
    </x:row>
    <x:row r="1066">
      <x:c r="A1066" s="23" t="n">
        <x:v>1065</x:v>
      </x:c>
      <x:c r="B1066" s="23" t="str">
        <x:v>Train</x:v>
      </x:c>
      <x:c r="C1066" s="23" t="str">
        <x:v>Switching</x:v>
      </x:c>
      <x:c r="D1066" s="23" t="n">
        <x:v>1067.0015899464488</x:v>
      </x:c>
      <x:c r="E1066" s="23" t="n">
        <x:v>846.635170688387</x:v>
      </x:c>
      <x:c r="F1066" s="23" t="n">
        <x:v>541.3441659882665</x:v>
      </x:c>
      <x:c r="G1066" s="23" t="n">
        <x:v>106.44925523782149</x:v>
      </x:c>
      <x:c r="H1066" s="23" t="n">
        <x:v>8.492072066292167</x:v>
      </x:c>
      <x:c r="I1066" s="23" t="n">
        <x:v>0.826430673908908</x:v>
      </x:c>
      <x:c r="J1066" s="23" t="n">
        <x:v>7</x:v>
      </x:c>
      <x:c r="K1066" s="23" t="n">
        <x:v>184.44232937629275</x:v>
      </x:c>
      <x:c r="L1066" s="23" t="n">
        <x:v>14310</x:v>
      </x:c>
      <x:c r="M1066" s="23" t="n">
        <x:v>1200</x:v>
      </x:c>
      <x:c r="N1066" s="23" t="n">
        <x:v>249.99402009805257</x:v>
      </x:c>
      <x:c r="O1066" s="23" t="n">
        <x:v>2503.4993677192524</x:v>
      </x:c>
      <x:c r="P1066" s="23" t="n">
        <x:v>1067.0015899464488</x:v>
      </x:c>
      <x:c r="Q1066" s="23" t="n">
        <x:v>251.67967828574038</x:v>
      </x:c>
      <x:c r="R1066" s="23" t="n">
        <x:v>2526.122460464334</x:v>
      </x:c>
      <x:c r="S1066" s="23" t="n">
        <x:v>1076.8413304420692</x:v>
      </x:c>
      <x:c r="T1066" s="23" t="n">
        <x:v>1.6856581876878067</x:v>
      </x:c>
      <x:c r="U1066" s="23" t="n">
        <x:v>22.62309274508152</x:v>
      </x:c>
      <x:c r="V1066" s="23" t="n">
        <x:v>9.83974049562039</x:v>
      </x:c>
    </x:row>
    <x:row r="1067">
      <x:c r="A1067" s="23" t="n">
        <x:v>1066</x:v>
      </x:c>
      <x:c r="B1067" s="23" t="str">
        <x:v>Train</x:v>
      </x:c>
      <x:c r="C1067" s="23" t="str">
        <x:v>Switching</x:v>
      </x:c>
      <x:c r="D1067" s="23" t="n">
        <x:v>1010.7908990816213</x:v>
      </x:c>
      <x:c r="E1067" s="23" t="n">
        <x:v>1062.3841371620074</x:v>
      </x:c>
      <x:c r="F1067" s="23" t="n">
        <x:v>386.52539858594537</x:v>
      </x:c>
      <x:c r="G1067" s="23" t="n">
        <x:v>288.4427874069661</x:v>
      </x:c>
      <x:c r="H1067" s="23" t="n">
        <x:v>11.49585046293214</x:v>
      </x:c>
      <x:c r="I1067" s="23" t="n">
        <x:v>0.795362342116423</x:v>
      </x:c>
      <x:c r="J1067" s="23" t="n">
        <x:v>7</x:v>
      </x:c>
      <x:c r="K1067" s="23" t="n">
        <x:v>181.55083818095372</x:v>
      </x:c>
      <x:c r="L1067" s="23" t="n">
        <x:v>12310</x:v>
      </x:c>
      <x:c r="M1067" s="23" t="n">
        <x:v>1200</x:v>
      </x:c>
      <x:c r="N1067" s="23" t="n">
        <x:v>250.0120534671112</x:v>
      </x:c>
      <x:c r="O1067" s="23" t="n">
        <x:v>2504.913475343549</x:v>
      </x:c>
      <x:c r="P1067" s="23" t="n">
        <x:v>1010.7908990816213</x:v>
      </x:c>
      <x:c r="Q1067" s="23" t="n">
        <x:v>255.0771584814065</x:v>
      </x:c>
      <x:c r="R1067" s="23" t="n">
        <x:v>2536.1921137193617</x:v>
      </x:c>
      <x:c r="S1067" s="23" t="n">
        <x:v>1017.3913913614896</x:v>
      </x:c>
      <x:c r="T1067" s="23" t="n">
        <x:v>5.0651050142953125</x:v>
      </x:c>
      <x:c r="U1067" s="23" t="n">
        <x:v>31.278638375812534</x:v>
      </x:c>
      <x:c r="V1067" s="23" t="n">
        <x:v>6.600492279868263</x:v>
      </x:c>
    </x:row>
    <x:row r="1068">
      <x:c r="A1068" s="23" t="n">
        <x:v>1067</x:v>
      </x:c>
      <x:c r="B1068" s="23" t="str">
        <x:v>Train</x:v>
      </x:c>
      <x:c r="C1068" s="23" t="str">
        <x:v>Switching</x:v>
      </x:c>
      <x:c r="D1068" s="23" t="n">
        <x:v>993.1523873237893</x:v>
      </x:c>
      <x:c r="E1068" s="23" t="n">
        <x:v>655.9880806715228</x:v>
      </x:c>
      <x:c r="F1068" s="23" t="n">
        <x:v>727.4916607886553</x:v>
      </x:c>
      <x:c r="G1068" s="23" t="n">
        <x:v>80.68839098094031</x:v>
      </x:c>
      <x:c r="H1068" s="23" t="n">
        <x:v>21.465279773809016</x:v>
      </x:c>
      <x:c r="I1068" s="23" t="n">
        <x:v>0.8154831654462033</x:v>
      </x:c>
      <x:c r="J1068" s="23" t="n">
        <x:v>7</x:v>
      </x:c>
      <x:c r="K1068" s="23" t="n">
        <x:v>173.9814118629855</x:v>
      </x:c>
      <x:c r="L1068" s="23" t="n">
        <x:v>14605</x:v>
      </x:c>
      <x:c r="M1068" s="23" t="n">
        <x:v>1200</x:v>
      </x:c>
      <x:c r="N1068" s="23" t="n">
        <x:v>249.9814507551039</x:v>
      </x:c>
      <x:c r="O1068" s="23" t="n">
        <x:v>2503.3232155325663</x:v>
      </x:c>
      <x:c r="P1068" s="23" t="n">
        <x:v>993.1523873237893</x:v>
      </x:c>
      <x:c r="Q1068" s="23" t="n">
        <x:v>249.26170519272748</x:v>
      </x:c>
      <x:c r="R1068" s="23" t="n">
        <x:v>2478.2261291717728</x:v>
      </x:c>
      <x:c r="S1068" s="23" t="n">
        <x:v>995.599793168286</x:v>
      </x:c>
      <x:c r="T1068" s="23" t="n">
        <x:v>-0.7197455623764313</x:v>
      </x:c>
      <x:c r="U1068" s="23" t="n">
        <x:v>-25.097086360793583</x:v>
      </x:c>
      <x:c r="V1068" s="23" t="n">
        <x:v>2.447405844496757</x:v>
      </x:c>
    </x:row>
    <x:row r="1069">
      <x:c r="A1069" s="23" t="n">
        <x:v>1068</x:v>
      </x:c>
      <x:c r="B1069" s="23" t="str">
        <x:v>Train</x:v>
      </x:c>
      <x:c r="C1069" s="23" t="str">
        <x:v>Switching</x:v>
      </x:c>
      <x:c r="D1069" s="23" t="n">
        <x:v>1027.5419725454412</x:v>
      </x:c>
      <x:c r="E1069" s="23" t="n">
        <x:v>978.1327181961387</x:v>
      </x:c>
      <x:c r="F1069" s="23" t="n">
        <x:v>513.8151447288692</x:v>
      </x:c>
      <x:c r="G1069" s="23" t="n">
        <x:v>141.37938133906573</x:v>
      </x:c>
      <x:c r="H1069" s="23" t="n">
        <x:v>14.489155340474099</x:v>
      </x:c>
      <x:c r="I1069" s="23" t="n">
        <x:v>0.8042755392566323</x:v>
      </x:c>
      <x:c r="J1069" s="23" t="n">
        <x:v>7</x:v>
      </x:c>
      <x:c r="K1069" s="23" t="n">
        <x:v>182.514204645972</x:v>
      </x:c>
      <x:c r="L1069" s="23" t="n">
        <x:v>13095</x:v>
      </x:c>
      <x:c r="M1069" s="23" t="n">
        <x:v>1200</x:v>
      </x:c>
      <x:c r="N1069" s="23" t="n">
        <x:v>250.0309628452933</x:v>
      </x:c>
      <x:c r="O1069" s="23" t="n">
        <x:v>2504.30792455431</x:v>
      </x:c>
      <x:c r="P1069" s="23" t="n">
        <x:v>1027.5419725454412</x:v>
      </x:c>
      <x:c r="Q1069" s="23" t="n">
        <x:v>249.79461381659561</x:v>
      </x:c>
      <x:c r="R1069" s="23" t="n">
        <x:v>2540.3756333752285</x:v>
      </x:c>
      <x:c r="S1069" s="23" t="n">
        <x:v>1032.8064545020097</x:v>
      </x:c>
      <x:c r="T1069" s="23" t="n">
        <x:v>-0.23634902869767416</x:v>
      </x:c>
      <x:c r="U1069" s="23" t="n">
        <x:v>36.0677088209186</x:v>
      </x:c>
      <x:c r="V1069" s="23" t="n">
        <x:v>5.264481956568488</x:v>
      </x:c>
    </x:row>
    <x:row r="1070">
      <x:c r="A1070" s="23" t="n">
        <x:v>1069</x:v>
      </x:c>
      <x:c r="B1070" s="23" t="str">
        <x:v>Train</x:v>
      </x:c>
      <x:c r="C1070" s="23" t="str">
        <x:v>Switching</x:v>
      </x:c>
      <x:c r="D1070" s="23" t="n">
        <x:v>1091.9552785810083</x:v>
      </x:c>
      <x:c r="E1070" s="23" t="n">
        <x:v>797.1244114334695</x:v>
      </x:c>
      <x:c r="F1070" s="23" t="n">
        <x:v>728.0833711847663</x:v>
      </x:c>
      <x:c r="G1070" s="23" t="n">
        <x:v>153.6553201568313</x:v>
      </x:c>
      <x:c r="H1070" s="23" t="n">
        <x:v>23.91049176827073</x:v>
      </x:c>
      <x:c r="I1070" s="23" t="n">
        <x:v>0.8361493334942498</x:v>
      </x:c>
      <x:c r="J1070" s="23" t="n">
        <x:v>7</x:v>
      </x:c>
      <x:c r="K1070" s="23" t="n">
        <x:v>186.56190345086378</x:v>
      </x:c>
      <x:c r="L1070" s="23" t="n">
        <x:v>12740</x:v>
      </x:c>
      <x:c r="M1070" s="23" t="n">
        <x:v>1200</x:v>
      </x:c>
      <x:c r="N1070" s="23" t="n">
        <x:v>250.03464890349642</x:v>
      </x:c>
      <x:c r="O1070" s="23" t="n">
        <x:v>2504.572997893874</x:v>
      </x:c>
      <x:c r="P1070" s="23" t="n">
        <x:v>1091.9552785810083</x:v>
      </x:c>
      <x:c r="Q1070" s="23" t="n">
        <x:v>251.98559003340546</x:v>
      </x:c>
      <x:c r="R1070" s="23" t="n">
        <x:v>2467.443787754193</x:v>
      </x:c>
      <x:c r="S1070" s="23" t="n">
        <x:v>1081.532548016364</x:v>
      </x:c>
      <x:c r="T1070" s="23" t="n">
        <x:v>1.9509411299090402</x:v>
      </x:c>
      <x:c r="U1070" s="23" t="n">
        <x:v>-37.12921013968071</x:v>
      </x:c>
      <x:c r="V1070" s="23" t="n">
        <x:v>-10.422730564644326</x:v>
      </x:c>
    </x:row>
    <x:row r="1071">
      <x:c r="A1071" s="23" t="n">
        <x:v>1070</x:v>
      </x:c>
      <x:c r="B1071" s="23" t="str">
        <x:v>Train</x:v>
      </x:c>
      <x:c r="C1071" s="23" t="str">
        <x:v>Switching</x:v>
      </x:c>
      <x:c r="D1071" s="23" t="n">
        <x:v>995.2067753416486</x:v>
      </x:c>
      <x:c r="E1071" s="23" t="n">
        <x:v>786.921598832123</x:v>
      </x:c>
      <x:c r="F1071" s="23" t="n">
        <x:v>551.6862903721631</x:v>
      </x:c>
      <x:c r="G1071" s="23" t="n">
        <x:v>309.3180711567402</x:v>
      </x:c>
      <x:c r="H1071" s="23" t="n">
        <x:v>27.484006623271853</x:v>
      </x:c>
      <x:c r="I1071" s="23" t="n">
        <x:v>0.8323757631285117</x:v>
      </x:c>
      <x:c r="J1071" s="23" t="n">
        <x:v>6</x:v>
      </x:c>
      <x:c r="K1071" s="23" t="n">
        <x:v>199.27033346917167</x:v>
      </x:c>
      <x:c r="L1071" s="23" t="n">
        <x:v>15140</x:v>
      </x:c>
      <x:c r="M1071" s="23" t="n">
        <x:v>1200</x:v>
      </x:c>
      <x:c r="N1071" s="23" t="n">
        <x:v>249.9956139601629</x:v>
      </x:c>
      <x:c r="O1071" s="23" t="n">
        <x:v>2503.0224913718166</x:v>
      </x:c>
      <x:c r="P1071" s="23" t="n">
        <x:v>995.2067753416486</x:v>
      </x:c>
      <x:c r="Q1071" s="23" t="n">
        <x:v>248.65233551636067</x:v>
      </x:c>
      <x:c r="R1071" s="23" t="n">
        <x:v>2523.7366036244293</x:v>
      </x:c>
      <x:c r="S1071" s="23" t="n">
        <x:v>991.1327203857452</x:v>
      </x:c>
      <x:c r="T1071" s="23" t="n">
        <x:v>-1.3432784438022338</x:v>
      </x:c>
      <x:c r="U1071" s="23" t="n">
        <x:v>20.714112252612722</x:v>
      </x:c>
      <x:c r="V1071" s="23" t="n">
        <x:v>-4.074054955903421</x:v>
      </x:c>
    </x:row>
    <x:row r="1072">
      <x:c r="A1072" s="23" t="n">
        <x:v>1071</x:v>
      </x:c>
      <x:c r="B1072" s="23" t="str">
        <x:v>Train</x:v>
      </x:c>
      <x:c r="C1072" s="23" t="str">
        <x:v>Switching</x:v>
      </x:c>
      <x:c r="D1072" s="23" t="n">
        <x:v>1088.0231121787801</x:v>
      </x:c>
      <x:c r="E1072" s="23" t="n">
        <x:v>1060.2415130590089</x:v>
      </x:c>
      <x:c r="F1072" s="23" t="n">
        <x:v>447.2115255892277</x:v>
      </x:c>
      <x:c r="G1072" s="23" t="n">
        <x:v>273.1616239598952</x:v>
      </x:c>
      <x:c r="H1072" s="23" t="n">
        <x:v>22.180217727087438</x:v>
      </x:c>
      <x:c r="I1072" s="23" t="n">
        <x:v>0.841245331519749</x:v>
      </x:c>
      <x:c r="J1072" s="23" t="n">
        <x:v>7</x:v>
      </x:c>
      <x:c r="K1072" s="23" t="n">
        <x:v>184.76402464855553</x:v>
      </x:c>
      <x:c r="L1072" s="23" t="n">
        <x:v>12010</x:v>
      </x:c>
      <x:c r="M1072" s="23" t="n">
        <x:v>1200</x:v>
      </x:c>
      <x:c r="N1072" s="23" t="n">
        <x:v>249.99332946998157</x:v>
      </x:c>
      <x:c r="O1072" s="23" t="n">
        <x:v>2505.1653140739745</x:v>
      </x:c>
      <x:c r="P1072" s="23" t="n">
        <x:v>1088.0231121787801</x:v>
      </x:c>
      <x:c r="Q1072" s="23" t="n">
        <x:v>249.04543088277555</x:v>
      </x:c>
      <x:c r="R1072" s="23" t="n">
        <x:v>2544.4235817247177</x:v>
      </x:c>
      <x:c r="S1072" s="23" t="n">
        <x:v>1085.5869337094787</x:v>
      </x:c>
      <x:c r="T1072" s="23" t="n">
        <x:v>-0.9478985872060264</x:v>
      </x:c>
      <x:c r="U1072" s="23" t="n">
        <x:v>39.258267650743164</x:v>
      </x:c>
      <x:c r="V1072" s="23" t="n">
        <x:v>-2.436178469301467</x:v>
      </x:c>
    </x:row>
    <x:row r="1073">
      <x:c r="A1073" s="23" t="n">
        <x:v>1072</x:v>
      </x:c>
      <x:c r="B1073" s="23" t="str">
        <x:v>Train</x:v>
      </x:c>
      <x:c r="C1073" s="23" t="str">
        <x:v>Switching</x:v>
      </x:c>
      <x:c r="D1073" s="23" t="n">
        <x:v>1087.0535287889652</x:v>
      </x:c>
      <x:c r="E1073" s="23" t="n">
        <x:v>861.8098089471459</x:v>
      </x:c>
      <x:c r="F1073" s="23" t="n">
        <x:v>673.4965725801885</x:v>
      </x:c>
      <x:c r="G1073" s="23" t="n">
        <x:v>221.8132671387866</x:v>
      </x:c>
      <x:c r="H1073" s="23" t="n">
        <x:v>11.300104015972465</x:v>
      </x:c>
      <x:c r="I1073" s="23" t="n">
        <x:v>0.8499158062692732</x:v>
      </x:c>
      <x:c r="J1073" s="23" t="n">
        <x:v>7</x:v>
      </x:c>
      <x:c r="K1073" s="23" t="n">
        <x:v>182.7161703666044</x:v>
      </x:c>
      <x:c r="L1073" s="23" t="n">
        <x:v>12170</x:v>
      </x:c>
      <x:c r="M1073" s="23" t="n">
        <x:v>1200</x:v>
      </x:c>
      <x:c r="N1073" s="23" t="n">
        <x:v>249.98094509083546</x:v>
      </x:c>
      <x:c r="O1073" s="23" t="n">
        <x:v>2505.028544898815</x:v>
      </x:c>
      <x:c r="P1073" s="23" t="n">
        <x:v>1087.0535287889652</x:v>
      </x:c>
      <x:c r="Q1073" s="23" t="n">
        <x:v>254.72903365680386</x:v>
      </x:c>
      <x:c r="R1073" s="23" t="n">
        <x:v>2497.82409114035</x:v>
      </x:c>
      <x:c r="S1073" s="23" t="n">
        <x:v>1089.5878547297282</x:v>
      </x:c>
      <x:c r="T1073" s="23" t="n">
        <x:v>4.748088565968402</x:v>
      </x:c>
      <x:c r="U1073" s="23" t="n">
        <x:v>-7.204453758465206</x:v>
      </x:c>
      <x:c r="V1073" s="23" t="n">
        <x:v>2.534325940762983</x:v>
      </x:c>
    </x:row>
    <x:row r="1074">
      <x:c r="A1074" s="23" t="n">
        <x:v>1073</x:v>
      </x:c>
      <x:c r="B1074" s="23" t="str">
        <x:v>Train</x:v>
      </x:c>
      <x:c r="C1074" s="23" t="str">
        <x:v>Switching</x:v>
      </x:c>
      <x:c r="D1074" s="23" t="n">
        <x:v>979.6681036241353</x:v>
      </x:c>
      <x:c r="E1074" s="23" t="n">
        <x:v>754.2456918745302</x:v>
      </x:c>
      <x:c r="F1074" s="23" t="n">
        <x:v>666.1302367225289</x:v>
      </x:c>
      <x:c r="G1074" s="23" t="n">
        <x:v>315.4423478827812</x:v>
      </x:c>
      <x:c r="H1074" s="23" t="n">
        <x:v>28.515139000490308</x:v>
      </x:c>
      <x:c r="I1074" s="23" t="n">
        <x:v>0.8120763662387618</x:v>
      </x:c>
      <x:c r="J1074" s="23" t="n">
        <x:v>7</x:v>
      </x:c>
      <x:c r="K1074" s="23" t="n">
        <x:v>172.33919376354723</x:v>
      </x:c>
      <x:c r="L1074" s="23" t="n">
        <x:v>12320</x:v>
      </x:c>
      <x:c r="M1074" s="23" t="n">
        <x:v>1200</x:v>
      </x:c>
      <x:c r="N1074" s="23" t="n">
        <x:v>249.99462706133787</x:v>
      </x:c>
      <x:c r="O1074" s="23" t="n">
        <x:v>2504.9045453510444</x:v>
      </x:c>
      <x:c r="P1074" s="23" t="n">
        <x:v>979.6681036241353</x:v>
      </x:c>
      <x:c r="Q1074" s="23" t="n">
        <x:v>249.65587636308734</x:v>
      </x:c>
      <x:c r="R1074" s="23" t="n">
        <x:v>2524.80426889251</x:v>
      </x:c>
      <x:c r="S1074" s="23" t="n">
        <x:v>970.6071368142607</x:v>
      </x:c>
      <x:c r="T1074" s="23" t="n">
        <x:v>-0.3387506982505215</x:v>
      </x:c>
      <x:c r="U1074" s="23" t="n">
        <x:v>19.899723541465846</x:v>
      </x:c>
      <x:c r="V1074" s="23" t="n">
        <x:v>-9.060966809874571</x:v>
      </x:c>
    </x:row>
    <x:row r="1075">
      <x:c r="A1075" s="23" t="n">
        <x:v>1074</x:v>
      </x:c>
      <x:c r="B1075" s="23" t="str">
        <x:v>Train</x:v>
      </x:c>
      <x:c r="C1075" s="23" t="str">
        <x:v>Switching</x:v>
      </x:c>
      <x:c r="D1075" s="23" t="n">
        <x:v>982.2277940460481</x:v>
      </x:c>
      <x:c r="E1075" s="23" t="n">
        <x:v>1051.9436744274572</x:v>
      </x:c>
      <x:c r="F1075" s="23" t="n">
        <x:v>379.6126433648169</x:v>
      </x:c>
      <x:c r="G1075" s="23" t="n">
        <x:v>254.765006871894</x:v>
      </x:c>
      <x:c r="H1075" s="23" t="n">
        <x:v>10.823078066576272</x:v>
      </x:c>
      <x:c r="I1075" s="23" t="n">
        <x:v>0.8574935649568215</x:v>
      </x:c>
      <x:c r="J1075" s="23" t="n">
        <x:v>6</x:v>
      </x:c>
      <x:c r="K1075" s="23" t="n">
        <x:v>190.91062490859773</x:v>
      </x:c>
      <x:c r="L1075" s="23" t="n">
        <x:v>14795</x:v>
      </x:c>
      <x:c r="M1075" s="23" t="n">
        <x:v>1200</x:v>
      </x:c>
      <x:c r="N1075" s="23" t="n">
        <x:v>249.99047697753815</x:v>
      </x:c>
      <x:c r="O1075" s="23" t="n">
        <x:v>2503.214068881544</x:v>
      </x:c>
      <x:c r="P1075" s="23" t="n">
        <x:v>982.2277940460481</x:v>
      </x:c>
      <x:c r="Q1075" s="23" t="n">
        <x:v>254.29341112500222</x:v>
      </x:c>
      <x:c r="R1075" s="23" t="n">
        <x:v>2537.594952122141</x:v>
      </x:c>
      <x:c r="S1075" s="23" t="n">
        <x:v>980.5194851689154</x:v>
      </x:c>
      <x:c r="T1075" s="23" t="n">
        <x:v>4.302934147464072</x:v>
      </x:c>
      <x:c r="U1075" s="23" t="n">
        <x:v>34.380883240597086</x:v>
      </x:c>
      <x:c r="V1075" s="23" t="n">
        <x:v>-1.7083088771327084</x:v>
      </x:c>
    </x:row>
    <x:row r="1076">
      <x:c r="A1076" s="23" t="n">
        <x:v>1075</x:v>
      </x:c>
      <x:c r="B1076" s="23" t="str">
        <x:v>Validation</x:v>
      </x:c>
      <x:c r="C1076" s="23" t="str">
        <x:v>Switching</x:v>
      </x:c>
      <x:c r="D1076" s="23" t="n">
        <x:v>1024.624472646974</x:v>
      </x:c>
      <x:c r="E1076" s="23" t="n">
        <x:v>971.5525682666339</x:v>
      </x:c>
      <x:c r="F1076" s="23" t="n">
        <x:v>714.392739161849</x:v>
      </x:c>
      <x:c r="G1076" s="23" t="n">
        <x:v>154.11285367561504</x:v>
      </x:c>
      <x:c r="H1076" s="23" t="n">
        <x:v>8.596762877888978</x:v>
      </x:c>
      <x:c r="I1076" s="23" t="n">
        <x:v>0.8215725885774009</x:v>
      </x:c>
      <x:c r="J1076" s="23" t="n">
        <x:v>7</x:v>
      </x:c>
      <x:c r="K1076" s="23" t="n">
        <x:v>178.1643237602533</x:v>
      </x:c>
      <x:c r="L1076" s="23" t="n">
        <x:v>11620</x:v>
      </x:c>
      <x:c r="M1076" s="23" t="n">
        <x:v>1195</x:v>
      </x:c>
      <x:c r="N1076" s="23" t="n">
        <x:v>249.94967310261984</x:v>
      </x:c>
      <x:c r="O1076" s="23" t="n">
        <x:v>2495.0717159567216</x:v>
      </x:c>
      <x:c r="P1076" s="23" t="n">
        <x:v>1024.624472646974</x:v>
      </x:c>
      <x:c r="Q1076" s="23" t="n">
        <x:v>253.07778193437528</x:v>
      </x:c>
      <x:c r="R1076" s="23" t="n">
        <x:v>2493.4830736464146</x:v>
      </x:c>
      <x:c r="S1076" s="23" t="n">
        <x:v>1030.2041654084328</x:v>
      </x:c>
      <x:c r="T1076" s="23" t="n">
        <x:v>3.1281088317554406</x:v>
      </x:c>
      <x:c r="U1076" s="23" t="n">
        <x:v>-1.5886423103070229</x:v>
      </x:c>
      <x:c r="V1076" s="23" t="n">
        <x:v>5.579692761458773</x:v>
      </x:c>
    </x:row>
    <x:row r="1077">
      <x:c r="A1077" s="23" t="n">
        <x:v>1076</x:v>
      </x:c>
      <x:c r="B1077" s="23" t="str">
        <x:v>Validation</x:v>
      </x:c>
      <x:c r="C1077" s="23" t="str">
        <x:v>Switching</x:v>
      </x:c>
      <x:c r="D1077" s="23" t="n">
        <x:v>1006.8282739608549</x:v>
      </x:c>
      <x:c r="E1077" s="23" t="n">
        <x:v>678.5411807242781</x:v>
      </x:c>
      <x:c r="F1077" s="23" t="n">
        <x:v>388.33185313269496</x:v>
      </x:c>
      <x:c r="G1077" s="23" t="n">
        <x:v>93.9143051346764</x:v>
      </x:c>
      <x:c r="H1077" s="23" t="n">
        <x:v>9.563873558770865</x:v>
      </x:c>
      <x:c r="I1077" s="23" t="n">
        <x:v>0.8085465269722045</x:v>
      </x:c>
      <x:c r="J1077" s="23" t="n">
        <x:v>7</x:v>
      </x:c>
      <x:c r="K1077" s="23" t="n">
        <x:v>177.89033255074628</x:v>
      </x:c>
      <x:c r="L1077" s="23" t="n">
        <x:v>18425</x:v>
      </x:c>
      <x:c r="M1077" s="23" t="n">
        <x:v>1200</x:v>
      </x:c>
      <x:c r="N1077" s="23" t="n">
        <x:v>250.02010836175208</x:v>
      </x:c>
      <x:c r="O1077" s="23" t="n">
        <x:v>2501.5571752577375</x:v>
      </x:c>
      <x:c r="P1077" s="23" t="n">
        <x:v>1006.8282739608549</x:v>
      </x:c>
      <x:c r="Q1077" s="23" t="n">
        <x:v>251.06292604091513</x:v>
      </x:c>
      <x:c r="R1077" s="23" t="n">
        <x:v>2499.0343379895417</x:v>
      </x:c>
      <x:c r="S1077" s="23" t="n">
        <x:v>1025.3935976055711</x:v>
      </x:c>
      <x:c r="T1077" s="23" t="n">
        <x:v>1.0428176791630506</x:v>
      </x:c>
      <x:c r="U1077" s="23" t="n">
        <x:v>-2.5228372681958717</x:v>
      </x:c>
      <x:c r="V1077" s="23" t="n">
        <x:v>18.565323644716273</x:v>
      </x:c>
    </x:row>
    <x:row r="1078">
      <x:c r="A1078" s="23" t="n">
        <x:v>1077</x:v>
      </x:c>
      <x:c r="B1078" s="23" t="str">
        <x:v>Validation</x:v>
      </x:c>
      <x:c r="C1078" s="23" t="str">
        <x:v>Switching</x:v>
      </x:c>
      <x:c r="D1078" s="23" t="n">
        <x:v>978.2178272027522</x:v>
      </x:c>
      <x:c r="E1078" s="23" t="n">
        <x:v>1095.0177140417509</x:v>
      </x:c>
      <x:c r="F1078" s="23" t="n">
        <x:v>512.4058632180095</x:v>
      </x:c>
      <x:c r="G1078" s="23" t="n">
        <x:v>276.18759147124365</x:v>
      </x:c>
      <x:c r="H1078" s="23" t="n">
        <x:v>26.45453852415085</x:v>
      </x:c>
      <x:c r="I1078" s="23" t="n">
        <x:v>0.847051296888385</x:v>
      </x:c>
      <x:c r="J1078" s="23" t="n">
        <x:v>6</x:v>
      </x:c>
      <x:c r="K1078" s="23" t="n">
        <x:v>192.4751253350305</x:v>
      </x:c>
      <x:c r="L1078" s="23" t="n">
        <x:v>13245</x:v>
      </x:c>
      <x:c r="M1078" s="23" t="n">
        <x:v>1200</x:v>
      </x:c>
      <x:c r="N1078" s="23" t="n">
        <x:v>249.98396279789176</x:v>
      </x:c>
      <x:c r="O1078" s="23" t="n">
        <x:v>2504.1984662874993</x:v>
      </x:c>
      <x:c r="P1078" s="23" t="n">
        <x:v>978.2178272027522</x:v>
      </x:c>
      <x:c r="Q1078" s="23" t="n">
        <x:v>252.7110804066965</x:v>
      </x:c>
      <x:c r="R1078" s="23" t="n">
        <x:v>2515.85025886981</x:v>
      </x:c>
      <x:c r="S1078" s="23" t="n">
        <x:v>961.0315212406443</x:v>
      </x:c>
      <x:c r="T1078" s="23" t="n">
        <x:v>2.727117608804747</x:v>
      </x:c>
      <x:c r="U1078" s="23" t="n">
        <x:v>11.651792582310918</x:v>
      </x:c>
      <x:c r="V1078" s="23" t="n">
        <x:v>-17.186305962107895</x:v>
      </x:c>
    </x:row>
    <x:row r="1079">
      <x:c r="A1079" s="23" t="n">
        <x:v>1078</x:v>
      </x:c>
      <x:c r="B1079" s="23" t="str">
        <x:v>Hidden Test</x:v>
      </x:c>
      <x:c r="C1079" s="23" t="str">
        <x:v>Switching</x:v>
      </x:c>
      <x:c r="D1079" s="23" t="n">
        <x:v>976.5901283477433</x:v>
      </x:c>
      <x:c r="E1079" s="23" t="n">
        <x:v>898.1256345054135</x:v>
      </x:c>
      <x:c r="F1079" s="23" t="n">
        <x:v>611.6734188981354</x:v>
      </x:c>
      <x:c r="G1079" s="23" t="n">
        <x:v>106.26163000240922</x:v>
      </x:c>
      <x:c r="H1079" s="23" t="n">
        <x:v>25.48531430074945</x:v>
      </x:c>
      <x:c r="I1079" s="23" t="n">
        <x:v>0.7962998421257362</x:v>
      </x:c>
      <x:c r="J1079" s="23" t="n">
        <x:v>7</x:v>
      </x:c>
      <x:c r="K1079" s="23" t="n">
        <x:v>175.20143556203277</x:v>
      </x:c>
      <x:c r="L1079" s="23" t="n">
        <x:v>13235</x:v>
      </x:c>
      <x:c r="M1079" s="23" t="n">
        <x:v>1200</x:v>
      </x:c>
      <x:c r="N1079" s="23" t="n">
        <x:v>250.03287740435303</x:v>
      </x:c>
      <x:c r="O1079" s="23" t="n">
        <x:v>2504.207412450243</x:v>
      </x:c>
      <x:c r="P1079" s="23" t="n">
        <x:v>976.5901283477433</x:v>
      </x:c>
      <x:c r="Q1079" s="23" t="n">
        <x:v>250.17112921550373</x:v>
      </x:c>
      <x:c r="R1079" s="23" t="n">
        <x:v>2469.247474742052</x:v>
      </x:c>
      <x:c r="S1079" s="23" t="n">
        <x:v>971.8059946322979</x:v>
      </x:c>
      <x:c r="T1079" s="23" t="n">
        <x:v>0.1382518111506954</x:v>
      </x:c>
      <x:c r="U1079" s="23" t="n">
        <x:v>-34.959937708190864</x:v>
      </x:c>
      <x:c r="V1079" s="23" t="n">
        <x:v>-4.784133715445364</x:v>
      </x:c>
    </x:row>
    <x:row r="1080">
      <x:c r="A1080" s="23" t="n">
        <x:v>1079</x:v>
      </x:c>
      <x:c r="B1080" s="23" t="str">
        <x:v>Hidden Test</x:v>
      </x:c>
      <x:c r="C1080" s="23" t="str">
        <x:v>Switching</x:v>
      </x:c>
      <x:c r="D1080" s="23" t="n">
        <x:v>1009.0484329732135</x:v>
      </x:c>
      <x:c r="E1080" s="23" t="n">
        <x:v>1155.988047842402</x:v>
      </x:c>
      <x:c r="F1080" s="23" t="n">
        <x:v>632.3255732655525</x:v>
      </x:c>
      <x:c r="G1080" s="23" t="n">
        <x:v>123.29189559211954</x:v>
      </x:c>
      <x:c r="H1080" s="23" t="n">
        <x:v>8.134417007677257</x:v>
      </x:c>
      <x:c r="I1080" s="23" t="n">
        <x:v>0.8080192707828247</x:v>
      </x:c>
      <x:c r="J1080" s="23" t="n">
        <x:v>7</x:v>
      </x:c>
      <x:c r="K1080" s="23" t="n">
        <x:v>178.39893348010798</x:v>
      </x:c>
      <x:c r="L1080" s="23" t="n">
        <x:v>11185</x:v>
      </x:c>
      <x:c r="M1080" s="23" t="n">
        <x:v>1195</x:v>
      </x:c>
      <x:c r="N1080" s="23" t="n">
        <x:v>249.947703942752</x:v>
      </x:c>
      <x:c r="O1080" s="23" t="n">
        <x:v>2495.486472042007</x:v>
      </x:c>
      <x:c r="P1080" s="23" t="n">
        <x:v>1009.0484329732135</x:v>
      </x:c>
      <x:c r="Q1080" s="23" t="n">
        <x:v>251.13471932201142</x:v>
      </x:c>
      <x:c r="R1080" s="23" t="n">
        <x:v>2531.29206999005</x:v>
      </x:c>
      <x:c r="S1080" s="23" t="n">
        <x:v>1011.2302139221022</x:v>
      </x:c>
      <x:c r="T1080" s="23" t="n">
        <x:v>1.1870153792594067</x:v>
      </x:c>
      <x:c r="U1080" s="23" t="n">
        <x:v>35.805597948043214</x:v>
      </x:c>
      <x:c r="V1080" s="23" t="n">
        <x:v>2.1817809488886724</x:v>
      </x:c>
    </x:row>
    <x:row r="1081">
      <x:c r="A1081" s="23" t="n">
        <x:v>1080</x:v>
      </x:c>
      <x:c r="B1081" s="23" t="str">
        <x:v>Hidden Test</x:v>
      </x:c>
      <x:c r="C1081" s="23" t="str">
        <x:v>Switching</x:v>
      </x:c>
      <x:c r="D1081" s="23" t="n">
        <x:v>998.1032929266803</x:v>
      </x:c>
      <x:c r="E1081" s="23" t="n">
        <x:v>899.2989066056907</x:v>
      </x:c>
      <x:c r="F1081" s="23" t="n">
        <x:v>421.3612428866327</x:v>
      </x:c>
      <x:c r="G1081" s="23" t="n">
        <x:v>247.02691337559372</x:v>
      </x:c>
      <x:c r="H1081" s="23" t="n">
        <x:v>10.816308294888586</x:v>
      </x:c>
      <x:c r="I1081" s="23" t="n">
        <x:v>0.8433210517186672</x:v>
      </x:c>
      <x:c r="J1081" s="23" t="n">
        <x:v>6</x:v>
      </x:c>
      <x:c r="K1081" s="23" t="n">
        <x:v>197.25648788453117</x:v>
      </x:c>
      <x:c r="L1081" s="23" t="n">
        <x:v>15915</x:v>
      </x:c>
      <x:c r="M1081" s="23" t="n">
        <x:v>1200</x:v>
      </x:c>
      <x:c r="N1081" s="23" t="n">
        <x:v>249.9966273019632</x:v>
      </x:c>
      <x:c r="O1081" s="23" t="n">
        <x:v>2502.6221313688857</x:v>
      </x:c>
      <x:c r="P1081" s="23" t="n">
        <x:v>998.1032929266803</x:v>
      </x:c>
      <x:c r="Q1081" s="23" t="n">
        <x:v>252.57861608047824</x:v>
      </x:c>
      <x:c r="R1081" s="23" t="n">
        <x:v>2544.7557671974087</x:v>
      </x:c>
      <x:c r="S1081" s="23" t="n">
        <x:v>1009.8872743201631</x:v>
      </x:c>
      <x:c r="T1081" s="23" t="n">
        <x:v>2.58198877851504</x:v>
      </x:c>
      <x:c r="U1081" s="23" t="n">
        <x:v>42.13363582852298</x:v>
      </x:c>
      <x:c r="V1081" s="23" t="n">
        <x:v>11.783981393482804</x:v>
      </x:c>
    </x:row>
    <x:row r="1082">
      <x:c r="A1082" s="23" t="n">
        <x:v>1081</x:v>
      </x:c>
      <x:c r="B1082" s="23" t="str">
        <x:v>Train</x:v>
      </x:c>
      <x:c r="C1082" s="23" t="str">
        <x:v>Switching</x:v>
      </x:c>
      <x:c r="D1082" s="23" t="n">
        <x:v>954.7066789120436</x:v>
      </x:c>
      <x:c r="E1082" s="23" t="n">
        <x:v>903.8804827607237</x:v>
      </x:c>
      <x:c r="F1082" s="23" t="n">
        <x:v>635.5455236509442</x:v>
      </x:c>
      <x:c r="G1082" s="23" t="n">
        <x:v>178.23892317945138</x:v>
      </x:c>
      <x:c r="H1082" s="23" t="n">
        <x:v>25.830759717151523</x:v>
      </x:c>
      <x:c r="I1082" s="23" t="n">
        <x:v>0.8298099133116194</x:v>
      </x:c>
      <x:c r="J1082" s="23" t="n">
        <x:v>6</x:v>
      </x:c>
      <x:c r="K1082" s="23" t="n">
        <x:v>191.752083538824</x:v>
      </x:c>
      <x:c r="L1082" s="23" t="n">
        <x:v>14525</x:v>
      </x:c>
      <x:c r="M1082" s="23" t="n">
        <x:v>1200</x:v>
      </x:c>
      <x:c r="N1082" s="23" t="n">
        <x:v>249.99043140740736</x:v>
      </x:c>
      <x:c r="O1082" s="23" t="n">
        <x:v>2503.370460932688</x:v>
      </x:c>
      <x:c r="P1082" s="23" t="n">
        <x:v>954.7066789120436</x:v>
      </x:c>
      <x:c r="Q1082" s="23" t="n">
        <x:v>248.1727605277282</x:v>
      </x:c>
      <x:c r="R1082" s="23" t="n">
        <x:v>2490.1466093122003</x:v>
      </x:c>
      <x:c r="S1082" s="23" t="n">
        <x:v>950.7725355212698</x:v>
      </x:c>
      <x:c r="T1082" s="23" t="n">
        <x:v>-1.8176708796791559</x:v>
      </x:c>
      <x:c r="U1082" s="23" t="n">
        <x:v>-13.223851620487494</x:v>
      </x:c>
      <x:c r="V1082" s="23" t="n">
        <x:v>-3.9341433907737837</x:v>
      </x:c>
    </x:row>
    <x:row r="1083">
      <x:c r="A1083" s="23" t="n">
        <x:v>1082</x:v>
      </x:c>
      <x:c r="B1083" s="23" t="str">
        <x:v>Train</x:v>
      </x:c>
      <x:c r="C1083" s="23" t="str">
        <x:v>Switching</x:v>
      </x:c>
      <x:c r="D1083" s="23" t="n">
        <x:v>1077.0460265339352</x:v>
      </x:c>
      <x:c r="E1083" s="23" t="n">
        <x:v>1131.8152426043525</x:v>
      </x:c>
      <x:c r="F1083" s="23" t="n">
        <x:v>670.0862721540034</x:v>
      </x:c>
      <x:c r="G1083" s="23" t="n">
        <x:v>140.36520726047456</x:v>
      </x:c>
      <x:c r="H1083" s="23" t="n">
        <x:v>26.095636647660285</x:v>
      </x:c>
      <x:c r="I1083" s="23" t="n">
        <x:v>0.8052232249872759</x:v>
      </x:c>
      <x:c r="J1083" s="23" t="n">
        <x:v>7</x:v>
      </x:c>
      <x:c r="K1083" s="23" t="n">
        <x:v>191.08206681284906</x:v>
      </x:c>
      <x:c r="L1083" s="23" t="n">
        <x:v>11010</x:v>
      </x:c>
      <x:c r="M1083" s="23" t="n">
        <x:v>1195</x:v>
      </x:c>
      <x:c r="N1083" s="23" t="n">
        <x:v>249.98383558351884</x:v>
      </x:c>
      <x:c r="O1083" s="23" t="n">
        <x:v>2495.6642133628734</x:v>
      </x:c>
      <x:c r="P1083" s="23" t="n">
        <x:v>1077.0460265339352</x:v>
      </x:c>
      <x:c r="Q1083" s="23" t="n">
        <x:v>248.59850850634004</x:v>
      </x:c>
      <x:c r="R1083" s="23" t="n">
        <x:v>2534.834540717431</x:v>
      </x:c>
      <x:c r="S1083" s="23" t="n">
        <x:v>1056.7947961121743</x:v>
      </x:c>
      <x:c r="T1083" s="23" t="n">
        <x:v>-1.3853270771788004</x:v>
      </x:c>
      <x:c r="U1083" s="23" t="n">
        <x:v>39.170327354557685</x:v>
      </x:c>
      <x:c r="V1083" s="23" t="n">
        <x:v>-20.251230421760965</x:v>
      </x:c>
    </x:row>
    <x:row r="1084">
      <x:c r="A1084" s="23" t="n">
        <x:v>1083</x:v>
      </x:c>
      <x:c r="B1084" s="23" t="str">
        <x:v>Train</x:v>
      </x:c>
      <x:c r="C1084" s="23" t="str">
        <x:v>Switching</x:v>
      </x:c>
      <x:c r="D1084" s="23" t="n">
        <x:v>1081.1620962573215</x:v>
      </x:c>
      <x:c r="E1084" s="23" t="n">
        <x:v>702.6259609148838</x:v>
      </x:c>
      <x:c r="F1084" s="23" t="n">
        <x:v>584.4837103039026</x:v>
      </x:c>
      <x:c r="G1084" s="23" t="n">
        <x:v>137.7004954102449</x:v>
      </x:c>
      <x:c r="H1084" s="23" t="n">
        <x:v>27.90029633883387</x:v>
      </x:c>
      <x:c r="I1084" s="23" t="n">
        <x:v>0.8025901136058383</x:v>
      </x:c>
      <x:c r="J1084" s="23" t="n">
        <x:v>7</x:v>
      </x:c>
      <x:c r="K1084" s="23" t="n">
        <x:v>192.44160302803496</x:v>
      </x:c>
      <x:c r="L1084" s="23" t="n">
        <x:v>15010</x:v>
      </x:c>
      <x:c r="M1084" s="23" t="n">
        <x:v>1200</x:v>
      </x:c>
      <x:c r="N1084" s="23" t="n">
        <x:v>250.00757734118474</x:v>
      </x:c>
      <x:c r="O1084" s="23" t="n">
        <x:v>2503.0941049419807</x:v>
      </x:c>
      <x:c r="P1084" s="23" t="n">
        <x:v>1081.1620962573215</x:v>
      </x:c>
      <x:c r="Q1084" s="23" t="n">
        <x:v>248.46807573747913</x:v>
      </x:c>
      <x:c r="R1084" s="23" t="n">
        <x:v>2492.527882763329</x:v>
      </x:c>
      <x:c r="S1084" s="23" t="n">
        <x:v>1082.8608683222633</x:v>
      </x:c>
      <x:c r="T1084" s="23" t="n">
        <x:v>-1.5395016037056166</x:v>
      </x:c>
      <x:c r="U1084" s="23" t="n">
        <x:v>-10.566222178651515</x:v>
      </x:c>
      <x:c r="V1084" s="23" t="n">
        <x:v>1.6987720649417497</x:v>
      </x:c>
    </x:row>
    <x:row r="1085">
      <x:c r="A1085" s="23" t="n">
        <x:v>1084</x:v>
      </x:c>
      <x:c r="B1085" s="23" t="str">
        <x:v>Train</x:v>
      </x:c>
      <x:c r="C1085" s="23" t="str">
        <x:v>Switching</x:v>
      </x:c>
      <x:c r="D1085" s="23" t="n">
        <x:v>988.7010205886327</x:v>
      </x:c>
      <x:c r="E1085" s="23" t="n">
        <x:v>607.3904554825276</x:v>
      </x:c>
      <x:c r="F1085" s="23" t="n">
        <x:v>658.5269148461521</x:v>
      </x:c>
      <x:c r="G1085" s="23" t="n">
        <x:v>115.85092525463551</x:v>
      </x:c>
      <x:c r="H1085" s="23" t="n">
        <x:v>14.193128954153508</x:v>
      </x:c>
      <x:c r="I1085" s="23" t="n">
        <x:v>0.8446187974512578</x:v>
      </x:c>
      <x:c r="J1085" s="23" t="n">
        <x:v>6</x:v>
      </x:c>
      <x:c r="K1085" s="23" t="n">
        <x:v>195.0980772967562</x:v>
      </x:c>
      <x:c r="L1085" s="23" t="n">
        <x:v>18055</x:v>
      </x:c>
      <x:c r="M1085" s="23" t="n">
        <x:v>1200</x:v>
      </x:c>
      <x:c r="N1085" s="23" t="n">
        <x:v>249.97749579804554</x:v>
      </x:c>
      <x:c r="O1085" s="23" t="n">
        <x:v>2501.694471087642</x:v>
      </x:c>
      <x:c r="P1085" s="23" t="n">
        <x:v>988.7010205886327</x:v>
      </x:c>
      <x:c r="Q1085" s="23" t="n">
        <x:v>251.1963891134061</x:v>
      </x:c>
      <x:c r="R1085" s="23" t="n">
        <x:v>2453.506679338406</x:v>
      </x:c>
      <x:c r="S1085" s="23" t="n">
        <x:v>996.7841527696952</x:v>
      </x:c>
      <x:c r="T1085" s="23" t="n">
        <x:v>1.2188933153605603</x:v>
      </x:c>
      <x:c r="U1085" s="23" t="n">
        <x:v>-48.18779174923611</x:v>
      </x:c>
      <x:c r="V1085" s="23" t="n">
        <x:v>8.083132181062524</x:v>
      </x:c>
    </x:row>
    <x:row r="1086">
      <x:c r="A1086" s="23" t="n">
        <x:v>1085</x:v>
      </x:c>
      <x:c r="B1086" s="23" t="str">
        <x:v>Train</x:v>
      </x:c>
      <x:c r="C1086" s="23" t="str">
        <x:v>Switching</x:v>
      </x:c>
      <x:c r="D1086" s="23" t="n">
        <x:v>1046.1372103076428</x:v>
      </x:c>
      <x:c r="E1086" s="23" t="n">
        <x:v>1143.3892753790133</x:v>
      </x:c>
      <x:c r="F1086" s="23" t="n">
        <x:v>618.9504211768508</x:v>
      </x:c>
      <x:c r="G1086" s="23" t="n">
        <x:v>326.3978666928597</x:v>
      </x:c>
      <x:c r="H1086" s="23" t="n">
        <x:v>27.19050544127822</x:v>
      </x:c>
      <x:c r="I1086" s="23" t="n">
        <x:v>0.8067463514604606</x:v>
      </x:c>
      <x:c r="J1086" s="23" t="n">
        <x:v>7</x:v>
      </x:c>
      <x:c r="K1086" s="23" t="n">
        <x:v>185.24803072309453</x:v>
      </x:c>
      <x:c r="L1086" s="23" t="n">
        <x:v>10240</x:v>
      </x:c>
      <x:c r="M1086" s="23" t="n">
        <x:v>1195</x:v>
      </x:c>
      <x:c r="N1086" s="23" t="n">
        <x:v>250.03437510516372</x:v>
      </x:c>
      <x:c r="O1086" s="23" t="n">
        <x:v>2496.5132967735867</x:v>
      </x:c>
      <x:c r="P1086" s="23" t="n">
        <x:v>1046.1372103076428</x:v>
      </x:c>
      <x:c r="Q1086" s="23" t="n">
        <x:v>251.03869383363286</x:v>
      </x:c>
      <x:c r="R1086" s="23" t="n">
        <x:v>2499.211320425417</x:v>
      </x:c>
      <x:c r="S1086" s="23" t="n">
        <x:v>1024.7962658135752</x:v>
      </x:c>
      <x:c r="T1086" s="23" t="n">
        <x:v>1.0043187284691442</x:v>
      </x:c>
      <x:c r="U1086" s="23" t="n">
        <x:v>2.6980236518302263</x:v>
      </x:c>
      <x:c r="V1086" s="23" t="n">
        <x:v>-21.34094449406757</x:v>
      </x:c>
    </x:row>
    <x:row r="1087">
      <x:c r="A1087" s="23" t="n">
        <x:v>1086</x:v>
      </x:c>
      <x:c r="B1087" s="23" t="str">
        <x:v>Train</x:v>
      </x:c>
      <x:c r="C1087" s="23" t="str">
        <x:v>Switching</x:v>
      </x:c>
      <x:c r="D1087" s="23" t="n">
        <x:v>1022.4178891745396</x:v>
      </x:c>
      <x:c r="E1087" s="23" t="n">
        <x:v>913.6832679389045</x:v>
      </x:c>
      <x:c r="F1087" s="23" t="n">
        <x:v>654.6216537244618</x:v>
      </x:c>
      <x:c r="G1087" s="23" t="n">
        <x:v>112.87056181579828</x:v>
      </x:c>
      <x:c r="H1087" s="23" t="n">
        <x:v>23.921262266580015</x:v>
      </x:c>
      <x:c r="I1087" s="23" t="n">
        <x:v>0.8290338279632852</x:v>
      </x:c>
      <x:c r="J1087" s="23" t="n">
        <x:v>7</x:v>
      </x:c>
      <x:c r="K1087" s="23" t="n">
        <x:v>176.18062559924167</x:v>
      </x:c>
      <x:c r="L1087" s="23" t="n">
        <x:v>12720</x:v>
      </x:c>
      <x:c r="M1087" s="23" t="n">
        <x:v>1200</x:v>
      </x:c>
      <x:c r="N1087" s="23" t="n">
        <x:v>249.98597545367085</x:v>
      </x:c>
      <x:c r="O1087" s="23" t="n">
        <x:v>2504.5864587244287</x:v>
      </x:c>
      <x:c r="P1087" s="23" t="n">
        <x:v>1022.4178891745396</x:v>
      </x:c>
      <x:c r="Q1087" s="23" t="n">
        <x:v>251.36089599544178</x:v>
      </x:c>
      <x:c r="R1087" s="23" t="n">
        <x:v>2543.6050806057337</x:v>
      </x:c>
      <x:c r="S1087" s="23" t="n">
        <x:v>1019.1632455238257</x:v>
      </x:c>
      <x:c r="T1087" s="23" t="n">
        <x:v>1.3749205417709334</x:v>
      </x:c>
      <x:c r="U1087" s="23" t="n">
        <x:v>39.01862188130508</x:v>
      </x:c>
      <x:c r="V1087" s="23" t="n">
        <x:v>-3.254643650713888</x:v>
      </x:c>
    </x:row>
    <x:row r="1088">
      <x:c r="A1088" s="23" t="n">
        <x:v>1087</x:v>
      </x:c>
      <x:c r="B1088" s="23" t="str">
        <x:v>Train</x:v>
      </x:c>
      <x:c r="C1088" s="23" t="str">
        <x:v>Switching</x:v>
      </x:c>
      <x:c r="D1088" s="23" t="n">
        <x:v>1085.8693011337891</x:v>
      </x:c>
      <x:c r="E1088" s="23" t="n">
        <x:v>746.8129704822786</x:v>
      </x:c>
      <x:c r="F1088" s="23" t="n">
        <x:v>358.08381363749504</x:v>
      </x:c>
      <x:c r="G1088" s="23" t="n">
        <x:v>207.70133785670623</x:v>
      </x:c>
      <x:c r="H1088" s="23" t="n">
        <x:v>19.300337589345872</x:v>
      </x:c>
      <x:c r="I1088" s="23" t="n">
        <x:v>0.8142435497208499</x:v>
      </x:c>
      <x:c r="J1088" s="23" t="n">
        <x:v>7</x:v>
      </x:c>
      <x:c r="K1088" s="23" t="n">
        <x:v>190.5132511389711</x:v>
      </x:c>
      <x:c r="L1088" s="23" t="n">
        <x:v>16295</x:v>
      </x:c>
      <x:c r="M1088" s="23" t="n">
        <x:v>1200</x:v>
      </x:c>
      <x:c r="N1088" s="23" t="n">
        <x:v>250.03526620264836</x:v>
      </x:c>
      <x:c r="O1088" s="23" t="n">
        <x:v>2502.4408961876493</x:v>
      </x:c>
      <x:c r="P1088" s="23" t="n">
        <x:v>1085.8693011337891</x:v>
      </x:c>
      <x:c r="Q1088" s="23" t="n">
        <x:v>250.68381624089798</x:v>
      </x:c>
      <x:c r="R1088" s="23" t="n">
        <x:v>2444.189321691615</x:v>
      </x:c>
      <x:c r="S1088" s="23" t="n">
        <x:v>1093.8160941303752</x:v>
      </x:c>
      <x:c r="T1088" s="23" t="n">
        <x:v>0.6485500382496241</x:v>
      </x:c>
      <x:c r="U1088" s="23" t="n">
        <x:v>-58.25157449603421</x:v>
      </x:c>
      <x:c r="V1088" s="23" t="n">
        <x:v>7.946792996586055</x:v>
      </x:c>
    </x:row>
    <x:row r="1089">
      <x:c r="A1089" s="23" t="n">
        <x:v>1088</x:v>
      </x:c>
      <x:c r="B1089" s="23" t="str">
        <x:v>Train</x:v>
      </x:c>
      <x:c r="C1089" s="23" t="str">
        <x:v>Switching</x:v>
      </x:c>
      <x:c r="D1089" s="23" t="n">
        <x:v>1077.0667174714617</x:v>
      </x:c>
      <x:c r="E1089" s="23" t="n">
        <x:v>874.3406500667334</x:v>
      </x:c>
      <x:c r="F1089" s="23" t="n">
        <x:v>703.2286225818098</x:v>
      </x:c>
      <x:c r="G1089" s="23" t="n">
        <x:v>309.6438600169495</x:v>
      </x:c>
      <x:c r="H1089" s="23" t="n">
        <x:v>8.449830131139606</x:v>
      </x:c>
      <x:c r="I1089" s="23" t="n">
        <x:v>0.8240216881316156</x:v>
      </x:c>
      <x:c r="J1089" s="23" t="n">
        <x:v>7</x:v>
      </x:c>
      <x:c r="K1089" s="23" t="n">
        <x:v>186.7264856503612</x:v>
      </x:c>
      <x:c r="L1089" s="23" t="n">
        <x:v>11330</x:v>
      </x:c>
      <x:c r="M1089" s="23" t="n">
        <x:v>1195</x:v>
      </x:c>
      <x:c r="N1089" s="23" t="n">
        <x:v>249.9572612372472</x:v>
      </x:c>
      <x:c r="O1089" s="23" t="n">
        <x:v>2495.345070733339</x:v>
      </x:c>
      <x:c r="P1089" s="23" t="n">
        <x:v>1077.0667174714617</x:v>
      </x:c>
      <x:c r="Q1089" s="23" t="n">
        <x:v>253.08285513636397</x:v>
      </x:c>
      <x:c r="R1089" s="23" t="n">
        <x:v>2522.784486648049</x:v>
      </x:c>
      <x:c r="S1089" s="23" t="n">
        <x:v>1072.7038963103992</x:v>
      </x:c>
      <x:c r="T1089" s="23" t="n">
        <x:v>3.1255938991167795</x:v>
      </x:c>
      <x:c r="U1089" s="23" t="n">
        <x:v>27.439415914710025</x:v>
      </x:c>
      <x:c r="V1089" s="23" t="n">
        <x:v>-4.362821161062584</x:v>
      </x:c>
    </x:row>
    <x:row r="1090">
      <x:c r="A1090" s="23" t="n">
        <x:v>1089</x:v>
      </x:c>
      <x:c r="B1090" s="23" t="str">
        <x:v>Train</x:v>
      </x:c>
      <x:c r="C1090" s="23" t="str">
        <x:v>Switching</x:v>
      </x:c>
      <x:c r="D1090" s="23" t="n">
        <x:v>968.0518212728202</x:v>
      </x:c>
      <x:c r="E1090" s="23" t="n">
        <x:v>787.2621271177195</x:v>
      </x:c>
      <x:c r="F1090" s="23" t="n">
        <x:v>562.667571939528</x:v>
      </x:c>
      <x:c r="G1090" s="23" t="n">
        <x:v>195.38114497670904</x:v>
      </x:c>
      <x:c r="H1090" s="23" t="n">
        <x:v>17.623622784391046</x:v>
      </x:c>
      <x:c r="I1090" s="23" t="n">
        <x:v>0.8406185397063383</x:v>
      </x:c>
      <x:c r="J1090" s="23" t="n">
        <x:v>6</x:v>
      </x:c>
      <x:c r="K1090" s="23" t="n">
        <x:v>191.93244330359394</x:v>
      </x:c>
      <x:c r="L1090" s="23" t="n">
        <x:v>16145</x:v>
      </x:c>
      <x:c r="M1090" s="23" t="n">
        <x:v>1200</x:v>
      </x:c>
      <x:c r="N1090" s="23" t="n">
        <x:v>249.98979642077975</x:v>
      </x:c>
      <x:c r="O1090" s="23" t="n">
        <x:v>2502.5104829873912</x:v>
      </x:c>
      <x:c r="P1090" s="23" t="n">
        <x:v>968.0518212728202</x:v>
      </x:c>
      <x:c r="Q1090" s="23" t="n">
        <x:v>252.2546803106131</x:v>
      </x:c>
      <x:c r="R1090" s="23" t="n">
        <x:v>2523.009252866493</x:v>
      </x:c>
      <x:c r="S1090" s="23" t="n">
        <x:v>972.625490652716</x:v>
      </x:c>
      <x:c r="T1090" s="23" t="n">
        <x:v>2.2648838898333565</x:v>
      </x:c>
      <x:c r="U1090" s="23" t="n">
        <x:v>20.49876987910193</x:v>
      </x:c>
      <x:c r="V1090" s="23" t="n">
        <x:v>4.573669379895819</x:v>
      </x:c>
    </x:row>
    <x:row r="1091">
      <x:c r="A1091" s="23" t="n">
        <x:v>1090</x:v>
      </x:c>
      <x:c r="B1091" s="23" t="str">
        <x:v>Train</x:v>
      </x:c>
      <x:c r="C1091" s="23" t="str">
        <x:v>Switching</x:v>
      </x:c>
      <x:c r="D1091" s="23" t="n">
        <x:v>1043.2675806456245</x:v>
      </x:c>
      <x:c r="E1091" s="23" t="n">
        <x:v>622.0322012202814</x:v>
      </x:c>
      <x:c r="F1091" s="23" t="n">
        <x:v>536.5725361742079</x:v>
      </x:c>
      <x:c r="G1091" s="23" t="n">
        <x:v>295.75160161592066</x:v>
      </x:c>
      <x:c r="H1091" s="23" t="n">
        <x:v>29.445312552619725</x:v>
      </x:c>
      <x:c r="I1091" s="23" t="n">
        <x:v>0.8220413696626202</x:v>
      </x:c>
      <x:c r="J1091" s="23" t="n">
        <x:v>7</x:v>
      </x:c>
      <x:c r="K1091" s="23" t="n">
        <x:v>181.30258562009553</x:v>
      </x:c>
      <x:c r="L1091" s="23" t="n">
        <x:v>14705</x:v>
      </x:c>
      <x:c r="M1091" s="23" t="n">
        <x:v>1200</x:v>
      </x:c>
      <x:c r="N1091" s="23" t="n">
        <x:v>250.0065606365704</x:v>
      </x:c>
      <x:c r="O1091" s="23" t="n">
        <x:v>2503.266099120647</x:v>
      </x:c>
      <x:c r="P1091" s="23" t="n">
        <x:v>1043.2675806456245</x:v>
      </x:c>
      <x:c r="Q1091" s="23" t="n">
        <x:v>248.81525120004</x:v>
      </x:c>
      <x:c r="R1091" s="23" t="n">
        <x:v>2439.1882565813303</x:v>
      </x:c>
      <x:c r="S1091" s="23" t="n">
        <x:v>1037.9642464460073</x:v>
      </x:c>
      <x:c r="T1091" s="23" t="n">
        <x:v>-1.1913094365304175</x:v>
      </x:c>
      <x:c r="U1091" s="23" t="n">
        <x:v>-64.07784253931686</x:v>
      </x:c>
      <x:c r="V1091" s="23" t="n">
        <x:v>-5.303334199617211</x:v>
      </x:c>
    </x:row>
    <x:row r="1092">
      <x:c r="A1092" s="23" t="n">
        <x:v>1091</x:v>
      </x:c>
      <x:c r="B1092" s="23" t="str">
        <x:v>Train</x:v>
      </x:c>
      <x:c r="C1092" s="23" t="str">
        <x:v>Switching</x:v>
      </x:c>
      <x:c r="D1092" s="23" t="n">
        <x:v>1028.3077653264627</x:v>
      </x:c>
      <x:c r="E1092" s="23" t="n">
        <x:v>896.7909803264774</x:v>
      </x:c>
      <x:c r="F1092" s="23" t="n">
        <x:v>694.5982228964567</x:v>
      </x:c>
      <x:c r="G1092" s="23" t="n">
        <x:v>112.12119609816</x:v>
      </x:c>
      <x:c r="H1092" s="23" t="n">
        <x:v>16.179800902493298</x:v>
      </x:c>
      <x:c r="I1092" s="23" t="n">
        <x:v>0.8481977392802946</x:v>
      </x:c>
      <x:c r="J1092" s="23" t="n">
        <x:v>7</x:v>
      </x:c>
      <x:c r="K1092" s="23" t="n">
        <x:v>173.19205478783647</x:v>
      </x:c>
      <x:c r="L1092" s="23" t="n">
        <x:v>12555</x:v>
      </x:c>
      <x:c r="M1092" s="23" t="n">
        <x:v>1200</x:v>
      </x:c>
      <x:c r="N1092" s="23" t="n">
        <x:v>250.02111342458798</x:v>
      </x:c>
      <x:c r="O1092" s="23" t="n">
        <x:v>2504.7164747365277</x:v>
      </x:c>
      <x:c r="P1092" s="23" t="n">
        <x:v>1028.3077653264627</x:v>
      </x:c>
      <x:c r="Q1092" s="23" t="n">
        <x:v>248.953194772928</x:v>
      </x:c>
      <x:c r="R1092" s="23" t="n">
        <x:v>2462.694739362106</x:v>
      </x:c>
      <x:c r="S1092" s="23" t="n">
        <x:v>1033.6618188132513</x:v>
      </x:c>
      <x:c r="T1092" s="23" t="n">
        <x:v>-1.0679186516599941</x:v>
      </x:c>
      <x:c r="U1092" s="23" t="n">
        <x:v>-42.02173537442195</x:v>
      </x:c>
      <x:c r="V1092" s="23" t="n">
        <x:v>5.354053486788644</x:v>
      </x:c>
    </x:row>
    <x:row r="1093">
      <x:c r="A1093" s="23" t="n">
        <x:v>1092</x:v>
      </x:c>
      <x:c r="B1093" s="23" t="str">
        <x:v>Train</x:v>
      </x:c>
      <x:c r="C1093" s="23" t="str">
        <x:v>Switching</x:v>
      </x:c>
      <x:c r="D1093" s="23" t="n">
        <x:v>1019.6555546834134</x:v>
      </x:c>
      <x:c r="E1093" s="23" t="n">
        <x:v>806.1349530238658</x:v>
      </x:c>
      <x:c r="F1093" s="23" t="n">
        <x:v>433.76998929306865</x:v>
      </x:c>
      <x:c r="G1093" s="23" t="n">
        <x:v>164.9095213925466</x:v>
      </x:c>
      <x:c r="H1093" s="23" t="n">
        <x:v>15.049937121104449</x:v>
      </x:c>
      <x:c r="I1093" s="23" t="n">
        <x:v>0.7956636420451105</x:v>
      </x:c>
      <x:c r="J1093" s="23" t="n">
        <x:v>7</x:v>
      </x:c>
      <x:c r="K1093" s="23" t="n">
        <x:v>183.07369036755492</x:v>
      </x:c>
      <x:c r="L1093" s="23" t="n">
        <x:v>15225</x:v>
      </x:c>
      <x:c r="M1093" s="23" t="n">
        <x:v>1200</x:v>
      </x:c>
      <x:c r="N1093" s="23" t="n">
        <x:v>250.0295242397592</x:v>
      </x:c>
      <x:c r="O1093" s="23" t="n">
        <x:v>2502.9777059561457</x:v>
      </x:c>
      <x:c r="P1093" s="23" t="n">
        <x:v>1019.6555546834134</x:v>
      </x:c>
      <x:c r="Q1093" s="23" t="n">
        <x:v>250.33853061797853</x:v>
      </x:c>
      <x:c r="R1093" s="23" t="n">
        <x:v>2499.5079705860862</x:v>
      </x:c>
      <x:c r="S1093" s="23" t="n">
        <x:v>1030.8804136069973</x:v>
      </x:c>
      <x:c r="T1093" s="23" t="n">
        <x:v>0.30900637821932264</x:v>
      </x:c>
      <x:c r="U1093" s="23" t="n">
        <x:v>-3.469735370059425</x:v>
      </x:c>
      <x:c r="V1093" s="23" t="n">
        <x:v>11.224858923583952</x:v>
      </x:c>
    </x:row>
    <x:row r="1094">
      <x:c r="A1094" s="23" t="n">
        <x:v>1093</x:v>
      </x:c>
      <x:c r="B1094" s="23" t="str">
        <x:v>Train</x:v>
      </x:c>
      <x:c r="C1094" s="23" t="str">
        <x:v>Switching</x:v>
      </x:c>
      <x:c r="D1094" s="23" t="n">
        <x:v>955.1547082606703</x:v>
      </x:c>
      <x:c r="E1094" s="23" t="n">
        <x:v>713.4370820480399</x:v>
      </x:c>
      <x:c r="F1094" s="23" t="n">
        <x:v>665.3478128835559</x:v>
      </x:c>
      <x:c r="G1094" s="23" t="n">
        <x:v>87.91699375258759</x:v>
      </x:c>
      <x:c r="H1094" s="23" t="n">
        <x:v>16.187785677611828</x:v>
      </x:c>
      <x:c r="I1094" s="23" t="n">
        <x:v>0.8572907525510528</x:v>
      </x:c>
      <x:c r="J1094" s="23" t="n">
        <x:v>6</x:v>
      </x:c>
      <x:c r="K1094" s="23" t="n">
        <x:v>185.69248636249375</x:v>
      </x:c>
      <x:c r="L1094" s="23" t="n">
        <x:v>17010</x:v>
      </x:c>
      <x:c r="M1094" s="23" t="n">
        <x:v>1200</x:v>
      </x:c>
      <x:c r="N1094" s="23" t="n">
        <x:v>249.98529434686952</x:v>
      </x:c>
      <x:c r="O1094" s="23" t="n">
        <x:v>2502.1182557437783</x:v>
      </x:c>
      <x:c r="P1094" s="23" t="n">
        <x:v>955.1547082606703</x:v>
      </x:c>
      <x:c r="Q1094" s="23" t="n">
        <x:v>248.3211095439868</x:v>
      </x:c>
      <x:c r="R1094" s="23" t="n">
        <x:v>2488.9801579030063</x:v>
      </x:c>
      <x:c r="S1094" s="23" t="n">
        <x:v>957.8948778657161</x:v>
      </x:c>
      <x:c r="T1094" s="23" t="n">
        <x:v>-1.6641848028827155</x:v>
      </x:c>
      <x:c r="U1094" s="23" t="n">
        <x:v>-13.138097840771934</x:v>
      </x:c>
      <x:c r="V1094" s="23" t="n">
        <x:v>2.7401696050458213</x:v>
      </x:c>
    </x:row>
    <x:row r="1095">
      <x:c r="A1095" s="23" t="n">
        <x:v>1094</x:v>
      </x:c>
      <x:c r="B1095" s="23" t="str">
        <x:v>Train</x:v>
      </x:c>
      <x:c r="C1095" s="23" t="str">
        <x:v>Switching</x:v>
      </x:c>
      <x:c r="D1095" s="23" t="n">
        <x:v>1059.024725027848</x:v>
      </x:c>
      <x:c r="E1095" s="23" t="n">
        <x:v>885.2944236015901</x:v>
      </x:c>
      <x:c r="F1095" s="23" t="n">
        <x:v>506.2397656030953</x:v>
      </x:c>
      <x:c r="G1095" s="23" t="n">
        <x:v>261.4173008315265</x:v>
      </x:c>
      <x:c r="H1095" s="23" t="n">
        <x:v>24.868155910167843</x:v>
      </x:c>
      <x:c r="I1095" s="23" t="n">
        <x:v>0.8422132148733363</x:v>
      </x:c>
      <x:c r="J1095" s="23" t="n">
        <x:v>7</x:v>
      </x:c>
      <x:c r="K1095" s="23" t="n">
        <x:v>179.63295251227171</x:v>
      </x:c>
      <x:c r="L1095" s="23" t="n">
        <x:v>12940</x:v>
      </x:c>
      <x:c r="M1095" s="23" t="n">
        <x:v>1200</x:v>
      </x:c>
      <x:c r="N1095" s="23" t="n">
        <x:v>250.04023087472206</x:v>
      </x:c>
      <x:c r="O1095" s="23" t="n">
        <x:v>2504.422161213799</x:v>
      </x:c>
      <x:c r="P1095" s="23" t="n">
        <x:v>1059.024725027848</x:v>
      </x:c>
      <x:c r="Q1095" s="23" t="n">
        <x:v>249.32057610513502</x:v>
      </x:c>
      <x:c r="R1095" s="23" t="n">
        <x:v>2463.9853154056605</x:v>
      </x:c>
      <x:c r="S1095" s="23" t="n">
        <x:v>1048.1317568785184</x:v>
      </x:c>
      <x:c r="T1095" s="23" t="n">
        <x:v>-0.7196547695870379</x:v>
      </x:c>
      <x:c r="U1095" s="23" t="n">
        <x:v>-40.436845808138514</x:v>
      </x:c>
      <x:c r="V1095" s="23" t="n">
        <x:v>-10.89296814932959</x:v>
      </x:c>
    </x:row>
    <x:row r="1096">
      <x:c r="A1096" s="23" t="n">
        <x:v>1095</x:v>
      </x:c>
      <x:c r="B1096" s="23" t="str">
        <x:v>Validation</x:v>
      </x:c>
      <x:c r="C1096" s="23" t="str">
        <x:v>Switching</x:v>
      </x:c>
      <x:c r="D1096" s="23" t="n">
        <x:v>1055.9505260782316</x:v>
      </x:c>
      <x:c r="E1096" s="23" t="n">
        <x:v>967.599112552125</x:v>
      </x:c>
      <x:c r="F1096" s="23" t="n">
        <x:v>698.4707742929459</x:v>
      </x:c>
      <x:c r="G1096" s="23" t="n">
        <x:v>86.25447178026661</x:v>
      </x:c>
      <x:c r="H1096" s="23" t="n">
        <x:v>10.961819651536644</x:v>
      </x:c>
      <x:c r="I1096" s="23" t="n">
        <x:v>0.8028830845630728</x:v>
      </x:c>
      <x:c r="J1096" s="23" t="n">
        <x:v>7</x:v>
      </x:c>
      <x:c r="K1096" s="23" t="n">
        <x:v>187.88548177736908</x:v>
      </x:c>
      <x:c r="L1096" s="23" t="n">
        <x:v>12205</x:v>
      </x:c>
      <x:c r="M1096" s="23" t="n">
        <x:v>1200</x:v>
      </x:c>
      <x:c r="N1096" s="23" t="n">
        <x:v>250.015686575737</x:v>
      </x:c>
      <x:c r="O1096" s="23" t="n">
        <x:v>2505.0006305564293</x:v>
      </x:c>
      <x:c r="P1096" s="23" t="n">
        <x:v>1055.9505260782316</x:v>
      </x:c>
      <x:c r="Q1096" s="23" t="n">
        <x:v>250.38286843964988</x:v>
      </x:c>
      <x:c r="R1096" s="23" t="n">
        <x:v>2508.8249803829976</x:v>
      </x:c>
      <x:c r="S1096" s="23" t="n">
        <x:v>1063.8243208716362</x:v>
      </x:c>
      <x:c r="T1096" s="23" t="n">
        <x:v>0.3671818639128901</x:v>
      </x:c>
      <x:c r="U1096" s="23" t="n">
        <x:v>3.824349826568323</x:v>
      </x:c>
      <x:c r="V1096" s="23" t="n">
        <x:v>7.873794793404613</x:v>
      </x:c>
    </x:row>
    <x:row r="1097">
      <x:c r="A1097" s="23" t="n">
        <x:v>1096</x:v>
      </x:c>
      <x:c r="B1097" s="23" t="str">
        <x:v>Validation</x:v>
      </x:c>
      <x:c r="C1097" s="23" t="str">
        <x:v>Switching</x:v>
      </x:c>
      <x:c r="D1097" s="23" t="n">
        <x:v>985.263058252167</x:v>
      </x:c>
      <x:c r="E1097" s="23" t="n">
        <x:v>935.6053312309086</x:v>
      </x:c>
      <x:c r="F1097" s="23" t="n">
        <x:v>729.9454218707979</x:v>
      </x:c>
      <x:c r="G1097" s="23" t="n">
        <x:v>297.35417435411364</x:v>
      </x:c>
      <x:c r="H1097" s="23" t="n">
        <x:v>9.415372130926698</x:v>
      </x:c>
      <x:c r="I1097" s="23" t="n">
        <x:v>0.8329218559805305</x:v>
      </x:c>
      <x:c r="J1097" s="23" t="n">
        <x:v>6</x:v>
      </x:c>
      <x:c r="K1097" s="23" t="n">
        <x:v>197.14995894228633</x:v>
      </x:c>
      <x:c r="L1097" s="23" t="n">
        <x:v>12710</x:v>
      </x:c>
      <x:c r="M1097" s="23" t="n">
        <x:v>1200</x:v>
      </x:c>
      <x:c r="N1097" s="23" t="n">
        <x:v>249.9844444433662</x:v>
      </x:c>
      <x:c r="O1097" s="23" t="n">
        <x:v>2504.5941104260332</x:v>
      </x:c>
      <x:c r="P1097" s="23" t="n">
        <x:v>985.263058252167</x:v>
      </x:c>
      <x:c r="Q1097" s="23" t="n">
        <x:v>256.1966039933941</x:v>
      </x:c>
      <x:c r="R1097" s="23" t="n">
        <x:v>2491.6450199127466</x:v>
      </x:c>
      <x:c r="S1097" s="23" t="n">
        <x:v>988.638518508301</x:v>
      </x:c>
      <x:c r="T1097" s="23" t="n">
        <x:v>6.212159550027906</x:v>
      </x:c>
      <x:c r="U1097" s="23" t="n">
        <x:v>-12.949090513286592</x:v>
      </x:c>
      <x:c r="V1097" s="23" t="n">
        <x:v>3.3754602561340334</x:v>
      </x:c>
    </x:row>
    <x:row r="1098">
      <x:c r="A1098" s="23" t="n">
        <x:v>1097</x:v>
      </x:c>
      <x:c r="B1098" s="23" t="str">
        <x:v>Validation</x:v>
      </x:c>
      <x:c r="C1098" s="23" t="str">
        <x:v>Switching</x:v>
      </x:c>
      <x:c r="D1098" s="23" t="n">
        <x:v>1045.6349844112992</x:v>
      </x:c>
      <x:c r="E1098" s="23" t="n">
        <x:v>1067.295459692832</x:v>
      </x:c>
      <x:c r="F1098" s="23" t="n">
        <x:v>367.5319345667958</x:v>
      </x:c>
      <x:c r="G1098" s="23" t="n">
        <x:v>103.63249059999362</x:v>
      </x:c>
      <x:c r="H1098" s="23" t="n">
        <x:v>23.87809938751161</x:v>
      </x:c>
      <x:c r="I1098" s="23" t="n">
        <x:v>0.8491070237127133</x:v>
      </x:c>
      <x:c r="J1098" s="23" t="n">
        <x:v>7</x:v>
      </x:c>
      <x:c r="K1098" s="23" t="n">
        <x:v>175.92178862368158</x:v>
      </x:c>
      <x:c r="L1098" s="23" t="n">
        <x:v>13900</x:v>
      </x:c>
      <x:c r="M1098" s="23" t="n">
        <x:v>1200</x:v>
      </x:c>
      <x:c r="N1098" s="23" t="n">
        <x:v>249.98639743727563</x:v>
      </x:c>
      <x:c r="O1098" s="23" t="n">
        <x:v>2503.755682681745</x:v>
      </x:c>
      <x:c r="P1098" s="23" t="n">
        <x:v>1045.6349844112992</x:v>
      </x:c>
      <x:c r="Q1098" s="23" t="n">
        <x:v>251.12414351364149</x:v>
      </x:c>
      <x:c r="R1098" s="23" t="n">
        <x:v>2554.5301008647866</x:v>
      </x:c>
      <x:c r="S1098" s="23" t="n">
        <x:v>1037.2806169032374</x:v>
      </x:c>
      <x:c r="T1098" s="23" t="n">
        <x:v>1.1377460763658576</x:v>
      </x:c>
      <x:c r="U1098" s="23" t="n">
        <x:v>50.77441818304169</x:v>
      </x:c>
      <x:c r="V1098" s="23" t="n">
        <x:v>-8.354367508061841</x:v>
      </x:c>
    </x:row>
    <x:row r="1099">
      <x:c r="A1099" s="23" t="n">
        <x:v>1098</x:v>
      </x:c>
      <x:c r="B1099" s="23" t="str">
        <x:v>Hidden Test</x:v>
      </x:c>
      <x:c r="C1099" s="23" t="str">
        <x:v>Switching</x:v>
      </x:c>
      <x:c r="D1099" s="23" t="n">
        <x:v>997.9177363798954</x:v>
      </x:c>
      <x:c r="E1099" s="23" t="n">
        <x:v>840.7510787481442</x:v>
      </x:c>
      <x:c r="F1099" s="23" t="n">
        <x:v>530.1830382086337</x:v>
      </x:c>
      <x:c r="G1099" s="23" t="n">
        <x:v>121.3133844267577</x:v>
      </x:c>
      <x:c r="H1099" s="23" t="n">
        <x:v>27.38023490132764</x:v>
      </x:c>
      <x:c r="I1099" s="23" t="n">
        <x:v>0.8049310884298757</x:v>
      </x:c>
      <x:c r="J1099" s="23" t="n">
        <x:v>7</x:v>
      </x:c>
      <x:c r="K1099" s="23" t="n">
        <x:v>177.10792721868998</x:v>
      </x:c>
      <x:c r="L1099" s="23" t="n">
        <x:v>14330</x:v>
      </x:c>
      <x:c r="M1099" s="23" t="n">
        <x:v>1200</x:v>
      </x:c>
      <x:c r="N1099" s="23" t="n">
        <x:v>249.97843905790313</x:v>
      </x:c>
      <x:c r="O1099" s="23" t="n">
        <x:v>2503.4866711550535</x:v>
      </x:c>
      <x:c r="P1099" s="23" t="n">
        <x:v>997.9177363798954</x:v>
      </x:c>
      <x:c r="Q1099" s="23" t="n">
        <x:v>248.04271129868008</x:v>
      </x:c>
      <x:c r="R1099" s="23" t="n">
        <x:v>2496.299247492675</x:v>
      </x:c>
      <x:c r="S1099" s="23" t="n">
        <x:v>992.0151130628304</x:v>
      </x:c>
      <x:c r="T1099" s="23" t="n">
        <x:v>-1.935727759223056</x:v>
      </x:c>
      <x:c r="U1099" s="23" t="n">
        <x:v>-7.187423662378478</x:v>
      </x:c>
      <x:c r="V1099" s="23" t="n">
        <x:v>-5.902623317064922</x:v>
      </x:c>
    </x:row>
    <x:row r="1100">
      <x:c r="A1100" s="23" t="n">
        <x:v>1099</x:v>
      </x:c>
      <x:c r="B1100" s="23" t="str">
        <x:v>Hidden Test</x:v>
      </x:c>
      <x:c r="C1100" s="23" t="str">
        <x:v>Switching</x:v>
      </x:c>
      <x:c r="D1100" s="23" t="n">
        <x:v>1098.0804274557158</x:v>
      </x:c>
      <x:c r="E1100" s="23" t="n">
        <x:v>638.6573257506825</x:v>
      </x:c>
      <x:c r="F1100" s="23" t="n">
        <x:v>435.2857459336519</x:v>
      </x:c>
      <x:c r="G1100" s="23" t="n">
        <x:v>299.1733756917529</x:v>
      </x:c>
      <x:c r="H1100" s="23" t="n">
        <x:v>18.752747119404376</x:v>
      </x:c>
      <x:c r="I1100" s="23" t="n">
        <x:v>0.8268849789979869</x:v>
      </x:c>
      <x:c r="J1100" s="23" t="n">
        <x:v>7</x:v>
      </x:c>
      <x:c r="K1100" s="23" t="n">
        <x:v>189.7103424030824</x:v>
      </x:c>
      <x:c r="L1100" s="23" t="n">
        <x:v>15575</x:v>
      </x:c>
      <x:c r="M1100" s="23" t="n">
        <x:v>1200</x:v>
      </x:c>
      <x:c r="N1100" s="23" t="n">
        <x:v>250.00607358585023</x:v>
      </x:c>
      <x:c r="O1100" s="23" t="n">
        <x:v>2502.7931854634658</x:v>
      </x:c>
      <x:c r="P1100" s="23" t="n">
        <x:v>1098.0804274557158</x:v>
      </x:c>
      <x:c r="Q1100" s="23" t="n">
        <x:v>248.94213095235187</x:v>
      </x:c>
      <x:c r="R1100" s="23" t="n">
        <x:v>2478.56144672134</x:v>
      </x:c>
      <x:c r="S1100" s="23" t="n">
        <x:v>1099.5378202416302</x:v>
      </x:c>
      <x:c r="T1100" s="23" t="n">
        <x:v>-1.0639426334983568</x:v>
      </x:c>
      <x:c r="U1100" s="23" t="n">
        <x:v>-24.2317387421258</x:v>
      </x:c>
      <x:c r="V1100" s="23" t="n">
        <x:v>1.4573927859144078</x:v>
      </x:c>
    </x:row>
    <x:row r="1101">
      <x:c r="A1101" s="23" t="n">
        <x:v>1100</x:v>
      </x:c>
      <x:c r="B1101" s="23" t="str">
        <x:v>Hidden Test</x:v>
      </x:c>
      <x:c r="C1101" s="23" t="str">
        <x:v>Switching</x:v>
      </x:c>
      <x:c r="D1101" s="23" t="n">
        <x:v>1047.392662835773</x:v>
      </x:c>
      <x:c r="E1101" s="23" t="n">
        <x:v>849.2399481590837</x:v>
      </x:c>
      <x:c r="F1101" s="23" t="n">
        <x:v>675.0176499597728</x:v>
      </x:c>
      <x:c r="G1101" s="23" t="n">
        <x:v>141.39154999982566</x:v>
      </x:c>
      <x:c r="H1101" s="23" t="n">
        <x:v>14.93267986504361</x:v>
      </x:c>
      <x:c r="I1101" s="23" t="n">
        <x:v>0.8159186362847686</x:v>
      </x:c>
      <x:c r="J1101" s="23" t="n">
        <x:v>7</x:v>
      </x:c>
      <x:c r="K1101" s="23" t="n">
        <x:v>183.3853482542969</x:v>
      </x:c>
      <x:c r="L1101" s="23" t="n">
        <x:v>12840</x:v>
      </x:c>
      <x:c r="M1101" s="23" t="n">
        <x:v>1200</x:v>
      </x:c>
      <x:c r="N1101" s="23" t="n">
        <x:v>250.0136176903514</x:v>
      </x:c>
      <x:c r="O1101" s="23" t="n">
        <x:v>2504.4960768210285</x:v>
      </x:c>
      <x:c r="P1101" s="23" t="n">
        <x:v>1047.392662835773</x:v>
      </x:c>
      <x:c r="Q1101" s="23" t="n">
        <x:v>252.10180622200406</x:v>
      </x:c>
      <x:c r="R1101" s="23" t="n">
        <x:v>2480.879214903145</x:v>
      </x:c>
      <x:c r="S1101" s="23" t="n">
        <x:v>1048.8635152425707</x:v>
      </x:c>
      <x:c r="T1101" s="23" t="n">
        <x:v>2.088188531652662</x:v>
      </x:c>
      <x:c r="U1101" s="23" t="n">
        <x:v>-23.616861917883398</x:v>
      </x:c>
      <x:c r="V1101" s="23" t="n">
        <x:v>1.470852406797576</x:v>
      </x:c>
    </x:row>
    <x:row r="1102">
      <x:c r="A1102" s="23" t="n">
        <x:v>1101</x:v>
      </x:c>
      <x:c r="B1102" s="23" t="str">
        <x:v>Train</x:v>
      </x:c>
      <x:c r="C1102" s="23" t="str">
        <x:v>Switching</x:v>
      </x:c>
      <x:c r="D1102" s="23" t="n">
        <x:v>1008.4097215440124</x:v>
      </x:c>
      <x:c r="E1102" s="23" t="n">
        <x:v>717.7073872531764</x:v>
      </x:c>
      <x:c r="F1102" s="23" t="n">
        <x:v>437.5149389728904</x:v>
      </x:c>
      <x:c r="G1102" s="23" t="n">
        <x:v>141.38814968289807</x:v>
      </x:c>
      <x:c r="H1102" s="23" t="n">
        <x:v>22.86037688329816</x:v>
      </x:c>
      <x:c r="I1102" s="23" t="n">
        <x:v>0.8409891685866752</x:v>
      </x:c>
      <x:c r="J1102" s="23" t="n">
        <x:v>6</x:v>
      </x:c>
      <x:c r="K1102" s="23" t="n">
        <x:v>199.8459590228128</x:v>
      </x:c>
      <x:c r="L1102" s="23" t="n">
        <x:v>19245</x:v>
      </x:c>
      <x:c r="M1102" s="23" t="n">
        <x:v>1200</x:v>
      </x:c>
      <x:c r="N1102" s="23" t="n">
        <x:v>250.0321647370099</x:v>
      </x:c>
      <x:c r="O1102" s="23" t="n">
        <x:v>2501.269567630595</x:v>
      </x:c>
      <x:c r="P1102" s="23" t="n">
        <x:v>1008.4097215440124</x:v>
      </x:c>
      <x:c r="Q1102" s="23" t="n">
        <x:v>244.75428122831153</x:v>
      </x:c>
      <x:c r="R1102" s="23" t="n">
        <x:v>2519.354392657441</x:v>
      </x:c>
      <x:c r="S1102" s="23" t="n">
        <x:v>1010.7171023493516</x:v>
      </x:c>
      <x:c r="T1102" s="23" t="n">
        <x:v>-5.27788350869838</x:v>
      </x:c>
      <x:c r="U1102" s="23" t="n">
        <x:v>18.084825026846374</x:v>
      </x:c>
      <x:c r="V1102" s="23" t="n">
        <x:v>2.3073808053392213</x:v>
      </x:c>
    </x:row>
    <x:row r="1103">
      <x:c r="A1103" s="23" t="n">
        <x:v>1102</x:v>
      </x:c>
      <x:c r="B1103" s="23" t="str">
        <x:v>Train</x:v>
      </x:c>
      <x:c r="C1103" s="23" t="str">
        <x:v>Switching</x:v>
      </x:c>
      <x:c r="D1103" s="23" t="n">
        <x:v>1004.5513333869167</x:v>
      </x:c>
      <x:c r="E1103" s="23" t="n">
        <x:v>789.002898032777</x:v>
      </x:c>
      <x:c r="F1103" s="23" t="n">
        <x:v>474.48750184848905</x:v>
      </x:c>
      <x:c r="G1103" s="23" t="n">
        <x:v>238.40096585452557</x:v>
      </x:c>
      <x:c r="H1103" s="23" t="n">
        <x:v>23.55012776935473</x:v>
      </x:c>
      <x:c r="I1103" s="23" t="n">
        <x:v>0.8206052109552547</x:v>
      </x:c>
      <x:c r="J1103" s="23" t="n">
        <x:v>7</x:v>
      </x:c>
      <x:c r="K1103" s="23" t="n">
        <x:v>174.87987088691926</x:v>
      </x:c>
      <x:c r="L1103" s="23" t="n">
        <x:v>14240</x:v>
      </x:c>
      <x:c r="M1103" s="23" t="n">
        <x:v>1200</x:v>
      </x:c>
      <x:c r="N1103" s="23" t="n">
        <x:v>250.0137405186575</x:v>
      </x:c>
      <x:c r="O1103" s="23" t="n">
        <x:v>2503.542810018221</x:v>
      </x:c>
      <x:c r="P1103" s="23" t="n">
        <x:v>1004.5513333869167</x:v>
      </x:c>
      <x:c r="Q1103" s="23" t="n">
        <x:v>247.5937606574288</x:v>
      </x:c>
      <x:c r="R1103" s="23" t="n">
        <x:v>2501.5597289935836</x:v>
      </x:c>
      <x:c r="S1103" s="23" t="n">
        <x:v>997.5481483915675</x:v>
      </x:c>
      <x:c r="T1103" s="23" t="n">
        <x:v>-2.419979861228711</x:v>
      </x:c>
      <x:c r="U1103" s="23" t="n">
        <x:v>-1.9830810246376132</x:v>
      </x:c>
      <x:c r="V1103" s="23" t="n">
        <x:v>-7.003184995349216</x:v>
      </x:c>
    </x:row>
    <x:row r="1104">
      <x:c r="A1104" s="23" t="n">
        <x:v>1103</x:v>
      </x:c>
      <x:c r="B1104" s="23" t="str">
        <x:v>Train</x:v>
      </x:c>
      <x:c r="C1104" s="23" t="str">
        <x:v>Switching</x:v>
      </x:c>
      <x:c r="D1104" s="23" t="n">
        <x:v>980.6064045289531</x:v>
      </x:c>
      <x:c r="E1104" s="23" t="n">
        <x:v>863.93792378949</x:v>
      </x:c>
      <x:c r="F1104" s="23" t="n">
        <x:v>550.6399281322956</x:v>
      </x:c>
      <x:c r="G1104" s="23" t="n">
        <x:v>249.25099905347452</x:v>
      </x:c>
      <x:c r="H1104" s="23" t="n">
        <x:v>14.88305005338043</x:v>
      </x:c>
      <x:c r="I1104" s="23" t="n">
        <x:v>0.815720540562179</x:v>
      </x:c>
      <x:c r="J1104" s="23" t="n">
        <x:v>7</x:v>
      </x:c>
      <x:c r="K1104" s="23" t="n">
        <x:v>171.7336051411392</x:v>
      </x:c>
      <x:c r="L1104" s="23" t="n">
        <x:v>12855</x:v>
      </x:c>
      <x:c r="M1104" s="23" t="n">
        <x:v>1200</x:v>
      </x:c>
      <x:c r="N1104" s="23" t="n">
        <x:v>250.0321426502475</x:v>
      </x:c>
      <x:c r="O1104" s="23" t="n">
        <x:v>2504.485480507297</x:v>
      </x:c>
      <x:c r="P1104" s="23" t="n">
        <x:v>980.6064045289531</x:v>
      </x:c>
      <x:c r="Q1104" s="23" t="n">
        <x:v>249.0961319588892</x:v>
      </x:c>
      <x:c r="R1104" s="23" t="n">
        <x:v>2531.0590026441328</x:v>
      </x:c>
      <x:c r="S1104" s="23" t="n">
        <x:v>978.8435617191559</x:v>
      </x:c>
      <x:c r="T1104" s="23" t="n">
        <x:v>-0.9360106913582911</x:v>
      </x:c>
      <x:c r="U1104" s="23" t="n">
        <x:v>26.57352213683589</x:v>
      </x:c>
      <x:c r="V1104" s="23" t="n">
        <x:v>-1.7628428097972346</x:v>
      </x:c>
    </x:row>
    <x:row r="1105">
      <x:c r="A1105" s="23" t="n">
        <x:v>1104</x:v>
      </x:c>
      <x:c r="B1105" s="23" t="str">
        <x:v>Train</x:v>
      </x:c>
      <x:c r="C1105" s="23" t="str">
        <x:v>Switching</x:v>
      </x:c>
      <x:c r="D1105" s="23" t="n">
        <x:v>973.2541248085909</x:v>
      </x:c>
      <x:c r="E1105" s="23" t="n">
        <x:v>849.1979343816638</x:v>
      </x:c>
      <x:c r="F1105" s="23" t="n">
        <x:v>439.33589002117515</x:v>
      </x:c>
      <x:c r="G1105" s="23" t="n">
        <x:v>277.9779285611585</x:v>
      </x:c>
      <x:c r="H1105" s="23" t="n">
        <x:v>9.808862486388534</x:v>
      </x:c>
      <x:c r="I1105" s="23" t="n">
        <x:v>0.8028025267925114</x:v>
      </x:c>
      <x:c r="J1105" s="23" t="n">
        <x:v>7</x:v>
      </x:c>
      <x:c r="K1105" s="23" t="n">
        <x:v>173.1886720630852</x:v>
      </x:c>
      <x:c r="L1105" s="23" t="n">
        <x:v>13650</x:v>
      </x:c>
      <x:c r="M1105" s="23" t="n">
        <x:v>1200</x:v>
      </x:c>
      <x:c r="N1105" s="23" t="n">
        <x:v>249.96614494892842</x:v>
      </x:c>
      <x:c r="O1105" s="23" t="n">
        <x:v>2503.918978216354</x:v>
      </x:c>
      <x:c r="P1105" s="23" t="n">
        <x:v>973.2541248085909</x:v>
      </x:c>
      <x:c r="Q1105" s="23" t="n">
        <x:v>251.91862327168812</x:v>
      </x:c>
      <x:c r="R1105" s="23" t="n">
        <x:v>2524.466518421234</x:v>
      </x:c>
      <x:c r="S1105" s="23" t="n">
        <x:v>977.2175851016525</x:v>
      </x:c>
      <x:c r="T1105" s="23" t="n">
        <x:v>1.9524783227597027</x:v>
      </x:c>
      <x:c r="U1105" s="23" t="n">
        <x:v>20.54754020488008</x:v>
      </x:c>
      <x:c r="V1105" s="23" t="n">
        <x:v>3.963460293061644</x:v>
      </x:c>
    </x:row>
    <x:row r="1106">
      <x:c r="A1106" s="23" t="n">
        <x:v>1105</x:v>
      </x:c>
      <x:c r="B1106" s="23" t="str">
        <x:v>Train</x:v>
      </x:c>
      <x:c r="C1106" s="23" t="str">
        <x:v>Switching</x:v>
      </x:c>
      <x:c r="D1106" s="23" t="n">
        <x:v>1000.005664024502</x:v>
      </x:c>
      <x:c r="E1106" s="23" t="n">
        <x:v>1091.0558474599384</x:v>
      </x:c>
      <x:c r="F1106" s="23" t="n">
        <x:v>681.0384223237634</x:v>
      </x:c>
      <x:c r="G1106" s="23" t="n">
        <x:v>220.21603210130706</x:v>
      </x:c>
      <x:c r="H1106" s="23" t="n">
        <x:v>21.186837079003453</x:v>
      </x:c>
      <x:c r="I1106" s="23" t="n">
        <x:v>0.812853166081477</x:v>
      </x:c>
      <x:c r="J1106" s="23" t="n">
        <x:v>7</x:v>
      </x:c>
      <x:c r="K1106" s="23" t="n">
        <x:v>175.74877968695864</x:v>
      </x:c>
      <x:c r="L1106" s="23" t="n">
        <x:v>10735</x:v>
      </x:c>
      <x:c r="M1106" s="23" t="n">
        <x:v>1195</x:v>
      </x:c>
      <x:c r="N1106" s="23" t="n">
        <x:v>250.0198918124174</x:v>
      </x:c>
      <x:c r="O1106" s="23" t="n">
        <x:v>2495.9543132429603</x:v>
      </x:c>
      <x:c r="P1106" s="23" t="n">
        <x:v>1000.005664024502</x:v>
      </x:c>
      <x:c r="Q1106" s="23" t="n">
        <x:v>248.62150415460272</x:v>
      </x:c>
      <x:c r="R1106" s="23" t="n">
        <x:v>2532.945440120663</x:v>
      </x:c>
      <x:c r="S1106" s="23" t="n">
        <x:v>994.3305555373296</x:v>
      </x:c>
      <x:c r="T1106" s="23" t="n">
        <x:v>-1.3983876578146806</x:v>
      </x:c>
      <x:c r="U1106" s="23" t="n">
        <x:v>36.991126877702754</x:v>
      </x:c>
      <x:c r="V1106" s="23" t="n">
        <x:v>-5.6751084871724515</x:v>
      </x:c>
    </x:row>
    <x:row r="1107">
      <x:c r="A1107" s="23" t="n">
        <x:v>1106</x:v>
      </x:c>
      <x:c r="B1107" s="23" t="str">
        <x:v>Train</x:v>
      </x:c>
      <x:c r="C1107" s="23" t="str">
        <x:v>Switching</x:v>
      </x:c>
      <x:c r="D1107" s="23" t="n">
        <x:v>1087.4742883839644</x:v>
      </x:c>
      <x:c r="E1107" s="23" t="n">
        <x:v>926.2242288561538</x:v>
      </x:c>
      <x:c r="F1107" s="23" t="n">
        <x:v>650.2959826029837</x:v>
      </x:c>
      <x:c r="G1107" s="23" t="n">
        <x:v>245.54338787682354</x:v>
      </x:c>
      <x:c r="H1107" s="23" t="n">
        <x:v>22.671594337094575</x:v>
      </x:c>
      <x:c r="I1107" s="23" t="n">
        <x:v>0.8178646064782515</x:v>
      </x:c>
      <x:c r="J1107" s="23" t="n">
        <x:v>7</x:v>
      </x:c>
      <x:c r="K1107" s="23" t="n">
        <x:v>189.950107314332</x:v>
      </x:c>
      <x:c r="L1107" s="23" t="n">
        <x:v>11735</x:v>
      </x:c>
      <x:c r="M1107" s="23" t="n">
        <x:v>1195</x:v>
      </x:c>
      <x:c r="N1107" s="23" t="n">
        <x:v>249.95517813216463</x:v>
      </x:c>
      <x:c r="O1107" s="23" t="n">
        <x:v>2494.9674024718524</x:v>
      </x:c>
      <x:c r="P1107" s="23" t="n">
        <x:v>1087.4742883839644</x:v>
      </x:c>
      <x:c r="Q1107" s="23" t="n">
        <x:v>251.56871566748958</x:v>
      </x:c>
      <x:c r="R1107" s="23" t="n">
        <x:v>2472.357845939572</x:v>
      </x:c>
      <x:c r="S1107" s="23" t="n">
        <x:v>1073.3250572581815</x:v>
      </x:c>
      <x:c r="T1107" s="23" t="n">
        <x:v>1.6135375353249515</x:v>
      </x:c>
      <x:c r="U1107" s="23" t="n">
        <x:v>-22.609556532280294</x:v>
      </x:c>
      <x:c r="V1107" s="23" t="n">
        <x:v>-14.14923112578299</x:v>
      </x:c>
    </x:row>
    <x:row r="1108">
      <x:c r="A1108" s="23" t="n">
        <x:v>1107</x:v>
      </x:c>
      <x:c r="B1108" s="23" t="str">
        <x:v>Train</x:v>
      </x:c>
      <x:c r="C1108" s="23" t="str">
        <x:v>Switching</x:v>
      </x:c>
      <x:c r="D1108" s="23" t="n">
        <x:v>971.6903144260868</x:v>
      </x:c>
      <x:c r="E1108" s="23" t="n">
        <x:v>626.131205225829</x:v>
      </x:c>
      <x:c r="F1108" s="23" t="n">
        <x:v>440.96781872212887</x:v>
      </x:c>
      <x:c r="G1108" s="23" t="n">
        <x:v>269.30352543247864</x:v>
      </x:c>
      <x:c r="H1108" s="23" t="n">
        <x:v>8.85249909479171</x:v>
      </x:c>
      <x:c r="I1108" s="23" t="n">
        <x:v>0.825793079554569</x:v>
      </x:c>
      <x:c r="J1108" s="23" t="n">
        <x:v>6</x:v>
      </x:c>
      <x:c r="K1108" s="23" t="n">
        <x:v>196.11254895116795</x:v>
      </x:c>
      <x:c r="L1108" s="23" t="n">
        <x:v>18670</x:v>
      </x:c>
      <x:c r="M1108" s="23" t="n">
        <x:v>1200</x:v>
      </x:c>
      <x:c r="N1108" s="23" t="n">
        <x:v>250.00553364810924</x:v>
      </x:c>
      <x:c r="O1108" s="23" t="n">
        <x:v>2501.468114160388</x:v>
      </x:c>
      <x:c r="P1108" s="23" t="n">
        <x:v>971.6903144260868</x:v>
      </x:c>
      <x:c r="Q1108" s="23" t="n">
        <x:v>249.04065330218393</x:v>
      </x:c>
      <x:c r="R1108" s="23" t="n">
        <x:v>2496.6802762638</x:v>
      </x:c>
      <x:c r="S1108" s="23" t="n">
        <x:v>979.8908864633686</x:v>
      </x:c>
      <x:c r="T1108" s="23" t="n">
        <x:v>-0.9648803459253088</x:v>
      </x:c>
      <x:c r="U1108" s="23" t="n">
        <x:v>-4.7878378965879165</x:v>
      </x:c>
      <x:c r="V1108" s="23" t="n">
        <x:v>8.200572037281745</x:v>
      </x:c>
    </x:row>
    <x:row r="1109">
      <x:c r="A1109" s="23" t="n">
        <x:v>1108</x:v>
      </x:c>
      <x:c r="B1109" s="23" t="str">
        <x:v>Train</x:v>
      </x:c>
      <x:c r="C1109" s="23" t="str">
        <x:v>Switching</x:v>
      </x:c>
      <x:c r="D1109" s="23" t="n">
        <x:v>1005.4865447222255</x:v>
      </x:c>
      <x:c r="E1109" s="23" t="n">
        <x:v>713.8104862067848</x:v>
      </x:c>
      <x:c r="F1109" s="23" t="n">
        <x:v>351.8446343950927</x:v>
      </x:c>
      <x:c r="G1109" s="23" t="n">
        <x:v>164.05855053570122</x:v>
      </x:c>
      <x:c r="H1109" s="23" t="n">
        <x:v>18.370573952328414</x:v>
      </x:c>
      <x:c r="I1109" s="23" t="n">
        <x:v>0.8052774836309254</x:v>
      </x:c>
      <x:c r="J1109" s="23" t="n">
        <x:v>7</x:v>
      </x:c>
      <x:c r="K1109" s="23" t="n">
        <x:v>178.3744583452819</x:v>
      </x:c>
      <x:c r="L1109" s="23" t="n">
        <x:v>17390</x:v>
      </x:c>
      <x:c r="M1109" s="23" t="n">
        <x:v>1200</x:v>
      </x:c>
      <x:c r="N1109" s="23" t="n">
        <x:v>249.98770049281947</x:v>
      </x:c>
      <x:c r="O1109" s="23" t="n">
        <x:v>2501.9584092224263</x:v>
      </x:c>
      <x:c r="P1109" s="23" t="n">
        <x:v>1005.4865447222255</x:v>
      </x:c>
      <x:c r="Q1109" s="23" t="n">
        <x:v>247.83430713446322</x:v>
      </x:c>
      <x:c r="R1109" s="23" t="n">
        <x:v>2464.0423177758425</x:v>
      </x:c>
      <x:c r="S1109" s="23" t="n">
        <x:v>1020.2630125540662</x:v>
      </x:c>
      <x:c r="T1109" s="23" t="n">
        <x:v>-2.1533933583562543</x:v>
      </x:c>
      <x:c r="U1109" s="23" t="n">
        <x:v>-37.91609144658378</x:v>
      </x:c>
      <x:c r="V1109" s="23" t="n">
        <x:v>14.776467831840705</x:v>
      </x:c>
    </x:row>
    <x:row r="1110">
      <x:c r="A1110" s="23" t="n">
        <x:v>1109</x:v>
      </x:c>
      <x:c r="B1110" s="23" t="str">
        <x:v>Train</x:v>
      </x:c>
      <x:c r="C1110" s="23" t="str">
        <x:v>Switching</x:v>
      </x:c>
      <x:c r="D1110" s="23" t="n">
        <x:v>975.2983645070344</x:v>
      </x:c>
      <x:c r="E1110" s="23" t="n">
        <x:v>1230.895492050331</x:v>
      </x:c>
      <x:c r="F1110" s="23" t="n">
        <x:v>456.0610828921199</x:v>
      </x:c>
      <x:c r="G1110" s="23" t="n">
        <x:v>216.51762186782435</x:v>
      </x:c>
      <x:c r="H1110" s="23" t="n">
        <x:v>12.712974950671196</x:v>
      </x:c>
      <x:c r="I1110" s="23" t="n">
        <x:v>0.8594376498297789</x:v>
      </x:c>
      <x:c r="J1110" s="23" t="n">
        <x:v>6</x:v>
      </x:c>
      <x:c r="K1110" s="23" t="n">
        <x:v>189.13498547571643</x:v>
      </x:c>
      <x:c r="L1110" s="23" t="n">
        <x:v>13110</x:v>
      </x:c>
      <x:c r="M1110" s="23" t="n">
        <x:v>1200</x:v>
      </x:c>
      <x:c r="N1110" s="23" t="n">
        <x:v>250.04489551631343</x:v>
      </x:c>
      <x:c r="O1110" s="23" t="n">
        <x:v>2504.297574852404</x:v>
      </x:c>
      <x:c r="P1110" s="23" t="n">
        <x:v>975.2983645070344</x:v>
      </x:c>
      <x:c r="Q1110" s="23" t="n">
        <x:v>250.78588070867895</x:v>
      </x:c>
      <x:c r="R1110" s="23" t="n">
        <x:v>2516.347230096688</x:v>
      </x:c>
      <x:c r="S1110" s="23" t="n">
        <x:v>977.3553570644534</x:v>
      </x:c>
      <x:c r="T1110" s="23" t="n">
        <x:v>0.740985192365514</x:v>
      </x:c>
      <x:c r="U1110" s="23" t="n">
        <x:v>12.049655244283713</x:v>
      </x:c>
      <x:c r="V1110" s="23" t="n">
        <x:v>2.056992557418994</x:v>
      </x:c>
    </x:row>
    <x:row r="1111">
      <x:c r="A1111" s="23" t="n">
        <x:v>1110</x:v>
      </x:c>
      <x:c r="B1111" s="23" t="str">
        <x:v>Train</x:v>
      </x:c>
      <x:c r="C1111" s="23" t="str">
        <x:v>Switching</x:v>
      </x:c>
      <x:c r="D1111" s="23" t="n">
        <x:v>996.581160754431</x:v>
      </x:c>
      <x:c r="E1111" s="23" t="n">
        <x:v>998.7315160920843</x:v>
      </x:c>
      <x:c r="F1111" s="23" t="n">
        <x:v>737.8568363375962</x:v>
      </x:c>
      <x:c r="G1111" s="23" t="n">
        <x:v>264.33251651003957</x:v>
      </x:c>
      <x:c r="H1111" s="23" t="n">
        <x:v>20.413356280419976</x:v>
      </x:c>
      <x:c r="I1111" s="23" t="n">
        <x:v>0.8315423319255933</x:v>
      </x:c>
      <x:c r="J1111" s="23" t="n">
        <x:v>6</x:v>
      </x:c>
      <x:c r="K1111" s="23" t="n">
        <x:v>199.745525571873</x:v>
      </x:c>
      <x:c r="L1111" s="23" t="n">
        <x:v>12470</x:v>
      </x:c>
      <x:c r="M1111" s="23" t="n">
        <x:v>1200</x:v>
      </x:c>
      <x:c r="N1111" s="23" t="n">
        <x:v>250.01443155949048</x:v>
      </x:c>
      <x:c r="O1111" s="23" t="n">
        <x:v>2504.783794767661</x:v>
      </x:c>
      <x:c r="P1111" s="23" t="n">
        <x:v>996.581160754431</x:v>
      </x:c>
      <x:c r="Q1111" s="23" t="n">
        <x:v>250.87160853353595</x:v>
      </x:c>
      <x:c r="R1111" s="23" t="n">
        <x:v>2525.489042329044</x:v>
      </x:c>
      <x:c r="S1111" s="23" t="n">
        <x:v>991.694872472493</x:v>
      </x:c>
      <x:c r="T1111" s="23" t="n">
        <x:v>0.8571769740454727</x:v>
      </x:c>
      <x:c r="U1111" s="23" t="n">
        <x:v>20.70524756138275</x:v>
      </x:c>
      <x:c r="V1111" s="23" t="n">
        <x:v>-4.88628828193805</x:v>
      </x:c>
    </x:row>
    <x:row r="1112">
      <x:c r="A1112" s="23" t="n">
        <x:v>1111</x:v>
      </x:c>
      <x:c r="B1112" s="23" t="str">
        <x:v>Train</x:v>
      </x:c>
      <x:c r="C1112" s="23" t="str">
        <x:v>Switching</x:v>
      </x:c>
      <x:c r="D1112" s="23" t="n">
        <x:v>951.1530642630532</x:v>
      </x:c>
      <x:c r="E1112" s="23" t="n">
        <x:v>988.711503345985</x:v>
      </x:c>
      <x:c r="F1112" s="23" t="n">
        <x:v>607.5699433684349</x:v>
      </x:c>
      <x:c r="G1112" s="23" t="n">
        <x:v>145.25783328106627</x:v>
      </x:c>
      <x:c r="H1112" s="23" t="n">
        <x:v>17.14840608369559</x:v>
      </x:c>
      <x:c r="I1112" s="23" t="n">
        <x:v>0.8403680507442914</x:v>
      </x:c>
      <x:c r="J1112" s="23" t="n">
        <x:v>6</x:v>
      </x:c>
      <x:c r="K1112" s="23" t="n">
        <x:v>188.638193194169</x:v>
      </x:c>
      <x:c r="L1112" s="23" t="n">
        <x:v>14325</x:v>
      </x:c>
      <x:c r="M1112" s="23" t="n">
        <x:v>1200</x:v>
      </x:c>
      <x:c r="N1112" s="23" t="n">
        <x:v>249.974869352518</x:v>
      </x:c>
      <x:c r="O1112" s="23" t="n">
        <x:v>2503.489584391465</x:v>
      </x:c>
      <x:c r="P1112" s="23" t="n">
        <x:v>951.1530642630532</x:v>
      </x:c>
      <x:c r="Q1112" s="23" t="n">
        <x:v>251.2545264698409</x:v>
      </x:c>
      <x:c r="R1112" s="23" t="n">
        <x:v>2493.0617031541815</x:v>
      </x:c>
      <x:c r="S1112" s="23" t="n">
        <x:v>953.855699020489</x:v>
      </x:c>
      <x:c r="T1112" s="23" t="n">
        <x:v>1.2796571173228983</x:v>
      </x:c>
      <x:c r="U1112" s="23" t="n">
        <x:v>-10.4278812372836</x:v>
      </x:c>
      <x:c r="V1112" s="23" t="n">
        <x:v>2.702634757435817</x:v>
      </x:c>
    </x:row>
    <x:row r="1113">
      <x:c r="A1113" s="23" t="n">
        <x:v>1112</x:v>
      </x:c>
      <x:c r="B1113" s="23" t="str">
        <x:v>Train</x:v>
      </x:c>
      <x:c r="C1113" s="23" t="str">
        <x:v>Switching</x:v>
      </x:c>
      <x:c r="D1113" s="23" t="n">
        <x:v>1070.1997491414659</x:v>
      </x:c>
      <x:c r="E1113" s="23" t="n">
        <x:v>1132.3495424352586</x:v>
      </x:c>
      <x:c r="F1113" s="23" t="n">
        <x:v>365.7330653630197</x:v>
      </x:c>
      <x:c r="G1113" s="23" t="n">
        <x:v>189.40660594496876</x:v>
      </x:c>
      <x:c r="H1113" s="23" t="n">
        <x:v>15.900423725601286</x:v>
      </x:c>
      <x:c r="I1113" s="23" t="n">
        <x:v>0.7963488468993456</x:v>
      </x:c>
      <x:c r="J1113" s="23" t="n">
        <x:v>7</x:v>
      </x:c>
      <x:c r="K1113" s="23" t="n">
        <x:v>191.98329858083514</x:v>
      </x:c>
      <x:c r="L1113" s="23" t="n">
        <x:v>12675</x:v>
      </x:c>
      <x:c r="M1113" s="23" t="n">
        <x:v>1200</x:v>
      </x:c>
      <x:c r="N1113" s="23" t="n">
        <x:v>250.03691651823</x:v>
      </x:c>
      <x:c r="O1113" s="23" t="n">
        <x:v>2504.6232122110423</x:v>
      </x:c>
      <x:c r="P1113" s="23" t="n">
        <x:v>1070.1997491414659</x:v>
      </x:c>
      <x:c r="Q1113" s="23" t="n">
        <x:v>248.29534337322636</x:v>
      </x:c>
      <x:c r="R1113" s="23" t="n">
        <x:v>2526.1324800041207</x:v>
      </x:c>
      <x:c r="S1113" s="23" t="n">
        <x:v>1077.6916230769848</x:v>
      </x:c>
      <x:c r="T1113" s="23" t="n">
        <x:v>-1.7415731450036276</x:v>
      </x:c>
      <x:c r="U1113" s="23" t="n">
        <x:v>21.50926779307838</x:v>
      </x:c>
      <x:c r="V1113" s="23" t="n">
        <x:v>7.4918739355189246</x:v>
      </x:c>
    </x:row>
    <x:row r="1114">
      <x:c r="A1114" s="23" t="n">
        <x:v>1113</x:v>
      </x:c>
      <x:c r="B1114" s="23" t="str">
        <x:v>Train</x:v>
      </x:c>
      <x:c r="C1114" s="23" t="str">
        <x:v>Switching</x:v>
      </x:c>
      <x:c r="D1114" s="23" t="n">
        <x:v>963.8274915516376</x:v>
      </x:c>
      <x:c r="E1114" s="23" t="n">
        <x:v>993.4024708694778</x:v>
      </x:c>
      <x:c r="F1114" s="23" t="n">
        <x:v>473.85735381394625</x:v>
      </x:c>
      <x:c r="G1114" s="23" t="n">
        <x:v>177.67771750921384</x:v>
      </x:c>
      <x:c r="H1114" s="23" t="n">
        <x:v>13.434353528544307</x:v>
      </x:c>
      <x:c r="I1114" s="23" t="n">
        <x:v>0.8361382587742993</x:v>
      </x:c>
      <x:c r="J1114" s="23" t="n">
        <x:v>6</x:v>
      </x:c>
      <x:c r="K1114" s="23" t="n">
        <x:v>192.11884347223446</x:v>
      </x:c>
      <x:c r="L1114" s="23" t="n">
        <x:v>15170</x:v>
      </x:c>
      <x:c r="M1114" s="23" t="n">
        <x:v>1200</x:v>
      </x:c>
      <x:c r="N1114" s="23" t="n">
        <x:v>250.0364073111827</x:v>
      </x:c>
      <x:c r="O1114" s="23" t="n">
        <x:v>2503.007580360524</x:v>
      </x:c>
      <x:c r="P1114" s="23" t="n">
        <x:v>963.8274915516376</x:v>
      </x:c>
      <x:c r="Q1114" s="23" t="n">
        <x:v>252.03260120640434</x:v>
      </x:c>
      <x:c r="R1114" s="23" t="n">
        <x:v>2493.1287966902783</x:v>
      </x:c>
      <x:c r="S1114" s="23" t="n">
        <x:v>967.5754826446428</x:v>
      </x:c>
      <x:c r="T1114" s="23" t="n">
        <x:v>1.9961938952216371</x:v>
      </x:c>
      <x:c r="U1114" s="23" t="n">
        <x:v>-9.878783670245866</x:v>
      </x:c>
      <x:c r="V1114" s="23" t="n">
        <x:v>3.747991093005112</x:v>
      </x:c>
    </x:row>
    <x:row r="1115">
      <x:c r="A1115" s="23" t="n">
        <x:v>1114</x:v>
      </x:c>
      <x:c r="B1115" s="23" t="str">
        <x:v>Train</x:v>
      </x:c>
      <x:c r="C1115" s="23" t="str">
        <x:v>Switching</x:v>
      </x:c>
      <x:c r="D1115" s="23" t="n">
        <x:v>1007.6917647034861</x:v>
      </x:c>
      <x:c r="E1115" s="23" t="n">
        <x:v>686.8974866578355</x:v>
      </x:c>
      <x:c r="F1115" s="23" t="n">
        <x:v>745.3374252654612</x:v>
      </x:c>
      <x:c r="G1115" s="23" t="n">
        <x:v>281.3857380952686</x:v>
      </x:c>
      <x:c r="H1115" s="23" t="n">
        <x:v>21.61536177666858</x:v>
      </x:c>
      <x:c r="I1115" s="23" t="n">
        <x:v>0.8321743784891442</x:v>
      </x:c>
      <x:c r="J1115" s="23" t="n">
        <x:v>7</x:v>
      </x:c>
      <x:c r="K1115" s="23" t="n">
        <x:v>172.98774164084676</x:v>
      </x:c>
      <x:c r="L1115" s="23" t="n">
        <x:v>12480</x:v>
      </x:c>
      <x:c r="M1115" s="23" t="n">
        <x:v>1200</x:v>
      </x:c>
      <x:c r="N1115" s="23" t="n">
        <x:v>250.00268948264028</x:v>
      </x:c>
      <x:c r="O1115" s="23" t="n">
        <x:v>2504.7753285278877</x:v>
      </x:c>
      <x:c r="P1115" s="23" t="n">
        <x:v>1007.6917647034861</x:v>
      </x:c>
      <x:c r="Q1115" s="23" t="n">
        <x:v>251.565138928382</x:v>
      </x:c>
      <x:c r="R1115" s="23" t="n">
        <x:v>2496.8952477275834</x:v>
      </x:c>
      <x:c r="S1115" s="23" t="n">
        <x:v>1004.0739771254265</x:v>
      </x:c>
      <x:c r="T1115" s="23" t="n">
        <x:v>1.56244944574172</x:v>
      </x:c>
      <x:c r="U1115" s="23" t="n">
        <x:v>-7.880080800304313</x:v>
      </x:c>
      <x:c r="V1115" s="23" t="n">
        <x:v>-3.6177875780596196</x:v>
      </x:c>
    </x:row>
    <x:row r="1116">
      <x:c r="A1116" s="23" t="n">
        <x:v>1115</x:v>
      </x:c>
      <x:c r="B1116" s="23" t="str">
        <x:v>Validation</x:v>
      </x:c>
      <x:c r="C1116" s="23" t="str">
        <x:v>Switching</x:v>
      </x:c>
      <x:c r="D1116" s="23" t="n">
        <x:v>1084.128785948269</x:v>
      </x:c>
      <x:c r="E1116" s="23" t="n">
        <x:v>612.3098668293096</x:v>
      </x:c>
      <x:c r="F1116" s="23" t="n">
        <x:v>525.0943008810282</x:v>
      </x:c>
      <x:c r="G1116" s="23" t="n">
        <x:v>164.75073910085484</x:v>
      </x:c>
      <x:c r="H1116" s="23" t="n">
        <x:v>10.905658238567412</x:v>
      </x:c>
      <x:c r="I1116" s="23" t="n">
        <x:v>0.8599142398941331</x:v>
      </x:c>
      <x:c r="J1116" s="23" t="n">
        <x:v>7</x:v>
      </x:c>
      <x:c r="K1116" s="23" t="n">
        <x:v>180.10579853732852</x:v>
      </x:c>
      <x:c r="L1116" s="23" t="n">
        <x:v>16425</x:v>
      </x:c>
      <x:c r="M1116" s="23" t="n">
        <x:v>1200</x:v>
      </x:c>
      <x:c r="N1116" s="23" t="n">
        <x:v>250.0246828901012</x:v>
      </x:c>
      <x:c r="O1116" s="23" t="n">
        <x:v>2502.380104143529</x:v>
      </x:c>
      <x:c r="P1116" s="23" t="n">
        <x:v>1084.128785948269</x:v>
      </x:c>
      <x:c r="Q1116" s="23" t="n">
        <x:v>252.66916252931642</x:v>
      </x:c>
      <x:c r="R1116" s="23" t="n">
        <x:v>2442.1339090296037</x:v>
      </x:c>
      <x:c r="S1116" s="23" t="n">
        <x:v>1100.1636126197247</x:v>
      </x:c>
      <x:c r="T1116" s="23" t="n">
        <x:v>2.644479639215234</x:v>
      </x:c>
      <x:c r="U1116" s="23" t="n">
        <x:v>-60.246195113925296</x:v>
      </x:c>
      <x:c r="V1116" s="23" t="n">
        <x:v>16.034826671455676</x:v>
      </x:c>
    </x:row>
    <x:row r="1117">
      <x:c r="A1117" s="23" t="n">
        <x:v>1116</x:v>
      </x:c>
      <x:c r="B1117" s="23" t="str">
        <x:v>Validation</x:v>
      </x:c>
      <x:c r="C1117" s="23" t="str">
        <x:v>Switching</x:v>
      </x:c>
      <x:c r="D1117" s="23" t="n">
        <x:v>982.4277818552218</x:v>
      </x:c>
      <x:c r="E1117" s="23" t="n">
        <x:v>1202.3452892433852</x:v>
      </x:c>
      <x:c r="F1117" s="23" t="n">
        <x:v>624.4750942103565</x:v>
      </x:c>
      <x:c r="G1117" s="23" t="n">
        <x:v>299.1360517172143</x:v>
      </x:c>
      <x:c r="H1117" s="23" t="n">
        <x:v>29.60413986025378</x:v>
      </x:c>
      <x:c r="I1117" s="23" t="n">
        <x:v>0.8157548592239618</x:v>
      </x:c>
      <x:c r="J1117" s="23" t="n">
        <x:v>7</x:v>
      </x:c>
      <x:c r="K1117" s="23" t="n">
        <x:v>172.04534474098156</x:v>
      </x:c>
      <x:c r="L1117" s="23" t="n">
        <x:v>10060</x:v>
      </x:c>
      <x:c r="M1117" s="23" t="n">
        <x:v>1195</x:v>
      </x:c>
      <x:c r="N1117" s="23" t="n">
        <x:v>250.01633068588188</x:v>
      </x:c>
      <x:c r="O1117" s="23" t="n">
        <x:v>2496.729052527082</x:v>
      </x:c>
      <x:c r="P1117" s="23" t="n">
        <x:v>982.4277818552218</x:v>
      </x:c>
      <x:c r="Q1117" s="23" t="n">
        <x:v>249.1332128629151</x:v>
      </x:c>
      <x:c r="R1117" s="23" t="n">
        <x:v>2558.200633690037</x:v>
      </x:c>
      <x:c r="S1117" s="23" t="n">
        <x:v>968.8156612754873</x:v>
      </x:c>
      <x:c r="T1117" s="23" t="n">
        <x:v>-0.8831178229667955</x:v>
      </x:c>
      <x:c r="U1117" s="23" t="n">
        <x:v>61.47158116295532</x:v>
      </x:c>
      <x:c r="V1117" s="23" t="n">
        <x:v>-13.612120579734551</x:v>
      </x:c>
    </x:row>
    <x:row r="1118">
      <x:c r="A1118" s="23" t="n">
        <x:v>1117</x:v>
      </x:c>
      <x:c r="B1118" s="23" t="str">
        <x:v>Validation</x:v>
      </x:c>
      <x:c r="C1118" s="23" t="str">
        <x:v>Switching</x:v>
      </x:c>
      <x:c r="D1118" s="23" t="n">
        <x:v>1060.907059116289</x:v>
      </x:c>
      <x:c r="E1118" s="23" t="n">
        <x:v>851.2715265969746</x:v>
      </x:c>
      <x:c r="F1118" s="23" t="n">
        <x:v>467.69416090101004</x:v>
      </x:c>
      <x:c r="G1118" s="23" t="n">
        <x:v>184.7505892929621</x:v>
      </x:c>
      <x:c r="H1118" s="23" t="n">
        <x:v>10.962067764252424</x:v>
      </x:c>
      <x:c r="I1118" s="23" t="n">
        <x:v>0.8569415971287526</x:v>
      </x:c>
      <x:c r="J1118" s="23" t="n">
        <x:v>7</x:v>
      </x:c>
      <x:c r="K1118" s="23" t="n">
        <x:v>176.8593703586499</x:v>
      </x:c>
      <x:c r="L1118" s="23" t="n">
        <x:v>14220</x:v>
      </x:c>
      <x:c r="M1118" s="23" t="n">
        <x:v>1200</x:v>
      </x:c>
      <x:c r="N1118" s="23" t="n">
        <x:v>249.96569327081315</x:v>
      </x:c>
      <x:c r="O1118" s="23" t="n">
        <x:v>2503.553433190455</x:v>
      </x:c>
      <x:c r="P1118" s="23" t="n">
        <x:v>1060.907059116289</x:v>
      </x:c>
      <x:c r="Q1118" s="23" t="n">
        <x:v>252.0532154900796</x:v>
      </x:c>
      <x:c r="R1118" s="23" t="n">
        <x:v>2485.5802347715403</x:v>
      </x:c>
      <x:c r="S1118" s="23" t="n">
        <x:v>1074.5439611941565</x:v>
      </x:c>
      <x:c r="T1118" s="23" t="n">
        <x:v>2.0875222192664467</x:v>
      </x:c>
      <x:c r="U1118" s="23" t="n">
        <x:v>-17.973198418914762</x:v>
      </x:c>
      <x:c r="V1118" s="23" t="n">
        <x:v>13.63690207786749</x:v>
      </x:c>
    </x:row>
    <x:row r="1119">
      <x:c r="A1119" s="23" t="n">
        <x:v>1118</x:v>
      </x:c>
      <x:c r="B1119" s="23" t="str">
        <x:v>Hidden Test</x:v>
      </x:c>
      <x:c r="C1119" s="23" t="str">
        <x:v>Switching</x:v>
      </x:c>
      <x:c r="D1119" s="23" t="n">
        <x:v>1029.1521214065142</x:v>
      </x:c>
      <x:c r="E1119" s="23" t="n">
        <x:v>687.9422872094437</x:v>
      </x:c>
      <x:c r="F1119" s="23" t="n">
        <x:v>558.6532195098698</x:v>
      </x:c>
      <x:c r="G1119" s="23" t="n">
        <x:v>201.64490949362516</x:v>
      </x:c>
      <x:c r="H1119" s="23" t="n">
        <x:v>12.575284528080374</x:v>
      </x:c>
      <x:c r="I1119" s="23" t="n">
        <x:v>0.8112309948680922</x:v>
      </x:c>
      <x:c r="J1119" s="23" t="n">
        <x:v>7</x:v>
      </x:c>
      <x:c r="K1119" s="23" t="n">
        <x:v>181.23288256929587</x:v>
      </x:c>
      <x:c r="L1119" s="23" t="n">
        <x:v>14765</x:v>
      </x:c>
      <x:c r="M1119" s="23" t="n">
        <x:v>1200</x:v>
      </x:c>
      <x:c r="N1119" s="23" t="n">
        <x:v>249.97067731118509</x:v>
      </x:c>
      <x:c r="O1119" s="23" t="n">
        <x:v>2503.230497110859</x:v>
      </x:c>
      <x:c r="P1119" s="23" t="n">
        <x:v>1029.1521214065142</x:v>
      </x:c>
      <x:c r="Q1119" s="23" t="n">
        <x:v>250.73665143029137</x:v>
      </x:c>
      <x:c r="R1119" s="23" t="n">
        <x:v>2458.2189517879383</x:v>
      </x:c>
      <x:c r="S1119" s="23" t="n">
        <x:v>1033.7161299168022</x:v>
      </x:c>
      <x:c r="T1119" s="23" t="n">
        <x:v>0.7659741191062892</x:v>
      </x:c>
      <x:c r="U1119" s="23" t="n">
        <x:v>-45.01154532292048</x:v>
      </x:c>
      <x:c r="V1119" s="23" t="n">
        <x:v>4.564008510287977</x:v>
      </x:c>
    </x:row>
    <x:row r="1120">
      <x:c r="A1120" s="23" t="n">
        <x:v>1119</x:v>
      </x:c>
      <x:c r="B1120" s="23" t="str">
        <x:v>Hidden Test</x:v>
      </x:c>
      <x:c r="C1120" s="23" t="str">
        <x:v>Switching</x:v>
      </x:c>
      <x:c r="D1120" s="23" t="n">
        <x:v>1066.935807862319</x:v>
      </x:c>
      <x:c r="E1120" s="23" t="n">
        <x:v>864.2996310372837</x:v>
      </x:c>
      <x:c r="F1120" s="23" t="n">
        <x:v>655.7209335267544</x:v>
      </x:c>
      <x:c r="G1120" s="23" t="n">
        <x:v>224.5661312318407</x:v>
      </x:c>
      <x:c r="H1120" s="23" t="n">
        <x:v>29.877299210987985</x:v>
      </x:c>
      <x:c r="I1120" s="23" t="n">
        <x:v>0.8366539346589708</x:v>
      </x:c>
      <x:c r="J1120" s="23" t="n">
        <x:v>7</x:v>
      </x:c>
      <x:c r="K1120" s="23" t="n">
        <x:v>182.17735530678672</x:v>
      </x:c>
      <x:c r="L1120" s="23" t="n">
        <x:v>12260</x:v>
      </x:c>
      <x:c r="M1120" s="23" t="n">
        <x:v>1200</x:v>
      </x:c>
      <x:c r="N1120" s="23" t="n">
        <x:v>250.03384522880305</x:v>
      </x:c>
      <x:c r="O1120" s="23" t="n">
        <x:v>2504.955588073567</x:v>
      </x:c>
      <x:c r="P1120" s="23" t="n">
        <x:v>1066.935807862319</x:v>
      </x:c>
      <x:c r="Q1120" s="23" t="n">
        <x:v>251.25638136162286</x:v>
      </x:c>
      <x:c r="R1120" s="23" t="n">
        <x:v>2522.486281123783</x:v>
      </x:c>
      <x:c r="S1120" s="23" t="n">
        <x:v>1052.0867012738684</x:v>
      </x:c>
      <x:c r="T1120" s="23" t="n">
        <x:v>1.2225361328198119</x:v>
      </x:c>
      <x:c r="U1120" s="23" t="n">
        <x:v>17.530693050216087</x:v>
      </x:c>
      <x:c r="V1120" s="23" t="n">
        <x:v>-14.849106588450695</x:v>
      </x:c>
    </x:row>
    <x:row r="1121">
      <x:c r="A1121" s="23" t="n">
        <x:v>1120</x:v>
      </x:c>
      <x:c r="B1121" s="23" t="str">
        <x:v>Hidden Test</x:v>
      </x:c>
      <x:c r="C1121" s="23" t="str">
        <x:v>Switching</x:v>
      </x:c>
      <x:c r="D1121" s="23" t="n">
        <x:v>957.5882544624619</x:v>
      </x:c>
      <x:c r="E1121" s="23" t="n">
        <x:v>1140.2337431907654</x:v>
      </x:c>
      <x:c r="F1121" s="23" t="n">
        <x:v>734.5100252889097</x:v>
      </x:c>
      <x:c r="G1121" s="23" t="n">
        <x:v>232.66950719524175</x:v>
      </x:c>
      <x:c r="H1121" s="23" t="n">
        <x:v>9.802341462578624</x:v>
      </x:c>
      <x:c r="I1121" s="23" t="n">
        <x:v>0.8460524811875075</x:v>
      </x:c>
      <x:c r="J1121" s="23" t="n">
        <x:v>6</x:v>
      </x:c>
      <x:c r="K1121" s="23" t="n">
        <x:v>188.63846624077115</x:v>
      </x:c>
      <x:c r="L1121" s="23" t="n">
        <x:v>11840</x:v>
      </x:c>
      <x:c r="M1121" s="23" t="n">
        <x:v>1195</x:v>
      </x:c>
      <x:c r="N1121" s="23" t="n">
        <x:v>250.01705534379286</x:v>
      </x:c>
      <x:c r="O1121" s="23" t="n">
        <x:v>2494.876336158306</x:v>
      </x:c>
      <x:c r="P1121" s="23" t="n">
        <x:v>957.5882544624619</x:v>
      </x:c>
      <x:c r="Q1121" s="23" t="n">
        <x:v>251.96464704699838</x:v>
      </x:c>
      <x:c r="R1121" s="23" t="n">
        <x:v>2551.8853658584994</x:v>
      </x:c>
      <x:c r="S1121" s="23" t="n">
        <x:v>957.6311624298464</x:v>
      </x:c>
      <x:c r="T1121" s="23" t="n">
        <x:v>1.9475917032055179</x:v>
      </x:c>
      <x:c r="U1121" s="23" t="n">
        <x:v>57.00902970019342</x:v>
      </x:c>
      <x:c r="V1121" s="23" t="n">
        <x:v>0.04290796738450808</x:v>
      </x:c>
    </x:row>
    <x:row r="1122">
      <x:c r="A1122" s="23" t="n">
        <x:v>1121</x:v>
      </x:c>
      <x:c r="B1122" s="23" t="str">
        <x:v>Train</x:v>
      </x:c>
      <x:c r="C1122" s="23" t="str">
        <x:v>Switching</x:v>
      </x:c>
      <x:c r="D1122" s="23" t="n">
        <x:v>1070.2493279241025</x:v>
      </x:c>
      <x:c r="E1122" s="23" t="n">
        <x:v>1241.2166050984524</x:v>
      </x:c>
      <x:c r="F1122" s="23" t="n">
        <x:v>610.3358054533601</x:v>
      </x:c>
      <x:c r="G1122" s="23" t="n">
        <x:v>299.3746520788409</x:v>
      </x:c>
      <x:c r="H1122" s="23" t="n">
        <x:v>21.355630272999406</x:v>
      </x:c>
      <x:c r="I1122" s="23" t="n">
        <x:v>0.8080525537137874</x:v>
      </x:c>
      <x:c r="J1122" s="23" t="n">
        <x:v>7</x:v>
      </x:c>
      <x:c r="K1122" s="23" t="n">
        <x:v>189.211407635956</x:v>
      </x:c>
      <x:c r="L1122" s="23" t="n">
        <x:v>9945</x:v>
      </x:c>
      <x:c r="M1122" s="23" t="n">
        <x:v>1195</x:v>
      </x:c>
      <x:c r="N1122" s="23" t="n">
        <x:v>250.06107544326397</x:v>
      </x:c>
      <x:c r="O1122" s="23" t="n">
        <x:v>2496.8738058810814</x:v>
      </x:c>
      <x:c r="P1122" s="23" t="n">
        <x:v>1070.2493279241025</x:v>
      </x:c>
      <x:c r="Q1122" s="23" t="n">
        <x:v>252.67634230020727</x:v>
      </x:c>
      <x:c r="R1122" s="23" t="n">
        <x:v>2528.564002065373</x:v>
      </x:c>
      <x:c r="S1122" s="23" t="n">
        <x:v>1052.7294278232005</x:v>
      </x:c>
      <x:c r="T1122" s="23" t="n">
        <x:v>2.6152668569432933</x:v>
      </x:c>
      <x:c r="U1122" s="23" t="n">
        <x:v>31.690196184291835</x:v>
      </x:c>
      <x:c r="V1122" s="23" t="n">
        <x:v>-17.519900100902078</x:v>
      </x:c>
    </x:row>
    <x:row r="1123">
      <x:c r="A1123" s="23" t="n">
        <x:v>1122</x:v>
      </x:c>
      <x:c r="B1123" s="23" t="str">
        <x:v>Train</x:v>
      </x:c>
      <x:c r="C1123" s="23" t="str">
        <x:v>Switching</x:v>
      </x:c>
      <x:c r="D1123" s="23" t="n">
        <x:v>1032.8006455325522</x:v>
      </x:c>
      <x:c r="E1123" s="23" t="n">
        <x:v>729.6328249620274</x:v>
      </x:c>
      <x:c r="F1123" s="23" t="n">
        <x:v>738.5625236667693</x:v>
      </x:c>
      <x:c r="G1123" s="23" t="n">
        <x:v>160.70851140655577</x:v>
      </x:c>
      <x:c r="H1123" s="23" t="n">
        <x:v>20.669007160235196</x:v>
      </x:c>
      <x:c r="I1123" s="23" t="n">
        <x:v>0.8037991823861376</x:v>
      </x:c>
      <x:c r="J1123" s="23" t="n">
        <x:v>7</x:v>
      </x:c>
      <x:c r="K1123" s="23" t="n">
        <x:v>183.55697865205707</x:v>
      </x:c>
      <x:c r="L1123" s="23" t="n">
        <x:v>13130</x:v>
      </x:c>
      <x:c r="M1123" s="23" t="n">
        <x:v>1200</x:v>
      </x:c>
      <x:c r="N1123" s="23" t="n">
        <x:v>250.02043424873142</x:v>
      </x:c>
      <x:c r="O1123" s="23" t="n">
        <x:v>2504.282175150038</x:v>
      </x:c>
      <x:c r="P1123" s="23" t="n">
        <x:v>1032.8006455325522</x:v>
      </x:c>
      <x:c r="Q1123" s="23" t="n">
        <x:v>246.7795605296147</x:v>
      </x:c>
      <x:c r="R1123" s="23" t="n">
        <x:v>2506.688633291595</x:v>
      </x:c>
      <x:c r="S1123" s="23" t="n">
        <x:v>1030.3937526518598</x:v>
      </x:c>
      <x:c r="T1123" s="23" t="n">
        <x:v>-3.2408737191167063</x:v>
      </x:c>
      <x:c r="U1123" s="23" t="n">
        <x:v>2.406458141557323</x:v>
      </x:c>
      <x:c r="V1123" s="23" t="n">
        <x:v>-2.4068928806923395</x:v>
      </x:c>
    </x:row>
    <x:row r="1124">
      <x:c r="A1124" s="23" t="n">
        <x:v>1123</x:v>
      </x:c>
      <x:c r="B1124" s="23" t="str">
        <x:v>Train</x:v>
      </x:c>
      <x:c r="C1124" s="23" t="str">
        <x:v>Switching</x:v>
      </x:c>
      <x:c r="D1124" s="23" t="n">
        <x:v>1050.6331734126434</x:v>
      </x:c>
      <x:c r="E1124" s="23" t="n">
        <x:v>1113.0011299275793</x:v>
      </x:c>
      <x:c r="F1124" s="23" t="n">
        <x:v>540.2996223419905</x:v>
      </x:c>
      <x:c r="G1124" s="23" t="n">
        <x:v>188.31624426646158</x:v>
      </x:c>
      <x:c r="H1124" s="23" t="n">
        <x:v>21.68440701533109</x:v>
      </x:c>
      <x:c r="I1124" s="23" t="n">
        <x:v>0.8306658298592083</x:v>
      </x:c>
      <x:c r="J1124" s="23" t="n">
        <x:v>7</x:v>
      </x:c>
      <x:c r="K1124" s="23" t="n">
        <x:v>180.6869236093443</x:v>
      </x:c>
      <x:c r="L1124" s="23" t="n">
        <x:v>11610</x:v>
      </x:c>
      <x:c r="M1124" s="23" t="n">
        <x:v>1195</x:v>
      </x:c>
      <x:c r="N1124" s="23" t="n">
        <x:v>249.94647320989952</x:v>
      </x:c>
      <x:c r="O1124" s="23" t="n">
        <x:v>2495.0807524399843</x:v>
      </x:c>
      <x:c r="P1124" s="23" t="n">
        <x:v>1050.6331734126434</x:v>
      </x:c>
      <x:c r="Q1124" s="23" t="n">
        <x:v>248.12327716058073</x:v>
      </x:c>
      <x:c r="R1124" s="23" t="n">
        <x:v>2551.0443635075753</x:v>
      </x:c>
      <x:c r="S1124" s="23" t="n">
        <x:v>1041.6958617819034</x:v>
      </x:c>
      <x:c r="T1124" s="23" t="n">
        <x:v>-1.8231960493187955</x:v>
      </x:c>
      <x:c r="U1124" s="23" t="n">
        <x:v>55.963611067591046</x:v>
      </x:c>
      <x:c r="V1124" s="23" t="n">
        <x:v>-8.937311630739941</x:v>
      </x:c>
    </x:row>
    <x:row r="1125">
      <x:c r="A1125" s="23" t="n">
        <x:v>1124</x:v>
      </x:c>
      <x:c r="B1125" s="23" t="str">
        <x:v>Train</x:v>
      </x:c>
      <x:c r="C1125" s="23" t="str">
        <x:v>Switching</x:v>
      </x:c>
      <x:c r="D1125" s="23" t="n">
        <x:v>1025.0413063331507</x:v>
      </x:c>
      <x:c r="E1125" s="23" t="n">
        <x:v>668.6156623531133</x:v>
      </x:c>
      <x:c r="F1125" s="23" t="n">
        <x:v>650.8138450793922</x:v>
      </x:c>
      <x:c r="G1125" s="23" t="n">
        <x:v>242.44247776921839</x:v>
      </x:c>
      <x:c r="H1125" s="23" t="n">
        <x:v>18.940670527052134</x:v>
      </x:c>
      <x:c r="I1125" s="23" t="n">
        <x:v>0.8498262536339463</x:v>
      </x:c>
      <x:c r="J1125" s="23" t="n">
        <x:v>7</x:v>
      </x:c>
      <x:c r="K1125" s="23" t="n">
        <x:v>172.3110714774203</x:v>
      </x:c>
      <x:c r="L1125" s="23" t="n">
        <x:v>13690</x:v>
      </x:c>
      <x:c r="M1125" s="23" t="n">
        <x:v>1200</x:v>
      </x:c>
      <x:c r="N1125" s="23" t="n">
        <x:v>249.95631380216662</x:v>
      </x:c>
      <x:c r="O1125" s="23" t="n">
        <x:v>2503.8919692002564</x:v>
      </x:c>
      <x:c r="P1125" s="23" t="n">
        <x:v>1025.0413063331507</x:v>
      </x:c>
      <x:c r="Q1125" s="23" t="n">
        <x:v>249.41431431227397</x:v>
      </x:c>
      <x:c r="R1125" s="23" t="n">
        <x:v>2510.882157652712</x:v>
      </x:c>
      <x:c r="S1125" s="23" t="n">
        <x:v>1030.970252027929</x:v>
      </x:c>
      <x:c r="T1125" s="23" t="n">
        <x:v>-0.5419994898926461</x:v>
      </x:c>
      <x:c r="U1125" s="23" t="n">
        <x:v>6.990188452455641</x:v>
      </x:c>
      <x:c r="V1125" s="23" t="n">
        <x:v>5.928945694778349</x:v>
      </x:c>
    </x:row>
    <x:row r="1126">
      <x:c r="A1126" s="23" t="n">
        <x:v>1125</x:v>
      </x:c>
      <x:c r="B1126" s="23" t="str">
        <x:v>Train</x:v>
      </x:c>
      <x:c r="C1126" s="23" t="str">
        <x:v>Switching</x:v>
      </x:c>
      <x:c r="D1126" s="23" t="n">
        <x:v>972.3211287055165</x:v>
      </x:c>
      <x:c r="E1126" s="23" t="n">
        <x:v>652.7312314021401</x:v>
      </x:c>
      <x:c r="F1126" s="23" t="n">
        <x:v>661.6269720718265</x:v>
      </x:c>
      <x:c r="G1126" s="23" t="n">
        <x:v>192.57190379546955</x:v>
      </x:c>
      <x:c r="H1126" s="23" t="n">
        <x:v>13.032028950750828</x:v>
      </x:c>
      <x:c r="I1126" s="23" t="n">
        <x:v>0.8383087306679227</x:v>
      </x:c>
      <x:c r="J1126" s="23" t="n">
        <x:v>6</x:v>
      </x:c>
      <x:c r="K1126" s="23" t="n">
        <x:v>193.31007243811385</x:v>
      </x:c>
      <x:c r="L1126" s="23" t="n">
        <x:v>16555</x:v>
      </x:c>
      <x:c r="M1126" s="23" t="n">
        <x:v>1200</x:v>
      </x:c>
      <x:c r="N1126" s="23" t="n">
        <x:v>249.97149769541292</x:v>
      </x:c>
      <x:c r="O1126" s="23" t="n">
        <x:v>2502.3189784632314</x:v>
      </x:c>
      <x:c r="P1126" s="23" t="n">
        <x:v>972.3211287055165</x:v>
      </x:c>
      <x:c r="Q1126" s="23" t="n">
        <x:v>248.25817763204884</x:v>
      </x:c>
      <x:c r="R1126" s="23" t="n">
        <x:v>2463.9309579191563</x:v>
      </x:c>
      <x:c r="S1126" s="23" t="n">
        <x:v>975.3749755795081</x:v>
      </x:c>
      <x:c r="T1126" s="23" t="n">
        <x:v>-1.7133200633640797</x:v>
      </x:c>
      <x:c r="U1126" s="23" t="n">
        <x:v>-38.38802054407506</x:v>
      </x:c>
      <x:c r="V1126" s="23" t="n">
        <x:v>3.053846873991688</x:v>
      </x:c>
    </x:row>
    <x:row r="1127">
      <x:c r="A1127" s="23" t="n">
        <x:v>1126</x:v>
      </x:c>
      <x:c r="B1127" s="23" t="str">
        <x:v>Train</x:v>
      </x:c>
      <x:c r="C1127" s="23" t="str">
        <x:v>Switching</x:v>
      </x:c>
      <x:c r="D1127" s="23" t="n">
        <x:v>1049.1433161427267</x:v>
      </x:c>
      <x:c r="E1127" s="23" t="n">
        <x:v>659.4215616350994</x:v>
      </x:c>
      <x:c r="F1127" s="23" t="n">
        <x:v>521.2768283672631</x:v>
      </x:c>
      <x:c r="G1127" s="23" t="n">
        <x:v>240.7282548211515</x:v>
      </x:c>
      <x:c r="H1127" s="23" t="n">
        <x:v>8.648838995490223</x:v>
      </x:c>
      <x:c r="I1127" s="23" t="n">
        <x:v>0.8279351119836793</x:v>
      </x:c>
      <x:c r="J1127" s="23" t="n">
        <x:v>7</x:v>
      </x:c>
      <x:c r="K1127" s="23" t="n">
        <x:v>181.02580072092965</x:v>
      </x:c>
      <x:c r="L1127" s="23" t="n">
        <x:v>15045</x:v>
      </x:c>
      <x:c r="M1127" s="23" t="n">
        <x:v>1200</x:v>
      </x:c>
      <x:c r="N1127" s="23" t="n">
        <x:v>249.99507508911145</x:v>
      </x:c>
      <x:c r="O1127" s="23" t="n">
        <x:v>2503.0744087848466</x:v>
      </x:c>
      <x:c r="P1127" s="23" t="n">
        <x:v>1049.1433161427267</x:v>
      </x:c>
      <x:c r="Q1127" s="23" t="n">
        <x:v>250.85930875490573</x:v>
      </x:c>
      <x:c r="R1127" s="23" t="n">
        <x:v>2451.6389519423196</x:v>
      </x:c>
      <x:c r="S1127" s="23" t="n">
        <x:v>1059.552137358148</x:v>
      </x:c>
      <x:c r="T1127" s="23" t="n">
        <x:v>0.8642336657942735</x:v>
      </x:c>
      <x:c r="U1127" s="23" t="n">
        <x:v>-51.435456842526946</x:v>
      </x:c>
      <x:c r="V1127" s="23" t="n">
        <x:v>10.408821215421312</x:v>
      </x:c>
    </x:row>
    <x:row r="1128">
      <x:c r="A1128" s="23" t="n">
        <x:v>1127</x:v>
      </x:c>
      <x:c r="B1128" s="23" t="str">
        <x:v>Train</x:v>
      </x:c>
      <x:c r="C1128" s="23" t="str">
        <x:v>Switching</x:v>
      </x:c>
      <x:c r="D1128" s="23" t="n">
        <x:v>1085.2314564632252</x:v>
      </x:c>
      <x:c r="E1128" s="23" t="n">
        <x:v>710.4117985931225</x:v>
      </x:c>
      <x:c r="F1128" s="23" t="n">
        <x:v>597.6907074451447</x:v>
      </x:c>
      <x:c r="G1128" s="23" t="n">
        <x:v>248.27332408865914</x:v>
      </x:c>
      <x:c r="H1128" s="23" t="n">
        <x:v>26.814018833450973</x:v>
      </x:c>
      <x:c r="I1128" s="23" t="n">
        <x:v>0.8023844171292149</x:v>
      </x:c>
      <x:c r="J1128" s="23" t="n">
        <x:v>7</x:v>
      </x:c>
      <x:c r="K1128" s="23" t="n">
        <x:v>193.21544872931628</x:v>
      </x:c>
      <x:c r="L1128" s="23" t="n">
        <x:v>13740</x:v>
      </x:c>
      <x:c r="M1128" s="23" t="n">
        <x:v>1200</x:v>
      </x:c>
      <x:c r="N1128" s="23" t="n">
        <x:v>249.9866016338595</x:v>
      </x:c>
      <x:c r="O1128" s="23" t="n">
        <x:v>2503.8599749823347</x:v>
      </x:c>
      <x:c r="P1128" s="23" t="n">
        <x:v>1085.2314564632252</x:v>
      </x:c>
      <x:c r="Q1128" s="23" t="n">
        <x:v>247.7325935382892</x:v>
      </x:c>
      <x:c r="R1128" s="23" t="n">
        <x:v>2512.3966641991437</x:v>
      </x:c>
      <x:c r="S1128" s="23" t="n">
        <x:v>1074.6948177975592</x:v>
      </x:c>
      <x:c r="T1128" s="23" t="n">
        <x:v>-2.254008095570299</x:v>
      </x:c>
      <x:c r="U1128" s="23" t="n">
        <x:v>8.536689216809009</x:v>
      </x:c>
      <x:c r="V1128" s="23" t="n">
        <x:v>-10.536638665666032</x:v>
      </x:c>
    </x:row>
    <x:row r="1129">
      <x:c r="A1129" s="23" t="n">
        <x:v>1128</x:v>
      </x:c>
      <x:c r="B1129" s="23" t="str">
        <x:v>Train</x:v>
      </x:c>
      <x:c r="C1129" s="23" t="str">
        <x:v>Switching</x:v>
      </x:c>
      <x:c r="D1129" s="23" t="n">
        <x:v>977.3419239441864</x:v>
      </x:c>
      <x:c r="E1129" s="23" t="n">
        <x:v>605.9080355800688</x:v>
      </x:c>
      <x:c r="F1129" s="23" t="n">
        <x:v>581.6111362539232</x:v>
      </x:c>
      <x:c r="G1129" s="23" t="n">
        <x:v>218.1251566344872</x:v>
      </x:c>
      <x:c r="H1129" s="23" t="n">
        <x:v>15.512033147271723</x:v>
      </x:c>
      <x:c r="I1129" s="23" t="n">
        <x:v>0.8159889568481594</x:v>
      </x:c>
      <x:c r="J1129" s="23" t="n">
        <x:v>6</x:v>
      </x:c>
      <x:c r="K1129" s="23" t="n">
        <x:v>199.62319255709644</x:v>
      </x:c>
      <x:c r="L1129" s="23" t="n">
        <x:v>17750</x:v>
      </x:c>
      <x:c r="M1129" s="23" t="n">
        <x:v>1200</x:v>
      </x:c>
      <x:c r="N1129" s="23" t="n">
        <x:v>250.00117608999145</x:v>
      </x:c>
      <x:c r="O1129" s="23" t="n">
        <x:v>2501.8136029413263</x:v>
      </x:c>
      <x:c r="P1129" s="23" t="n">
        <x:v>977.3419239441864</x:v>
      </x:c>
      <x:c r="Q1129" s="23" t="n">
        <x:v>251.4720541163632</x:v>
      </x:c>
      <x:c r="R1129" s="23" t="n">
        <x:v>2430.434672832674</x:v>
      </x:c>
      <x:c r="S1129" s="23" t="n">
        <x:v>983.5504190171107</x:v>
      </x:c>
      <x:c r="T1129" s="23" t="n">
        <x:v>1.4708780263717642</x:v>
      </x:c>
      <x:c r="U1129" s="23" t="n">
        <x:v>-71.37893010865218</x:v>
      </x:c>
      <x:c r="V1129" s="23" t="n">
        <x:v>6.208495072924279</x:v>
      </x:c>
    </x:row>
    <x:row r="1130">
      <x:c r="A1130" s="23" t="n">
        <x:v>1129</x:v>
      </x:c>
      <x:c r="B1130" s="23" t="str">
        <x:v>Train</x:v>
      </x:c>
      <x:c r="C1130" s="23" t="str">
        <x:v>Switching</x:v>
      </x:c>
      <x:c r="D1130" s="23" t="n">
        <x:v>1030.1513573154807</x:v>
      </x:c>
      <x:c r="E1130" s="23" t="n">
        <x:v>918.2649013004266</x:v>
      </x:c>
      <x:c r="F1130" s="23" t="n">
        <x:v>527.4038614705205</x:v>
      </x:c>
      <x:c r="G1130" s="23" t="n">
        <x:v>115.58837954187766</x:v>
      </x:c>
      <x:c r="H1130" s="23" t="n">
        <x:v>12.969706466421485</x:v>
      </x:c>
      <x:c r="I1130" s="23" t="n">
        <x:v>0.8149757315334865</x:v>
      </x:c>
      <x:c r="J1130" s="23" t="n">
        <x:v>7</x:v>
      </x:c>
      <x:c r="K1130" s="23" t="n">
        <x:v>180.57529067716837</x:v>
      </x:c>
      <x:c r="L1130" s="23" t="n">
        <x:v>13700</x:v>
      </x:c>
      <x:c r="M1130" s="23" t="n">
        <x:v>1200</x:v>
      </x:c>
      <x:c r="N1130" s="23" t="n">
        <x:v>250.0402974303124</x:v>
      </x:c>
      <x:c r="O1130" s="23" t="n">
        <x:v>2503.888390076831</x:v>
      </x:c>
      <x:c r="P1130" s="23" t="n">
        <x:v>1030.1513573154807</x:v>
      </x:c>
      <x:c r="Q1130" s="23" t="n">
        <x:v>250.30925017548066</x:v>
      </x:c>
      <x:c r="R1130" s="23" t="n">
        <x:v>2544.6727201356007</x:v>
      </x:c>
      <x:c r="S1130" s="23" t="n">
        <x:v>1038.3900509157602</x:v>
      </x:c>
      <x:c r="T1130" s="23" t="n">
        <x:v>0.2689527451682636</x:v>
      </x:c>
      <x:c r="U1130" s="23" t="n">
        <x:v>40.78433005876968</x:v>
      </x:c>
      <x:c r="V1130" s="23" t="n">
        <x:v>8.238693600279476</x:v>
      </x:c>
    </x:row>
    <x:row r="1131">
      <x:c r="A1131" s="23" t="n">
        <x:v>1130</x:v>
      </x:c>
      <x:c r="B1131" s="23" t="str">
        <x:v>Train</x:v>
      </x:c>
      <x:c r="C1131" s="23" t="str">
        <x:v>Switching</x:v>
      </x:c>
      <x:c r="D1131" s="23" t="n">
        <x:v>954.0815819636919</x:v>
      </x:c>
      <x:c r="E1131" s="23" t="n">
        <x:v>1166.0560105228797</x:v>
      </x:c>
      <x:c r="F1131" s="23" t="n">
        <x:v>678.836786840111</x:v>
      </x:c>
      <x:c r="G1131" s="23" t="n">
        <x:v>296.90139058046043</x:v>
      </x:c>
      <x:c r="H1131" s="23" t="n">
        <x:v>16.463218201417476</x:v>
      </x:c>
      <x:c r="I1131" s="23" t="n">
        <x:v>0.8074052130850032</x:v>
      </x:c>
      <x:c r="J1131" s="23" t="n">
        <x:v>6</x:v>
      </x:c>
      <x:c r="K1131" s="23" t="n">
        <x:v>196.94398106048365</x:v>
      </x:c>
      <x:c r="L1131" s="23" t="n">
        <x:v>11650</x:v>
      </x:c>
      <x:c r="M1131" s="23" t="n">
        <x:v>1195</x:v>
      </x:c>
      <x:c r="N1131" s="23" t="n">
        <x:v>250.01855259977515</x:v>
      </x:c>
      <x:c r="O1131" s="23" t="n">
        <x:v>2495.0471683789947</x:v>
      </x:c>
      <x:c r="P1131" s="23" t="n">
        <x:v>954.0815819636919</x:v>
      </x:c>
      <x:c r="Q1131" s="23" t="n">
        <x:v>253.39538253142126</x:v>
      </x:c>
      <x:c r="R1131" s="23" t="n">
        <x:v>2536.600213130508</x:v>
      </x:c>
      <x:c r="S1131" s="23" t="n">
        <x:v>952.1086296371233</x:v>
      </x:c>
      <x:c r="T1131" s="23" t="n">
        <x:v>3.376829931646114</x:v>
      </x:c>
      <x:c r="U1131" s="23" t="n">
        <x:v>41.553044751513426</x:v>
      </x:c>
      <x:c r="V1131" s="23" t="n">
        <x:v>-1.9729523265685884</x:v>
      </x:c>
    </x:row>
    <x:row r="1132">
      <x:c r="A1132" s="23" t="n">
        <x:v>1131</x:v>
      </x:c>
      <x:c r="B1132" s="23" t="str">
        <x:v>Train</x:v>
      </x:c>
      <x:c r="C1132" s="23" t="str">
        <x:v>Switching</x:v>
      </x:c>
      <x:c r="D1132" s="23" t="n">
        <x:v>1065.0266236392781</x:v>
      </x:c>
      <x:c r="E1132" s="23" t="n">
        <x:v>929.8679164261557</x:v>
      </x:c>
      <x:c r="F1132" s="23" t="n">
        <x:v>563.5590333491564</x:v>
      </x:c>
      <x:c r="G1132" s="23" t="n">
        <x:v>107.75793353794143</x:v>
      </x:c>
      <x:c r="H1132" s="23" t="n">
        <x:v>15.333852694369853</x:v>
      </x:c>
      <x:c r="I1132" s="23" t="n">
        <x:v>0.8038396089407616</x:v>
      </x:c>
      <x:c r="J1132" s="23" t="n">
        <x:v>7</x:v>
      </x:c>
      <x:c r="K1132" s="23" t="n">
        <x:v>189.2748986584328</x:v>
      </x:c>
      <x:c r="L1132" s="23" t="n">
        <x:v>13355</x:v>
      </x:c>
      <x:c r="M1132" s="23" t="n">
        <x:v>1200</x:v>
      </x:c>
      <x:c r="N1132" s="23" t="n">
        <x:v>249.97724632502837</x:v>
      </x:c>
      <x:c r="O1132" s="23" t="n">
        <x:v>2504.120817442743</x:v>
      </x:c>
      <x:c r="P1132" s="23" t="n">
        <x:v>1065.0266236392781</x:v>
      </x:c>
      <x:c r="Q1132" s="23" t="n">
        <x:v>249.6643270279569</x:v>
      </x:c>
      <x:c r="R1132" s="23" t="n">
        <x:v>2541.9463373441386</x:v>
      </x:c>
      <x:c r="S1132" s="23" t="n">
        <x:v>1069.8390270267105</x:v>
      </x:c>
      <x:c r="T1132" s="23" t="n">
        <x:v>-0.31291929707148824</x:v>
      </x:c>
      <x:c r="U1132" s="23" t="n">
        <x:v>37.82551990139564</x:v>
      </x:c>
      <x:c r="V1132" s="23" t="n">
        <x:v>4.812403387432369</x:v>
      </x:c>
    </x:row>
    <x:row r="1133">
      <x:c r="A1133" s="23" t="n">
        <x:v>1132</x:v>
      </x:c>
      <x:c r="B1133" s="23" t="str">
        <x:v>Train</x:v>
      </x:c>
      <x:c r="C1133" s="23" t="str">
        <x:v>Switching</x:v>
      </x:c>
      <x:c r="D1133" s="23" t="n">
        <x:v>1026.2793695903383</x:v>
      </x:c>
      <x:c r="E1133" s="23" t="n">
        <x:v>1046.6693998780102</x:v>
      </x:c>
      <x:c r="F1133" s="23" t="n">
        <x:v>618.477616738528</x:v>
      </x:c>
      <x:c r="G1133" s="23" t="n">
        <x:v>204.64305467437953</x:v>
      </x:c>
      <x:c r="H1133" s="23" t="n">
        <x:v>11.484700101893395</x:v>
      </x:c>
      <x:c r="I1133" s="23" t="n">
        <x:v>0.8206428166106343</x:v>
      </x:c>
      <x:c r="J1133" s="23" t="n">
        <x:v>7</x:v>
      </x:c>
      <x:c r="K1133" s="23" t="n">
        <x:v>178.65426412727294</x:v>
      </x:c>
      <x:c r="L1133" s="23" t="n">
        <x:v>11440</x:v>
      </x:c>
      <x:c r="M1133" s="23" t="n">
        <x:v>1195</x:v>
      </x:c>
      <x:c r="N1133" s="23" t="n">
        <x:v>250.05405685732563</x:v>
      </x:c>
      <x:c r="O1133" s="23" t="n">
        <x:v>2495.2440702048198</x:v>
      </x:c>
      <x:c r="P1133" s="23" t="n">
        <x:v>1026.2793695903383</x:v>
      </x:c>
      <x:c r="Q1133" s="23" t="n">
        <x:v>253.36351902640365</x:v>
      </x:c>
      <x:c r="R1133" s="23" t="n">
        <x:v>2526.1963967600036</x:v>
      </x:c>
      <x:c r="S1133" s="23" t="n">
        <x:v>1022.5462350181697</x:v>
      </x:c>
      <x:c r="T1133" s="23" t="n">
        <x:v>3.3094621690780173</x:v>
      </x:c>
      <x:c r="U1133" s="23" t="n">
        <x:v>30.952326555183845</x:v>
      </x:c>
      <x:c r="V1133" s="23" t="n">
        <x:v>-3.7331345721686375</x:v>
      </x:c>
    </x:row>
    <x:row r="1134">
      <x:c r="A1134" s="23" t="n">
        <x:v>1133</x:v>
      </x:c>
      <x:c r="B1134" s="23" t="str">
        <x:v>Train</x:v>
      </x:c>
      <x:c r="C1134" s="23" t="str">
        <x:v>Switching</x:v>
      </x:c>
      <x:c r="D1134" s="23" t="n">
        <x:v>981.8083917256445</x:v>
      </x:c>
      <x:c r="E1134" s="23" t="n">
        <x:v>1027.4717385764234</x:v>
      </x:c>
      <x:c r="F1134" s="23" t="n">
        <x:v>410.9834482893348</x:v>
      </x:c>
      <x:c r="G1134" s="23" t="n">
        <x:v>185.4318713140674</x:v>
      </x:c>
      <x:c r="H1134" s="23" t="n">
        <x:v>11.926211629062891</x:v>
      </x:c>
      <x:c r="I1134" s="23" t="n">
        <x:v>0.8110170587175526</x:v>
      </x:c>
      <x:c r="J1134" s="23" t="n">
        <x:v>7</x:v>
      </x:c>
      <x:c r="K1134" s="23" t="n">
        <x:v>172.94129657011183</x:v>
      </x:c>
      <x:c r="L1134" s="23" t="n">
        <x:v>13170</x:v>
      </x:c>
      <x:c r="M1134" s="23" t="n">
        <x:v>1200</x:v>
      </x:c>
      <x:c r="N1134" s="23" t="n">
        <x:v>250.00953703278427</x:v>
      </x:c>
      <x:c r="O1134" s="23" t="n">
        <x:v>2504.2529713430763</x:v>
      </x:c>
      <x:c r="P1134" s="23" t="n">
        <x:v>981.8083917256445</x:v>
      </x:c>
      <x:c r="Q1134" s="23" t="n">
        <x:v>250.75524388233904</x:v>
      </x:c>
      <x:c r="R1134" s="23" t="n">
        <x:v>2503.9186053285725</x:v>
      </x:c>
      <x:c r="S1134" s="23" t="n">
        <x:v>991.8863027209568</x:v>
      </x:c>
      <x:c r="T1134" s="23" t="n">
        <x:v>0.7457068495547787</x:v>
      </x:c>
      <x:c r="U1134" s="23" t="n">
        <x:v>-0.33436601450375747</x:v>
      </x:c>
      <x:c r="V1134" s="23" t="n">
        <x:v>10.077910995312322</x:v>
      </x:c>
    </x:row>
    <x:row r="1135">
      <x:c r="A1135" s="23" t="n">
        <x:v>1134</x:v>
      </x:c>
      <x:c r="B1135" s="23" t="str">
        <x:v>Train</x:v>
      </x:c>
      <x:c r="C1135" s="23" t="str">
        <x:v>Switching</x:v>
      </x:c>
      <x:c r="D1135" s="23" t="n">
        <x:v>1062.0367510360666</x:v>
      </x:c>
      <x:c r="E1135" s="23" t="n">
        <x:v>853.1901866896078</x:v>
      </x:c>
      <x:c r="F1135" s="23" t="n">
        <x:v>595.5038164742291</x:v>
      </x:c>
      <x:c r="G1135" s="23" t="n">
        <x:v>164.0899720788002</x:v>
      </x:c>
      <x:c r="H1135" s="23" t="n">
        <x:v>22.94164831424132</x:v>
      </x:c>
      <x:c r="I1135" s="23" t="n">
        <x:v>0.8420346843404696</x:v>
      </x:c>
      <x:c r="J1135" s="23" t="n">
        <x:v>7</x:v>
      </x:c>
      <x:c r="K1135" s="23" t="n">
        <x:v>180.18205031676428</x:v>
      </x:c>
      <x:c r="L1135" s="23" t="n">
        <x:v>13260</x:v>
      </x:c>
      <x:c r="M1135" s="23" t="n">
        <x:v>1200</x:v>
      </x:c>
      <x:c r="N1135" s="23" t="n">
        <x:v>249.997192283726</x:v>
      </x:c>
      <x:c r="O1135" s="23" t="n">
        <x:v>2504.188338076682</x:v>
      </x:c>
      <x:c r="P1135" s="23" t="n">
        <x:v>1062.0367510360666</x:v>
      </x:c>
      <x:c r="Q1135" s="23" t="n">
        <x:v>247.7904659794407</x:v>
      </x:c>
      <x:c r="R1135" s="23" t="n">
        <x:v>2489.777205582908</x:v>
      </x:c>
      <x:c r="S1135" s="23" t="n">
        <x:v>1056.7945907726873</x:v>
      </x:c>
      <x:c r="T1135" s="23" t="n">
        <x:v>-2.206726304285297</x:v>
      </x:c>
      <x:c r="U1135" s="23" t="n">
        <x:v>-14.411132493773948</x:v>
      </x:c>
      <x:c r="V1135" s="23" t="n">
        <x:v>-5.242160263379219</x:v>
      </x:c>
    </x:row>
    <x:row r="1136">
      <x:c r="A1136" s="23" t="n">
        <x:v>1135</x:v>
      </x:c>
      <x:c r="B1136" s="23" t="str">
        <x:v>Validation</x:v>
      </x:c>
      <x:c r="C1136" s="23" t="str">
        <x:v>Switching</x:v>
      </x:c>
      <x:c r="D1136" s="23" t="n">
        <x:v>1093.0256935069337</x:v>
      </x:c>
      <x:c r="E1136" s="23" t="n">
        <x:v>937.5442409073003</x:v>
      </x:c>
      <x:c r="F1136" s="23" t="n">
        <x:v>399.87101927399635</x:v>
      </x:c>
      <x:c r="G1136" s="23" t="n">
        <x:v>112.99014869844541</x:v>
      </x:c>
      <x:c r="H1136" s="23" t="n">
        <x:v>28.792576028965414</x:v>
      </x:c>
      <x:c r="I1136" s="23" t="n">
        <x:v>0.8084803470014594</x:v>
      </x:c>
      <x:c r="J1136" s="23" t="n">
        <x:v>7</x:v>
      </x:c>
      <x:c r="K1136" s="23" t="n">
        <x:v>193.13583592102557</x:v>
      </x:c>
      <x:c r="L1136" s="23" t="n">
        <x:v>14745</x:v>
      </x:c>
      <x:c r="M1136" s="23" t="n">
        <x:v>1200</x:v>
      </x:c>
      <x:c r="N1136" s="23" t="n">
        <x:v>250.00558476611403</x:v>
      </x:c>
      <x:c r="O1136" s="23" t="n">
        <x:v>2503.243099966171</x:v>
      </x:c>
      <x:c r="P1136" s="23" t="n">
        <x:v>1093.0256935069337</x:v>
      </x:c>
      <x:c r="Q1136" s="23" t="n">
        <x:v>245.23557805016023</x:v>
      </x:c>
      <x:c r="R1136" s="23" t="n">
        <x:v>2512.7084911921906</x:v>
      </x:c>
      <x:c r="S1136" s="23" t="n">
        <x:v>1080.6320250887634</x:v>
      </x:c>
      <x:c r="T1136" s="23" t="n">
        <x:v>-4.770006715953798</x:v>
      </x:c>
      <x:c r="U1136" s="23" t="n">
        <x:v>9.46539122601962</x:v>
      </x:c>
      <x:c r="V1136" s="23" t="n">
        <x:v>-12.393668418170364</x:v>
      </x:c>
    </x:row>
    <x:row r="1137">
      <x:c r="A1137" s="23" t="n">
        <x:v>1136</x:v>
      </x:c>
      <x:c r="B1137" s="23" t="str">
        <x:v>Validation</x:v>
      </x:c>
      <x:c r="C1137" s="23" t="str">
        <x:v>Switching</x:v>
      </x:c>
      <x:c r="D1137" s="23" t="n">
        <x:v>974.2974694701843</x:v>
      </x:c>
      <x:c r="E1137" s="23" t="n">
        <x:v>733.3802359178662</x:v>
      </x:c>
      <x:c r="F1137" s="23" t="n">
        <x:v>498.08330377563834</x:v>
      </x:c>
      <x:c r="G1137" s="23" t="n">
        <x:v>114.77770846802741</x:v>
      </x:c>
      <x:c r="H1137" s="23" t="n">
        <x:v>23.33001681556925</x:v>
      </x:c>
      <x:c r="I1137" s="23" t="n">
        <x:v>0.8454700071271509</x:v>
      </x:c>
      <x:c r="J1137" s="23" t="n">
        <x:v>6</x:v>
      </x:c>
      <x:c r="K1137" s="23" t="n">
        <x:v>192.06229695850482</x:v>
      </x:c>
      <x:c r="L1137" s="23" t="n">
        <x:v>18535</x:v>
      </x:c>
      <x:c r="M1137" s="23" t="n">
        <x:v>1200</x:v>
      </x:c>
      <x:c r="N1137" s="23" t="n">
        <x:v>250.02530489998944</x:v>
      </x:c>
      <x:c r="O1137" s="23" t="n">
        <x:v>2501.517205331826</x:v>
      </x:c>
      <x:c r="P1137" s="23" t="n">
        <x:v>974.2974694701843</x:v>
      </x:c>
      <x:c r="Q1137" s="23" t="n">
        <x:v>248.1266173466513</x:v>
      </x:c>
      <x:c r="R1137" s="23" t="n">
        <x:v>2506.173743876821</x:v>
      </x:c>
      <x:c r="S1137" s="23" t="n">
        <x:v>975.5241850358384</x:v>
      </x:c>
      <x:c r="T1137" s="23" t="n">
        <x:v>-1.898687553338135</x:v>
      </x:c>
      <x:c r="U1137" s="23" t="n">
        <x:v>4.6565385449948735</x:v>
      </x:c>
      <x:c r="V1137" s="23" t="n">
        <x:v>1.2267155656541036</x:v>
      </x:c>
    </x:row>
    <x:row r="1138">
      <x:c r="A1138" s="23" t="n">
        <x:v>1137</x:v>
      </x:c>
      <x:c r="B1138" s="23" t="str">
        <x:v>Validation</x:v>
      </x:c>
      <x:c r="C1138" s="23" t="str">
        <x:v>Switching</x:v>
      </x:c>
      <x:c r="D1138" s="23" t="n">
        <x:v>956.2661808915436</x:v>
      </x:c>
      <x:c r="E1138" s="23" t="n">
        <x:v>600.6876678555273</x:v>
      </x:c>
      <x:c r="F1138" s="23" t="n">
        <x:v>438.4808639064431</x:v>
      </x:c>
      <x:c r="G1138" s="23" t="n">
        <x:v>270.2631633565761</x:v>
      </x:c>
      <x:c r="H1138" s="23" t="n">
        <x:v>16.88827263005078</x:v>
      </x:c>
      <x:c r="I1138" s="23" t="n">
        <x:v>0.8574323703278788</x:v>
      </x:c>
      <x:c r="J1138" s="23" t="n">
        <x:v>6</x:v>
      </x:c>
      <x:c r="K1138" s="23" t="n">
        <x:v>185.87786317690788</x:v>
      </x:c>
      <x:c r="L1138" s="23" t="n">
        <x:v>19055</x:v>
      </x:c>
      <x:c r="M1138" s="23" t="n">
        <x:v>1200</x:v>
      </x:c>
      <x:c r="N1138" s="23" t="n">
        <x:v>250.01154227902558</x:v>
      </x:c>
      <x:c r="O1138" s="23" t="n">
        <x:v>2501.3335403859633</x:v>
      </x:c>
      <x:c r="P1138" s="23" t="n">
        <x:v>956.2661808915436</x:v>
      </x:c>
      <x:c r="Q1138" s="23" t="n">
        <x:v>250.52154702195816</x:v>
      </x:c>
      <x:c r="R1138" s="23" t="n">
        <x:v>2459.741027375758</x:v>
      </x:c>
      <x:c r="S1138" s="23" t="n">
        <x:v>966.1475376064867</x:v>
      </x:c>
      <x:c r="T1138" s="23" t="n">
        <x:v>0.5100047429325798</x:v>
      </x:c>
      <x:c r="U1138" s="23" t="n">
        <x:v>-41.59251301020504</x:v>
      </x:c>
      <x:c r="V1138" s="23" t="n">
        <x:v>9.881356714943081</x:v>
      </x:c>
    </x:row>
    <x:row r="1139">
      <x:c r="A1139" s="23" t="n">
        <x:v>1138</x:v>
      </x:c>
      <x:c r="B1139" s="23" t="str">
        <x:v>Hidden Test</x:v>
      </x:c>
      <x:c r="C1139" s="23" t="str">
        <x:v>Switching</x:v>
      </x:c>
      <x:c r="D1139" s="23" t="n">
        <x:v>977.814614737872</x:v>
      </x:c>
      <x:c r="E1139" s="23" t="n">
        <x:v>847.0292602898553</x:v>
      </x:c>
      <x:c r="F1139" s="23" t="n">
        <x:v>616.4173253811896</x:v>
      </x:c>
      <x:c r="G1139" s="23" t="n">
        <x:v>325.59832108207047</x:v>
      </x:c>
      <x:c r="H1139" s="23" t="n">
        <x:v>17.188619137275964</x:v>
      </x:c>
      <x:c r="I1139" s="23" t="n">
        <x:v>0.8073821762437001</x:v>
      </x:c>
      <x:c r="J1139" s="23" t="n">
        <x:v>7</x:v>
      </x:c>
      <x:c r="K1139" s="23" t="n">
        <x:v>173.01323489118857</x:v>
      </x:c>
      <x:c r="L1139" s="23" t="n">
        <x:v>11955</x:v>
      </x:c>
      <x:c r="M1139" s="23" t="n">
        <x:v>1200</x:v>
      </x:c>
      <x:c r="N1139" s="23" t="n">
        <x:v>250.02652121128077</x:v>
      </x:c>
      <x:c r="O1139" s="23" t="n">
        <x:v>2505.214388211191</x:v>
      </x:c>
      <x:c r="P1139" s="23" t="n">
        <x:v>977.814614737872</x:v>
      </x:c>
      <x:c r="Q1139" s="23" t="n">
        <x:v>253.0187710048867</x:v>
      </x:c>
      <x:c r="R1139" s="23" t="n">
        <x:v>2468.572653089534</x:v>
      </x:c>
      <x:c r="S1139" s="23" t="n">
        <x:v>975.0162735695756</x:v>
      </x:c>
      <x:c r="T1139" s="23" t="n">
        <x:v>2.992249793605936</x:v>
      </x:c>
      <x:c r="U1139" s="23" t="n">
        <x:v>-36.64173512165689</x:v>
      </x:c>
      <x:c r="V1139" s="23" t="n">
        <x:v>-2.7983411682964743</x:v>
      </x:c>
    </x:row>
    <x:row r="1140">
      <x:c r="A1140" s="23" t="n">
        <x:v>1139</x:v>
      </x:c>
      <x:c r="B1140" s="23" t="str">
        <x:v>Hidden Test</x:v>
      </x:c>
      <x:c r="C1140" s="23" t="str">
        <x:v>Switching</x:v>
      </x:c>
      <x:c r="D1140" s="23" t="n">
        <x:v>1019.9329426279292</x:v>
      </x:c>
      <x:c r="E1140" s="23" t="n">
        <x:v>889.1977820196189</x:v>
      </x:c>
      <x:c r="F1140" s="23" t="n">
        <x:v>406.3448544591665</x:v>
      </x:c>
      <x:c r="G1140" s="23" t="n">
        <x:v>275.80989581299946</x:v>
      </x:c>
      <x:c r="H1140" s="23" t="n">
        <x:v>10.27437109965831</x:v>
      </x:c>
      <x:c r="I1140" s="23" t="n">
        <x:v>0.8369259450281971</x:v>
      </x:c>
      <x:c r="J1140" s="23" t="n">
        <x:v>7</x:v>
      </x:c>
      <x:c r="K1140" s="23" t="n">
        <x:v>174.0950999969241</x:v>
      </x:c>
      <x:c r="L1140" s="23" t="n">
        <x:v>13610</x:v>
      </x:c>
      <x:c r="M1140" s="23" t="n">
        <x:v>1200</x:v>
      </x:c>
      <x:c r="N1140" s="23" t="n">
        <x:v>250.00382723075498</x:v>
      </x:c>
      <x:c r="O1140" s="23" t="n">
        <x:v>2503.9471573609767</x:v>
      </x:c>
      <x:c r="P1140" s="23" t="n">
        <x:v>1019.9329426279292</x:v>
      </x:c>
      <x:c r="Q1140" s="23" t="n">
        <x:v>253.91962812214317</x:v>
      </x:c>
      <x:c r="R1140" s="23" t="n">
        <x:v>2459.019886975265</x:v>
      </x:c>
      <x:c r="S1140" s="23" t="n">
        <x:v>1022.4245022380317</x:v>
      </x:c>
      <x:c r="T1140" s="23" t="n">
        <x:v>3.915800891388187</x:v>
      </x:c>
      <x:c r="U1140" s="23" t="n">
        <x:v>-44.927270385711836</x:v>
      </x:c>
      <x:c r="V1140" s="23" t="n">
        <x:v>2.491559610102513</x:v>
      </x:c>
    </x:row>
    <x:row r="1141">
      <x:c r="A1141" s="23" t="n">
        <x:v>1140</x:v>
      </x:c>
      <x:c r="B1141" s="23" t="str">
        <x:v>Hidden Test</x:v>
      </x:c>
      <x:c r="C1141" s="23" t="str">
        <x:v>Switching</x:v>
      </x:c>
      <x:c r="D1141" s="23" t="n">
        <x:v>997.3895111470483</x:v>
      </x:c>
      <x:c r="E1141" s="23" t="n">
        <x:v>1082.9596916679293</x:v>
      </x:c>
      <x:c r="F1141" s="23" t="n">
        <x:v>401.82630298659205</x:v>
      </x:c>
      <x:c r="G1141" s="23" t="n">
        <x:v>249.62871642317623</x:v>
      </x:c>
      <x:c r="H1141" s="23" t="n">
        <x:v>12.243472694884986</x:v>
      </x:c>
      <x:c r="I1141" s="23" t="n">
        <x:v>0.8141212008334696</x:v>
      </x:c>
      <x:c r="J1141" s="23" t="n">
        <x:v>7</x:v>
      </x:c>
      <x:c r="K1141" s="23" t="n">
        <x:v>175.0159751794687</x:v>
      </x:c>
      <x:c r="L1141" s="23" t="n">
        <x:v>12330</x:v>
      </x:c>
      <x:c r="M1141" s="23" t="n">
        <x:v>1200</x:v>
      </x:c>
      <x:c r="N1141" s="23" t="n">
        <x:v>249.99484342225844</x:v>
      </x:c>
      <x:c r="O1141" s="23" t="n">
        <x:v>2504.8963749161253</x:v>
      </x:c>
      <x:c r="P1141" s="23" t="n">
        <x:v>997.3895111470483</x:v>
      </x:c>
      <x:c r="Q1141" s="23" t="n">
        <x:v>252.33965030755462</x:v>
      </x:c>
      <x:c r="R1141" s="23" t="n">
        <x:v>2482.3067276933634</x:v>
      </x:c>
      <x:c r="S1141" s="23" t="n">
        <x:v>1001.3990884107504</x:v>
      </x:c>
      <x:c r="T1141" s="23" t="n">
        <x:v>2.3448068852961796</x:v>
      </x:c>
      <x:c r="U1141" s="23" t="n">
        <x:v>-22.58964722276187</x:v>
      </x:c>
      <x:c r="V1141" s="23" t="n">
        <x:v>4.009577263702113</x:v>
      </x:c>
    </x:row>
    <x:row r="1142">
      <x:c r="A1142" s="23" t="n">
        <x:v>1141</x:v>
      </x:c>
      <x:c r="B1142" s="23" t="str">
        <x:v>Train</x:v>
      </x:c>
      <x:c r="C1142" s="23" t="str">
        <x:v>Switching</x:v>
      </x:c>
      <x:c r="D1142" s="23" t="n">
        <x:v>1086.8777554947883</x:v>
      </x:c>
      <x:c r="E1142" s="23" t="n">
        <x:v>1169.2923530819826</x:v>
      </x:c>
      <x:c r="F1142" s="23" t="n">
        <x:v>539.2049042508006</x:v>
      </x:c>
      <x:c r="G1142" s="23" t="n">
        <x:v>322.29703313903883</x:v>
      </x:c>
      <x:c r="H1142" s="23" t="n">
        <x:v>10.473042160272598</x:v>
      </x:c>
      <x:c r="I1142" s="23" t="n">
        <x:v>0.8017578463838436</x:v>
      </x:c>
      <x:c r="J1142" s="23" t="n">
        <x:v>7</x:v>
      </x:c>
      <x:c r="K1142" s="23" t="n">
        <x:v>193.65978329401304</x:v>
      </x:c>
      <x:c r="L1142" s="23" t="n">
        <x:v>10530</x:v>
      </x:c>
      <x:c r="M1142" s="23" t="n">
        <x:v>1195</x:v>
      </x:c>
      <x:c r="N1142" s="23" t="n">
        <x:v>249.9823413426706</x:v>
      </x:c>
      <x:c r="O1142" s="23" t="n">
        <x:v>2496.177402808179</x:v>
      </x:c>
      <x:c r="P1142" s="23" t="n">
        <x:v>1086.8777554947883</x:v>
      </x:c>
      <x:c r="Q1142" s="23" t="n">
        <x:v>251.89394531670987</x:v>
      </x:c>
      <x:c r="R1142" s="23" t="n">
        <x:v>2499.6899859621003</x:v>
      </x:c>
      <x:c r="S1142" s="23" t="n">
        <x:v>1082.3019264355091</x:v>
      </x:c>
      <x:c r="T1142" s="23" t="n">
        <x:v>1.9116039740392807</x:v>
      </x:c>
      <x:c r="U1142" s="23" t="n">
        <x:v>3.5125831539212413</x:v>
      </x:c>
      <x:c r="V1142" s="23" t="n">
        <x:v>-4.575829059279158</x:v>
      </x:c>
    </x:row>
    <x:row r="1143">
      <x:c r="A1143" s="23" t="n">
        <x:v>1142</x:v>
      </x:c>
      <x:c r="B1143" s="23" t="str">
        <x:v>Train</x:v>
      </x:c>
      <x:c r="C1143" s="23" t="str">
        <x:v>Switching</x:v>
      </x:c>
      <x:c r="D1143" s="23" t="n">
        <x:v>1097.0540561829694</x:v>
      </x:c>
      <x:c r="E1143" s="23" t="n">
        <x:v>982.5386630138382</x:v>
      </x:c>
      <x:c r="F1143" s="23" t="n">
        <x:v>424.767563957721</x:v>
      </x:c>
      <x:c r="G1143" s="23" t="n">
        <x:v>188.63994667306542</x:v>
      </x:c>
      <x:c r="H1143" s="23" t="n">
        <x:v>27.03026201436296</x:v>
      </x:c>
      <x:c r="I1143" s="23" t="n">
        <x:v>0.802959395623766</x:v>
      </x:c>
      <x:c r="J1143" s="23" t="n">
        <x:v>7</x:v>
      </x:c>
      <x:c r="K1143" s="23" t="n">
        <x:v>195.18048967394117</x:v>
      </x:c>
      <x:c r="L1143" s="23" t="n">
        <x:v>13400</x:v>
      </x:c>
      <x:c r="M1143" s="23" t="n">
        <x:v>1200</x:v>
      </x:c>
      <x:c r="N1143" s="23" t="n">
        <x:v>249.99918586901802</x:v>
      </x:c>
      <x:c r="O1143" s="23" t="n">
        <x:v>2504.09032186602</x:v>
      </x:c>
      <x:c r="P1143" s="23" t="n">
        <x:v>1097.0540561829694</x:v>
      </x:c>
      <x:c r="Q1143" s="23" t="n">
        <x:v>250.18291464835698</x:v>
      </x:c>
      <x:c r="R1143" s="23" t="n">
        <x:v>2557.6102862780513</x:v>
      </x:c>
      <x:c r="S1143" s="23" t="n">
        <x:v>1084.8631637547394</x:v>
      </x:c>
      <x:c r="T1143" s="23" t="n">
        <x:v>0.18372877933896348</x:v>
      </x:c>
      <x:c r="U1143" s="23" t="n">
        <x:v>53.519964412031186</x:v>
      </x:c>
      <x:c r="V1143" s="23" t="n">
        <x:v>-12.190892428229972</x:v>
      </x:c>
    </x:row>
    <x:row r="1144">
      <x:c r="A1144" s="23" t="n">
        <x:v>1143</x:v>
      </x:c>
      <x:c r="B1144" s="23" t="str">
        <x:v>Train</x:v>
      </x:c>
      <x:c r="C1144" s="23" t="str">
        <x:v>Switching</x:v>
      </x:c>
      <x:c r="D1144" s="23" t="n">
        <x:v>950.6654084892944</x:v>
      </x:c>
      <x:c r="E1144" s="23" t="n">
        <x:v>706.0619672876783</x:v>
      </x:c>
      <x:c r="F1144" s="23" t="n">
        <x:v>565.1038184762001</x:v>
      </x:c>
      <x:c r="G1144" s="23" t="n">
        <x:v>191.17267882218584</x:v>
      </x:c>
      <x:c r="H1144" s="23" t="n">
        <x:v>9.076547305099666</x:v>
      </x:c>
      <x:c r="I1144" s="23" t="n">
        <x:v>0.7934889158955776</x:v>
      </x:c>
      <x:c r="J1144" s="23" t="n">
        <x:v>6</x:v>
      </x:c>
      <x:c r="K1144" s="23" t="n">
        <x:v>199.6804638025553</x:v>
      </x:c>
      <x:c r="L1144" s="23" t="n">
        <x:v>17060</x:v>
      </x:c>
      <x:c r="M1144" s="23" t="n">
        <x:v>1200</x:v>
      </x:c>
      <x:c r="N1144" s="23" t="n">
        <x:v>249.9740770468905</x:v>
      </x:c>
      <x:c r="O1144" s="23" t="n">
        <x:v>2502.0964840028987</x:v>
      </x:c>
      <x:c r="P1144" s="23" t="n">
        <x:v>950.6654084892944</x:v>
      </x:c>
      <x:c r="Q1144" s="23" t="n">
        <x:v>253.24137697356613</x:v>
      </x:c>
      <x:c r="R1144" s="23" t="n">
        <x:v>2469.827694433544</x:v>
      </x:c>
      <x:c r="S1144" s="23" t="n">
        <x:v>960.6830313717278</x:v>
      </x:c>
      <x:c r="T1144" s="23" t="n">
        <x:v>3.2672999266756335</x:v>
      </x:c>
      <x:c r="U1144" s="23" t="n">
        <x:v>-32.268789569354794</x:v>
      </x:c>
      <x:c r="V1144" s="23" t="n">
        <x:v>10.017622882433443</x:v>
      </x:c>
    </x:row>
    <x:row r="1145">
      <x:c r="A1145" s="23" t="n">
        <x:v>1144</x:v>
      </x:c>
      <x:c r="B1145" s="23" t="str">
        <x:v>Train</x:v>
      </x:c>
      <x:c r="C1145" s="23" t="str">
        <x:v>Switching</x:v>
      </x:c>
      <x:c r="D1145" s="23" t="n">
        <x:v>1023.061500384938</x:v>
      </x:c>
      <x:c r="E1145" s="23" t="n">
        <x:v>943.7998841516674</x:v>
      </x:c>
      <x:c r="F1145" s="23" t="n">
        <x:v>599.6072224341333</x:v>
      </x:c>
      <x:c r="G1145" s="23" t="n">
        <x:v>302.7183530339971</x:v>
      </x:c>
      <x:c r="H1145" s="23" t="n">
        <x:v>14.652879839297384</x:v>
      </x:c>
      <x:c r="I1145" s="23" t="n">
        <x:v>0.834570915075019</x:v>
      </x:c>
      <x:c r="J1145" s="23" t="n">
        <x:v>7</x:v>
      </x:c>
      <x:c r="K1145" s="23" t="n">
        <x:v>175.12189829787744</x:v>
      </x:c>
      <x:c r="L1145" s="23" t="n">
        <x:v>11585</x:v>
      </x:c>
      <x:c r="M1145" s="23" t="n">
        <x:v>1195</x:v>
      </x:c>
      <x:c r="N1145" s="23" t="n">
        <x:v>250.01865591250618</x:v>
      </x:c>
      <x:c r="O1145" s="23" t="n">
        <x:v>2495.1068877525154</x:v>
      </x:c>
      <x:c r="P1145" s="23" t="n">
        <x:v>1023.061500384938</x:v>
      </x:c>
      <x:c r="Q1145" s="23" t="n">
        <x:v>254.3199895552488</x:v>
      </x:c>
      <x:c r="R1145" s="23" t="n">
        <x:v>2489.440303268129</x:v>
      </x:c>
      <x:c r="S1145" s="23" t="n">
        <x:v>1025.4099051201106</x:v>
      </x:c>
      <x:c r="T1145" s="23" t="n">
        <x:v>4.301333642742634</x:v>
      </x:c>
      <x:c r="U1145" s="23" t="n">
        <x:v>-5.666584484386476</x:v>
      </x:c>
      <x:c r="V1145" s="23" t="n">
        <x:v>2.3484047351726076</x:v>
      </x:c>
    </x:row>
    <x:row r="1146">
      <x:c r="A1146" s="23" t="n">
        <x:v>1145</x:v>
      </x:c>
      <x:c r="B1146" s="23" t="str">
        <x:v>Train</x:v>
      </x:c>
      <x:c r="C1146" s="23" t="str">
        <x:v>Switching</x:v>
      </x:c>
      <x:c r="D1146" s="23" t="n">
        <x:v>1034.1749105602503</x:v>
      </x:c>
      <x:c r="E1146" s="23" t="n">
        <x:v>723.1121516204439</x:v>
      </x:c>
      <x:c r="F1146" s="23" t="n">
        <x:v>662.3816626146436</x:v>
      </x:c>
      <x:c r="G1146" s="23" t="n">
        <x:v>318.3692679577507</x:v>
      </x:c>
      <x:c r="H1146" s="23" t="n">
        <x:v>22.49926440231502</x:v>
      </x:c>
      <x:c r="I1146" s="23" t="n">
        <x:v>0.8513224144023843</x:v>
      </x:c>
      <x:c r="J1146" s="23" t="n">
        <x:v>7</x:v>
      </x:c>
      <x:c r="K1146" s="23" t="n">
        <x:v>173.5409175628124</x:v>
      </x:c>
      <x:c r="L1146" s="23" t="n">
        <x:v>12550</x:v>
      </x:c>
      <x:c r="M1146" s="23" t="n">
        <x:v>1200</x:v>
      </x:c>
      <x:c r="N1146" s="23" t="n">
        <x:v>249.97343548604485</x:v>
      </x:c>
      <x:c r="O1146" s="23" t="n">
        <x:v>2504.718527774061</x:v>
      </x:c>
      <x:c r="P1146" s="23" t="n">
        <x:v>1034.1749105602503</x:v>
      </x:c>
      <x:c r="Q1146" s="23" t="n">
        <x:v>249.96378993062208</x:v>
      </x:c>
      <x:c r="R1146" s="23" t="n">
        <x:v>2502.908029107252</x:v>
      </x:c>
      <x:c r="S1146" s="23" t="n">
        <x:v>1026.6022227710605</x:v>
      </x:c>
      <x:c r="T1146" s="23" t="n">
        <x:v>-0.009645555422764573</x:v>
      </x:c>
      <x:c r="U1146" s="23" t="n">
        <x:v>-1.8104986668090532</x:v>
      </x:c>
      <x:c r="V1146" s="23" t="n">
        <x:v>-7.572687789189786</x:v>
      </x:c>
    </x:row>
    <x:row r="1147">
      <x:c r="A1147" s="23" t="n">
        <x:v>1146</x:v>
      </x:c>
      <x:c r="B1147" s="23" t="str">
        <x:v>Train</x:v>
      </x:c>
      <x:c r="C1147" s="23" t="str">
        <x:v>Switching</x:v>
      </x:c>
      <x:c r="D1147" s="23" t="n">
        <x:v>982.603392994497</x:v>
      </x:c>
      <x:c r="E1147" s="23" t="n">
        <x:v>1025.2488976577297</x:v>
      </x:c>
      <x:c r="F1147" s="23" t="n">
        <x:v>703.7341014482081</x:v>
      </x:c>
      <x:c r="G1147" s="23" t="n">
        <x:v>173.52516732178628</x:v>
      </x:c>
      <x:c r="H1147" s="23" t="n">
        <x:v>11.357489478308707</x:v>
      </x:c>
      <x:c r="I1147" s="23" t="n">
        <x:v>0.8357143820123747</x:v>
      </x:c>
      <x:c r="J1147" s="23" t="n">
        <x:v>6</x:v>
      </x:c>
      <x:c r="K1147" s="23" t="n">
        <x:v>195.96076804542125</x:v>
      </x:c>
      <x:c r="L1147" s="23" t="n">
        <x:v>13115</x:v>
      </x:c>
      <x:c r="M1147" s="23" t="n">
        <x:v>1200</x:v>
      </x:c>
      <x:c r="N1147" s="23" t="n">
        <x:v>250.01327521203513</x:v>
      </x:c>
      <x:c r="O1147" s="23" t="n">
        <x:v>2504.2927547472073</x:v>
      </x:c>
      <x:c r="P1147" s="23" t="n">
        <x:v>982.603392994497</x:v>
      </x:c>
      <x:c r="Q1147" s="23" t="n">
        <x:v>251.54694601590637</x:v>
      </x:c>
      <x:c r="R1147" s="23" t="n">
        <x:v>2542.6261877995053</x:v>
      </x:c>
      <x:c r="S1147" s="23" t="n">
        <x:v>980.5587402309571</x:v>
      </x:c>
      <x:c r="T1147" s="23" t="n">
        <x:v>1.5336708038712459</x:v>
      </x:c>
      <x:c r="U1147" s="23" t="n">
        <x:v>38.333433052298005</x:v>
      </x:c>
      <x:c r="V1147" s="23" t="n">
        <x:v>-2.0446527635398297</x:v>
      </x:c>
    </x:row>
    <x:row r="1148">
      <x:c r="A1148" s="23" t="n">
        <x:v>1147</x:v>
      </x:c>
      <x:c r="B1148" s="23" t="str">
        <x:v>Train</x:v>
      </x:c>
      <x:c r="C1148" s="23" t="str">
        <x:v>Switching</x:v>
      </x:c>
      <x:c r="D1148" s="23" t="n">
        <x:v>1098.8664393080398</x:v>
      </x:c>
      <x:c r="E1148" s="23" t="n">
        <x:v>796.2974474416114</x:v>
      </x:c>
      <x:c r="F1148" s="23" t="n">
        <x:v>449.78272654116154</x:v>
      </x:c>
      <x:c r="G1148" s="23" t="n">
        <x:v>165.82694752840325</x:v>
      </x:c>
      <x:c r="H1148" s="23" t="n">
        <x:v>21.978950359858572</x:v>
      </x:c>
      <x:c r="I1148" s="23" t="n">
        <x:v>0.8458130331593566</x:v>
      </x:c>
      <x:c r="J1148" s="23" t="n">
        <x:v>7</x:v>
      </x:c>
      <x:c r="K1148" s="23" t="n">
        <x:v>185.59766017648056</x:v>
      </x:c>
      <x:c r="L1148" s="23" t="n">
        <x:v>15145</x:v>
      </x:c>
      <x:c r="M1148" s="23" t="n">
        <x:v>1200</x:v>
      </x:c>
      <x:c r="N1148" s="23" t="n">
        <x:v>249.97159970186334</x:v>
      </x:c>
      <x:c r="O1148" s="23" t="n">
        <x:v>2503.0189937357404</x:v>
      </x:c>
      <x:c r="P1148" s="23" t="n">
        <x:v>1098.8664393080398</x:v>
      </x:c>
      <x:c r="Q1148" s="23" t="n">
        <x:v>247.41656609066817</x:v>
      </x:c>
      <x:c r="R1148" s="23" t="n">
        <x:v>2462.9023644601407</x:v>
      </x:c>
      <x:c r="S1148" s="23" t="n">
        <x:v>1098.6534065025896</x:v>
      </x:c>
      <x:c r="T1148" s="23" t="n">
        <x:v>-2.555033611195171</x:v>
      </x:c>
      <x:c r="U1148" s="23" t="n">
        <x:v>-40.116629275599735</x:v>
      </x:c>
      <x:c r="V1148" s="23" t="n">
        <x:v>-0.21303280545021153</x:v>
      </x:c>
    </x:row>
    <x:row r="1149">
      <x:c r="A1149" s="23" t="n">
        <x:v>1148</x:v>
      </x:c>
      <x:c r="B1149" s="23" t="str">
        <x:v>Train</x:v>
      </x:c>
      <x:c r="C1149" s="23" t="str">
        <x:v>Switching</x:v>
      </x:c>
      <x:c r="D1149" s="23" t="n">
        <x:v>974.4575273594819</x:v>
      </x:c>
      <x:c r="E1149" s="23" t="n">
        <x:v>821.5990293305367</x:v>
      </x:c>
      <x:c r="F1149" s="23" t="n">
        <x:v>643.9942116849124</x:v>
      </x:c>
      <x:c r="G1149" s="23" t="n">
        <x:v>86.0200112638995</x:v>
      </x:c>
      <x:c r="H1149" s="23" t="n">
        <x:v>9.607411127071828</x:v>
      </x:c>
      <x:c r="I1149" s="23" t="n">
        <x:v>0.812908405661583</x:v>
      </x:c>
      <x:c r="J1149" s="23" t="n">
        <x:v>6</x:v>
      </x:c>
      <x:c r="K1149" s="23" t="n">
        <x:v>199.78829934852308</x:v>
      </x:c>
      <x:c r="L1149" s="23" t="n">
        <x:v>16080</x:v>
      </x:c>
      <x:c r="M1149" s="23" t="n">
        <x:v>1200</x:v>
      </x:c>
      <x:c r="N1149" s="23" t="n">
        <x:v>249.99861766016036</x:v>
      </x:c>
      <x:c r="O1149" s="23" t="n">
        <x:v>2502.5419294835724</x:v>
      </x:c>
      <x:c r="P1149" s="23" t="n">
        <x:v>974.4575273594819</x:v>
      </x:c>
      <x:c r="Q1149" s="23" t="n">
        <x:v>251.7035498455744</x:v>
      </x:c>
      <x:c r="R1149" s="23" t="n">
        <x:v>2494.1200911785677</x:v>
      </x:c>
      <x:c r="S1149" s="23" t="n">
        <x:v>976.9944191097828</x:v>
      </x:c>
      <x:c r="T1149" s="23" t="n">
        <x:v>1.7049321854140373</x:v>
      </x:c>
      <x:c r="U1149" s="23" t="n">
        <x:v>-8.421838305004712</x:v>
      </x:c>
      <x:c r="V1149" s="23" t="n">
        <x:v>2.5368917503009243</x:v>
      </x:c>
    </x:row>
    <x:row r="1150">
      <x:c r="A1150" s="23" t="n">
        <x:v>1149</x:v>
      </x:c>
      <x:c r="B1150" s="23" t="str">
        <x:v>Train</x:v>
      </x:c>
      <x:c r="C1150" s="23" t="str">
        <x:v>Switching</x:v>
      </x:c>
      <x:c r="D1150" s="23" t="n">
        <x:v>967.2128099482507</x:v>
      </x:c>
      <x:c r="E1150" s="23" t="n">
        <x:v>1197.5203339825384</x:v>
      </x:c>
      <x:c r="F1150" s="23" t="n">
        <x:v>711.4562874659896</x:v>
      </x:c>
      <x:c r="G1150" s="23" t="n">
        <x:v>280.82594716222957</x:v>
      </x:c>
      <x:c r="H1150" s="23" t="n">
        <x:v>18.447113897651434</x:v>
      </x:c>
      <x:c r="I1150" s="23" t="n">
        <x:v>0.8073535843589343</x:v>
      </x:c>
      <x:c r="J1150" s="23" t="n">
        <x:v>6</x:v>
      </x:c>
      <x:c r="K1150" s="23" t="n">
        <x:v>199.6673305406515</x:v>
      </x:c>
      <x:c r="L1150" s="23" t="n">
        <x:v>11395</x:v>
      </x:c>
      <x:c r="M1150" s="23" t="n">
        <x:v>1195</x:v>
      </x:c>
      <x:c r="N1150" s="23" t="n">
        <x:v>250.02762193255748</x:v>
      </x:c>
      <x:c r="O1150" s="23" t="n">
        <x:v>2495.2857129009385</x:v>
      </x:c>
      <x:c r="P1150" s="23" t="n">
        <x:v>967.2128099482507</x:v>
      </x:c>
      <x:c r="Q1150" s="23" t="n">
        <x:v>255.01338927447233</x:v>
      </x:c>
      <x:c r="R1150" s="23" t="n">
        <x:v>2503.9318361531427</x:v>
      </x:c>
      <x:c r="S1150" s="23" t="n">
        <x:v>959.7799535654045</x:v>
      </x:c>
      <x:c r="T1150" s="23" t="n">
        <x:v>4.985767341914851</x:v>
      </x:c>
      <x:c r="U1150" s="23" t="n">
        <x:v>8.646123252204234</x:v>
      </x:c>
      <x:c r="V1150" s="23" t="n">
        <x:v>-7.432856382846126</x:v>
      </x:c>
    </x:row>
    <x:row r="1151">
      <x:c r="A1151" s="23" t="n">
        <x:v>1150</x:v>
      </x:c>
      <x:c r="B1151" s="23" t="str">
        <x:v>Train</x:v>
      </x:c>
      <x:c r="C1151" s="23" t="str">
        <x:v>Switching</x:v>
      </x:c>
      <x:c r="D1151" s="23" t="n">
        <x:v>1031.6682044533081</x:v>
      </x:c>
      <x:c r="E1151" s="23" t="n">
        <x:v>1048.1873008189723</x:v>
      </x:c>
      <x:c r="F1151" s="23" t="n">
        <x:v>639.4399275071919</x:v>
      </x:c>
      <x:c r="G1151" s="23" t="n">
        <x:v>136.1006860807538</x:v>
      </x:c>
      <x:c r="H1151" s="23" t="n">
        <x:v>12.709369274321944</x:v>
      </x:c>
      <x:c r="I1151" s="23" t="n">
        <x:v>0.8029972058860585</x:v>
      </x:c>
      <x:c r="J1151" s="23" t="n">
        <x:v>7</x:v>
      </x:c>
      <x:c r="K1151" s="23" t="n">
        <x:v>183.5388354834089</x:v>
      </x:c>
      <x:c r="L1151" s="23" t="n">
        <x:v>11725</x:v>
      </x:c>
      <x:c r="M1151" s="23" t="n">
        <x:v>1195</x:v>
      </x:c>
      <x:c r="N1151" s="23" t="n">
        <x:v>249.97004577074105</x:v>
      </x:c>
      <x:c r="O1151" s="23" t="n">
        <x:v>2494.9770504147814</x:v>
      </x:c>
      <x:c r="P1151" s="23" t="n">
        <x:v>1031.6682044533081</x:v>
      </x:c>
      <x:c r="Q1151" s="23" t="n">
        <x:v>254.6243966662864</x:v>
      </x:c>
      <x:c r="R1151" s="23" t="n">
        <x:v>2533.131125968214</x:v>
      </x:c>
      <x:c r="S1151" s="23" t="n">
        <x:v>1027.9656878166072</x:v>
      </x:c>
      <x:c r="T1151" s="23" t="n">
        <x:v>4.654350895545349</x:v>
      </x:c>
      <x:c r="U1151" s="23" t="n">
        <x:v>38.15407555343245</x:v>
      </x:c>
      <x:c r="V1151" s="23" t="n">
        <x:v>-3.7025166367009206</x:v>
      </x:c>
    </x:row>
    <x:row r="1152">
      <x:c r="A1152" s="23" t="n">
        <x:v>1151</x:v>
      </x:c>
      <x:c r="B1152" s="23" t="str">
        <x:v>Train</x:v>
      </x:c>
      <x:c r="C1152" s="23" t="str">
        <x:v>Switching</x:v>
      </x:c>
      <x:c r="D1152" s="23" t="n">
        <x:v>1057.386040710844</x:v>
      </x:c>
      <x:c r="E1152" s="23" t="n">
        <x:v>750.9057927061804</x:v>
      </x:c>
      <x:c r="F1152" s="23" t="n">
        <x:v>730.3374998271465</x:v>
      </x:c>
      <x:c r="G1152" s="23" t="n">
        <x:v>187.07935638492927</x:v>
      </x:c>
      <x:c r="H1152" s="23" t="n">
        <x:v>14.57391834910959</x:v>
      </x:c>
      <x:c r="I1152" s="23" t="n">
        <x:v>0.8174703769548797</x:v>
      </x:c>
      <x:c r="J1152" s="23" t="n">
        <x:v>7</x:v>
      </x:c>
      <x:c r="K1152" s="23" t="n">
        <x:v>184.78363611861525</x:v>
      </x:c>
      <x:c r="L1152" s="23" t="n">
        <x:v>12820</x:v>
      </x:c>
      <x:c r="M1152" s="23" t="n">
        <x:v>1200</x:v>
      </x:c>
      <x:c r="N1152" s="23" t="n">
        <x:v>250.02484745133503</x:v>
      </x:c>
      <x:c r="O1152" s="23" t="n">
        <x:v>2504.511639803883</x:v>
      </x:c>
      <x:c r="P1152" s="23" t="n">
        <x:v>1057.386040710844</x:v>
      </x:c>
      <x:c r="Q1152" s="23" t="n">
        <x:v>250.5803302300015</x:v>
      </x:c>
      <x:c r="R1152" s="23" t="n">
        <x:v>2528.503303027329</x:v>
      </x:c>
      <x:c r="S1152" s="23" t="n">
        <x:v>1062.54476198438</x:v>
      </x:c>
      <x:c r="T1152" s="23" t="n">
        <x:v>0.5554827786664589</x:v>
      </x:c>
      <x:c r="U1152" s="23" t="n">
        <x:v>23.991663223445812</x:v>
      </x:c>
      <x:c r="V1152" s="23" t="n">
        <x:v>5.158721273536003</x:v>
      </x:c>
    </x:row>
    <x:row r="1153">
      <x:c r="A1153" s="23" t="n">
        <x:v>1152</x:v>
      </x:c>
      <x:c r="B1153" s="23" t="str">
        <x:v>Train</x:v>
      </x:c>
      <x:c r="C1153" s="23" t="str">
        <x:v>Switching</x:v>
      </x:c>
      <x:c r="D1153" s="23" t="n">
        <x:v>1039.2409922438674</x:v>
      </x:c>
      <x:c r="E1153" s="23" t="n">
        <x:v>1024.7746501117945</x:v>
      </x:c>
      <x:c r="F1153" s="23" t="n">
        <x:v>521.0286258719862</x:v>
      </x:c>
      <x:c r="G1153" s="23" t="n">
        <x:v>278.6917230533436</x:v>
      </x:c>
      <x:c r="H1153" s="23" t="n">
        <x:v>21.14124767621979</x:v>
      </x:c>
      <x:c r="I1153" s="23" t="n">
        <x:v>0.7915328572969884</x:v>
      </x:c>
      <x:c r="J1153" s="23" t="n">
        <x:v>7</x:v>
      </x:c>
      <x:c r="K1153" s="23" t="n">
        <x:v>187.56391162202473</x:v>
      </x:c>
      <x:c r="L1153" s="23" t="n">
        <x:v>11720</x:v>
      </x:c>
      <x:c r="M1153" s="23" t="n">
        <x:v>1195</x:v>
      </x:c>
      <x:c r="N1153" s="23" t="n">
        <x:v>249.96875937053775</x:v>
      </x:c>
      <x:c r="O1153" s="23" t="n">
        <x:v>2494.981497162193</x:v>
      </x:c>
      <x:c r="P1153" s="23" t="n">
        <x:v>1039.2409922438674</x:v>
      </x:c>
      <x:c r="Q1153" s="23" t="n">
        <x:v>253.2296803016802</x:v>
      </x:c>
      <x:c r="R1153" s="23" t="n">
        <x:v>2520.635984577477</x:v>
      </x:c>
      <x:c r="S1153" s="23" t="n">
        <x:v>1035.7094658462709</x:v>
      </x:c>
      <x:c r="T1153" s="23" t="n">
        <x:v>3.2609209311424365</x:v>
      </x:c>
      <x:c r="U1153" s="23" t="n">
        <x:v>25.65448741528371</x:v>
      </x:c>
      <x:c r="V1153" s="23" t="n">
        <x:v>-3.531526397596508</x:v>
      </x:c>
    </x:row>
    <x:row r="1154">
      <x:c r="A1154" s="23" t="n">
        <x:v>1153</x:v>
      </x:c>
      <x:c r="B1154" s="23" t="str">
        <x:v>Train</x:v>
      </x:c>
      <x:c r="C1154" s="23" t="str">
        <x:v>Switching</x:v>
      </x:c>
      <x:c r="D1154" s="23" t="n">
        <x:v>1090.1782627217472</x:v>
      </x:c>
      <x:c r="E1154" s="23" t="n">
        <x:v>635.3908191784285</x:v>
      </x:c>
      <x:c r="F1154" s="23" t="n">
        <x:v>477.2228652611375</x:v>
      </x:c>
      <x:c r="G1154" s="23" t="n">
        <x:v>163.8912400067784</x:v>
      </x:c>
      <x:c r="H1154" s="23" t="n">
        <x:v>19.025456288829446</x:v>
      </x:c>
      <x:c r="I1154" s="23" t="n">
        <x:v>0.8435266430233606</x:v>
      </x:c>
      <x:c r="J1154" s="23" t="n">
        <x:v>7</x:v>
      </x:c>
      <x:c r="K1154" s="23" t="n">
        <x:v>184.62932155787212</x:v>
      </x:c>
      <x:c r="L1154" s="23" t="n">
        <x:v>16755</x:v>
      </x:c>
      <x:c r="M1154" s="23" t="n">
        <x:v>1200</x:v>
      </x:c>
      <x:c r="N1154" s="23" t="n">
        <x:v>250.02418833119077</x:v>
      </x:c>
      <x:c r="O1154" s="23" t="n">
        <x:v>2502.230790466187</x:v>
      </x:c>
      <x:c r="P1154" s="23" t="n">
        <x:v>1090.1782627217472</x:v>
      </x:c>
      <x:c r="Q1154" s="23" t="n">
        <x:v>248.08242365939898</x:v>
      </x:c>
      <x:c r="R1154" s="23" t="n">
        <x:v>2471.389840163747</x:v>
      </x:c>
      <x:c r="S1154" s="23" t="n">
        <x:v>1096.3592632766179</x:v>
      </x:c>
      <x:c r="T1154" s="23" t="n">
        <x:v>-1.9417646717917876</x:v>
      </x:c>
      <x:c r="U1154" s="23" t="n">
        <x:v>-30.84095030243998</x:v>
      </x:c>
      <x:c r="V1154" s="23" t="n">
        <x:v>6.181000554870707</x:v>
      </x:c>
    </x:row>
    <x:row r="1155">
      <x:c r="A1155" s="23" t="n">
        <x:v>1154</x:v>
      </x:c>
      <x:c r="B1155" s="23" t="str">
        <x:v>Train</x:v>
      </x:c>
      <x:c r="C1155" s="23" t="str">
        <x:v>Switching</x:v>
      </x:c>
      <x:c r="D1155" s="23" t="n">
        <x:v>986.0743930214085</x:v>
      </x:c>
      <x:c r="E1155" s="23" t="n">
        <x:v>1095.9680087165907</x:v>
      </x:c>
      <x:c r="F1155" s="23" t="n">
        <x:v>721.1711787618697</x:v>
      </x:c>
      <x:c r="G1155" s="23" t="n">
        <x:v>205.47236890532076</x:v>
      </x:c>
      <x:c r="H1155" s="23" t="n">
        <x:v>25.940482758451253</x:v>
      </x:c>
      <x:c r="I1155" s="23" t="n">
        <x:v>0.806726838783361</x:v>
      </x:c>
      <x:c r="J1155" s="23" t="n">
        <x:v>7</x:v>
      </x:c>
      <x:c r="K1155" s="23" t="n">
        <x:v>174.61644221986583</x:v>
      </x:c>
      <x:c r="L1155" s="23" t="n">
        <x:v>10575</x:v>
      </x:c>
      <x:c r="M1155" s="23" t="n">
        <x:v>1195</x:v>
      </x:c>
      <x:c r="N1155" s="23" t="n">
        <x:v>250.03951168917825</x:v>
      </x:c>
      <x:c r="O1155" s="23" t="n">
        <x:v>2496.129967948721</x:v>
      </x:c>
      <x:c r="P1155" s="23" t="n">
        <x:v>986.0743930214085</x:v>
      </x:c>
      <x:c r="Q1155" s="23" t="n">
        <x:v>250.94676047738218</x:v>
      </x:c>
      <x:c r="R1155" s="23" t="n">
        <x:v>2535.8244746936566</x:v>
      </x:c>
      <x:c r="S1155" s="23" t="n">
        <x:v>975.8344004073147</x:v>
      </x:c>
      <x:c r="T1155" s="23" t="n">
        <x:v>0.9072487882039297</x:v>
      </x:c>
      <x:c r="U1155" s="23" t="n">
        <x:v>39.69450674493555</x:v>
      </x:c>
      <x:c r="V1155" s="23" t="n">
        <x:v>-10.239992614093808</x:v>
      </x:c>
    </x:row>
    <x:row r="1156">
      <x:c r="A1156" s="23" t="n">
        <x:v>1155</x:v>
      </x:c>
      <x:c r="B1156" s="23" t="str">
        <x:v>Validation</x:v>
      </x:c>
      <x:c r="C1156" s="23" t="str">
        <x:v>Switching</x:v>
      </x:c>
      <x:c r="D1156" s="23" t="n">
        <x:v>990.196769288741</x:v>
      </x:c>
      <x:c r="E1156" s="23" t="n">
        <x:v>655.5123297148384</x:v>
      </x:c>
      <x:c r="F1156" s="23" t="n">
        <x:v>604.807860776782</x:v>
      </x:c>
      <x:c r="G1156" s="23" t="n">
        <x:v>173.0541639099829</x:v>
      </x:c>
      <x:c r="H1156" s="23" t="n">
        <x:v>11.625534658320248</x:v>
      </x:c>
      <x:c r="I1156" s="23" t="n">
        <x:v>0.7908611142705195</x:v>
      </x:c>
      <x:c r="J1156" s="23" t="n">
        <x:v>7</x:v>
      </x:c>
      <x:c r="K1156" s="23" t="n">
        <x:v>178.86412515987828</x:v>
      </x:c>
      <x:c r="L1156" s="23" t="n">
        <x:v>14920</x:v>
      </x:c>
      <x:c r="M1156" s="23" t="n">
        <x:v>1200</x:v>
      </x:c>
      <x:c r="N1156" s="23" t="n">
        <x:v>250.00193371396293</x:v>
      </x:c>
      <x:c r="O1156" s="23" t="n">
        <x:v>2503.1439587918426</x:v>
      </x:c>
      <x:c r="P1156" s="23" t="n">
        <x:v>990.196769288741</x:v>
      </x:c>
      <x:c r="Q1156" s="23" t="n">
        <x:v>251.17911458541127</x:v>
      </x:c>
      <x:c r="R1156" s="23" t="n">
        <x:v>2486.997544598484</x:v>
      </x:c>
      <x:c r="S1156" s="23" t="n">
        <x:v>993.8851898247416</x:v>
      </x:c>
      <x:c r="T1156" s="23" t="n">
        <x:v>1.1771808714483427</x:v>
      </x:c>
      <x:c r="U1156" s="23" t="n">
        <x:v>-16.146414193358396</x:v>
      </x:c>
      <x:c r="V1156" s="23" t="n">
        <x:v>3.6884205360005353</x:v>
      </x:c>
    </x:row>
    <x:row r="1157">
      <x:c r="A1157" s="23" t="n">
        <x:v>1156</x:v>
      </x:c>
      <x:c r="B1157" s="23" t="str">
        <x:v>Validation</x:v>
      </x:c>
      <x:c r="C1157" s="23" t="str">
        <x:v>Switching</x:v>
      </x:c>
      <x:c r="D1157" s="23" t="n">
        <x:v>1009.3254401697777</x:v>
      </x:c>
      <x:c r="E1157" s="23" t="n">
        <x:v>1092.738112481311</x:v>
      </x:c>
      <x:c r="F1157" s="23" t="n">
        <x:v>663.9213147573173</x:v>
      </x:c>
      <x:c r="G1157" s="23" t="n">
        <x:v>311.7960079526529</x:v>
      </x:c>
      <x:c r="H1157" s="23" t="n">
        <x:v>13.205585680436343</x:v>
      </x:c>
      <x:c r="I1157" s="23" t="n">
        <x:v>0.7922216208837927</x:v>
      </x:c>
      <x:c r="J1157" s="23" t="n">
        <x:v>7</x:v>
      </x:c>
      <x:c r="K1157" s="23" t="n">
        <x:v>182.00632852562984</x:v>
      </x:c>
      <x:c r="L1157" s="23" t="n">
        <x:v>10340</x:v>
      </x:c>
      <x:c r="M1157" s="23" t="n">
        <x:v>1195</x:v>
      </x:c>
      <x:c r="N1157" s="23" t="n">
        <x:v>250.02410420646584</x:v>
      </x:c>
      <x:c r="O1157" s="23" t="n">
        <x:v>2496.3957223927546</x:v>
      </x:c>
      <x:c r="P1157" s="23" t="n">
        <x:v>1009.3254401697777</x:v>
      </x:c>
      <x:c r="Q1157" s="23" t="n">
        <x:v>250.45926340415465</x:v>
      </x:c>
      <x:c r="R1157" s="23" t="n">
        <x:v>2551.089336275174</x:v>
      </x:c>
      <x:c r="S1157" s="23" t="n">
        <x:v>1004.3384447990132</x:v>
      </x:c>
      <x:c r="T1157" s="23" t="n">
        <x:v>0.4351591976888187</x:v>
      </x:c>
      <x:c r="U1157" s="23" t="n">
        <x:v>54.69361388241941</x:v>
      </x:c>
      <x:c r="V1157" s="23" t="n">
        <x:v>-4.986995370764475</x:v>
      </x:c>
    </x:row>
    <x:row r="1158">
      <x:c r="A1158" s="23" t="n">
        <x:v>1157</x:v>
      </x:c>
      <x:c r="B1158" s="23" t="str">
        <x:v>Validation</x:v>
      </x:c>
      <x:c r="C1158" s="23" t="str">
        <x:v>Switching</x:v>
      </x:c>
      <x:c r="D1158" s="23" t="n">
        <x:v>1038.4804213885218</x:v>
      </x:c>
      <x:c r="E1158" s="23" t="n">
        <x:v>1071.5616756933741</x:v>
      </x:c>
      <x:c r="F1158" s="23" t="n">
        <x:v>351.03242825716734</x:v>
      </x:c>
      <x:c r="G1158" s="23" t="n">
        <x:v>203.1699691270478</x:v>
      </x:c>
      <x:c r="H1158" s="23" t="n">
        <x:v>12.565280936658382</x:v>
      </x:c>
      <x:c r="I1158" s="23" t="n">
        <x:v>0.820050957670901</x:v>
      </x:c>
      <x:c r="J1158" s="23" t="n">
        <x:v>7</x:v>
      </x:c>
      <x:c r="K1158" s="23" t="n">
        <x:v>180.9086917403282</x:v>
      </x:c>
      <x:c r="L1158" s="23" t="n">
        <x:v>13155</x:v>
      </x:c>
      <x:c r="M1158" s="23" t="n">
        <x:v>1200</x:v>
      </x:c>
      <x:c r="N1158" s="23" t="n">
        <x:v>250.01345424343523</x:v>
      </x:c>
      <x:c r="O1158" s="23" t="n">
        <x:v>2504.263897822199</x:v>
      </x:c>
      <x:c r="P1158" s="23" t="n">
        <x:v>1038.4804213885218</x:v>
      </x:c>
      <x:c r="Q1158" s="23" t="n">
        <x:v>253.32459163020997</x:v>
      </x:c>
      <x:c r="R1158" s="23" t="n">
        <x:v>2482.9827244836238</x:v>
      </x:c>
      <x:c r="S1158" s="23" t="n">
        <x:v>1045.88300667674</x:v>
      </x:c>
      <x:c r="T1158" s="23" t="n">
        <x:v>3.311137386774732</x:v>
      </x:c>
      <x:c r="U1158" s="23" t="n">
        <x:v>-21.281173338575172</x:v>
      </x:c>
      <x:c r="V1158" s="23" t="n">
        <x:v>7.4025852882182335</x:v>
      </x:c>
    </x:row>
    <x:row r="1159">
      <x:c r="A1159" s="23" t="n">
        <x:v>1158</x:v>
      </x:c>
      <x:c r="B1159" s="23" t="str">
        <x:v>Hidden Test</x:v>
      </x:c>
      <x:c r="C1159" s="23" t="str">
        <x:v>Switching</x:v>
      </x:c>
      <x:c r="D1159" s="23" t="n">
        <x:v>1025.4902302403934</x:v>
      </x:c>
      <x:c r="E1159" s="23" t="n">
        <x:v>1080.571376136504</x:v>
      </x:c>
      <x:c r="F1159" s="23" t="n">
        <x:v>395.1124903745949</x:v>
      </x:c>
      <x:c r="G1159" s="23" t="n">
        <x:v>181.54247609898448</x:v>
      </x:c>
      <x:c r="H1159" s="23" t="n">
        <x:v>12.316017671022564</x:v>
      </x:c>
      <x:c r="I1159" s="23" t="n">
        <x:v>0.7979779452970251</x:v>
      </x:c>
      <x:c r="J1159" s="23" t="n">
        <x:v>7</x:v>
      </x:c>
      <x:c r="K1159" s="23" t="n">
        <x:v>183.58728481590575</x:v>
      </x:c>
      <x:c r="L1159" s="23" t="n">
        <x:v>12905</x:v>
      </x:c>
      <x:c r="M1159" s="23" t="n">
        <x:v>1200</x:v>
      </x:c>
      <x:c r="N1159" s="23" t="n">
        <x:v>250.0085391753357</x:v>
      </x:c>
      <x:c r="O1159" s="23" t="n">
        <x:v>2504.4470459856016</x:v>
      </x:c>
      <x:c r="P1159" s="23" t="n">
        <x:v>1025.4902302403934</x:v>
      </x:c>
      <x:c r="Q1159" s="23" t="n">
        <x:v>250.01229490301915</x:v>
      </x:c>
      <x:c r="R1159" s="23" t="n">
        <x:v>2536.8193225377613</x:v>
      </x:c>
      <x:c r="S1159" s="23" t="n">
        <x:v>1029.2398868923926</x:v>
      </x:c>
      <x:c r="T1159" s="23" t="n">
        <x:v>0.0037557276834547793</x:v>
      </x:c>
      <x:c r="U1159" s="23" t="n">
        <x:v>32.37227655215975</x:v>
      </x:c>
      <x:c r="V1159" s="23" t="n">
        <x:v>3.749656651999203</x:v>
      </x:c>
    </x:row>
    <x:row r="1160">
      <x:c r="A1160" s="23" t="n">
        <x:v>1159</x:v>
      </x:c>
      <x:c r="B1160" s="23" t="str">
        <x:v>Hidden Test</x:v>
      </x:c>
      <x:c r="C1160" s="23" t="str">
        <x:v>Switching</x:v>
      </x:c>
      <x:c r="D1160" s="23" t="n">
        <x:v>988.7139230268076</x:v>
      </x:c>
      <x:c r="E1160" s="23" t="n">
        <x:v>721.9243690487929</x:v>
      </x:c>
      <x:c r="F1160" s="23" t="n">
        <x:v>389.28315341472626</x:v>
      </x:c>
      <x:c r="G1160" s="23" t="n">
        <x:v>258.353022725787</x:v>
      </x:c>
      <x:c r="H1160" s="23" t="n">
        <x:v>18.926927777938545</x:v>
      </x:c>
      <x:c r="I1160" s="23" t="n">
        <x:v>0.7952597635961138</x:v>
      </x:c>
      <x:c r="J1160" s="23" t="n">
        <x:v>7</x:v>
      </x:c>
      <x:c r="K1160" s="23" t="n">
        <x:v>177.60844017555553</x:v>
      </x:c>
      <x:c r="L1160" s="23" t="n">
        <x:v>15615</x:v>
      </x:c>
      <x:c r="M1160" s="23" t="n">
        <x:v>1200</x:v>
      </x:c>
      <x:c r="N1160" s="23" t="n">
        <x:v>249.99905316951387</x:v>
      </x:c>
      <x:c r="O1160" s="23" t="n">
        <x:v>2502.7724858456563</x:v>
      </x:c>
      <x:c r="P1160" s="23" t="n">
        <x:v>988.7139230268076</x:v>
      </x:c>
      <x:c r="Q1160" s="23" t="n">
        <x:v>250.44560209584662</x:v>
      </x:c>
      <x:c r="R1160" s="23" t="n">
        <x:v>2467.2677267638983</x:v>
      </x:c>
      <x:c r="S1160" s="23" t="n">
        <x:v>990.964218942729</x:v>
      </x:c>
      <x:c r="T1160" s="23" t="n">
        <x:v>0.44654892633275267</x:v>
      </x:c>
      <x:c r="U1160" s="23" t="n">
        <x:v>-35.50475908175804</x:v>
      </x:c>
      <x:c r="V1160" s="23" t="n">
        <x:v>2.250295915921356</x:v>
      </x:c>
    </x:row>
    <x:row r="1161">
      <x:c r="A1161" s="23" t="n">
        <x:v>1160</x:v>
      </x:c>
      <x:c r="B1161" s="23" t="str">
        <x:v>Hidden Test</x:v>
      </x:c>
      <x:c r="C1161" s="23" t="str">
        <x:v>Switching</x:v>
      </x:c>
      <x:c r="D1161" s="23" t="n">
        <x:v>1075.04875556333</x:v>
      </x:c>
      <x:c r="E1161" s="23" t="n">
        <x:v>882.8117397613823</x:v>
      </x:c>
      <x:c r="F1161" s="23" t="n">
        <x:v>635.889536794275</x:v>
      </x:c>
      <x:c r="G1161" s="23" t="n">
        <x:v>314.7872998798266</x:v>
      </x:c>
      <x:c r="H1161" s="23" t="n">
        <x:v>20.262752620037645</x:v>
      </x:c>
      <x:c r="I1161" s="23" t="n">
        <x:v>0.8520402477029712</x:v>
      </x:c>
      <x:c r="J1161" s="23" t="n">
        <x:v>7</x:v>
      </x:c>
      <x:c r="K1161" s="23" t="n">
        <x:v>180.24781583491944</x:v>
      </x:c>
      <x:c r="L1161" s="23" t="n">
        <x:v>11665</x:v>
      </x:c>
      <x:c r="M1161" s="23" t="n">
        <x:v>1195</x:v>
      </x:c>
      <x:c r="N1161" s="23" t="n">
        <x:v>250.02207922799582</x:v>
      </x:c>
      <x:c r="O1161" s="23" t="n">
        <x:v>2495.0336324357245</x:v>
      </x:c>
      <x:c r="P1161" s="23" t="n">
        <x:v>1075.04875556333</x:v>
      </x:c>
      <x:c r="Q1161" s="23" t="n">
        <x:v>253.023045521208</x:v>
      </x:c>
      <x:c r="R1161" s="23" t="n">
        <x:v>2454.9233206184263</x:v>
      </x:c>
      <x:c r="S1161" s="23" t="n">
        <x:v>1063.3757745167625</x:v>
      </x:c>
      <x:c r="T1161" s="23" t="n">
        <x:v>3.000966293212173</x:v>
      </x:c>
      <x:c r="U1161" s="23" t="n">
        <x:v>-40.110311817298225</x:v>
      </x:c>
      <x:c r="V1161" s="23" t="n">
        <x:v>-11.672981046567429</x:v>
      </x:c>
    </x:row>
    <x:row r="1162">
      <x:c r="A1162" s="23" t="n">
        <x:v>1161</x:v>
      </x:c>
      <x:c r="B1162" s="23" t="str">
        <x:v>Train</x:v>
      </x:c>
      <x:c r="C1162" s="23" t="str">
        <x:v>Switching</x:v>
      </x:c>
      <x:c r="D1162" s="23" t="n">
        <x:v>956.0426520183682</x:v>
      </x:c>
      <x:c r="E1162" s="23" t="n">
        <x:v>949.9646380892955</x:v>
      </x:c>
      <x:c r="F1162" s="23" t="n">
        <x:v>499.3290873244405</x:v>
      </x:c>
      <x:c r="G1162" s="23" t="n">
        <x:v>138.4411896415986</x:v>
      </x:c>
      <x:c r="H1162" s="23" t="n">
        <x:v>19.45805541239679</x:v>
      </x:c>
      <x:c r="I1162" s="23" t="n">
        <x:v>0.8118871391681023</x:v>
      </x:c>
      <x:c r="J1162" s="23" t="n">
        <x:v>6</x:v>
      </x:c>
      <x:c r="K1162" s="23" t="n">
        <x:v>196.25934974943573</x:v>
      </x:c>
      <x:c r="L1162" s="23" t="n">
        <x:v>15715</x:v>
      </x:c>
      <x:c r="M1162" s="23" t="n">
        <x:v>1200</x:v>
      </x:c>
      <x:c r="N1162" s="23" t="n">
        <x:v>250.01199776909044</x:v>
      </x:c>
      <x:c r="O1162" s="23" t="n">
        <x:v>2502.7221621321596</x:v>
      </x:c>
      <x:c r="P1162" s="23" t="n">
        <x:v>956.0426520183682</x:v>
      </x:c>
      <x:c r="Q1162" s="23" t="n">
        <x:v>252.52343362416798</x:v>
      </x:c>
      <x:c r="R1162" s="23" t="n">
        <x:v>2551.2859303345936</x:v>
      </x:c>
      <x:c r="S1162" s="23" t="n">
        <x:v>952.4276531158042</x:v>
      </x:c>
      <x:c r="T1162" s="23" t="n">
        <x:v>2.5114358550775364</x:v>
      </x:c>
      <x:c r="U1162" s="23" t="n">
        <x:v>48.56376820243395</x:v>
      </x:c>
      <x:c r="V1162" s="23" t="n">
        <x:v>-3.6149989025640252</x:v>
      </x:c>
    </x:row>
    <x:row r="1163">
      <x:c r="A1163" s="23" t="n">
        <x:v>1162</x:v>
      </x:c>
      <x:c r="B1163" s="23" t="str">
        <x:v>Train</x:v>
      </x:c>
      <x:c r="C1163" s="23" t="str">
        <x:v>Switching</x:v>
      </x:c>
      <x:c r="D1163" s="23" t="n">
        <x:v>1020.9511370048858</x:v>
      </x:c>
      <x:c r="E1163" s="23" t="n">
        <x:v>715.8440985018387</x:v>
      </x:c>
      <x:c r="F1163" s="23" t="n">
        <x:v>627.8479726053774</x:v>
      </x:c>
      <x:c r="G1163" s="23" t="n">
        <x:v>199.3925968836993</x:v>
      </x:c>
      <x:c r="H1163" s="23" t="n">
        <x:v>9.878345285076648</x:v>
      </x:c>
      <x:c r="I1163" s="23" t="n">
        <x:v>0.8087063469411806</x:v>
      </x:c>
      <x:c r="J1163" s="23" t="n">
        <x:v>7</x:v>
      </x:c>
      <x:c r="K1163" s="23" t="n">
        <x:v>180.34996631463</x:v>
      </x:c>
      <x:c r="L1163" s="23" t="n">
        <x:v>13860</x:v>
      </x:c>
      <x:c r="M1163" s="23" t="n">
        <x:v>1200</x:v>
      </x:c>
      <x:c r="N1163" s="23" t="n">
        <x:v>250.01603693994625</x:v>
      </x:c>
      <x:c r="O1163" s="23" t="n">
        <x:v>2503.7826044693084</x:v>
      </x:c>
      <x:c r="P1163" s="23" t="n">
        <x:v>1020.9511370048858</x:v>
      </x:c>
      <x:c r="Q1163" s="23" t="n">
        <x:v>248.94635119015905</x:v>
      </x:c>
      <x:c r="R1163" s="23" t="n">
        <x:v>2515.255368086739</x:v>
      </x:c>
      <x:c r="S1163" s="23" t="n">
        <x:v>1023.9284514413858</x:v>
      </x:c>
      <x:c r="T1163" s="23" t="n">
        <x:v>-1.0696857497871974</x:v>
      </x:c>
      <x:c r="U1163" s="23" t="n">
        <x:v>11.4727636174307</x:v>
      </x:c>
      <x:c r="V1163" s="23" t="n">
        <x:v>2.9773144365000235</x:v>
      </x:c>
    </x:row>
    <x:row r="1164">
      <x:c r="A1164" s="23" t="n">
        <x:v>1163</x:v>
      </x:c>
      <x:c r="B1164" s="23" t="str">
        <x:v>Train</x:v>
      </x:c>
      <x:c r="C1164" s="23" t="str">
        <x:v>Switching</x:v>
      </x:c>
      <x:c r="D1164" s="23" t="n">
        <x:v>1022.9887786088511</x:v>
      </x:c>
      <x:c r="E1164" s="23" t="n">
        <x:v>955.8710734010674</x:v>
      </x:c>
      <x:c r="F1164" s="23" t="n">
        <x:v>597.3212886601686</x:v>
      </x:c>
      <x:c r="G1164" s="23" t="n">
        <x:v>181.52141022263095</x:v>
      </x:c>
      <x:c r="H1164" s="23" t="n">
        <x:v>28.624367983080447</x:v>
      </x:c>
      <x:c r="I1164" s="23" t="n">
        <x:v>0.8323516939464025</x:v>
      </x:c>
      <x:c r="J1164" s="23" t="n">
        <x:v>7</x:v>
      </x:c>
      <x:c r="K1164" s="23" t="n">
        <x:v>175.57632807123136</x:v>
      </x:c>
      <x:c r="L1164" s="23" t="n">
        <x:v>12330</x:v>
      </x:c>
      <x:c r="M1164" s="23" t="n">
        <x:v>1200</x:v>
      </x:c>
      <x:c r="N1164" s="23" t="n">
        <x:v>250.03834560542856</x:v>
      </x:c>
      <x:c r="O1164" s="23" t="n">
        <x:v>2504.8981158112188</x:v>
      </x:c>
      <x:c r="P1164" s="23" t="n">
        <x:v>1022.9887786088511</x:v>
      </x:c>
      <x:c r="Q1164" s="23" t="n">
        <x:v>247.11109520147915</x:v>
      </x:c>
      <x:c r="R1164" s="23" t="n">
        <x:v>2474.3113374665013</x:v>
      </x:c>
      <x:c r="S1164" s="23" t="n">
        <x:v>1008.6851353649874</x:v>
      </x:c>
      <x:c r="T1164" s="23" t="n">
        <x:v>-2.927250403949415</x:v>
      </x:c>
      <x:c r="U1164" s="23" t="n">
        <x:v>-30.58677834471746</x:v>
      </x:c>
      <x:c r="V1164" s="23" t="n">
        <x:v>-14.30364324386369</x:v>
      </x:c>
    </x:row>
    <x:row r="1165">
      <x:c r="A1165" s="23" t="n">
        <x:v>1164</x:v>
      </x:c>
      <x:c r="B1165" s="23" t="str">
        <x:v>Train</x:v>
      </x:c>
      <x:c r="C1165" s="23" t="str">
        <x:v>Switching</x:v>
      </x:c>
      <x:c r="D1165" s="23" t="n">
        <x:v>1094.884465856012</x:v>
      </x:c>
      <x:c r="E1165" s="23" t="n">
        <x:v>604.069754993543</x:v>
      </x:c>
      <x:c r="F1165" s="23" t="n">
        <x:v>388.38449819013476</x:v>
      </x:c>
      <x:c r="G1165" s="23" t="n">
        <x:v>112.04820200335234</x:v>
      </x:c>
      <x:c r="H1165" s="23" t="n">
        <x:v>16.136182847898453</x:v>
      </x:c>
      <x:c r="I1165" s="23" t="n">
        <x:v>0.8375630704686046</x:v>
      </x:c>
      <x:c r="J1165" s="23" t="n">
        <x:v>7</x:v>
      </x:c>
      <x:c r="K1165" s="23" t="n">
        <x:v>186.74661296056013</x:v>
      </x:c>
      <x:c r="L1165" s="23" t="n">
        <x:v>19360</x:v>
      </x:c>
      <x:c r="M1165" s="23" t="n">
        <x:v>1200</x:v>
      </x:c>
      <x:c r="N1165" s="23" t="n">
        <x:v>249.9694770096744</x:v>
      </x:c>
      <x:c r="O1165" s="23" t="n">
        <x:v>2501.2295296921347</x:v>
      </x:c>
      <x:c r="P1165" s="23" t="n">
        <x:v>1094.884465856012</x:v>
      </x:c>
      <x:c r="Q1165" s="23" t="n">
        <x:v>245.85775586102545</x:v>
      </x:c>
      <x:c r="R1165" s="23" t="n">
        <x:v>2466.6736892936965</x:v>
      </x:c>
      <x:c r="S1165" s="23" t="n">
        <x:v>1114.355858589029</x:v>
      </x:c>
      <x:c r="T1165" s="23" t="n">
        <x:v>-4.11172114864894</x:v>
      </x:c>
      <x:c r="U1165" s="23" t="n">
        <x:v>-34.55584039843825</x:v>
      </x:c>
      <x:c r="V1165" s="23" t="n">
        <x:v>19.471392733016955</x:v>
      </x:c>
    </x:row>
    <x:row r="1166">
      <x:c r="A1166" s="23" t="n">
        <x:v>1165</x:v>
      </x:c>
      <x:c r="B1166" s="23" t="str">
        <x:v>Train</x:v>
      </x:c>
      <x:c r="C1166" s="23" t="str">
        <x:v>Switching</x:v>
      </x:c>
      <x:c r="D1166" s="23" t="n">
        <x:v>1003.0143262352794</x:v>
      </x:c>
      <x:c r="E1166" s="23" t="n">
        <x:v>846.0768892313354</x:v>
      </x:c>
      <x:c r="F1166" s="23" t="n">
        <x:v>680.7642897590995</x:v>
      </x:c>
      <x:c r="G1166" s="23" t="n">
        <x:v>282.39903387846425</x:v>
      </x:c>
      <x:c r="H1166" s="23" t="n">
        <x:v>13.357751864939928</x:v>
      </x:c>
      <x:c r="I1166" s="23" t="n">
        <x:v>0.8571888144337573</x:v>
      </x:c>
      <x:c r="J1166" s="23" t="n">
        <x:v>6</x:v>
      </x:c>
      <x:c r="K1166" s="23" t="n">
        <x:v>195.0201070728802</x:v>
      </x:c>
      <x:c r="L1166" s="23" t="n">
        <x:v>13790</x:v>
      </x:c>
      <x:c r="M1166" s="23" t="n">
        <x:v>1200</x:v>
      </x:c>
      <x:c r="N1166" s="23" t="n">
        <x:v>249.99355081630722</x:v>
      </x:c>
      <x:c r="O1166" s="23" t="n">
        <x:v>2503.8273849661305</x:v>
      </x:c>
      <x:c r="P1166" s="23" t="n">
        <x:v>1003.0143262352794</x:v>
      </x:c>
      <x:c r="Q1166" s="23" t="n">
        <x:v>250.81760539403197</x:v>
      </x:c>
      <x:c r="R1166" s="23" t="n">
        <x:v>2475.7507350172386</x:v>
      </x:c>
      <x:c r="S1166" s="23" t="n">
        <x:v>1007.3087440809487</x:v>
      </x:c>
      <x:c r="T1166" s="23" t="n">
        <x:v>0.8240545777247519</x:v>
      </x:c>
      <x:c r="U1166" s="23" t="n">
        <x:v>-28.076649948891827</x:v>
      </x:c>
      <x:c r="V1166" s="23" t="n">
        <x:v>4.2944178456692725</x:v>
      </x:c>
    </x:row>
    <x:row r="1167">
      <x:c r="A1167" s="23" t="n">
        <x:v>1166</x:v>
      </x:c>
      <x:c r="B1167" s="23" t="str">
        <x:v>Train</x:v>
      </x:c>
      <x:c r="C1167" s="23" t="str">
        <x:v>Switching</x:v>
      </x:c>
      <x:c r="D1167" s="23" t="n">
        <x:v>1063.5309482109733</x:v>
      </x:c>
      <x:c r="E1167" s="23" t="n">
        <x:v>760.2512870682403</x:v>
      </x:c>
      <x:c r="F1167" s="23" t="n">
        <x:v>735.8778123743832</x:v>
      </x:c>
      <x:c r="G1167" s="23" t="n">
        <x:v>180.0435370951891</x:v>
      </x:c>
      <x:c r="H1167" s="23" t="n">
        <x:v>10.42883192980662</x:v>
      </x:c>
      <x:c r="I1167" s="23" t="n">
        <x:v>0.8048319078935311</x:v>
      </x:c>
      <x:c r="J1167" s="23" t="n">
        <x:v>7</x:v>
      </x:c>
      <x:c r="K1167" s="23" t="n">
        <x:v>188.77605511344413</x:v>
      </x:c>
      <x:c r="L1167" s="23" t="n">
        <x:v>12760</x:v>
      </x:c>
      <x:c r="M1167" s="23" t="n">
        <x:v>1200</x:v>
      </x:c>
      <x:c r="N1167" s="23" t="n">
        <x:v>250.02552935795933</x:v>
      </x:c>
      <x:c r="O1167" s="23" t="n">
        <x:v>2504.557336151814</x:v>
      </x:c>
      <x:c r="P1167" s="23" t="n">
        <x:v>1063.5309482109733</x:v>
      </x:c>
      <x:c r="Q1167" s="23" t="n">
        <x:v>249.60313738439578</x:v>
      </x:c>
      <x:c r="R1167" s="23" t="n">
        <x:v>2524.5056611161053</x:v>
      </x:c>
      <x:c r="S1167" s="23" t="n">
        <x:v>1073.6384987710949</x:v>
      </x:c>
      <x:c r="T1167" s="23" t="n">
        <x:v>-0.4223919735635491</x:v>
      </x:c>
      <x:c r="U1167" s="23" t="n">
        <x:v>19.94832496429126</x:v>
      </x:c>
      <x:c r="V1167" s="23" t="n">
        <x:v>10.107550560121581</x:v>
      </x:c>
    </x:row>
    <x:row r="1168">
      <x:c r="A1168" s="23" t="n">
        <x:v>1167</x:v>
      </x:c>
      <x:c r="B1168" s="23" t="str">
        <x:v>Train</x:v>
      </x:c>
      <x:c r="C1168" s="23" t="str">
        <x:v>Switching</x:v>
      </x:c>
      <x:c r="D1168" s="23" t="n">
        <x:v>955.743625597097</x:v>
      </x:c>
      <x:c r="E1168" s="23" t="n">
        <x:v>789.8312163655646</x:v>
      </x:c>
      <x:c r="F1168" s="23" t="n">
        <x:v>540.0708146393299</x:v>
      </x:c>
      <x:c r="G1168" s="23" t="n">
        <x:v>153.2279498479329</x:v>
      </x:c>
      <x:c r="H1168" s="23" t="n">
        <x:v>13.47691088821739</x:v>
      </x:c>
      <x:c r="I1168" s="23" t="n">
        <x:v>0.8291036082594656</x:v>
      </x:c>
      <x:c r="J1168" s="23" t="n">
        <x:v>6</x:v>
      </x:c>
      <x:c r="K1168" s="23" t="n">
        <x:v>192.1238825634604</x:v>
      </x:c>
      <x:c r="L1168" s="23" t="n">
        <x:v>16825</x:v>
      </x:c>
      <x:c r="M1168" s="23" t="n">
        <x:v>1200</x:v>
      </x:c>
      <x:c r="N1168" s="23" t="n">
        <x:v>250.0359711999159</x:v>
      </x:c>
      <x:c r="O1168" s="23" t="n">
        <x:v>2502.200225352463</x:v>
      </x:c>
      <x:c r="P1168" s="23" t="n">
        <x:v>955.743625597097</x:v>
      </x:c>
      <x:c r="Q1168" s="23" t="n">
        <x:v>248.4406205818846</x:v>
      </x:c>
      <x:c r="R1168" s="23" t="n">
        <x:v>2527.013631200539</x:v>
      </x:c>
      <x:c r="S1168" s="23" t="n">
        <x:v>961.1787520633613</x:v>
      </x:c>
      <x:c r="T1168" s="23" t="n">
        <x:v>-1.5953506180313184</x:v>
      </x:c>
      <x:c r="U1168" s="23" t="n">
        <x:v>24.813405848075945</x:v>
      </x:c>
      <x:c r="V1168" s="23" t="n">
        <x:v>5.435126466264364</x:v>
      </x:c>
    </x:row>
    <x:row r="1169">
      <x:c r="A1169" s="23" t="n">
        <x:v>1168</x:v>
      </x:c>
      <x:c r="B1169" s="23" t="str">
        <x:v>Train</x:v>
      </x:c>
      <x:c r="C1169" s="23" t="str">
        <x:v>Switching</x:v>
      </x:c>
      <x:c r="D1169" s="23" t="n">
        <x:v>1099.2839045706205</x:v>
      </x:c>
      <x:c r="E1169" s="23" t="n">
        <x:v>1148.8843014463782</x:v>
      </x:c>
      <x:c r="F1169" s="23" t="n">
        <x:v>500.9595169685781</x:v>
      </x:c>
      <x:c r="G1169" s="23" t="n">
        <x:v>320.2558197500184</x:v>
      </x:c>
      <x:c r="H1169" s="23" t="n">
        <x:v>19.210002550389618</x:v>
      </x:c>
      <x:c r="I1169" s="23" t="n">
        <x:v>0.8303730812575668</x:v>
      </x:c>
      <x:c r="J1169" s="23" t="n">
        <x:v>7</x:v>
      </x:c>
      <x:c r="K1169" s="23" t="n">
        <x:v>189.12048251608937</x:v>
      </x:c>
      <x:c r="L1169" s="23" t="n">
        <x:v>10855</x:v>
      </x:c>
      <x:c r="M1169" s="23" t="n">
        <x:v>1195</x:v>
      </x:c>
      <x:c r="N1169" s="23" t="n">
        <x:v>249.9962228267283</x:v>
      </x:c>
      <x:c r="O1169" s="23" t="n">
        <x:v>2495.8255592469623</x:v>
      </x:c>
      <x:c r="P1169" s="23" t="n">
        <x:v>1099.2839045706205</x:v>
      </x:c>
      <x:c r="Q1169" s="23" t="n">
        <x:v>253.85587582015003</x:v>
      </x:c>
      <x:c r="R1169" s="23" t="n">
        <x:v>2521.0824040224074</x:v>
      </x:c>
      <x:c r="S1169" s="23" t="n">
        <x:v>1097.736540094313</x:v>
      </x:c>
      <x:c r="T1169" s="23" t="n">
        <x:v>3.8596529934217187</x:v>
      </x:c>
      <x:c r="U1169" s="23" t="n">
        <x:v>25.256844775445188</x:v>
      </x:c>
      <x:c r="V1169" s="23" t="n">
        <x:v>-1.5473644763073935</x:v>
      </x:c>
    </x:row>
    <x:row r="1170">
      <x:c r="A1170" s="23" t="n">
        <x:v>1169</x:v>
      </x:c>
      <x:c r="B1170" s="23" t="str">
        <x:v>Train</x:v>
      </x:c>
      <x:c r="C1170" s="23" t="str">
        <x:v>Switching</x:v>
      </x:c>
      <x:c r="D1170" s="23" t="n">
        <x:v>1030.621285084635</x:v>
      </x:c>
      <x:c r="E1170" s="23" t="n">
        <x:v>729.8513581394218</x:v>
      </x:c>
      <x:c r="F1170" s="23" t="n">
        <x:v>587.1392020955682</x:v>
      </x:c>
      <x:c r="G1170" s="23" t="n">
        <x:v>220.49707172671333</x:v>
      </x:c>
      <x:c r="H1170" s="23" t="n">
        <x:v>25.365295263007283</x:v>
      </x:c>
      <x:c r="I1170" s="23" t="n">
        <x:v>0.819562758274842</x:v>
      </x:c>
      <x:c r="J1170" s="23" t="n">
        <x:v>7</x:v>
      </x:c>
      <x:c r="K1170" s="23" t="n">
        <x:v>179.64653794770584</x:v>
      </x:c>
      <x:c r="L1170" s="23" t="n">
        <x:v>13910</x:v>
      </x:c>
      <x:c r="M1170" s="23" t="n">
        <x:v>1200</x:v>
      </x:c>
      <x:c r="N1170" s="23" t="n">
        <x:v>250.00817891121957</x:v>
      </x:c>
      <x:c r="O1170" s="23" t="n">
        <x:v>2503.750023003175</x:v>
      </x:c>
      <x:c r="P1170" s="23" t="n">
        <x:v>1030.621285084635</x:v>
      </x:c>
      <x:c r="Q1170" s="23" t="n">
        <x:v>251.0633599595791</x:v>
      </x:c>
      <x:c r="R1170" s="23" t="n">
        <x:v>2530.2307280329314</x:v>
      </x:c>
      <x:c r="S1170" s="23" t="n">
        <x:v>1021.6445730225732</x:v>
      </x:c>
      <x:c r="T1170" s="23" t="n">
        <x:v>1.0551810483595148</x:v>
      </x:c>
      <x:c r="U1170" s="23" t="n">
        <x:v>26.480705029756336</x:v>
      </x:c>
      <x:c r="V1170" s="23" t="n">
        <x:v>-8.976712062061779</x:v>
      </x:c>
    </x:row>
    <x:row r="1171">
      <x:c r="A1171" s="23" t="n">
        <x:v>1170</x:v>
      </x:c>
      <x:c r="B1171" s="23" t="str">
        <x:v>Train</x:v>
      </x:c>
      <x:c r="C1171" s="23" t="str">
        <x:v>Switching</x:v>
      </x:c>
      <x:c r="D1171" s="23" t="n">
        <x:v>1020.5034117796458</x:v>
      </x:c>
      <x:c r="E1171" s="23" t="n">
        <x:v>1149.9117472441867</x:v>
      </x:c>
      <x:c r="F1171" s="23" t="n">
        <x:v>537.4004998244345</x:v>
      </x:c>
      <x:c r="G1171" s="23" t="n">
        <x:v>149.62341000325978</x:v>
      </x:c>
      <x:c r="H1171" s="23" t="n">
        <x:v>26.96863488899544</x:v>
      </x:c>
      <x:c r="I1171" s="23" t="n">
        <x:v>0.8223975926125422</x:v>
      </x:c>
      <x:c r="J1171" s="23" t="n">
        <x:v>7</x:v>
      </x:c>
      <x:c r="K1171" s="23" t="n">
        <x:v>177.26973302497385</x:v>
      </x:c>
      <x:c r="L1171" s="23" t="n">
        <x:v>11640</x:v>
      </x:c>
      <x:c r="M1171" s="23" t="n">
        <x:v>1195</x:v>
      </x:c>
      <x:c r="N1171" s="23" t="n">
        <x:v>249.95546488446772</x:v>
      </x:c>
      <x:c r="O1171" s="23" t="n">
        <x:v>2495.053614972585</x:v>
      </x:c>
      <x:c r="P1171" s="23" t="n">
        <x:v>1020.5034117796458</x:v>
      </x:c>
      <x:c r="Q1171" s="23" t="n">
        <x:v>248.39022307905216</x:v>
      </x:c>
      <x:c r="R1171" s="23" t="n">
        <x:v>2483.534050731402</x:v>
      </x:c>
      <x:c r="S1171" s="23" t="n">
        <x:v>1010.8408546265183</x:v>
      </x:c>
      <x:c r="T1171" s="23" t="n">
        <x:v>-1.5652418054155532</x:v>
      </x:c>
      <x:c r="U1171" s="23" t="n">
        <x:v>-11.519564241182707</x:v>
      </x:c>
      <x:c r="V1171" s="23" t="n">
        <x:v>-9.662557153127523</x:v>
      </x:c>
    </x:row>
    <x:row r="1172">
      <x:c r="A1172" s="23" t="n">
        <x:v>1171</x:v>
      </x:c>
      <x:c r="B1172" s="23" t="str">
        <x:v>Train</x:v>
      </x:c>
      <x:c r="C1172" s="23" t="str">
        <x:v>Switching</x:v>
      </x:c>
      <x:c r="D1172" s="23" t="n">
        <x:v>1024.717347486876</x:v>
      </x:c>
      <x:c r="E1172" s="23" t="n">
        <x:v>722.3550818511285</x:v>
      </x:c>
      <x:c r="F1172" s="23" t="n">
        <x:v>378.346111997962</x:v>
      </x:c>
      <x:c r="G1172" s="23" t="n">
        <x:v>146.5628730203025</x:v>
      </x:c>
      <x:c r="H1172" s="23" t="n">
        <x:v>19.020337876863778</x:v>
      </x:c>
      <x:c r="I1172" s="23" t="n">
        <x:v>0.82531176117016</x:v>
      </x:c>
      <x:c r="J1172" s="23" t="n">
        <x:v>7</x:v>
      </x:c>
      <x:c r="K1172" s="23" t="n">
        <x:v>177.37320535765792</x:v>
      </x:c>
      <x:c r="L1172" s="23" t="n">
        <x:v>17145</x:v>
      </x:c>
      <x:c r="M1172" s="23" t="n">
        <x:v>1200</x:v>
      </x:c>
      <x:c r="N1172" s="23" t="n">
        <x:v>249.98329379855596</x:v>
      </x:c>
      <x:c r="O1172" s="23" t="n">
        <x:v>2502.06057358606</x:v>
      </x:c>
      <x:c r="P1172" s="23" t="n">
        <x:v>1024.717347486876</x:v>
      </x:c>
      <x:c r="Q1172" s="23" t="n">
        <x:v>245.6688868281002</x:v>
      </x:c>
      <x:c r="R1172" s="23" t="n">
        <x:v>2478.9172743641966</x:v>
      </x:c>
      <x:c r="S1172" s="23" t="n">
        <x:v>1037.8450692552462</x:v>
      </x:c>
      <x:c r="T1172" s="23" t="n">
        <x:v>-4.314406970455764</x:v>
      </x:c>
      <x:c r="U1172" s="23" t="n">
        <x:v>-23.143299221863344</x:v>
      </x:c>
      <x:c r="V1172" s="23" t="n">
        <x:v>13.127721768370293</x:v>
      </x:c>
    </x:row>
    <x:row r="1173">
      <x:c r="A1173" s="23" t="n">
        <x:v>1172</x:v>
      </x:c>
      <x:c r="B1173" s="23" t="str">
        <x:v>Train</x:v>
      </x:c>
      <x:c r="C1173" s="23" t="str">
        <x:v>Switching</x:v>
      </x:c>
      <x:c r="D1173" s="23" t="n">
        <x:v>1024.7429837821983</x:v>
      </x:c>
      <x:c r="E1173" s="23" t="n">
        <x:v>1035.4577912483364</x:v>
      </x:c>
      <x:c r="F1173" s="23" t="n">
        <x:v>709.028812032193</x:v>
      </x:c>
      <x:c r="G1173" s="23" t="n">
        <x:v>159.85942193772644</x:v>
      </x:c>
      <x:c r="H1173" s="23" t="n">
        <x:v>13.571974083315581</x:v>
      </x:c>
      <x:c r="I1173" s="23" t="n">
        <x:v>0.7943098563142121</x:v>
      </x:c>
      <x:c r="J1173" s="23" t="n">
        <x:v>7</x:v>
      </x:c>
      <x:c r="K1173" s="23" t="n">
        <x:v>184.30069029398877</x:v>
      </x:c>
      <x:c r="L1173" s="23" t="n">
        <x:v>11230</x:v>
      </x:c>
      <x:c r="M1173" s="23" t="n">
        <x:v>1195</x:v>
      </x:c>
      <x:c r="N1173" s="23" t="n">
        <x:v>250.00043094630865</x:v>
      </x:c>
      <x:c r="O1173" s="23" t="n">
        <x:v>2495.4443891691585</x:v>
      </x:c>
      <x:c r="P1173" s="23" t="n">
        <x:v>1024.7429837821983</x:v>
      </x:c>
      <x:c r="Q1173" s="23" t="n">
        <x:v>249.72062598076005</x:v>
      </x:c>
      <x:c r="R1173" s="23" t="n">
        <x:v>2545.2444656338103</x:v>
      </x:c>
      <x:c r="S1173" s="23" t="n">
        <x:v>1019.7005378117411</x:v>
      </x:c>
      <x:c r="T1173" s="23" t="n">
        <x:v>-0.2798049655486068</x:v>
      </x:c>
      <x:c r="U1173" s="23" t="n">
        <x:v>49.80007646465174</x:v>
      </x:c>
      <x:c r="V1173" s="23" t="n">
        <x:v>-5.042445970457152</x:v>
      </x:c>
    </x:row>
    <x:row r="1174">
      <x:c r="A1174" s="23" t="n">
        <x:v>1173</x:v>
      </x:c>
      <x:c r="B1174" s="23" t="str">
        <x:v>Train</x:v>
      </x:c>
      <x:c r="C1174" s="23" t="str">
        <x:v>Switching</x:v>
      </x:c>
      <x:c r="D1174" s="23" t="n">
        <x:v>997.3737247753888</x:v>
      </x:c>
      <x:c r="E1174" s="23" t="n">
        <x:v>966.7817834648304</x:v>
      </x:c>
      <x:c r="F1174" s="23" t="n">
        <x:v>689.4252179190516</x:v>
      </x:c>
      <x:c r="G1174" s="23" t="n">
        <x:v>239.5524366130121</x:v>
      </x:c>
      <x:c r="H1174" s="23" t="n">
        <x:v>14.914183512330055</x:v>
      </x:c>
      <x:c r="I1174" s="23" t="n">
        <x:v>0.8552411345974542</x:v>
      </x:c>
      <x:c r="J1174" s="23" t="n">
        <x:v>6</x:v>
      </x:c>
      <x:c r="K1174" s="23" t="n">
        <x:v>194.36501286560812</x:v>
      </x:c>
      <x:c r="L1174" s="23" t="n">
        <x:v>13160</x:v>
      </x:c>
      <x:c r="M1174" s="23" t="n">
        <x:v>1200</x:v>
      </x:c>
      <x:c r="N1174" s="23" t="n">
        <x:v>249.98130021694328</x:v>
      </x:c>
      <x:c r="O1174" s="23" t="n">
        <x:v>2504.2590812918293</x:v>
      </x:c>
      <x:c r="P1174" s="23" t="n">
        <x:v>997.3737247753888</x:v>
      </x:c>
      <x:c r="Q1174" s="23" t="n">
        <x:v>252.5059566312045</x:v>
      </x:c>
      <x:c r="R1174" s="23" t="n">
        <x:v>2528.9126990335108</x:v>
      </x:c>
      <x:c r="S1174" s="23" t="n">
        <x:v>996.602416836043</x:v>
      </x:c>
      <x:c r="T1174" s="23" t="n">
        <x:v>2.524656414261216</x:v>
      </x:c>
      <x:c r="U1174" s="23" t="n">
        <x:v>24.6536177416815</x:v>
      </x:c>
      <x:c r="V1174" s="23" t="n">
        <x:v>-0.7713079393458884</x:v>
      </x:c>
    </x:row>
    <x:row r="1175">
      <x:c r="A1175" s="23" t="n">
        <x:v>1174</x:v>
      </x:c>
      <x:c r="B1175" s="23" t="str">
        <x:v>Train</x:v>
      </x:c>
      <x:c r="C1175" s="23" t="str">
        <x:v>Switching</x:v>
      </x:c>
      <x:c r="D1175" s="23" t="n">
        <x:v>958.8376720552333</x:v>
      </x:c>
      <x:c r="E1175" s="23" t="n">
        <x:v>866.4477100363001</x:v>
      </x:c>
      <x:c r="F1175" s="23" t="n">
        <x:v>582.6106798835099</x:v>
      </x:c>
      <x:c r="G1175" s="23" t="n">
        <x:v>321.4751802571118</x:v>
      </x:c>
      <x:c r="H1175" s="23" t="n">
        <x:v>10.942232674453408</x:v>
      </x:c>
      <x:c r="I1175" s="23" t="n">
        <x:v>0.8060234453296289</x:v>
      </x:c>
      <x:c r="J1175" s="23" t="n">
        <x:v>6</x:v>
      </x:c>
      <x:c r="K1175" s="23" t="n">
        <x:v>198.26504998315318</x:v>
      </x:c>
      <x:c r="L1175" s="23" t="n">
        <x:v>14090</x:v>
      </x:c>
      <x:c r="M1175" s="23" t="n">
        <x:v>1200</x:v>
      </x:c>
      <x:c r="N1175" s="23" t="n">
        <x:v>249.96738658842722</x:v>
      </x:c>
      <x:c r="O1175" s="23" t="n">
        <x:v>2503.6342543017545</x:v>
      </x:c>
      <x:c r="P1175" s="23" t="n">
        <x:v>958.8376720552333</x:v>
      </x:c>
      <x:c r="Q1175" s="23" t="n">
        <x:v>252.9157095749712</x:v>
      </x:c>
      <x:c r="R1175" s="23" t="n">
        <x:v>2467.35210716055</x:v>
      </x:c>
      <x:c r="S1175" s="23" t="n">
        <x:v>962.7302433578848</x:v>
      </x:c>
      <x:c r="T1175" s="23" t="n">
        <x:v>2.9483229865439853</x:v>
      </x:c>
      <x:c r="U1175" s="23" t="n">
        <x:v>-36.282147141204405</x:v>
      </x:c>
      <x:c r="V1175" s="23" t="n">
        <x:v>3.892571302651504</x:v>
      </x:c>
    </x:row>
    <x:row r="1176">
      <x:c r="A1176" s="23" t="n">
        <x:v>1175</x:v>
      </x:c>
      <x:c r="B1176" s="23" t="str">
        <x:v>Validation</x:v>
      </x:c>
      <x:c r="C1176" s="23" t="str">
        <x:v>Switching</x:v>
      </x:c>
      <x:c r="D1176" s="23" t="n">
        <x:v>986.2902996363118</x:v>
      </x:c>
      <x:c r="E1176" s="23" t="n">
        <x:v>1017.7867541206069</x:v>
      </x:c>
      <x:c r="F1176" s="23" t="n">
        <x:v>657.9057142138481</x:v>
      </x:c>
      <x:c r="G1176" s="23" t="n">
        <x:v>113.36187166860327</x:v>
      </x:c>
      <x:c r="H1176" s="23" t="n">
        <x:v>28.104143406264484</x:v>
      </x:c>
      <x:c r="I1176" s="23" t="n">
        <x:v>0.810671661158558</x:v>
      </x:c>
      <x:c r="J1176" s="23" t="n">
        <x:v>7</x:v>
      </x:c>
      <x:c r="K1176" s="23" t="n">
        <x:v>173.80478556805096</x:v>
      </x:c>
      <x:c r="L1176" s="23" t="n">
        <x:v>11955</x:v>
      </x:c>
      <x:c r="M1176" s="23" t="n">
        <x:v>1200</x:v>
      </x:c>
      <x:c r="N1176" s="23" t="n">
        <x:v>250.0281118294474</x:v>
      </x:c>
      <x:c r="O1176" s="23" t="n">
        <x:v>2505.214443124026</x:v>
      </x:c>
      <x:c r="P1176" s="23" t="n">
        <x:v>986.2902996363118</x:v>
      </x:c>
      <x:c r="Q1176" s="23" t="n">
        <x:v>247.6720246637321</x:v>
      </x:c>
      <x:c r="R1176" s="23" t="n">
        <x:v>2535.8067542950166</x:v>
      </x:c>
      <x:c r="S1176" s="23" t="n">
        <x:v>978.0908495334846</x:v>
      </x:c>
      <x:c r="T1176" s="23" t="n">
        <x:v>-2.3560871657153086</x:v>
      </x:c>
      <x:c r="U1176" s="23" t="n">
        <x:v>30.592311170990797</x:v>
      </x:c>
      <x:c r="V1176" s="23" t="n">
        <x:v>-8.1994501028272</x:v>
      </x:c>
    </x:row>
    <x:row r="1177">
      <x:c r="A1177" s="23" t="n">
        <x:v>1176</x:v>
      </x:c>
      <x:c r="B1177" s="23" t="str">
        <x:v>Validation</x:v>
      </x:c>
      <x:c r="C1177" s="23" t="str">
        <x:v>Switching</x:v>
      </x:c>
      <x:c r="D1177" s="23" t="n">
        <x:v>1011.6873259539716</x:v>
      </x:c>
      <x:c r="E1177" s="23" t="n">
        <x:v>737.1228321455419</x:v>
      </x:c>
      <x:c r="F1177" s="23" t="n">
        <x:v>525.7669172249734</x:v>
      </x:c>
      <x:c r="G1177" s="23" t="n">
        <x:v>156.4506800333038</x:v>
      </x:c>
      <x:c r="H1177" s="23" t="n">
        <x:v>19.19354968285188</x:v>
      </x:c>
      <x:c r="I1177" s="23" t="n">
        <x:v>0.8424342777300626</x:v>
      </x:c>
      <x:c r="J1177" s="23" t="n">
        <x:v>7</x:v>
      </x:c>
      <x:c r="K1177" s="23" t="n">
        <x:v>171.5584997799406</x:v>
      </x:c>
      <x:c r="L1177" s="23" t="n">
        <x:v>15065</x:v>
      </x:c>
      <x:c r="M1177" s="23" t="n">
        <x:v>1200</x:v>
      </x:c>
      <x:c r="N1177" s="23" t="n">
        <x:v>249.96021006059559</x:v>
      </x:c>
      <x:c r="O1177" s="23" t="n">
        <x:v>2503.0622645076455</x:v>
      </x:c>
      <x:c r="P1177" s="23" t="n">
        <x:v>1011.6873259539716</x:v>
      </x:c>
      <x:c r="Q1177" s="23" t="n">
        <x:v>247.00017855036097</x:v>
      </x:c>
      <x:c r="R1177" s="23" t="n">
        <x:v>2449.35289324976</x:v>
      </x:c>
      <x:c r="S1177" s="23" t="n">
        <x:v>1016.196839264389</x:v>
      </x:c>
      <x:c r="T1177" s="23" t="n">
        <x:v>-2.9600315102346144</x:v>
      </x:c>
      <x:c r="U1177" s="23" t="n">
        <x:v>-53.70937125788532</x:v>
      </x:c>
      <x:c r="V1177" s="23" t="n">
        <x:v>4.5095133104174465</x:v>
      </x:c>
    </x:row>
    <x:row r="1178">
      <x:c r="A1178" s="23" t="n">
        <x:v>1177</x:v>
      </x:c>
      <x:c r="B1178" s="23" t="str">
        <x:v>Validation</x:v>
      </x:c>
      <x:c r="C1178" s="23" t="str">
        <x:v>Switching</x:v>
      </x:c>
      <x:c r="D1178" s="23" t="n">
        <x:v>1088.3502542972565</x:v>
      </x:c>
      <x:c r="E1178" s="23" t="n">
        <x:v>1217.258792591747</x:v>
      </x:c>
      <x:c r="F1178" s="23" t="n">
        <x:v>470.1125906780362</x:v>
      </x:c>
      <x:c r="G1178" s="23" t="n">
        <x:v>145.265967103187</x:v>
      </x:c>
      <x:c r="H1178" s="23" t="n">
        <x:v>20.576029447838664</x:v>
      </x:c>
      <x:c r="I1178" s="23" t="n">
        <x:v>0.8237595969927498</x:v>
      </x:c>
      <x:c r="J1178" s="23" t="n">
        <x:v>7</x:v>
      </x:c>
      <x:c r="K1178" s="23" t="n">
        <x:v>188.74269668523127</x:v>
      </x:c>
      <x:c r="L1178" s="23" t="n">
        <x:v>11670</x:v>
      </x:c>
      <x:c r="M1178" s="23" t="n">
        <x:v>1195</x:v>
      </x:c>
      <x:c r="N1178" s="23" t="n">
        <x:v>250.01312820151327</x:v>
      </x:c>
      <x:c r="O1178" s="23" t="n">
        <x:v>2495.0286979250573</x:v>
      </x:c>
      <x:c r="P1178" s="23" t="n">
        <x:v>1088.3502542972565</x:v>
      </x:c>
      <x:c r="Q1178" s="23" t="n">
        <x:v>249.49515374655346</x:v>
      </x:c>
      <x:c r="R1178" s="23" t="n">
        <x:v>2559.171758105768</x:v>
      </x:c>
      <x:c r="S1178" s="23" t="n">
        <x:v>1081.2560953102113</x:v>
      </x:c>
      <x:c r="T1178" s="23" t="n">
        <x:v>-0.5179744549598126</x:v>
      </x:c>
      <x:c r="U1178" s="23" t="n">
        <x:v>64.14306018071056</x:v>
      </x:c>
      <x:c r="V1178" s="23" t="n">
        <x:v>-7.094158987045148</x:v>
      </x:c>
    </x:row>
    <x:row r="1179">
      <x:c r="A1179" s="23" t="n">
        <x:v>1178</x:v>
      </x:c>
      <x:c r="B1179" s="23" t="str">
        <x:v>Hidden Test</x:v>
      </x:c>
      <x:c r="C1179" s="23" t="str">
        <x:v>Switching</x:v>
      </x:c>
      <x:c r="D1179" s="23" t="n">
        <x:v>1013.3714875788428</x:v>
      </x:c>
      <x:c r="E1179" s="23" t="n">
        <x:v>646.68026661966</x:v>
      </x:c>
      <x:c r="F1179" s="23" t="n">
        <x:v>518.762628827244</x:v>
      </x:c>
      <x:c r="G1179" s="23" t="n">
        <x:v>148.2349109556526</x:v>
      </x:c>
      <x:c r="H1179" s="23" t="n">
        <x:v>10.127439674455673</x:v>
      </x:c>
      <x:c r="I1179" s="23" t="n">
        <x:v>0.8463742414163427</x:v>
      </x:c>
      <x:c r="J1179" s="23" t="n">
        <x:v>6</x:v>
      </x:c>
      <x:c r="K1179" s="23" t="n">
        <x:v>199.55149822042534</x:v>
      </x:c>
      <x:c r="L1179" s="23" t="n">
        <x:v>18995</x:v>
      </x:c>
      <x:c r="M1179" s="23" t="n">
        <x:v>1200</x:v>
      </x:c>
      <x:c r="N1179" s="23" t="n">
        <x:v>250.03235102119834</x:v>
      </x:c>
      <x:c r="O1179" s="23" t="n">
        <x:v>2501.3547267828258</x:v>
      </x:c>
      <x:c r="P1179" s="23" t="n">
        <x:v>1013.3714875788428</x:v>
      </x:c>
      <x:c r="Q1179" s="23" t="n">
        <x:v>248.8248598042487</x:v>
      </x:c>
      <x:c r="R1179" s="23" t="n">
        <x:v>2440.504452357895</x:v>
      </x:c>
      <x:c r="S1179" s="23" t="n">
        <x:v>1019.63033003131</x:v>
      </x:c>
      <x:c r="T1179" s="23" t="n">
        <x:v>-1.2074912169496486</x:v>
      </x:c>
      <x:c r="U1179" s="23" t="n">
        <x:v>-60.85027442493083</x:v>
      </x:c>
      <x:c r="V1179" s="23" t="n">
        <x:v>6.258842452467206</x:v>
      </x:c>
    </x:row>
    <x:row r="1180">
      <x:c r="A1180" s="23" t="n">
        <x:v>1179</x:v>
      </x:c>
      <x:c r="B1180" s="23" t="str">
        <x:v>Hidden Test</x:v>
      </x:c>
      <x:c r="C1180" s="23" t="str">
        <x:v>Switching</x:v>
      </x:c>
      <x:c r="D1180" s="23" t="n">
        <x:v>950.8572340710089</x:v>
      </x:c>
      <x:c r="E1180" s="23" t="n">
        <x:v>1132.7930484549142</x:v>
      </x:c>
      <x:c r="F1180" s="23" t="n">
        <x:v>659.1837529093027</x:v>
      </x:c>
      <x:c r="G1180" s="23" t="n">
        <x:v>192.96159139601514</x:v>
      </x:c>
      <x:c r="H1180" s="23" t="n">
        <x:v>25.77031918708235</x:v>
      </x:c>
      <x:c r="I1180" s="23" t="n">
        <x:v>0.8337130070733838</x:v>
      </x:c>
      <x:c r="J1180" s="23" t="n">
        <x:v>6</x:v>
      </x:c>
      <x:c r="K1180" s="23" t="n">
        <x:v>190.08484254648596</x:v>
      </x:c>
      <x:c r="L1180" s="23" t="n">
        <x:v>12570</x:v>
      </x:c>
      <x:c r="M1180" s="23" t="n">
        <x:v>1200</x:v>
      </x:c>
      <x:c r="N1180" s="23" t="n">
        <x:v>250.0064827604023</x:v>
      </x:c>
      <x:c r="O1180" s="23" t="n">
        <x:v>2504.704048604516</x:v>
      </x:c>
      <x:c r="P1180" s="23" t="n">
        <x:v>950.8572340710089</x:v>
      </x:c>
      <x:c r="Q1180" s="23" t="n">
        <x:v>251.79040071068442</x:v>
      </x:c>
      <x:c r="R1180" s="23" t="n">
        <x:v>2560.417974076106</x:v>
      </x:c>
      <x:c r="S1180" s="23" t="n">
        <x:v>937.0205736912881</x:v>
      </x:c>
      <x:c r="T1180" s="23" t="n">
        <x:v>1.783917950282131</x:v>
      </x:c>
      <x:c r="U1180" s="23" t="n">
        <x:v>55.713925471589846</x:v>
      </x:c>
      <x:c r="V1180" s="23" t="n">
        <x:v>-13.836660379720797</x:v>
      </x:c>
    </x:row>
    <x:row r="1181">
      <x:c r="A1181" s="23" t="n">
        <x:v>1180</x:v>
      </x:c>
      <x:c r="B1181" s="23" t="str">
        <x:v>Hidden Test</x:v>
      </x:c>
      <x:c r="C1181" s="23" t="str">
        <x:v>Switching</x:v>
      </x:c>
      <x:c r="D1181" s="23" t="n">
        <x:v>1087.2695051482879</x:v>
      </x:c>
      <x:c r="E1181" s="23" t="n">
        <x:v>636.6909823846072</x:v>
      </x:c>
      <x:c r="F1181" s="23" t="n">
        <x:v>664.39872039482</x:v>
      </x:c>
      <x:c r="G1181" s="23" t="n">
        <x:v>220.30773553531617</x:v>
      </x:c>
      <x:c r="H1181" s="23" t="n">
        <x:v>11.740784551482648</x:v>
      </x:c>
      <x:c r="I1181" s="23" t="n">
        <x:v>0.849178801998496</x:v>
      </x:c>
      <x:c r="J1181" s="23" t="n">
        <x:v>7</x:v>
      </x:c>
      <x:c r="K1181" s="23" t="n">
        <x:v>182.91108380901278</x:v>
      </x:c>
      <x:c r="L1181" s="23" t="n">
        <x:v>14055</x:v>
      </x:c>
      <x:c r="M1181" s="23" t="n">
        <x:v>1200</x:v>
      </x:c>
      <x:c r="N1181" s="23" t="n">
        <x:v>249.9703363494681</x:v>
      </x:c>
      <x:c r="O1181" s="23" t="n">
        <x:v>2503.6563587679175</x:v>
      </x:c>
      <x:c r="P1181" s="23" t="n">
        <x:v>1087.2695051482879</x:v>
      </x:c>
      <x:c r="Q1181" s="23" t="n">
        <x:v>252.38545167908282</x:v>
      </x:c>
      <x:c r="R1181" s="23" t="n">
        <x:v>2453.069220673965</x:v>
      </x:c>
      <x:c r="S1181" s="23" t="n">
        <x:v>1089.363430263027</x:v>
      </x:c>
      <x:c r="T1181" s="23" t="n">
        <x:v>2.415115329614707</x:v>
      </x:c>
      <x:c r="U1181" s="23" t="n">
        <x:v>-50.58713809395249</x:v>
      </x:c>
      <x:c r="V1181" s="23" t="n">
        <x:v>2.0939251147392497</x:v>
      </x:c>
    </x:row>
    <x:row r="1182">
      <x:c r="A1182" s="23" t="n">
        <x:v>1181</x:v>
      </x:c>
      <x:c r="B1182" s="23" t="str">
        <x:v>Train</x:v>
      </x:c>
      <x:c r="C1182" s="23" t="str">
        <x:v>Switching</x:v>
      </x:c>
      <x:c r="D1182" s="23" t="n">
        <x:v>986.7768749129027</x:v>
      </x:c>
      <x:c r="E1182" s="23" t="n">
        <x:v>656.8732463638298</x:v>
      </x:c>
      <x:c r="F1182" s="23" t="n">
        <x:v>623.1371914967895</x:v>
      </x:c>
      <x:c r="G1182" s="23" t="n">
        <x:v>191.31461412878707</x:v>
      </x:c>
      <x:c r="H1182" s="23" t="n">
        <x:v>9.504774700850248</x:v>
      </x:c>
      <x:c r="I1182" s="23" t="n">
        <x:v>0.8482349986978807</x:v>
      </x:c>
      <x:c r="J1182" s="23" t="n">
        <x:v>6</x:v>
      </x:c>
      <x:c r="K1182" s="23" t="n">
        <x:v>193.88826532499772</x:v>
      </x:c>
      <x:c r="L1182" s="23" t="n">
        <x:v>16960</x:v>
      </x:c>
      <x:c r="M1182" s="23" t="n">
        <x:v>1200</x:v>
      </x:c>
      <x:c r="N1182" s="23" t="n">
        <x:v>250.0359972554769</x:v>
      </x:c>
      <x:c r="O1182" s="23" t="n">
        <x:v>2502.141323479406</x:v>
      </x:c>
      <x:c r="P1182" s="23" t="n">
        <x:v>986.7768749129027</x:v>
      </x:c>
      <x:c r="Q1182" s="23" t="n">
        <x:v>248.50787830309727</x:v>
      </x:c>
      <x:c r="R1182" s="23" t="n">
        <x:v>2448.9198015238535</x:v>
      </x:c>
      <x:c r="S1182" s="23" t="n">
        <x:v>1000.8451406322719</x:v>
      </x:c>
      <x:c r="T1182" s="23" t="n">
        <x:v>-1.5281189523796286</x:v>
      </x:c>
      <x:c r="U1182" s="23" t="n">
        <x:v>-53.22152195555236</x:v>
      </x:c>
      <x:c r="V1182" s="23" t="n">
        <x:v>14.068265719369151</x:v>
      </x:c>
    </x:row>
    <x:row r="1183">
      <x:c r="A1183" s="23" t="n">
        <x:v>1182</x:v>
      </x:c>
      <x:c r="B1183" s="23" t="str">
        <x:v>Train</x:v>
      </x:c>
      <x:c r="C1183" s="23" t="str">
        <x:v>Switching</x:v>
      </x:c>
      <x:c r="D1183" s="23" t="n">
        <x:v>964.5059332367964</x:v>
      </x:c>
      <x:c r="E1183" s="23" t="n">
        <x:v>703.7017560331151</x:v>
      </x:c>
      <x:c r="F1183" s="23" t="n">
        <x:v>546.249355841428</x:v>
      </x:c>
      <x:c r="G1183" s="23" t="n">
        <x:v>113.4119638428092</x:v>
      </x:c>
      <x:c r="H1183" s="23" t="n">
        <x:v>17.515655177179724</x:v>
      </x:c>
      <x:c r="I1183" s="23" t="n">
        <x:v>0.850859560626559</x:v>
      </x:c>
      <x:c r="J1183" s="23" t="n">
        <x:v>6</x:v>
      </x:c>
      <x:c r="K1183" s="23" t="n">
        <x:v>188.9277576600597</x:v>
      </x:c>
      <x:c r="L1183" s="23" t="n">
        <x:v>18300</x:v>
      </x:c>
      <x:c r="M1183" s="23" t="n">
        <x:v>1200</x:v>
      </x:c>
      <x:c r="N1183" s="23" t="n">
        <x:v>249.99476674659485</x:v>
      </x:c>
      <x:c r="O1183" s="23" t="n">
        <x:v>2501.6026364025984</x:v>
      </x:c>
      <x:c r="P1183" s="23" t="n">
        <x:v>964.5059332367964</x:v>
      </x:c>
      <x:c r="Q1183" s="23" t="n">
        <x:v>248.37427051663994</x:v>
      </x:c>
      <x:c r="R1183" s="23" t="n">
        <x:v>2447.9063806679155</x:v>
      </x:c>
      <x:c r="S1183" s="23" t="n">
        <x:v>970.5472157209302</x:v>
      </x:c>
      <x:c r="T1183" s="23" t="n">
        <x:v>-1.6204962299549095</x:v>
      </x:c>
      <x:c r="U1183" s="23" t="n">
        <x:v>-53.696255734682836</x:v>
      </x:c>
      <x:c r="V1183" s="23" t="n">
        <x:v>6.041282484133831</x:v>
      </x:c>
    </x:row>
    <x:row r="1184">
      <x:c r="A1184" s="23" t="n">
        <x:v>1183</x:v>
      </x:c>
      <x:c r="B1184" s="23" t="str">
        <x:v>Train</x:v>
      </x:c>
      <x:c r="C1184" s="23" t="str">
        <x:v>Switching</x:v>
      </x:c>
      <x:c r="D1184" s="23" t="n">
        <x:v>977.9170211637393</x:v>
      </x:c>
      <x:c r="E1184" s="23" t="n">
        <x:v>1098.6053324420936</x:v>
      </x:c>
      <x:c r="F1184" s="23" t="n">
        <x:v>592.7245281636715</x:v>
      </x:c>
      <x:c r="G1184" s="23" t="n">
        <x:v>292.29301526909694</x:v>
      </x:c>
      <x:c r="H1184" s="23" t="n">
        <x:v>15.942685238085687</x:v>
      </x:c>
      <x:c r="I1184" s="23" t="n">
        <x:v>0.8324436090304517</x:v>
      </x:c>
      <x:c r="J1184" s="23" t="n">
        <x:v>6</x:v>
      </x:c>
      <x:c r="K1184" s="23" t="n">
        <x:v>195.79244578955536</x:v>
      </x:c>
      <x:c r="L1184" s="23" t="n">
        <x:v>12580</x:v>
      </x:c>
      <x:c r="M1184" s="23" t="n">
        <x:v>1200</x:v>
      </x:c>
      <x:c r="N1184" s="23" t="n">
        <x:v>250.03927821644768</x:v>
      </x:c>
      <x:c r="O1184" s="23" t="n">
        <x:v>2504.697484701465</x:v>
      </x:c>
      <x:c r="P1184" s="23" t="n">
        <x:v>977.9170211637393</x:v>
      </x:c>
      <x:c r="Q1184" s="23" t="n">
        <x:v>254.33536720562915</x:v>
      </x:c>
      <x:c r="R1184" s="23" t="n">
        <x:v>2517.270777156595</x:v>
      </x:c>
      <x:c r="S1184" s="23" t="n">
        <x:v>978.059716230494</x:v>
      </x:c>
      <x:c r="T1184" s="23" t="n">
        <x:v>4.29608898918147</x:v>
      </x:c>
      <x:c r="U1184" s="23" t="n">
        <x:v>12.573292455130286</x:v>
      </x:c>
      <x:c r="V1184" s="23" t="n">
        <x:v>0.1426950667547544</x:v>
      </x:c>
    </x:row>
    <x:row r="1185">
      <x:c r="A1185" s="23" t="n">
        <x:v>1184</x:v>
      </x:c>
      <x:c r="B1185" s="23" t="str">
        <x:v>Train</x:v>
      </x:c>
      <x:c r="C1185" s="23" t="str">
        <x:v>Switching</x:v>
      </x:c>
      <x:c r="D1185" s="23" t="n">
        <x:v>1041.672147612553</x:v>
      </x:c>
      <x:c r="E1185" s="23" t="n">
        <x:v>1106.6315837204456</x:v>
      </x:c>
      <x:c r="F1185" s="23" t="n">
        <x:v>467.1301274560392</x:v>
      </x:c>
      <x:c r="G1185" s="23" t="n">
        <x:v>154.89434548188</x:v>
      </x:c>
      <x:c r="H1185" s="23" t="n">
        <x:v>14.109859318938106</x:v>
      </x:c>
      <x:c r="I1185" s="23" t="n">
        <x:v>0.8306520254444332</x:v>
      </x:c>
      <x:c r="J1185" s="23" t="n">
        <x:v>7</x:v>
      </x:c>
      <x:c r="K1185" s="23" t="n">
        <x:v>179.14879184478437</x:v>
      </x:c>
      <x:c r="L1185" s="23" t="n">
        <x:v>12370</x:v>
      </x:c>
      <x:c r="M1185" s="23" t="n">
        <x:v>1200</x:v>
      </x:c>
      <x:c r="N1185" s="23" t="n">
        <x:v>249.97316782824709</x:v>
      </x:c>
      <x:c r="O1185" s="23" t="n">
        <x:v>2504.86285263702</x:v>
      </x:c>
      <x:c r="P1185" s="23" t="n">
        <x:v>1041.672147612553</x:v>
      </x:c>
      <x:c r="Q1185" s="23" t="n">
        <x:v>253.80167375840412</x:v>
      </x:c>
      <x:c r="R1185" s="23" t="n">
        <x:v>2519.3610172969175</x:v>
      </x:c>
      <x:c r="S1185" s="23" t="n">
        <x:v>1040.8819872972192</x:v>
      </x:c>
      <x:c r="T1185" s="23" t="n">
        <x:v>3.8285059301570357</x:v>
      </x:c>
      <x:c r="U1185" s="23" t="n">
        <x:v>14.498164659897611</x:v>
      </x:c>
      <x:c r="V1185" s="23" t="n">
        <x:v>-0.7901603153338783</x:v>
      </x:c>
    </x:row>
    <x:row r="1186">
      <x:c r="A1186" s="23" t="n">
        <x:v>1185</x:v>
      </x:c>
      <x:c r="B1186" s="23" t="str">
        <x:v>Train</x:v>
      </x:c>
      <x:c r="C1186" s="23" t="str">
        <x:v>Switching</x:v>
      </x:c>
      <x:c r="D1186" s="23" t="n">
        <x:v>1084.619631525129</x:v>
      </x:c>
      <x:c r="E1186" s="23" t="n">
        <x:v>1152.8230994357727</x:v>
      </x:c>
      <x:c r="F1186" s="23" t="n">
        <x:v>702.6353919878602</x:v>
      </x:c>
      <x:c r="G1186" s="23" t="n">
        <x:v>155.17236383864656</x:v>
      </x:c>
      <x:c r="H1186" s="23" t="n">
        <x:v>15.738325441256166</x:v>
      </x:c>
      <x:c r="I1186" s="23" t="n">
        <x:v>0.8388364619319327</x:v>
      </x:c>
      <x:c r="J1186" s="23" t="n">
        <x:v>7</x:v>
      </x:c>
      <x:c r="K1186" s="23" t="n">
        <x:v>184.71498161821683</x:v>
      </x:c>
      <x:c r="L1186" s="23" t="n">
        <x:v>10635</x:v>
      </x:c>
      <x:c r="M1186" s="23" t="n">
        <x:v>1195</x:v>
      </x:c>
      <x:c r="N1186" s="23" t="n">
        <x:v>249.96840272880607</x:v>
      </x:c>
      <x:c r="O1186" s="23" t="n">
        <x:v>2496.060516483258</x:v>
      </x:c>
      <x:c r="P1186" s="23" t="n">
        <x:v>1084.619631525129</x:v>
      </x:c>
      <x:c r="Q1186" s="23" t="n">
        <x:v>255.57232860575755</x:v>
      </x:c>
      <x:c r="R1186" s="23" t="n">
        <x:v>2512.1631150709773</x:v>
      </x:c>
      <x:c r="S1186" s="23" t="n">
        <x:v>1083.0069003894266</x:v>
      </x:c>
      <x:c r="T1186" s="23" t="n">
        <x:v>5.603925876951479</x:v>
      </x:c>
      <x:c r="U1186" s="23" t="n">
        <x:v>16.102598587719058</x:v>
      </x:c>
      <x:c r="V1186" s="23" t="n">
        <x:v>-1.612731135702461</x:v>
      </x:c>
    </x:row>
    <x:row r="1187">
      <x:c r="A1187" s="23" t="n">
        <x:v>1186</x:v>
      </x:c>
      <x:c r="B1187" s="23" t="str">
        <x:v>Train</x:v>
      </x:c>
      <x:c r="C1187" s="23" t="str">
        <x:v>Switching</x:v>
      </x:c>
      <x:c r="D1187" s="23" t="n">
        <x:v>1027.7653367840685</x:v>
      </x:c>
      <x:c r="E1187" s="23" t="n">
        <x:v>741.3563559995964</x:v>
      </x:c>
      <x:c r="F1187" s="23" t="n">
        <x:v>621.9473295845091</x:v>
      </x:c>
      <x:c r="G1187" s="23" t="n">
        <x:v>94.50240262784064</x:v>
      </x:c>
      <x:c r="H1187" s="23" t="n">
        <x:v>23.026096769142896</x:v>
      </x:c>
      <x:c r="I1187" s="23" t="n">
        <x:v>0.7992850322136655</x:v>
      </x:c>
      <x:c r="J1187" s="23" t="n">
        <x:v>7</x:v>
      </x:c>
      <x:c r="K1187" s="23" t="n">
        <x:v>183.69369326727517</x:v>
      </x:c>
      <x:c r="L1187" s="23" t="n">
        <x:v>14670</x:v>
      </x:c>
      <x:c r="M1187" s="23" t="n">
        <x:v>1200</x:v>
      </x:c>
      <x:c r="N1187" s="23" t="n">
        <x:v>250.00298709949078</x:v>
      </x:c>
      <x:c r="O1187" s="23" t="n">
        <x:v>2503.2861808006996</x:v>
      </x:c>
      <x:c r="P1187" s="23" t="n">
        <x:v>1027.7653367840685</x:v>
      </x:c>
      <x:c r="Q1187" s="23" t="n">
        <x:v>247.40284947591638</x:v>
      </x:c>
      <x:c r="R1187" s="23" t="n">
        <x:v>2466.9748630550207</x:v>
      </x:c>
      <x:c r="S1187" s="23" t="n">
        <x:v>1025.0355769584523</x:v>
      </x:c>
      <x:c r="T1187" s="23" t="n">
        <x:v>-2.6001376235743976</x:v>
      </x:c>
      <x:c r="U1187" s="23" t="n">
        <x:v>-36.311317745678934</x:v>
      </x:c>
      <x:c r="V1187" s="23" t="n">
        <x:v>-2.7297598256161564</x:v>
      </x:c>
    </x:row>
    <x:row r="1188">
      <x:c r="A1188" s="23" t="n">
        <x:v>1187</x:v>
      </x:c>
      <x:c r="B1188" s="23" t="str">
        <x:v>Train</x:v>
      </x:c>
      <x:c r="C1188" s="23" t="str">
        <x:v>Switching</x:v>
      </x:c>
      <x:c r="D1188" s="23" t="n">
        <x:v>1036.3479181891307</x:v>
      </x:c>
      <x:c r="E1188" s="23" t="n">
        <x:v>1050.3804878913797</x:v>
      </x:c>
      <x:c r="F1188" s="23" t="n">
        <x:v>371.5702038258314</x:v>
      </x:c>
      <x:c r="G1188" s="23" t="n">
        <x:v>228.71898823184893</x:v>
      </x:c>
      <x:c r="H1188" s="23" t="n">
        <x:v>10.895517815835774</x:v>
      </x:c>
      <x:c r="I1188" s="23" t="n">
        <x:v>0.8440460436861031</x:v>
      </x:c>
      <x:c r="J1188" s="23" t="n">
        <x:v>7</x:v>
      </x:c>
      <x:c r="K1188" s="23" t="n">
        <x:v>175.40477051688694</x:v>
      </x:c>
      <x:c r="L1188" s="23" t="n">
        <x:v>12955</x:v>
      </x:c>
      <x:c r="M1188" s="23" t="n">
        <x:v>1200</x:v>
      </x:c>
      <x:c r="N1188" s="23" t="n">
        <x:v>249.98418728316165</x:v>
      </x:c>
      <x:c r="O1188" s="23" t="n">
        <x:v>2504.4088783409193</x:v>
      </x:c>
      <x:c r="P1188" s="23" t="n">
        <x:v>1036.3479181891307</x:v>
      </x:c>
      <x:c r="Q1188" s="23" t="n">
        <x:v>250.2046217224016</x:v>
      </x:c>
      <x:c r="R1188" s="23" t="n">
        <x:v>2507.241900045342</x:v>
      </x:c>
      <x:c r="S1188" s="23" t="n">
        <x:v>1040.409658319198</x:v>
      </x:c>
      <x:c r="T1188" s="23" t="n">
        <x:v>0.2204344392399662</x:v>
      </x:c>
      <x:c r="U1188" s="23" t="n">
        <x:v>2.833021704422663</x:v>
      </x:c>
      <x:c r="V1188" s="23" t="n">
        <x:v>4.0617401300671645</x:v>
      </x:c>
    </x:row>
    <x:row r="1189">
      <x:c r="A1189" s="23" t="n">
        <x:v>1188</x:v>
      </x:c>
      <x:c r="B1189" s="23" t="str">
        <x:v>Train</x:v>
      </x:c>
      <x:c r="C1189" s="23" t="str">
        <x:v>Switching</x:v>
      </x:c>
      <x:c r="D1189" s="23" t="n">
        <x:v>1044.0106417401694</x:v>
      </x:c>
      <x:c r="E1189" s="23" t="n">
        <x:v>1028.3619225490838</x:v>
      </x:c>
      <x:c r="F1189" s="23" t="n">
        <x:v>646.969351451844</x:v>
      </x:c>
      <x:c r="G1189" s="23" t="n">
        <x:v>207.59535608347505</x:v>
      </x:c>
      <x:c r="H1189" s="23" t="n">
        <x:v>27.280961878132075</x:v>
      </x:c>
      <x:c r="I1189" s="23" t="n">
        <x:v>0.8035662965290249</x:v>
      </x:c>
      <x:c r="J1189" s="23" t="n">
        <x:v>7</x:v>
      </x:c>
      <x:c r="K1189" s="23" t="n">
        <x:v>185.60307722670356</x:v>
      </x:c>
      <x:c r="L1189" s="23" t="n">
        <x:v>11360</x:v>
      </x:c>
      <x:c r="M1189" s="23" t="n">
        <x:v>1195</x:v>
      </x:c>
      <x:c r="N1189" s="23" t="n">
        <x:v>250.05035995113133</x:v>
      </x:c>
      <x:c r="O1189" s="23" t="n">
        <x:v>2495.3202221136344</x:v>
      </x:c>
      <x:c r="P1189" s="23" t="n">
        <x:v>1044.0106417401694</x:v>
      </x:c>
      <x:c r="Q1189" s="23" t="n">
        <x:v>248.4215122705224</x:v>
      </x:c>
      <x:c r="R1189" s="23" t="n">
        <x:v>2497.8934755043824</x:v>
      </x:c>
      <x:c r="S1189" s="23" t="n">
        <x:v>1024.612050448553</x:v>
      </x:c>
      <x:c r="T1189" s="23" t="n">
        <x:v>-1.6288476806089136</x:v>
      </x:c>
      <x:c r="U1189" s="23" t="n">
        <x:v>2.57325339074805</x:v>
      </x:c>
      <x:c r="V1189" s="23" t="n">
        <x:v>-19.398591291616412</x:v>
      </x:c>
    </x:row>
    <x:row r="1190">
      <x:c r="A1190" s="23" t="n">
        <x:v>1189</x:v>
      </x:c>
      <x:c r="B1190" s="23" t="str">
        <x:v>Train</x:v>
      </x:c>
      <x:c r="C1190" s="23" t="str">
        <x:v>Switching</x:v>
      </x:c>
      <x:c r="D1190" s="23" t="n">
        <x:v>956.4096859190613</x:v>
      </x:c>
      <x:c r="E1190" s="23" t="n">
        <x:v>894.0800262498669</x:v>
      </x:c>
      <x:c r="F1190" s="23" t="n">
        <x:v>601.7770720645785</x:v>
      </x:c>
      <x:c r="G1190" s="23" t="n">
        <x:v>158.31592607544735</x:v>
      </x:c>
      <x:c r="H1190" s="23" t="n">
        <x:v>19.07635999470949</x:v>
      </x:c>
      <x:c r="I1190" s="23" t="n">
        <x:v>0.8005435566068627</x:v>
      </x:c>
      <x:c r="J1190" s="23" t="n">
        <x:v>6</x:v>
      </x:c>
      <x:c r="K1190" s="23" t="n">
        <x:v>199.11672888290295</x:v>
      </x:c>
      <x:c r="L1190" s="23" t="n">
        <x:v>15085</x:v>
      </x:c>
      <x:c r="M1190" s="23" t="n">
        <x:v>1200</x:v>
      </x:c>
      <x:c r="N1190" s="23" t="n">
        <x:v>250.03150470268184</x:v>
      </x:c>
      <x:c r="O1190" s="23" t="n">
        <x:v>2503.0536617224957</x:v>
      </x:c>
      <x:c r="P1190" s="23" t="n">
        <x:v>956.4096859190613</x:v>
      </x:c>
      <x:c r="Q1190" s="23" t="n">
        <x:v>251.5613818627794</x:v>
      </x:c>
      <x:c r="R1190" s="23" t="n">
        <x:v>2530.0273319764124</x:v>
      </x:c>
      <x:c r="S1190" s="23" t="n">
        <x:v>955.3283945192703</x:v>
      </x:c>
      <x:c r="T1190" s="23" t="n">
        <x:v>1.5298771600975556</x:v>
      </x:c>
      <x:c r="U1190" s="23" t="n">
        <x:v>26.97367025391668</x:v>
      </x:c>
      <x:c r="V1190" s="23" t="n">
        <x:v>-1.0812913997909845</x:v>
      </x:c>
    </x:row>
    <x:row r="1191">
      <x:c r="A1191" s="23" t="n">
        <x:v>1190</x:v>
      </x:c>
      <x:c r="B1191" s="23" t="str">
        <x:v>Train</x:v>
      </x:c>
      <x:c r="C1191" s="23" t="str">
        <x:v>Switching</x:v>
      </x:c>
      <x:c r="D1191" s="23" t="n">
        <x:v>1045.0661997427233</x:v>
      </x:c>
      <x:c r="E1191" s="23" t="n">
        <x:v>606.6601268714294</x:v>
      </x:c>
      <x:c r="F1191" s="23" t="n">
        <x:v>566.0768297500908</x:v>
      </x:c>
      <x:c r="G1191" s="23" t="n">
        <x:v>192.16684943065047</x:v>
      </x:c>
      <x:c r="H1191" s="23" t="n">
        <x:v>15.397768108639866</x:v>
      </x:c>
      <x:c r="I1191" s="23" t="n">
        <x:v>0.793673501922749</x:v>
      </x:c>
      <x:c r="J1191" s="23" t="n">
        <x:v>7</x:v>
      </x:c>
      <x:c r="K1191" s="23" t="n">
        <x:v>188.10653377004013</x:v>
      </x:c>
      <x:c r="L1191" s="23" t="n">
        <x:v>15670</x:v>
      </x:c>
      <x:c r="M1191" s="23" t="n">
        <x:v>1200</x:v>
      </x:c>
      <x:c r="N1191" s="23" t="n">
        <x:v>250.02651150468515</x:v>
      </x:c>
      <x:c r="O1191" s="23" t="n">
        <x:v>2502.745378035791</x:v>
      </x:c>
      <x:c r="P1191" s="23" t="n">
        <x:v>1045.0661997427233</x:v>
      </x:c>
      <x:c r="Q1191" s="23" t="n">
        <x:v>247.66769287142898</x:v>
      </x:c>
      <x:c r="R1191" s="23" t="n">
        <x:v>2479.9837512242766</x:v>
      </x:c>
      <x:c r="S1191" s="23" t="n">
        <x:v>1053.7748297046792</x:v>
      </x:c>
      <x:c r="T1191" s="23" t="n">
        <x:v>-2.3588186332561634</x:v>
      </x:c>
      <x:c r="U1191" s="23" t="n">
        <x:v>-22.76162681151436</x:v>
      </x:c>
      <x:c r="V1191" s="23" t="n">
        <x:v>8.708629961955921</x:v>
      </x:c>
    </x:row>
    <x:row r="1192">
      <x:c r="A1192" s="23" t="n">
        <x:v>1191</x:v>
      </x:c>
      <x:c r="B1192" s="23" t="str">
        <x:v>Train</x:v>
      </x:c>
      <x:c r="C1192" s="23" t="str">
        <x:v>Switching</x:v>
      </x:c>
      <x:c r="D1192" s="23" t="n">
        <x:v>1022.8371347533539</x:v>
      </x:c>
      <x:c r="E1192" s="23" t="n">
        <x:v>1107.587263372261</x:v>
      </x:c>
      <x:c r="F1192" s="23" t="n">
        <x:v>591.8516278266907</x:v>
      </x:c>
      <x:c r="G1192" s="23" t="n">
        <x:v>189.52213214477524</x:v>
      </x:c>
      <x:c r="H1192" s="23" t="n">
        <x:v>19.97022421937436</x:v>
      </x:c>
      <x:c r="I1192" s="23" t="n">
        <x:v>0.7984707938856446</x:v>
      </x:c>
      <x:c r="J1192" s="23" t="n">
        <x:v>7</x:v>
      </x:c>
      <x:c r="K1192" s="23" t="n">
        <x:v>182.999292895837</x:v>
      </x:c>
      <x:c r="L1192" s="23" t="n">
        <x:v>11320</x:v>
      </x:c>
      <x:c r="M1192" s="23" t="n">
        <x:v>1195</x:v>
      </x:c>
      <x:c r="N1192" s="23" t="n">
        <x:v>249.96824948329024</x:v>
      </x:c>
      <x:c r="O1192" s="23" t="n">
        <x:v>2495.355203159467</x:v>
      </x:c>
      <x:c r="P1192" s="23" t="n">
        <x:v>1022.8371347533539</x:v>
      </x:c>
      <x:c r="Q1192" s="23" t="n">
        <x:v>252.00784196220818</x:v>
      </x:c>
      <x:c r="R1192" s="23" t="n">
        <x:v>2542.2215385567724</x:v>
      </x:c>
      <x:c r="S1192" s="23" t="n">
        <x:v>1012.7169116020926</x:v>
      </x:c>
      <x:c r="T1192" s="23" t="n">
        <x:v>2.039592478917939</x:v>
      </x:c>
      <x:c r="U1192" s="23" t="n">
        <x:v>46.86633539730565</x:v>
      </x:c>
      <x:c r="V1192" s="23" t="n">
        <x:v>-10.120223151261257</x:v>
      </x:c>
    </x:row>
    <x:row r="1193">
      <x:c r="A1193" s="23" t="n">
        <x:v>1192</x:v>
      </x:c>
      <x:c r="B1193" s="23" t="str">
        <x:v>Train</x:v>
      </x:c>
      <x:c r="C1193" s="23" t="str">
        <x:v>Switching</x:v>
      </x:c>
      <x:c r="D1193" s="23" t="n">
        <x:v>1031.4292074064724</x:v>
      </x:c>
      <x:c r="E1193" s="23" t="n">
        <x:v>976.4299691654742</x:v>
      </x:c>
      <x:c r="F1193" s="23" t="n">
        <x:v>748.6888266168535</x:v>
      </x:c>
      <x:c r="G1193" s="23" t="n">
        <x:v>88.46975448075682</x:v>
      </x:c>
      <x:c r="H1193" s="23" t="n">
        <x:v>23.584278596099466</x:v>
      </x:c>
      <x:c r="I1193" s="23" t="n">
        <x:v>0.8107571250293404</x:v>
      </x:c>
      <x:c r="J1193" s="23" t="n">
        <x:v>7</x:v>
      </x:c>
      <x:c r="K1193" s="23" t="n">
        <x:v>181.74003666531297</x:v>
      </x:c>
      <x:c r="L1193" s="23" t="n">
        <x:v>11790</x:v>
      </x:c>
      <x:c r="M1193" s="23" t="n">
        <x:v>1195</x:v>
      </x:c>
      <x:c r="N1193" s="23" t="n">
        <x:v>249.95861983494632</x:v>
      </x:c>
      <x:c r="O1193" s="23" t="n">
        <x:v>2494.9182730785046</x:v>
      </x:c>
      <x:c r="P1193" s="23" t="n">
        <x:v>1031.4292074064724</x:v>
      </x:c>
      <x:c r="Q1193" s="23" t="n">
        <x:v>249.59574086141916</x:v>
      </x:c>
      <x:c r="R1193" s="23" t="n">
        <x:v>2476.03946652982</x:v>
      </x:c>
      <x:c r="S1193" s="23" t="n">
        <x:v>1025.0838553001677</x:v>
      </x:c>
      <x:c r="T1193" s="23" t="n">
        <x:v>-0.3628789735271596</x:v>
      </x:c>
      <x:c r="U1193" s="23" t="n">
        <x:v>-18.87880654868468</x:v>
      </x:c>
      <x:c r="V1193" s="23" t="n">
        <x:v>-6.345352106304745</x:v>
      </x:c>
    </x:row>
    <x:row r="1194">
      <x:c r="A1194" s="23" t="n">
        <x:v>1193</x:v>
      </x:c>
      <x:c r="B1194" s="23" t="str">
        <x:v>Train</x:v>
      </x:c>
      <x:c r="C1194" s="23" t="str">
        <x:v>Switching</x:v>
      </x:c>
      <x:c r="D1194" s="23" t="n">
        <x:v>958.0195618793368</x:v>
      </x:c>
      <x:c r="E1194" s="23" t="n">
        <x:v>1235.4720626375638</x:v>
      </x:c>
      <x:c r="F1194" s="23" t="n">
        <x:v>742.9267527535558</x:v>
      </x:c>
      <x:c r="G1194" s="23" t="n">
        <x:v>140.97143847728148</x:v>
      </x:c>
      <x:c r="H1194" s="23" t="n">
        <x:v>11.753058334812522</x:v>
      </x:c>
      <x:c r="I1194" s="23" t="n">
        <x:v>0.823785338413436</x:v>
      </x:c>
      <x:c r="J1194" s="23" t="n">
        <x:v>6</x:v>
      </x:c>
      <x:c r="K1194" s="23" t="n">
        <x:v>193.82467681132164</x:v>
      </x:c>
      <x:c r="L1194" s="23" t="n">
        <x:v>11770</x:v>
      </x:c>
      <x:c r="M1194" s="23" t="n">
        <x:v>1195</x:v>
      </x:c>
      <x:c r="N1194" s="23" t="n">
        <x:v>249.94912605370757</x:v>
      </x:c>
      <x:c r="O1194" s="23" t="n">
        <x:v>2494.9357481111238</x:v>
      </x:c>
      <x:c r="P1194" s="23" t="n">
        <x:v>958.0195618793368</x:v>
      </x:c>
      <x:c r="Q1194" s="23" t="n">
        <x:v>253.04261682235327</x:v>
      </x:c>
      <x:c r="R1194" s="23" t="n">
        <x:v>2493.1329098666765</x:v>
      </x:c>
      <x:c r="S1194" s="23" t="n">
        <x:v>950.2565820479657</x:v>
      </x:c>
      <x:c r="T1194" s="23" t="n">
        <x:v>3.093490768645694</x:v>
      </x:c>
      <x:c r="U1194" s="23" t="n">
        <x:v>-1.80283824444723</x:v>
      </x:c>
      <x:c r="V1194" s="23" t="n">
        <x:v>-7.762979831371126</x:v>
      </x:c>
    </x:row>
    <x:row r="1195">
      <x:c r="A1195" s="23" t="n">
        <x:v>1194</x:v>
      </x:c>
      <x:c r="B1195" s="23" t="str">
        <x:v>Train</x:v>
      </x:c>
      <x:c r="C1195" s="23" t="str">
        <x:v>Switching</x:v>
      </x:c>
      <x:c r="D1195" s="23" t="n">
        <x:v>1005.0388526753522</x:v>
      </x:c>
      <x:c r="E1195" s="23" t="n">
        <x:v>737.1917587006465</x:v>
      </x:c>
      <x:c r="F1195" s="23" t="n">
        <x:v>728.8279236294329</x:v>
      </x:c>
      <x:c r="G1195" s="23" t="n">
        <x:v>232.5040443520993</x:v>
      </x:c>
      <x:c r="H1195" s="23" t="n">
        <x:v>17.102911074180156</x:v>
      </x:c>
      <x:c r="I1195" s="23" t="n">
        <x:v>0.8289748708577827</x:v>
      </x:c>
      <x:c r="J1195" s="23" t="n">
        <x:v>7</x:v>
      </x:c>
      <x:c r="K1195" s="23" t="n">
        <x:v>173.1982283190989</x:v>
      </x:c>
      <x:c r="L1195" s="23" t="n">
        <x:v>12590</x:v>
      </x:c>
      <x:c r="M1195" s="23" t="n">
        <x:v>1200</x:v>
      </x:c>
      <x:c r="N1195" s="23" t="n">
        <x:v>249.98420148374964</x:v>
      </x:c>
      <x:c r="O1195" s="23" t="n">
        <x:v>2504.687446317762</x:v>
      </x:c>
      <x:c r="P1195" s="23" t="n">
        <x:v>1005.0388526753522</x:v>
      </x:c>
      <x:c r="Q1195" s="23" t="n">
        <x:v>253.38371553739375</x:v>
      </x:c>
      <x:c r="R1195" s="23" t="n">
        <x:v>2444.9303882091244</x:v>
      </x:c>
      <x:c r="S1195" s="23" t="n">
        <x:v>1009.7813257123954</x:v>
      </x:c>
      <x:c r="T1195" s="23" t="n">
        <x:v>3.3995140536441113</x:v>
      </x:c>
      <x:c r="U1195" s="23" t="n">
        <x:v>-59.757058108637466</x:v>
      </x:c>
      <x:c r="V1195" s="23" t="n">
        <x:v>4.742473037043169</x:v>
      </x:c>
    </x:row>
    <x:row r="1196">
      <x:c r="A1196" s="23" t="n">
        <x:v>1195</x:v>
      </x:c>
      <x:c r="B1196" s="23" t="str">
        <x:v>Validation</x:v>
      </x:c>
      <x:c r="C1196" s="23" t="str">
        <x:v>Switching</x:v>
      </x:c>
      <x:c r="D1196" s="23" t="n">
        <x:v>1018.9334450988099</x:v>
      </x:c>
      <x:c r="E1196" s="23" t="n">
        <x:v>721.8242673785426</x:v>
      </x:c>
      <x:c r="F1196" s="23" t="n">
        <x:v>652.8322774916887</x:v>
      </x:c>
      <x:c r="G1196" s="23" t="n">
        <x:v>324.44940144894645</x:v>
      </x:c>
      <x:c r="H1196" s="23" t="n">
        <x:v>25.508814469911158</x:v>
      </x:c>
      <x:c r="I1196" s="23" t="n">
        <x:v>0.7982696226867847</x:v>
      </x:c>
      <x:c r="J1196" s="23" t="n">
        <x:v>7</x:v>
      </x:c>
      <x:c r="K1196" s="23" t="n">
        <x:v>182.34681189354896</x:v>
      </x:c>
      <x:c r="L1196" s="23" t="n">
        <x:v>12585</x:v>
      </x:c>
      <x:c r="M1196" s="23" t="n">
        <x:v>1200</x:v>
      </x:c>
      <x:c r="N1196" s="23" t="n">
        <x:v>249.97077748584158</x:v>
      </x:c>
      <x:c r="O1196" s="23" t="n">
        <x:v>2504.690835534713</x:v>
      </x:c>
      <x:c r="P1196" s="23" t="n">
        <x:v>1018.9334450988099</x:v>
      </x:c>
      <x:c r="Q1196" s="23" t="n">
        <x:v>246.1812476022168</x:v>
      </x:c>
      <x:c r="R1196" s="23" t="n">
        <x:v>2479.5189565677597</x:v>
      </x:c>
      <x:c r="S1196" s="23" t="n">
        <x:v>1013.6422489153468</x:v>
      </x:c>
      <x:c r="T1196" s="23" t="n">
        <x:v>-3.789529883624766</x:v>
      </x:c>
      <x:c r="U1196" s="23" t="n">
        <x:v>-25.1718789669535</x:v>
      </x:c>
      <x:c r="V1196" s="23" t="n">
        <x:v>-5.291196183463057</x:v>
      </x:c>
    </x:row>
    <x:row r="1197">
      <x:c r="A1197" s="23" t="n">
        <x:v>1196</x:v>
      </x:c>
      <x:c r="B1197" s="23" t="str">
        <x:v>Validation</x:v>
      </x:c>
      <x:c r="C1197" s="23" t="str">
        <x:v>Switching</x:v>
      </x:c>
      <x:c r="D1197" s="23" t="n">
        <x:v>992.484074679669</x:v>
      </x:c>
      <x:c r="E1197" s="23" t="n">
        <x:v>1205.8709451463073</x:v>
      </x:c>
      <x:c r="F1197" s="23" t="n">
        <x:v>435.1777474395931</x:v>
      </x:c>
      <x:c r="G1197" s="23" t="n">
        <x:v>195.3025486273691</x:v>
      </x:c>
      <x:c r="H1197" s="23" t="n">
        <x:v>10.971844899933785</x:v>
      </x:c>
      <x:c r="I1197" s="23" t="n">
        <x:v>0.8387631380930544</x:v>
      </x:c>
      <x:c r="J1197" s="23" t="n">
        <x:v>6</x:v>
      </x:c>
      <x:c r="K1197" s="23" t="n">
        <x:v>197.2118288634903</x:v>
      </x:c>
      <x:c r="L1197" s="23" t="n">
        <x:v>13585</x:v>
      </x:c>
      <x:c r="M1197" s="23" t="n">
        <x:v>1200</x:v>
      </x:c>
      <x:c r="N1197" s="23" t="n">
        <x:v>249.96753374374043</x:v>
      </x:c>
      <x:c r="O1197" s="23" t="n">
        <x:v>2503.962658153157</x:v>
      </x:c>
      <x:c r="P1197" s="23" t="n">
        <x:v>992.484074679669</x:v>
      </x:c>
      <x:c r="Q1197" s="23" t="n">
        <x:v>252.13657246014165</x:v>
      </x:c>
      <x:c r="R1197" s="23" t="n">
        <x:v>2542.0378762814244</x:v>
      </x:c>
      <x:c r="S1197" s="23" t="n">
        <x:v>997.6481980615482</x:v>
      </x:c>
      <x:c r="T1197" s="23" t="n">
        <x:v>2.169038716401218</x:v>
      </x:c>
      <x:c r="U1197" s="23" t="n">
        <x:v>38.07521812826735</x:v>
      </x:c>
      <x:c r="V1197" s="23" t="n">
        <x:v>5.164123381879222</x:v>
      </x:c>
    </x:row>
    <x:row r="1198">
      <x:c r="A1198" s="23" t="n">
        <x:v>1197</x:v>
      </x:c>
      <x:c r="B1198" s="23" t="str">
        <x:v>Validation</x:v>
      </x:c>
      <x:c r="C1198" s="23" t="str">
        <x:v>Switching</x:v>
      </x:c>
      <x:c r="D1198" s="23" t="n">
        <x:v>999.6093121822923</x:v>
      </x:c>
      <x:c r="E1198" s="23" t="n">
        <x:v>928.3385130460374</x:v>
      </x:c>
      <x:c r="F1198" s="23" t="n">
        <x:v>360.3828540071845</x:v>
      </x:c>
      <x:c r="G1198" s="23" t="n">
        <x:v>214.05843620421365</x:v>
      </x:c>
      <x:c r="H1198" s="23" t="n">
        <x:v>23.62350345030427</x:v>
      </x:c>
      <x:c r="I1198" s="23" t="n">
        <x:v>0.794053996282164</x:v>
      </x:c>
      <x:c r="J1198" s="23" t="n">
        <x:v>7</x:v>
      </x:c>
      <x:c r="K1198" s="23" t="n">
        <x:v>179.83831197924246</x:v>
      </x:c>
      <x:c r="L1198" s="23" t="n">
        <x:v>14230</x:v>
      </x:c>
      <x:c r="M1198" s="23" t="n">
        <x:v>1200</x:v>
      </x:c>
      <x:c r="N1198" s="23" t="n">
        <x:v>249.985961729053</x:v>
      </x:c>
      <x:c r="O1198" s="23" t="n">
        <x:v>2503.547981790722</x:v>
      </x:c>
      <x:c r="P1198" s="23" t="n">
        <x:v>999.6093121822923</x:v>
      </x:c>
      <x:c r="Q1198" s="23" t="n">
        <x:v>250.93461844002172</x:v>
      </x:c>
      <x:c r="R1198" s="23" t="n">
        <x:v>2532.6505582056684</x:v>
      </x:c>
      <x:c r="S1198" s="23" t="n">
        <x:v>992.1046636277782</x:v>
      </x:c>
      <x:c r="T1198" s="23" t="n">
        <x:v>0.9486567109687201</x:v>
      </x:c>
      <x:c r="U1198" s="23" t="n">
        <x:v>29.10257641494627</x:v>
      </x:c>
      <x:c r="V1198" s="23" t="n">
        <x:v>-7.5046485545141195</x:v>
      </x:c>
    </x:row>
    <x:row r="1199">
      <x:c r="A1199" s="23" t="n">
        <x:v>1198</x:v>
      </x:c>
      <x:c r="B1199" s="23" t="str">
        <x:v>Hidden Test</x:v>
      </x:c>
      <x:c r="C1199" s="23" t="str">
        <x:v>Switching</x:v>
      </x:c>
      <x:c r="D1199" s="23" t="n">
        <x:v>1057.2455948335119</x:v>
      </x:c>
      <x:c r="E1199" s="23" t="n">
        <x:v>1072.9852714342996</x:v>
      </x:c>
      <x:c r="F1199" s="23" t="n">
        <x:v>573.0020676739514</x:v>
      </x:c>
      <x:c r="G1199" s="23" t="n">
        <x:v>211.95135816931725</x:v>
      </x:c>
      <x:c r="H1199" s="23" t="n">
        <x:v>20.62569228792563</x:v>
      </x:c>
      <x:c r="I1199" s="23" t="n">
        <x:v>0.8588833562238143</x:v>
      </x:c>
      <x:c r="J1199" s="23" t="n">
        <x:v>7</x:v>
      </x:c>
      <x:c r="K1199" s="23" t="n">
        <x:v>175.85052019200862</x:v>
      </x:c>
      <x:c r="L1199" s="23" t="n">
        <x:v>11510</x:v>
      </x:c>
      <x:c r="M1199" s="23" t="n">
        <x:v>1195</x:v>
      </x:c>
      <x:c r="N1199" s="23" t="n">
        <x:v>249.9897161957506</x:v>
      </x:c>
      <x:c r="O1199" s="23" t="n">
        <x:v>2495.17536844149</x:v>
      </x:c>
      <x:c r="P1199" s="23" t="n">
        <x:v>1057.2455948335119</x:v>
      </x:c>
      <x:c r="Q1199" s="23" t="n">
        <x:v>251.75311115188447</x:v>
      </x:c>
      <x:c r="R1199" s="23" t="n">
        <x:v>2498.077502413567</x:v>
      </x:c>
      <x:c r="S1199" s="23" t="n">
        <x:v>1049.211219428575</x:v>
      </x:c>
      <x:c r="T1199" s="23" t="n">
        <x:v>1.7633949561338795</x:v>
      </x:c>
      <x:c r="U1199" s="23" t="n">
        <x:v>2.902133972077081</x:v>
      </x:c>
      <x:c r="V1199" s="23" t="n">
        <x:v>-8.034375404936782</x:v>
      </x:c>
    </x:row>
    <x:row r="1200">
      <x:c r="A1200" s="23" t="n">
        <x:v>1199</x:v>
      </x:c>
      <x:c r="B1200" s="23" t="str">
        <x:v>Hidden Test</x:v>
      </x:c>
      <x:c r="C1200" s="23" t="str">
        <x:v>Switching</x:v>
      </x:c>
      <x:c r="D1200" s="23" t="n">
        <x:v>954.6915972838178</x:v>
      </x:c>
      <x:c r="E1200" s="23" t="n">
        <x:v>670.9758521174081</x:v>
      </x:c>
      <x:c r="F1200" s="23" t="n">
        <x:v>647.6553298532963</x:v>
      </x:c>
      <x:c r="G1200" s="23" t="n">
        <x:v>100.219529455062</x:v>
      </x:c>
      <x:c r="H1200" s="23" t="n">
        <x:v>27.472919865511358</x:v>
      </x:c>
      <x:c r="I1200" s="23" t="n">
        <x:v>0.8445129317580723</x:v>
      </x:c>
      <x:c r="J1200" s="23" t="n">
        <x:v>6</x:v>
      </x:c>
      <x:c r="K1200" s="23" t="n">
        <x:v>188.410692400802</x:v>
      </x:c>
      <x:c r="L1200" s="23" t="n">
        <x:v>17585</x:v>
      </x:c>
      <x:c r="M1200" s="23" t="n">
        <x:v>1200</x:v>
      </x:c>
      <x:c r="N1200" s="23" t="n">
        <x:v>250.00445094656124</x:v>
      </x:c>
      <x:c r="O1200" s="23" t="n">
        <x:v>2501.87949750973</x:v>
      </x:c>
      <x:c r="P1200" s="23" t="n">
        <x:v>954.6915972838178</x:v>
      </x:c>
      <x:c r="Q1200" s="23" t="n">
        <x:v>246.6351833878213</x:v>
      </x:c>
      <x:c r="R1200" s="23" t="n">
        <x:v>2514.540014915183</x:v>
      </x:c>
      <x:c r="S1200" s="23" t="n">
        <x:v>955.6741670473344</x:v>
      </x:c>
      <x:c r="T1200" s="23" t="n">
        <x:v>-3.369267558739949</x:v>
      </x:c>
      <x:c r="U1200" s="23" t="n">
        <x:v>12.660517405452993</x:v>
      </x:c>
      <x:c r="V1200" s="23" t="n">
        <x:v>0.982569763516608</x:v>
      </x:c>
    </x:row>
    <x:row r="1201">
      <x:c r="A1201" s="23" t="n">
        <x:v>1200</x:v>
      </x:c>
      <x:c r="B1201" s="23" t="str">
        <x:v>Hidden Test</x:v>
      </x:c>
      <x:c r="C1201" s="23" t="str">
        <x:v>Switching</x:v>
      </x:c>
      <x:c r="D1201" s="23" t="n">
        <x:v>1003.4075219067745</x:v>
      </x:c>
      <x:c r="E1201" s="23" t="n">
        <x:v>993.5189688578248</x:v>
      </x:c>
      <x:c r="F1201" s="23" t="n">
        <x:v>605.4352327249944</x:v>
      </x:c>
      <x:c r="G1201" s="23" t="n">
        <x:v>95.7367252977565</x:v>
      </x:c>
      <x:c r="H1201" s="23" t="n">
        <x:v>28.389005237724632</x:v>
      </x:c>
      <x:c r="I1201" s="23" t="n">
        <x:v>0.7904353331681341</x:v>
      </x:c>
      <x:c r="J1201" s="23" t="n">
        <x:v>7</x:v>
      </x:c>
      <x:c r="K1201" s="23" t="n">
        <x:v>181.34808210866885</x:v>
      </x:c>
      <x:c r="L1201" s="23" t="n">
        <x:v>12620</x:v>
      </x:c>
      <x:c r="M1201" s="23" t="n">
        <x:v>1200</x:v>
      </x:c>
      <x:c r="N1201" s="23" t="n">
        <x:v>250.01469496223706</x:v>
      </x:c>
      <x:c r="O1201" s="23" t="n">
        <x:v>2504.665134823557</x:v>
      </x:c>
      <x:c r="P1201" s="23" t="n">
        <x:v>1003.4075219067745</x:v>
      </x:c>
      <x:c r="Q1201" s="23" t="n">
        <x:v>251.98015958349058</x:v>
      </x:c>
      <x:c r="R1201" s="23" t="n">
        <x:v>2551.330715272251</x:v>
      </x:c>
      <x:c r="S1201" s="23" t="n">
        <x:v>997.0727379670448</x:v>
      </x:c>
      <x:c r="T1201" s="23" t="n">
        <x:v>1.965464621253517</x:v>
      </x:c>
      <x:c r="U1201" s="23" t="n">
        <x:v>46.66558044869407</x:v>
      </x:c>
      <x:c r="V1201" s="23" t="n">
        <x:v>-6.334783939729732</x:v>
      </x:c>
    </x:row>
    <x:row r="1202">
      <x:c r="A1202" s="23" t="n">
        <x:v>1201</x:v>
      </x:c>
      <x:c r="B1202" s="23" t="str">
        <x:v>Train</x:v>
      </x:c>
      <x:c r="C1202" s="23" t="str">
        <x:v>Switching</x:v>
      </x:c>
      <x:c r="D1202" s="23" t="n">
        <x:v>1079.4613574631512</x:v>
      </x:c>
      <x:c r="E1202" s="23" t="n">
        <x:v>822.913373389747</x:v>
      </x:c>
      <x:c r="F1202" s="23" t="n">
        <x:v>556.9450775161386</x:v>
      </x:c>
      <x:c r="G1202" s="23" t="n">
        <x:v>173.4873372898437</x:v>
      </x:c>
      <x:c r="H1202" s="23" t="n">
        <x:v>14.082504587247968</x:v>
      </x:c>
      <x:c r="I1202" s="23" t="n">
        <x:v>0.8540868592192419</x:v>
      </x:c>
      <x:c r="J1202" s="23" t="n">
        <x:v>7</x:v>
      </x:c>
      <x:c r="K1202" s="23" t="n">
        <x:v>180.55396086160104</x:v>
      </x:c>
      <x:c r="L1202" s="23" t="n">
        <x:v>13770</x:v>
      </x:c>
      <x:c r="M1202" s="23" t="n">
        <x:v>1200</x:v>
      </x:c>
      <x:c r="N1202" s="23" t="n">
        <x:v>250.04439585734363</x:v>
      </x:c>
      <x:c r="O1202" s="23" t="n">
        <x:v>2503.842336502245</x:v>
      </x:c>
      <x:c r="P1202" s="23" t="n">
        <x:v>1079.4613574631512</x:v>
      </x:c>
      <x:c r="Q1202" s="23" t="n">
        <x:v>248.36464067676445</x:v>
      </x:c>
      <x:c r="R1202" s="23" t="n">
        <x:v>2476.035999837786</x:v>
      </x:c>
      <x:c r="S1202" s="23" t="n">
        <x:v>1091.673725294806</x:v>
      </x:c>
      <x:c r="T1202" s="23" t="n">
        <x:v>-1.6797551805791784</x:v>
      </x:c>
      <x:c r="U1202" s="23" t="n">
        <x:v>-27.80633666445874</x:v>
      </x:c>
      <x:c r="V1202" s="23" t="n">
        <x:v>12.212367831654774</x:v>
      </x:c>
    </x:row>
    <x:row r="1203">
      <x:c r="A1203" s="23" t="n">
        <x:v>1202</x:v>
      </x:c>
      <x:c r="B1203" s="23" t="str">
        <x:v>Train</x:v>
      </x:c>
      <x:c r="C1203" s="23" t="str">
        <x:v>Switching</x:v>
      </x:c>
      <x:c r="D1203" s="23" t="n">
        <x:v>1022.6390681811608</x:v>
      </x:c>
      <x:c r="E1203" s="23" t="n">
        <x:v>1164.955918234773</x:v>
      </x:c>
      <x:c r="F1203" s="23" t="n">
        <x:v>628.9193340577185</x:v>
      </x:c>
      <x:c r="G1203" s="23" t="n">
        <x:v>266.84350815601647</x:v>
      </x:c>
      <x:c r="H1203" s="23" t="n">
        <x:v>29.949874014128</x:v>
      </x:c>
      <x:c r="I1203" s="23" t="n">
        <x:v>0.838480923944153</x:v>
      </x:c>
      <x:c r="J1203" s="23" t="n">
        <x:v>7</x:v>
      </x:c>
      <x:c r="K1203" s="23" t="n">
        <x:v>174.23329652778358</x:v>
      </x:c>
      <x:c r="L1203" s="23" t="n">
        <x:v>10380</x:v>
      </x:c>
      <x:c r="M1203" s="23" t="n">
        <x:v>1195</x:v>
      </x:c>
      <x:c r="N1203" s="23" t="n">
        <x:v>250.05300842350908</x:v>
      </x:c>
      <x:c r="O1203" s="23" t="n">
        <x:v>2496.3508733147883</x:v>
      </x:c>
      <x:c r="P1203" s="23" t="n">
        <x:v>1022.6390681811608</x:v>
      </x:c>
      <x:c r="Q1203" s="23" t="n">
        <x:v>251.7859419570148</x:v>
      </x:c>
      <x:c r="R1203" s="23" t="n">
        <x:v>2514.751249202598</x:v>
      </x:c>
      <x:c r="S1203" s="23" t="n">
        <x:v>1007.3687045981461</x:v>
      </x:c>
      <x:c r="T1203" s="23" t="n">
        <x:v>1.7329335335057294</x:v>
      </x:c>
      <x:c r="U1203" s="23" t="n">
        <x:v>18.400375887809787</x:v>
      </x:c>
      <x:c r="V1203" s="23" t="n">
        <x:v>-15.270363583014728</x:v>
      </x:c>
    </x:row>
    <x:row r="1204">
      <x:c r="A1204" s="23" t="n">
        <x:v>1203</x:v>
      </x:c>
      <x:c r="B1204" s="23" t="str">
        <x:v>Train</x:v>
      </x:c>
      <x:c r="C1204" s="23" t="str">
        <x:v>Switching</x:v>
      </x:c>
      <x:c r="D1204" s="23" t="n">
        <x:v>984.3772692373022</x:v>
      </x:c>
      <x:c r="E1204" s="23" t="n">
        <x:v>641.1121379234828</x:v>
      </x:c>
      <x:c r="F1204" s="23" t="n">
        <x:v>556.0438569635153</x:v>
      </x:c>
      <x:c r="G1204" s="23" t="n">
        <x:v>108.39961525751278</x:v>
      </x:c>
      <x:c r="H1204" s="23" t="n">
        <x:v>23.717108410783112</x:v>
      </x:c>
      <x:c r="I1204" s="23" t="n">
        <x:v>0.806134854152333</x:v>
      </x:c>
      <x:c r="J1204" s="23" t="n">
        <x:v>7</x:v>
      </x:c>
      <x:c r="K1204" s="23" t="n">
        <x:v>174.44392021063004</x:v>
      </x:c>
      <x:c r="L1204" s="23" t="n">
        <x:v>16380</x:v>
      </x:c>
      <x:c r="M1204" s="23" t="n">
        <x:v>1200</x:v>
      </x:c>
      <x:c r="N1204" s="23" t="n">
        <x:v>249.99109224612434</x:v>
      </x:c>
      <x:c r="O1204" s="23" t="n">
        <x:v>2502.399900317773</x:v>
      </x:c>
      <x:c r="P1204" s="23" t="n">
        <x:v>984.3772692373022</x:v>
      </x:c>
      <x:c r="Q1204" s="23" t="n">
        <x:v>249.0757933402622</x:v>
      </x:c>
      <x:c r="R1204" s="23" t="n">
        <x:v>2485.017868387874</x:v>
      </x:c>
      <x:c r="S1204" s="23" t="n">
        <x:v>991.1670880505754</x:v>
      </x:c>
      <x:c r="T1204" s="23" t="n">
        <x:v>-0.9152989058621301</x:v>
      </x:c>
      <x:c r="U1204" s="23" t="n">
        <x:v>-17.382031929898858</x:v>
      </x:c>
      <x:c r="V1204" s="23" t="n">
        <x:v>6.7898188132732</x:v>
      </x:c>
    </x:row>
    <x:row r="1205">
      <x:c r="A1205" s="23" t="n">
        <x:v>1204</x:v>
      </x:c>
      <x:c r="B1205" s="23" t="str">
        <x:v>Train</x:v>
      </x:c>
      <x:c r="C1205" s="23" t="str">
        <x:v>Switching</x:v>
      </x:c>
      <x:c r="D1205" s="23" t="n">
        <x:v>963.3465231745504</x:v>
      </x:c>
      <x:c r="E1205" s="23" t="n">
        <x:v>846.5550290886313</x:v>
      </x:c>
      <x:c r="F1205" s="23" t="n">
        <x:v>450.4541146568954</x:v>
      </x:c>
      <x:c r="G1205" s="23" t="n">
        <x:v>129.76653621997684</x:v>
      </x:c>
      <x:c r="H1205" s="23" t="n">
        <x:v>25.8392324144952</x:v>
      </x:c>
      <x:c r="I1205" s="23" t="n">
        <x:v>0.8330443778075278</x:v>
      </x:c>
      <x:c r="J1205" s="23" t="n">
        <x:v>6</x:v>
      </x:c>
      <x:c r="K1205" s="23" t="n">
        <x:v>192.73613524047022</x:v>
      </x:c>
      <x:c r="L1205" s="23" t="n">
        <x:v>17485</x:v>
      </x:c>
      <x:c r="M1205" s="23" t="n">
        <x:v>1200</x:v>
      </x:c>
      <x:c r="N1205" s="23" t="n">
        <x:v>249.97118524597198</x:v>
      </x:c>
      <x:c r="O1205" s="23" t="n">
        <x:v>2501.9190399327554</x:v>
      </x:c>
      <x:c r="P1205" s="23" t="n">
        <x:v>963.3465231745504</x:v>
      </x:c>
      <x:c r="Q1205" s="23" t="n">
        <x:v>247.1995391144627</x:v>
      </x:c>
      <x:c r="R1205" s="23" t="n">
        <x:v>2520.3454455337865</x:v>
      </x:c>
      <x:c r="S1205" s="23" t="n">
        <x:v>958.2003832247381</x:v>
      </x:c>
      <x:c r="T1205" s="23" t="n">
        <x:v>-2.7716461315092715</x:v>
      </x:c>
      <x:c r="U1205" s="23" t="n">
        <x:v>18.426405601031092</x:v>
      </x:c>
      <x:c r="V1205" s="23" t="n">
        <x:v>-5.146139949812323</x:v>
      </x:c>
    </x:row>
    <x:row r="1206">
      <x:c r="A1206" s="23" t="n">
        <x:v>1205</x:v>
      </x:c>
      <x:c r="B1206" s="23" t="str">
        <x:v>Train</x:v>
      </x:c>
      <x:c r="C1206" s="23" t="str">
        <x:v>Switching</x:v>
      </x:c>
      <x:c r="D1206" s="23" t="n">
        <x:v>1002.9227469582111</x:v>
      </x:c>
      <x:c r="E1206" s="23" t="n">
        <x:v>690.0935195269994</x:v>
      </x:c>
      <x:c r="F1206" s="23" t="n">
        <x:v>515.559914521873</x:v>
      </x:c>
      <x:c r="G1206" s="23" t="n">
        <x:v>274.46669361786917</x:v>
      </x:c>
      <x:c r="H1206" s="23" t="n">
        <x:v>28.434592366218567</x:v>
      </x:c>
      <x:c r="I1206" s="23" t="n">
        <x:v>0.7997105125174858</x:v>
      </x:c>
      <x:c r="J1206" s="23" t="n">
        <x:v>7</x:v>
      </x:c>
      <x:c r="K1206" s="23" t="n">
        <x:v>179.15817773341396</x:v>
      </x:c>
      <x:c r="L1206" s="23" t="n">
        <x:v>14450</x:v>
      </x:c>
      <x:c r="M1206" s="23" t="n">
        <x:v>1200</x:v>
      </x:c>
      <x:c r="N1206" s="23" t="n">
        <x:v>250.0232188484849</x:v>
      </x:c>
      <x:c r="O1206" s="23" t="n">
        <x:v>2503.4160752871735</x:v>
      </x:c>
      <x:c r="P1206" s="23" t="n">
        <x:v>1002.9227469582111</x:v>
      </x:c>
      <x:c r="Q1206" s="23" t="n">
        <x:v>249.79694523745275</x:v>
      </x:c>
      <x:c r="R1206" s="23" t="n">
        <x:v>2521.881967515264</x:v>
      </x:c>
      <x:c r="S1206" s="23" t="n">
        <x:v>996.7917680709378</x:v>
      </x:c>
      <x:c r="T1206" s="23" t="n">
        <x:v>-0.22627361103215549</x:v>
      </x:c>
      <x:c r="U1206" s="23" t="n">
        <x:v>18.465892228090524</x:v>
      </x:c>
      <x:c r="V1206" s="23" t="n">
        <x:v>-6.1309788872732724</x:v>
      </x:c>
    </x:row>
    <x:row r="1207">
      <x:c r="A1207" s="23" t="n">
        <x:v>1206</x:v>
      </x:c>
      <x:c r="B1207" s="23" t="str">
        <x:v>Train</x:v>
      </x:c>
      <x:c r="C1207" s="23" t="str">
        <x:v>Switching</x:v>
      </x:c>
      <x:c r="D1207" s="23" t="n">
        <x:v>1090.1046157930978</x:v>
      </x:c>
      <x:c r="E1207" s="23" t="n">
        <x:v>1124.390541925095</x:v>
      </x:c>
      <x:c r="F1207" s="23" t="n">
        <x:v>577.8412622399628</x:v>
      </x:c>
      <x:c r="G1207" s="23" t="n">
        <x:v>312.16072702780366</x:v>
      </x:c>
      <x:c r="H1207" s="23" t="n">
        <x:v>20.599219432566315</x:v>
      </x:c>
      <x:c r="I1207" s="23" t="n">
        <x:v>0.7929256431525573</x:v>
      </x:c>
      <x:c r="J1207" s="23" t="n">
        <x:v>7</x:v>
      </x:c>
      <x:c r="K1207" s="23" t="n">
        <x:v>196.3982779121994</x:v>
      </x:c>
      <x:c r="L1207" s="23" t="n">
        <x:v>10615</x:v>
      </x:c>
      <x:c r="M1207" s="23" t="n">
        <x:v>1195</x:v>
      </x:c>
      <x:c r="N1207" s="23" t="n">
        <x:v>249.9652385475386</x:v>
      </x:c>
      <x:c r="O1207" s="23" t="n">
        <x:v>2496.0823227117357</x:v>
      </x:c>
      <x:c r="P1207" s="23" t="n">
        <x:v>1090.1046157930978</x:v>
      </x:c>
      <x:c r="Q1207" s="23" t="n">
        <x:v>253.92673891780456</x:v>
      </x:c>
      <x:c r="R1207" s="23" t="n">
        <x:v>2563.430254639435</x:v>
      </x:c>
      <x:c r="S1207" s="23" t="n">
        <x:v>1086.944565356465</x:v>
      </x:c>
      <x:c r="T1207" s="23" t="n">
        <x:v>3.961500370265952</x:v>
      </x:c>
      <x:c r="U1207" s="23" t="n">
        <x:v>67.34793192769939</x:v>
      </x:c>
      <x:c r="V1207" s="23" t="n">
        <x:v>-3.160050436632673</x:v>
      </x:c>
    </x:row>
    <x:row r="1208">
      <x:c r="A1208" s="23" t="n">
        <x:v>1207</x:v>
      </x:c>
      <x:c r="B1208" s="23" t="str">
        <x:v>Train</x:v>
      </x:c>
      <x:c r="C1208" s="23" t="str">
        <x:v>Switching</x:v>
      </x:c>
      <x:c r="D1208" s="23" t="n">
        <x:v>1067.2013216884807</x:v>
      </x:c>
      <x:c r="E1208" s="23" t="n">
        <x:v>1100.039428297896</x:v>
      </x:c>
      <x:c r="F1208" s="23" t="n">
        <x:v>370.20414620637894</x:v>
      </x:c>
      <x:c r="G1208" s="23" t="n">
        <x:v>80.55710127344355</x:v>
      </x:c>
      <x:c r="H1208" s="23" t="n">
        <x:v>18.385247121565044</x:v>
      </x:c>
      <x:c r="I1208" s="23" t="n">
        <x:v>0.8175498314551078</x:v>
      </x:c>
      <x:c r="J1208" s="23" t="n">
        <x:v>7</x:v>
      </x:c>
      <x:c r="K1208" s="23" t="n">
        <x:v>186.4807817260916</x:v>
      </x:c>
      <x:c r="L1208" s="23" t="n">
        <x:v>13790</x:v>
      </x:c>
      <x:c r="M1208" s="23" t="n">
        <x:v>1200</x:v>
      </x:c>
      <x:c r="N1208" s="23" t="n">
        <x:v>249.99737560684792</x:v>
      </x:c>
      <x:c r="O1208" s="23" t="n">
        <x:v>2503.827520893837</x:v>
      </x:c>
      <x:c r="P1208" s="23" t="n">
        <x:v>1067.2013216884807</x:v>
      </x:c>
      <x:c r="Q1208" s="23" t="n">
        <x:v>251.10905712644023</x:v>
      </x:c>
      <x:c r="R1208" s="23" t="n">
        <x:v>2534.07009240123</x:v>
      </x:c>
      <x:c r="S1208" s="23" t="n">
        <x:v>1067.437517363881</x:v>
      </x:c>
      <x:c r="T1208" s="23" t="n">
        <x:v>1.1116815195923095</x:v>
      </x:c>
      <x:c r="U1208" s="23" t="n">
        <x:v>30.242571507392768</x:v>
      </x:c>
      <x:c r="V1208" s="23" t="n">
        <x:v>0.23619567540026765</x:v>
      </x:c>
    </x:row>
    <x:row r="1209">
      <x:c r="A1209" s="23" t="n">
        <x:v>1208</x:v>
      </x:c>
      <x:c r="B1209" s="23" t="str">
        <x:v>Train</x:v>
      </x:c>
      <x:c r="C1209" s="23" t="str">
        <x:v>Switching</x:v>
      </x:c>
      <x:c r="D1209" s="23" t="n">
        <x:v>1062.1697551454417</x:v>
      </x:c>
      <x:c r="E1209" s="23" t="n">
        <x:v>804.0725368075073</x:v>
      </x:c>
      <x:c r="F1209" s="23" t="n">
        <x:v>653.2453528605402</x:v>
      </x:c>
      <x:c r="G1209" s="23" t="n">
        <x:v>308.3733623335138</x:v>
      </x:c>
      <x:c r="H1209" s="23" t="n">
        <x:v>28.236056303139776</x:v>
      </x:c>
      <x:c r="I1209" s="23" t="n">
        <x:v>0.8498547063488514</x:v>
      </x:c>
      <x:c r="J1209" s="23" t="n">
        <x:v>7</x:v>
      </x:c>
      <x:c r="K1209" s="23" t="n">
        <x:v>178.54644484025795</x:v>
      </x:c>
      <x:c r="L1209" s="23" t="n">
        <x:v>12110</x:v>
      </x:c>
      <x:c r="M1209" s="23" t="n">
        <x:v>1200</x:v>
      </x:c>
      <x:c r="N1209" s="23" t="n">
        <x:v>249.96236653655436</x:v>
      </x:c>
      <x:c r="O1209" s="23" t="n">
        <x:v>2505.0784419161514</x:v>
      </x:c>
      <x:c r="P1209" s="23" t="n">
        <x:v>1062.1697551454417</x:v>
      </x:c>
      <x:c r="Q1209" s="23" t="n">
        <x:v>246.48344046030383</x:v>
      </x:c>
      <x:c r="R1209" s="23" t="n">
        <x:v>2468.5325652265683</x:v>
      </x:c>
      <x:c r="S1209" s="23" t="n">
        <x:v>1054.1290281082713</x:v>
      </x:c>
      <x:c r="T1209" s="23" t="n">
        <x:v>-3.4789260762505307</x:v>
      </x:c>
      <x:c r="U1209" s="23" t="n">
        <x:v>-36.54587668958311</x:v>
      </x:c>
      <x:c r="V1209" s="23" t="n">
        <x:v>-8.040727037170427</x:v>
      </x:c>
    </x:row>
    <x:row r="1210">
      <x:c r="A1210" s="23" t="n">
        <x:v>1209</x:v>
      </x:c>
      <x:c r="B1210" s="23" t="str">
        <x:v>Train</x:v>
      </x:c>
      <x:c r="C1210" s="23" t="str">
        <x:v>Switching</x:v>
      </x:c>
      <x:c r="D1210" s="23" t="n">
        <x:v>1098.1735911220312</x:v>
      </x:c>
      <x:c r="E1210" s="23" t="n">
        <x:v>1172.7479113615118</x:v>
      </x:c>
      <x:c r="F1210" s="23" t="n">
        <x:v>547.2942786291242</x:v>
      </x:c>
      <x:c r="G1210" s="23" t="n">
        <x:v>175.9764575236477</x:v>
      </x:c>
      <x:c r="H1210" s="23" t="n">
        <x:v>9.933935774490237</x:v>
      </x:c>
      <x:c r="I1210" s="23" t="n">
        <x:v>0.8079407733422704</x:v>
      </x:c>
      <x:c r="J1210" s="23" t="n">
        <x:v>7</x:v>
      </x:c>
      <x:c r="K1210" s="23" t="n">
        <x:v>194.17505189133612</x:v>
      </x:c>
      <x:c r="L1210" s="23" t="n">
        <x:v>11280</x:v>
      </x:c>
      <x:c r="M1210" s="23" t="n">
        <x:v>1195</x:v>
      </x:c>
      <x:c r="N1210" s="23" t="n">
        <x:v>250.01534874856554</x:v>
      </x:c>
      <x:c r="O1210" s="23" t="n">
        <x:v>2495.396115818615</x:v>
      </x:c>
      <x:c r="P1210" s="23" t="n">
        <x:v>1098.1735911220312</x:v>
      </x:c>
      <x:c r="Q1210" s="23" t="n">
        <x:v>253.65084808447068</x:v>
      </x:c>
      <x:c r="R1210" s="23" t="n">
        <x:v>2500.7784208835365</x:v>
      </x:c>
      <x:c r="S1210" s="23" t="n">
        <x:v>1098.7074990076558</x:v>
      </x:c>
      <x:c r="T1210" s="23" t="n">
        <x:v>3.6354993359051377</x:v>
      </x:c>
      <x:c r="U1210" s="23" t="n">
        <x:v>5.382305064921638</x:v>
      </x:c>
      <x:c r="V1210" s="23" t="n">
        <x:v>0.5339078856245578</x:v>
      </x:c>
    </x:row>
    <x:row r="1211">
      <x:c r="A1211" s="23" t="n">
        <x:v>1210</x:v>
      </x:c>
      <x:c r="B1211" s="23" t="str">
        <x:v>Train</x:v>
      </x:c>
      <x:c r="C1211" s="23" t="str">
        <x:v>Switching</x:v>
      </x:c>
      <x:c r="D1211" s="23" t="n">
        <x:v>1076.4303746283986</x:v>
      </x:c>
      <x:c r="E1211" s="23" t="n">
        <x:v>620.5336345592514</x:v>
      </x:c>
      <x:c r="F1211" s="23" t="n">
        <x:v>720.159335527569</x:v>
      </x:c>
      <x:c r="G1211" s="23" t="n">
        <x:v>306.49763501249254</x:v>
      </x:c>
      <x:c r="H1211" s="23" t="n">
        <x:v>11.074382286984473</x:v>
      </x:c>
      <x:c r="I1211" s="23" t="n">
        <x:v>0.8389037125604227</x:v>
      </x:c>
      <x:c r="J1211" s="23" t="n">
        <x:v>7</x:v>
      </x:c>
      <x:c r="K1211" s="23" t="n">
        <x:v>183.30562316230197</x:v>
      </x:c>
      <x:c r="L1211" s="23" t="n">
        <x:v>12985</x:v>
      </x:c>
      <x:c r="M1211" s="23" t="n">
        <x:v>1200</x:v>
      </x:c>
      <x:c r="N1211" s="23" t="n">
        <x:v>250.03497571913422</x:v>
      </x:c>
      <x:c r="O1211" s="23" t="n">
        <x:v>2504.3886259504043</x:v>
      </x:c>
      <x:c r="P1211" s="23" t="n">
        <x:v>1076.4303746283986</x:v>
      </x:c>
      <x:c r="Q1211" s="23" t="n">
        <x:v>249.4779501895942</x:v>
      </x:c>
      <x:c r="R1211" s="23" t="n">
        <x:v>2438.009902244089</x:v>
      </x:c>
      <x:c r="S1211" s="23" t="n">
        <x:v>1079.3036789870325</x:v>
      </x:c>
      <x:c r="T1211" s="23" t="n">
        <x:v>-0.5570255295400273</x:v>
      </x:c>
      <x:c r="U1211" s="23" t="n">
        <x:v>-66.37872370631521</x:v>
      </x:c>
      <x:c r="V1211" s="23" t="n">
        <x:v>2.873304358633959</x:v>
      </x:c>
    </x:row>
    <x:row r="1212">
      <x:c r="A1212" s="23" t="n">
        <x:v>1211</x:v>
      </x:c>
      <x:c r="B1212" s="23" t="str">
        <x:v>Train</x:v>
      </x:c>
      <x:c r="C1212" s="23" t="str">
        <x:v>Switching</x:v>
      </x:c>
      <x:c r="D1212" s="23" t="n">
        <x:v>983.5520979715511</x:v>
      </x:c>
      <x:c r="E1212" s="23" t="n">
        <x:v>778.907265572343</x:v>
      </x:c>
      <x:c r="F1212" s="23" t="n">
        <x:v>485.1821456104517</x:v>
      </x:c>
      <x:c r="G1212" s="23" t="n">
        <x:v>177.0933914068155</x:v>
      </x:c>
      <x:c r="H1212" s="23" t="n">
        <x:v>24.398661204613745</x:v>
      </x:c>
      <x:c r="I1212" s="23" t="n">
        <x:v>0.8368844253080897</x:v>
      </x:c>
      <x:c r="J1212" s="23" t="n">
        <x:v>6</x:v>
      </x:c>
      <x:c r="K1212" s="23" t="n">
        <x:v>195.87573230506456</x:v>
      </x:c>
      <x:c r="L1212" s="23" t="n">
        <x:v>17310</x:v>
      </x:c>
      <x:c r="M1212" s="23" t="n">
        <x:v>1200</x:v>
      </x:c>
      <x:c r="N1212" s="23" t="n">
        <x:v>249.96817100692422</x:v>
      </x:c>
      <x:c r="O1212" s="23" t="n">
        <x:v>2501.990925711801</x:v>
      </x:c>
      <x:c r="P1212" s="23" t="n">
        <x:v>983.5520979715511</x:v>
      </x:c>
      <x:c r="Q1212" s="23" t="n">
        <x:v>248.74220786709938</x:v>
      </x:c>
      <x:c r="R1212" s="23" t="n">
        <x:v>2451.4681135397595</x:v>
      </x:c>
      <x:c r="S1212" s="23" t="n">
        <x:v>983.7749189775258</x:v>
      </x:c>
      <x:c r="T1212" s="23" t="n">
        <x:v>-1.2259631398248416</x:v>
      </x:c>
      <x:c r="U1212" s="23" t="n">
        <x:v>-50.52281217204154</x:v>
      </x:c>
      <x:c r="V1212" s="23" t="n">
        <x:v>0.2228210059746516</x:v>
      </x:c>
    </x:row>
    <x:row r="1213">
      <x:c r="A1213" s="23" t="n">
        <x:v>1212</x:v>
      </x:c>
      <x:c r="B1213" s="23" t="str">
        <x:v>Train</x:v>
      </x:c>
      <x:c r="C1213" s="23" t="str">
        <x:v>Switching</x:v>
      </x:c>
      <x:c r="D1213" s="23" t="n">
        <x:v>1051.9367132685147</x:v>
      </x:c>
      <x:c r="E1213" s="23" t="n">
        <x:v>1219.9417050462216</x:v>
      </x:c>
      <x:c r="F1213" s="23" t="n">
        <x:v>639.2530734650791</x:v>
      </x:c>
      <x:c r="G1213" s="23" t="n">
        <x:v>246.58540617208928</x:v>
      </x:c>
      <x:c r="H1213" s="23" t="n">
        <x:v>19.63585193036124</x:v>
      </x:c>
      <x:c r="I1213" s="23" t="n">
        <x:v>0.8206341634690761</x:v>
      </x:c>
      <x:c r="J1213" s="23" t="n">
        <x:v>7</x:v>
      </x:c>
      <x:c r="K1213" s="23" t="n">
        <x:v>183.122614209488</x:v>
      </x:c>
      <x:c r="L1213" s="23" t="n">
        <x:v>10155</x:v>
      </x:c>
      <x:c r="M1213" s="23" t="n">
        <x:v>1195</x:v>
      </x:c>
      <x:c r="N1213" s="23" t="n">
        <x:v>249.98184862582985</x:v>
      </x:c>
      <x:c r="O1213" s="23" t="n">
        <x:v>2496.6120919126993</x:v>
      </x:c>
      <x:c r="P1213" s="23" t="n">
        <x:v>1051.9367132685147</x:v>
      </x:c>
      <x:c r="Q1213" s="23" t="n">
        <x:v>254.06233638382878</x:v>
      </x:c>
      <x:c r="R1213" s="23" t="n">
        <x:v>2527.7665047274954</x:v>
      </x:c>
      <x:c r="S1213" s="23" t="n">
        <x:v>1041.1693405065855</x:v>
      </x:c>
      <x:c r="T1213" s="23" t="n">
        <x:v>4.080487757998924</x:v>
      </x:c>
      <x:c r="U1213" s="23" t="n">
        <x:v>31.15441281479616</x:v>
      </x:c>
      <x:c r="V1213" s="23" t="n">
        <x:v>-10.76737276192921</x:v>
      </x:c>
    </x:row>
    <x:row r="1214">
      <x:c r="A1214" s="23" t="n">
        <x:v>1213</x:v>
      </x:c>
      <x:c r="B1214" s="23" t="str">
        <x:v>Train</x:v>
      </x:c>
      <x:c r="C1214" s="23" t="str">
        <x:v>Switching</x:v>
      </x:c>
      <x:c r="D1214" s="23" t="n">
        <x:v>978.0404161196202</x:v>
      </x:c>
      <x:c r="E1214" s="23" t="n">
        <x:v>639.2240625689737</x:v>
      </x:c>
      <x:c r="F1214" s="23" t="n">
        <x:v>556.8872636184096</x:v>
      </x:c>
      <x:c r="G1214" s="23" t="n">
        <x:v>278.0635140207596</x:v>
      </x:c>
      <x:c r="H1214" s="23" t="n">
        <x:v>28.212931033223867</x:v>
      </x:c>
      <x:c r="I1214" s="23" t="n">
        <x:v>0.8034322756924667</x:v>
      </x:c>
      <x:c r="J1214" s="23" t="n">
        <x:v>7</x:v>
      </x:c>
      <x:c r="K1214" s="23" t="n">
        <x:v>173.90396636136796</x:v>
      </x:c>
      <x:c r="L1214" s="23" t="n">
        <x:v>14505</x:v>
      </x:c>
      <x:c r="M1214" s="23" t="n">
        <x:v>1200</x:v>
      </x:c>
      <x:c r="N1214" s="23" t="n">
        <x:v>249.96675184951977</x:v>
      </x:c>
      <x:c r="O1214" s="23" t="n">
        <x:v>2503.38146657982</x:v>
      </x:c>
      <x:c r="P1214" s="23" t="n">
        <x:v>978.0404161196202</x:v>
      </x:c>
      <x:c r="Q1214" s="23" t="n">
        <x:v>246.95290741277762</x:v>
      </x:c>
      <x:c r="R1214" s="23" t="n">
        <x:v>2494.3897492750916</x:v>
      </x:c>
      <x:c r="S1214" s="23" t="n">
        <x:v>978.043221842555</x:v>
      </x:c>
      <x:c r="T1214" s="23" t="n">
        <x:v>-3.013844436742147</x:v>
      </x:c>
      <x:c r="U1214" s="23" t="n">
        <x:v>-8.991717304728354</x:v>
      </x:c>
      <x:c r="V1214" s="23" t="n">
        <x:v>0.002805722934795085</x:v>
      </x:c>
    </x:row>
    <x:row r="1215">
      <x:c r="A1215" s="23" t="n">
        <x:v>1214</x:v>
      </x:c>
      <x:c r="B1215" s="23" t="str">
        <x:v>Train</x:v>
      </x:c>
      <x:c r="C1215" s="23" t="str">
        <x:v>Switching</x:v>
      </x:c>
      <x:c r="D1215" s="23" t="n">
        <x:v>1064.548852678854</x:v>
      </x:c>
      <x:c r="E1215" s="23" t="n">
        <x:v>1095.8003501174971</x:v>
      </x:c>
      <x:c r="F1215" s="23" t="n">
        <x:v>584.5990826375782</x:v>
      </x:c>
      <x:c r="G1215" s="23" t="n">
        <x:v>162.78406504541636</x:v>
      </x:c>
      <x:c r="H1215" s="23" t="n">
        <x:v>26.030030908528715</x:v>
      </x:c>
      <x:c r="I1215" s="23" t="n">
        <x:v>0.8230639086989686</x:v>
      </x:c>
      <x:c r="J1215" s="23" t="n">
        <x:v>7</x:v>
      </x:c>
      <x:c r="K1215" s="23" t="n">
        <x:v>184.77108025055253</x:v>
      </x:c>
      <x:c r="L1215" s="23" t="n">
        <x:v>11605</x:v>
      </x:c>
      <x:c r="M1215" s="23" t="n">
        <x:v>1195</x:v>
      </x:c>
      <x:c r="N1215" s="23" t="n">
        <x:v>250.05145800534132</x:v>
      </x:c>
      <x:c r="O1215" s="23" t="n">
        <x:v>2495.089833361657</x:v>
      </x:c>
      <x:c r="P1215" s="23" t="n">
        <x:v>1064.548852678854</x:v>
      </x:c>
      <x:c r="Q1215" s="23" t="n">
        <x:v>250.28052762660323</x:v>
      </x:c>
      <x:c r="R1215" s="23" t="n">
        <x:v>2531.666826094823</x:v>
      </x:c>
      <x:c r="S1215" s="23" t="n">
        <x:v>1058.0100200100544</x:v>
      </x:c>
      <x:c r="T1215" s="23" t="n">
        <x:v>0.22906962126191388</x:v>
      </x:c>
      <x:c r="U1215" s="23" t="n">
        <x:v>36.57699273316621</x:v>
      </x:c>
      <x:c r="V1215" s="23" t="n">
        <x:v>-6.538832668799614</x:v>
      </x:c>
    </x:row>
    <x:row r="1216">
      <x:c r="A1216" s="23" t="n">
        <x:v>1215</x:v>
      </x:c>
      <x:c r="B1216" s="23" t="str">
        <x:v>Validation</x:v>
      </x:c>
      <x:c r="C1216" s="23" t="str">
        <x:v>Switching</x:v>
      </x:c>
      <x:c r="D1216" s="23" t="n">
        <x:v>1004.6945207053795</x:v>
      </x:c>
      <x:c r="E1216" s="23" t="n">
        <x:v>740.7783771981485</x:v>
      </x:c>
      <x:c r="F1216" s="23" t="n">
        <x:v>584.9230341613293</x:v>
      </x:c>
      <x:c r="G1216" s="23" t="n">
        <x:v>178.6653598374687</x:v>
      </x:c>
      <x:c r="H1216" s="23" t="n">
        <x:v>9.504840112291276</x:v>
      </x:c>
      <x:c r="I1216" s="23" t="n">
        <x:v>0.8446681133075618</x:v>
      </x:c>
      <x:c r="J1216" s="23" t="n">
        <x:v>6</x:v>
      </x:c>
      <x:c r="K1216" s="23" t="n">
        <x:v>198.24246250818058</x:v>
      </x:c>
      <x:c r="L1216" s="23" t="n">
        <x:v>16585</x:v>
      </x:c>
      <x:c r="M1216" s="23" t="n">
        <x:v>1200</x:v>
      </x:c>
      <x:c r="N1216" s="23" t="n">
        <x:v>249.99842685149113</x:v>
      </x:c>
      <x:c r="O1216" s="23" t="n">
        <x:v>2502.3061884415642</x:v>
      </x:c>
      <x:c r="P1216" s="23" t="n">
        <x:v>1004.6945207053795</x:v>
      </x:c>
      <x:c r="Q1216" s="23" t="n">
        <x:v>250.3676069886177</x:v>
      </x:c>
      <x:c r="R1216" s="23" t="n">
        <x:v>2522.174723455854</x:v>
      </x:c>
      <x:c r="S1216" s="23" t="n">
        <x:v>1014.6425550112199</x:v>
      </x:c>
      <x:c r="T1216" s="23" t="n">
        <x:v>0.3691801371265626</x:v>
      </x:c>
      <x:c r="U1216" s="23" t="n">
        <x:v>19.86853501428959</x:v>
      </x:c>
      <x:c r="V1216" s="23" t="n">
        <x:v>9.948034305840338</x:v>
      </x:c>
    </x:row>
    <x:row r="1217">
      <x:c r="A1217" s="23" t="n">
        <x:v>1216</x:v>
      </x:c>
      <x:c r="B1217" s="23" t="str">
        <x:v>Validation</x:v>
      </x:c>
      <x:c r="C1217" s="23" t="str">
        <x:v>Switching</x:v>
      </x:c>
      <x:c r="D1217" s="23" t="n">
        <x:v>1080.622687365394</x:v>
      </x:c>
      <x:c r="E1217" s="23" t="n">
        <x:v>877.7540069073439</x:v>
      </x:c>
      <x:c r="F1217" s="23" t="n">
        <x:v>683.4102331660688</x:v>
      </x:c>
      <x:c r="G1217" s="23" t="n">
        <x:v>181.742462371476</x:v>
      </x:c>
      <x:c r="H1217" s="23" t="n">
        <x:v>23.94523693760857</x:v>
      </x:c>
      <x:c r="I1217" s="23" t="n">
        <x:v>0.8240679446142167</x:v>
      </x:c>
      <x:c r="J1217" s="23" t="n">
        <x:v>7</x:v>
      </x:c>
      <x:c r="K1217" s="23" t="n">
        <x:v>187.3324531460782</x:v>
      </x:c>
      <x:c r="L1217" s="23" t="n">
        <x:v>12270</x:v>
      </x:c>
      <x:c r="M1217" s="23" t="n">
        <x:v>1200</x:v>
      </x:c>
      <x:c r="N1217" s="23" t="n">
        <x:v>249.99667061646448</x:v>
      </x:c>
      <x:c r="O1217" s="23" t="n">
        <x:v>2504.9458084962716</x:v>
      </x:c>
      <x:c r="P1217" s="23" t="n">
        <x:v>1080.622687365394</x:v>
      </x:c>
      <x:c r="Q1217" s="23" t="n">
        <x:v>249.38139005242735</x:v>
      </x:c>
      <x:c r="R1217" s="23" t="n">
        <x:v>2473.978612439778</x:v>
      </x:c>
      <x:c r="S1217" s="23" t="n">
        <x:v>1077.5469136183674</x:v>
      </x:c>
      <x:c r="T1217" s="23" t="n">
        <x:v>-0.6152805640371355</x:v>
      </x:c>
      <x:c r="U1217" s="23" t="n">
        <x:v>-30.967196056493776</x:v>
      </x:c>
      <x:c r="V1217" s="23" t="n">
        <x:v>-3.0757737470266875</x:v>
      </x:c>
    </x:row>
    <x:row r="1218">
      <x:c r="A1218" s="23" t="n">
        <x:v>1217</x:v>
      </x:c>
      <x:c r="B1218" s="23" t="str">
        <x:v>Validation</x:v>
      </x:c>
      <x:c r="C1218" s="23" t="str">
        <x:v>Switching</x:v>
      </x:c>
      <x:c r="D1218" s="23" t="n">
        <x:v>1084.5731901936233</x:v>
      </x:c>
      <x:c r="E1218" s="23" t="n">
        <x:v>924.2080259486102</x:v>
      </x:c>
      <x:c r="F1218" s="23" t="n">
        <x:v>607.1300262585282</x:v>
      </x:c>
      <x:c r="G1218" s="23" t="n">
        <x:v>237.1157286525704</x:v>
      </x:c>
      <x:c r="H1218" s="23" t="n">
        <x:v>18.318212339654565</x:v>
      </x:c>
      <x:c r="I1218" s="23" t="n">
        <x:v>0.8268714147363789</x:v>
      </x:c>
      <x:c r="J1218" s="23" t="n">
        <x:v>7</x:v>
      </x:c>
      <x:c r="K1218" s="23" t="n">
        <x:v>187.37983247360762</x:v>
      </x:c>
      <x:c r="L1218" s="23" t="n">
        <x:v>12095</x:v>
      </x:c>
      <x:c r="M1218" s="23" t="n">
        <x:v>1200</x:v>
      </x:c>
      <x:c r="N1218" s="23" t="n">
        <x:v>250.0431043787173</x:v>
      </x:c>
      <x:c r="O1218" s="23" t="n">
        <x:v>2505.0945231491405</x:v>
      </x:c>
      <x:c r="P1218" s="23" t="n">
        <x:v>1084.5731901936233</x:v>
      </x:c>
      <x:c r="Q1218" s="23" t="n">
        <x:v>253.91344805550872</x:v>
      </x:c>
      <x:c r="R1218" s="23" t="n">
        <x:v>2515.834086259821</x:v>
      </x:c>
      <x:c r="S1218" s="23" t="n">
        <x:v>1077.9162714382721</x:v>
      </x:c>
      <x:c r="T1218" s="23" t="n">
        <x:v>3.8703436767914354</x:v>
      </x:c>
      <x:c r="U1218" s="23" t="n">
        <x:v>10.739563110680592</x:v>
      </x:c>
      <x:c r="V1218" s="23" t="n">
        <x:v>-6.656918755351171</x:v>
      </x:c>
    </x:row>
    <x:row r="1219">
      <x:c r="A1219" s="23" t="n">
        <x:v>1218</x:v>
      </x:c>
      <x:c r="B1219" s="23" t="str">
        <x:v>Hidden Test</x:v>
      </x:c>
      <x:c r="C1219" s="23" t="str">
        <x:v>Switching</x:v>
      </x:c>
      <x:c r="D1219" s="23" t="n">
        <x:v>1022.3937404924072</x:v>
      </x:c>
      <x:c r="E1219" s="23" t="n">
        <x:v>930.6477203266695</x:v>
      </x:c>
      <x:c r="F1219" s="23" t="n">
        <x:v>534.6898042596877</x:v>
      </x:c>
      <x:c r="G1219" s="23" t="n">
        <x:v>136.7890910897404</x:v>
      </x:c>
      <x:c r="H1219" s="23" t="n">
        <x:v>23.035956614185125</x:v>
      </x:c>
      <x:c r="I1219" s="23" t="n">
        <x:v>0.7991532060364261</x:v>
      </x:c>
      <x:c r="J1219" s="23" t="n">
        <x:v>7</x:v>
      </x:c>
      <x:c r="K1219" s="23" t="n">
        <x:v>182.76376486827868</x:v>
      </x:c>
      <x:c r="L1219" s="23" t="n">
        <x:v>13350</x:v>
      </x:c>
      <x:c r="M1219" s="23" t="n">
        <x:v>1200</x:v>
      </x:c>
      <x:c r="N1219" s="23" t="n">
        <x:v>250.03079741243104</x:v>
      </x:c>
      <x:c r="O1219" s="23" t="n">
        <x:v>2504.1262994551735</x:v>
      </x:c>
      <x:c r="P1219" s="23" t="n">
        <x:v>1022.3937404924072</x:v>
      </x:c>
      <x:c r="Q1219" s="23" t="n">
        <x:v>250.09026445332165</x:v>
      </x:c>
      <x:c r="R1219" s="23" t="n">
        <x:v>2507.38331326401</x:v>
      </x:c>
      <x:c r="S1219" s="23" t="n">
        <x:v>1024.392525587428</x:v>
      </x:c>
      <x:c r="T1219" s="23" t="n">
        <x:v>0.059467040890609724</x:v>
      </x:c>
      <x:c r="U1219" s="23" t="n">
        <x:v>3.2570138088367457</x:v>
      </x:c>
      <x:c r="V1219" s="23" t="n">
        <x:v>1.9987850950208212</x:v>
      </x:c>
    </x:row>
    <x:row r="1220">
      <x:c r="A1220" s="23" t="n">
        <x:v>1219</x:v>
      </x:c>
      <x:c r="B1220" s="23" t="str">
        <x:v>Hidden Test</x:v>
      </x:c>
      <x:c r="C1220" s="23" t="str">
        <x:v>Switching</x:v>
      </x:c>
      <x:c r="D1220" s="23" t="n">
        <x:v>1071.4047353481874</x:v>
      </x:c>
      <x:c r="E1220" s="23" t="n">
        <x:v>827.5677626603283</x:v>
      </x:c>
      <x:c r="F1220" s="23" t="n">
        <x:v>555.2839171141386</x:v>
      </x:c>
      <x:c r="G1220" s="23" t="n">
        <x:v>271.6010004351847</x:v>
      </x:c>
      <x:c r="H1220" s="23" t="n">
        <x:v>26.855440472252667</x:v>
      </x:c>
      <x:c r="I1220" s="23" t="n">
        <x:v>0.8003268192778342</x:v>
      </x:c>
      <x:c r="J1220" s="23" t="n">
        <x:v>7</x:v>
      </x:c>
      <x:c r="K1220" s="23" t="n">
        <x:v>191.24414632707837</x:v>
      </x:c>
      <x:c r="L1220" s="23" t="n">
        <x:v>12925</x:v>
      </x:c>
      <x:c r="M1220" s="23" t="n">
        <x:v>1200</x:v>
      </x:c>
      <x:c r="N1220" s="23" t="n">
        <x:v>249.97725205008868</x:v>
      </x:c>
      <x:c r="O1220" s="23" t="n">
        <x:v>2504.4308999420364</x:v>
      </x:c>
      <x:c r="P1220" s="23" t="n">
        <x:v>1071.4047353481874</x:v>
      </x:c>
      <x:c r="Q1220" s="23" t="n">
        <x:v>251.41827914505168</x:v>
      </x:c>
      <x:c r="R1220" s="23" t="n">
        <x:v>2501.8592831381166</x:v>
      </x:c>
      <x:c r="S1220" s="23" t="n">
        <x:v>1065.1750111826962</x:v>
      </x:c>
      <x:c r="T1220" s="23" t="n">
        <x:v>1.4410270949630046</x:v>
      </x:c>
      <x:c r="U1220" s="23" t="n">
        <x:v>-2.5716168039198237</x:v>
      </x:c>
      <x:c r="V1220" s="23" t="n">
        <x:v>-6.229724165491234</x:v>
      </x:c>
    </x:row>
    <x:row r="1221">
      <x:c r="A1221" s="23" t="n">
        <x:v>1220</x:v>
      </x:c>
      <x:c r="B1221" s="23" t="str">
        <x:v>Hidden Test</x:v>
      </x:c>
      <x:c r="C1221" s="23" t="str">
        <x:v>Switching</x:v>
      </x:c>
      <x:c r="D1221" s="23" t="n">
        <x:v>1034.1933465912007</x:v>
      </x:c>
      <x:c r="E1221" s="23" t="n">
        <x:v>1101.127961697057</x:v>
      </x:c>
      <x:c r="F1221" s="23" t="n">
        <x:v>580.0849082879722</x:v>
      </x:c>
      <x:c r="G1221" s="23" t="n">
        <x:v>190.24701630230993</x:v>
      </x:c>
      <x:c r="H1221" s="23" t="n">
        <x:v>27.69682841701433</x:v>
      </x:c>
      <x:c r="I1221" s="23" t="n">
        <x:v>0.8425455833040179</x:v>
      </x:c>
      <x:c r="J1221" s="23" t="n">
        <x:v>7</x:v>
      </x:c>
      <x:c r="K1221" s="23" t="n">
        <x:v>175.3518261605743</x:v>
      </x:c>
      <x:c r="L1221" s="23" t="n">
        <x:v>11425</x:v>
      </x:c>
      <x:c r="M1221" s="23" t="n">
        <x:v>1195</x:v>
      </x:c>
      <x:c r="N1221" s="23" t="n">
        <x:v>249.94963029672573</x:v>
      </x:c>
      <x:c r="O1221" s="23" t="n">
        <x:v>2495.2537500305134</x:v>
      </x:c>
      <x:c r="P1221" s="23" t="n">
        <x:v>1034.1933465912007</x:v>
      </x:c>
      <x:c r="Q1221" s="23" t="n">
        <x:v>252.30971804701332</x:v>
      </x:c>
      <x:c r="R1221" s="23" t="n">
        <x:v>2556.49835119235</x:v>
      </x:c>
      <x:c r="S1221" s="23" t="n">
        <x:v>1014.5645134435122</x:v>
      </x:c>
      <x:c r="T1221" s="23" t="n">
        <x:v>2.3600877502875903</x:v>
      </x:c>
      <x:c r="U1221" s="23" t="n">
        <x:v>61.24460116183673</x:v>
      </x:c>
      <x:c r="V1221" s="23" t="n">
        <x:v>-19.62883314768851</x:v>
      </x:c>
    </x:row>
    <x:row r="1222">
      <x:c r="A1222" s="23" t="n">
        <x:v>1221</x:v>
      </x:c>
      <x:c r="B1222" s="23" t="str">
        <x:v>Train</x:v>
      </x:c>
      <x:c r="C1222" s="23" t="str">
        <x:v>Switching</x:v>
      </x:c>
      <x:c r="D1222" s="23" t="n">
        <x:v>990.60477190651</x:v>
      </x:c>
      <x:c r="E1222" s="23" t="n">
        <x:v>1004.5941443997435</x:v>
      </x:c>
      <x:c r="F1222" s="23" t="n">
        <x:v>363.32379411906004</x:v>
      </x:c>
      <x:c r="G1222" s="23" t="n">
        <x:v>256.7707609687932</x:v>
      </x:c>
      <x:c r="H1222" s="23" t="n">
        <x:v>22.072834484279156</x:v>
      </x:c>
      <x:c r="I1222" s="23" t="n">
        <x:v>0.7964064005226829</x:v>
      </x:c>
      <x:c r="J1222" s="23" t="n">
        <x:v>7</x:v>
      </x:c>
      <x:c r="K1222" s="23" t="n">
        <x:v>177.69190117299308</x:v>
      </x:c>
      <x:c r="L1222" s="23" t="n">
        <x:v>13165</x:v>
      </x:c>
      <x:c r="M1222" s="23" t="n">
        <x:v>1200</x:v>
      </x:c>
      <x:c r="N1222" s="23" t="n">
        <x:v>250.03822245366672</x:v>
      </x:c>
      <x:c r="O1222" s="23" t="n">
        <x:v>2504.257637857457</x:v>
      </x:c>
      <x:c r="P1222" s="23" t="n">
        <x:v>990.60477190651</x:v>
      </x:c>
      <x:c r="Q1222" s="23" t="n">
        <x:v>249.86355667146086</x:v>
      </x:c>
      <x:c r="R1222" s="23" t="n">
        <x:v>2523.6120086202973</x:v>
      </x:c>
      <x:c r="S1222" s="23" t="n">
        <x:v>988.4261586361692</x:v>
      </x:c>
      <x:c r="T1222" s="23" t="n">
        <x:v>-0.1746657822058637</x:v>
      </x:c>
      <x:c r="U1222" s="23" t="n">
        <x:v>19.354370762840063</x:v>
      </x:c>
      <x:c r="V1222" s="23" t="n">
        <x:v>-2.1786132703407475</x:v>
      </x:c>
    </x:row>
    <x:row r="1223">
      <x:c r="A1223" s="23" t="n">
        <x:v>1222</x:v>
      </x:c>
      <x:c r="B1223" s="23" t="str">
        <x:v>Train</x:v>
      </x:c>
      <x:c r="C1223" s="23" t="str">
        <x:v>Switching</x:v>
      </x:c>
      <x:c r="D1223" s="23" t="n">
        <x:v>1092.2157070715912</x:v>
      </x:c>
      <x:c r="E1223" s="23" t="n">
        <x:v>752.6353236055002</x:v>
      </x:c>
      <x:c r="F1223" s="23" t="n">
        <x:v>728.7499246187508</x:v>
      </x:c>
      <x:c r="G1223" s="23" t="n">
        <x:v>87.93950958177447</x:v>
      </x:c>
      <x:c r="H1223" s="23" t="n">
        <x:v>14.265916480217129</x:v>
      </x:c>
      <x:c r="I1223" s="23" t="n">
        <x:v>0.8530723189702258</x:v>
      </x:c>
      <x:c r="J1223" s="23" t="n">
        <x:v>7</x:v>
      </x:c>
      <x:c r="K1223" s="23" t="n">
        <x:v>182.9045578272801</x:v>
      </x:c>
      <x:c r="L1223" s="23" t="n">
        <x:v>13625</x:v>
      </x:c>
      <x:c r="M1223" s="23" t="n">
        <x:v>1200</x:v>
      </x:c>
      <x:c r="N1223" s="23" t="n">
        <x:v>249.95647469751563</x:v>
      </x:c>
      <x:c r="O1223" s="23" t="n">
        <x:v>2503.9353532801406</x:v>
      </x:c>
      <x:c r="P1223" s="23" t="n">
        <x:v>1092.2157070715912</x:v>
      </x:c>
      <x:c r="Q1223" s="23" t="n">
        <x:v>250.24988826342246</x:v>
      </x:c>
      <x:c r="R1223" s="23" t="n">
        <x:v>2461.6885501302186</x:v>
      </x:c>
      <x:c r="S1223" s="23" t="n">
        <x:v>1104.8251826822413</x:v>
      </x:c>
      <x:c r="T1223" s="23" t="n">
        <x:v>0.29341356590683176</x:v>
      </x:c>
      <x:c r="U1223" s="23" t="n">
        <x:v>-42.246803149922016</x:v>
      </x:c>
      <x:c r="V1223" s="23" t="n">
        <x:v>12.609475610650179</x:v>
      </x:c>
    </x:row>
    <x:row r="1224">
      <x:c r="A1224" s="23" t="n">
        <x:v>1223</x:v>
      </x:c>
      <x:c r="B1224" s="23" t="str">
        <x:v>Train</x:v>
      </x:c>
      <x:c r="C1224" s="23" t="str">
        <x:v>Switching</x:v>
      </x:c>
      <x:c r="D1224" s="23" t="n">
        <x:v>1024.509050627239</x:v>
      </x:c>
      <x:c r="E1224" s="23" t="n">
        <x:v>1089.2571710166521</x:v>
      </x:c>
      <x:c r="F1224" s="23" t="n">
        <x:v>655.2496463060379</x:v>
      </x:c>
      <x:c r="G1224" s="23" t="n">
        <x:v>181.21546679874882</x:v>
      </x:c>
      <x:c r="H1224" s="23" t="n">
        <x:v>28.582335892133415</x:v>
      </x:c>
      <x:c r="I1224" s="23" t="n">
        <x:v>0.8213229279196822</x:v>
      </x:c>
      <x:c r="J1224" s="23" t="n">
        <x:v>7</x:v>
      </x:c>
      <x:c r="K1224" s="23" t="n">
        <x:v>178.19840507143834</x:v>
      </x:c>
      <x:c r="L1224" s="23" t="n">
        <x:v>11105</x:v>
      </x:c>
      <x:c r="M1224" s="23" t="n">
        <x:v>1195</x:v>
      </x:c>
      <x:c r="N1224" s="23" t="n">
        <x:v>249.9931238832751</x:v>
      </x:c>
      <x:c r="O1224" s="23" t="n">
        <x:v>2495.5683061663262</x:v>
      </x:c>
      <x:c r="P1224" s="23" t="n">
        <x:v>1024.509050627239</x:v>
      </x:c>
      <x:c r="Q1224" s="23" t="n">
        <x:v>252.55615968187107</x:v>
      </x:c>
      <x:c r="R1224" s="23" t="n">
        <x:v>2520.4688715158977</x:v>
      </x:c>
      <x:c r="S1224" s="23" t="n">
        <x:v>1006.8543737012699</x:v>
      </x:c>
      <x:c r="T1224" s="23" t="n">
        <x:v>2.563035798595962</x:v>
      </x:c>
      <x:c r="U1224" s="23" t="n">
        <x:v>24.90056534957148</x:v>
      </x:c>
      <x:c r="V1224" s="23" t="n">
        <x:v>-17.65467692596917</x:v>
      </x:c>
    </x:row>
    <x:row r="1225">
      <x:c r="A1225" s="23" t="n">
        <x:v>1224</x:v>
      </x:c>
      <x:c r="B1225" s="23" t="str">
        <x:v>Train</x:v>
      </x:c>
      <x:c r="C1225" s="23" t="str">
        <x:v>Switching</x:v>
      </x:c>
      <x:c r="D1225" s="23" t="n">
        <x:v>1070.622683770489</x:v>
      </x:c>
      <x:c r="E1225" s="23" t="n">
        <x:v>635.1574991829693</x:v>
      </x:c>
      <x:c r="F1225" s="23" t="n">
        <x:v>682.1672088466585</x:v>
      </x:c>
      <x:c r="G1225" s="23" t="n">
        <x:v>278.58292082790285</x:v>
      </x:c>
      <x:c r="H1225" s="23" t="n">
        <x:v>11.987109122332186</x:v>
      </x:c>
      <x:c r="I1225" s="23" t="n">
        <x:v>0.8472897353116423</x:v>
      </x:c>
      <x:c r="J1225" s="23" t="n">
        <x:v>7</x:v>
      </x:c>
      <x:c r="K1225" s="23" t="n">
        <x:v>180.51215694858288</x:v>
      </x:c>
      <x:c r="L1225" s="23" t="n">
        <x:v>13400</x:v>
      </x:c>
      <x:c r="M1225" s="23" t="n">
        <x:v>1200</x:v>
      </x:c>
      <x:c r="N1225" s="23" t="n">
        <x:v>249.99281320055982</x:v>
      </x:c>
      <x:c r="O1225" s="23" t="n">
        <x:v>2504.0900974891056</x:v>
      </x:c>
      <x:c r="P1225" s="23" t="n">
        <x:v>1070.622683770489</x:v>
      </x:c>
      <x:c r="Q1225" s="23" t="n">
        <x:v>252.89539922437382</x:v>
      </x:c>
      <x:c r="R1225" s="23" t="n">
        <x:v>2463.7585655359862</x:v>
      </x:c>
      <x:c r="S1225" s="23" t="n">
        <x:v>1078.7610912378996</x:v>
      </x:c>
      <x:c r="T1225" s="23" t="n">
        <x:v>2.9025860238139956</x:v>
      </x:c>
      <x:c r="U1225" s="23" t="n">
        <x:v>-40.33153195311934</x:v>
      </x:c>
      <x:c r="V1225" s="23" t="n">
        <x:v>8.138407467410616</x:v>
      </x:c>
    </x:row>
    <x:row r="1226">
      <x:c r="A1226" s="23" t="n">
        <x:v>1225</x:v>
      </x:c>
      <x:c r="B1226" s="23" t="str">
        <x:v>Train</x:v>
      </x:c>
      <x:c r="C1226" s="23" t="str">
        <x:v>Switching</x:v>
      </x:c>
      <x:c r="D1226" s="23" t="n">
        <x:v>1070.0115302577615</x:v>
      </x:c>
      <x:c r="E1226" s="23" t="n">
        <x:v>720.5208175233565</x:v>
      </x:c>
      <x:c r="F1226" s="23" t="n">
        <x:v>699.0659983828664</x:v>
      </x:c>
      <x:c r="G1226" s="23" t="n">
        <x:v>314.61589362705126</x:v>
      </x:c>
      <x:c r="H1226" s="23" t="n">
        <x:v>14.983377343043685</x:v>
      </x:c>
      <x:c r="I1226" s="23" t="n">
        <x:v>0.8007081710663625</x:v>
      </x:c>
      <x:c r="J1226" s="23" t="n">
        <x:v>7</x:v>
      </x:c>
      <x:c r="K1226" s="23" t="n">
        <x:v>190.90449624517964</x:v>
      </x:c>
      <x:c r="L1226" s="23" t="n">
        <x:v>12330</x:v>
      </x:c>
      <x:c r="M1226" s="23" t="n">
        <x:v>1200</x:v>
      </x:c>
      <x:c r="N1226" s="23" t="n">
        <x:v>249.96435227469658</x:v>
      </x:c>
      <x:c r="O1226" s="23" t="n">
        <x:v>2504.895140812735</x:v>
      </x:c>
      <x:c r="P1226" s="23" t="n">
        <x:v>1070.0115302577615</x:v>
      </x:c>
      <x:c r="Q1226" s="23" t="n">
        <x:v>249.0110325830551</x:v>
      </x:c>
      <x:c r="R1226" s="23" t="n">
        <x:v>2496.1314511026067</x:v>
      </x:c>
      <x:c r="S1226" s="23" t="n">
        <x:v>1067.5657437612797</x:v>
      </x:c>
      <x:c r="T1226" s="23" t="n">
        <x:v>-0.9533196916414681</x:v>
      </x:c>
      <x:c r="U1226" s="23" t="n">
        <x:v>-8.763689710128347</x:v>
      </x:c>
      <x:c r="V1226" s="23" t="n">
        <x:v>-2.4457864964817873</x:v>
      </x:c>
    </x:row>
    <x:row r="1227">
      <x:c r="A1227" s="23" t="n">
        <x:v>1226</x:v>
      </x:c>
      <x:c r="B1227" s="23" t="str">
        <x:v>Train</x:v>
      </x:c>
      <x:c r="C1227" s="23" t="str">
        <x:v>Switching</x:v>
      </x:c>
      <x:c r="D1227" s="23" t="n">
        <x:v>977.7009301469661</x:v>
      </x:c>
      <x:c r="E1227" s="23" t="n">
        <x:v>1146.7066571349278</x:v>
      </x:c>
      <x:c r="F1227" s="23" t="n">
        <x:v>689.6379680372775</x:v>
      </x:c>
      <x:c r="G1227" s="23" t="n">
        <x:v>319.48402400128543</x:v>
      </x:c>
      <x:c r="H1227" s="23" t="n">
        <x:v>25.957960490603</x:v>
      </x:c>
      <x:c r="I1227" s="23" t="n">
        <x:v>0.8325699156941846</x:v>
      </x:c>
      <x:c r="J1227" s="23" t="n">
        <x:v>6</x:v>
      </x:c>
      <x:c r="K1227" s="23" t="n">
        <x:v>195.7194848778903</x:v>
      </x:c>
      <x:c r="L1227" s="23" t="n">
        <x:v>11575</x:v>
      </x:c>
      <x:c r="M1227" s="23" t="n">
        <x:v>1195</x:v>
      </x:c>
      <x:c r="N1227" s="23" t="n">
        <x:v>250.03702070677147</x:v>
      </x:c>
      <x:c r="O1227" s="23" t="n">
        <x:v>2495.1169029502994</x:v>
      </x:c>
      <x:c r="P1227" s="23" t="n">
        <x:v>977.7009301469661</x:v>
      </x:c>
      <x:c r="Q1227" s="23" t="n">
        <x:v>249.48196265950713</x:v>
      </x:c>
      <x:c r="R1227" s="23" t="n">
        <x:v>2524.5650677769386</x:v>
      </x:c>
      <x:c r="S1227" s="23" t="n">
        <x:v>962.1175064588995</x:v>
      </x:c>
      <x:c r="T1227" s="23" t="n">
        <x:v>-0.5550580472643389</x:v>
      </x:c>
      <x:c r="U1227" s="23" t="n">
        <x:v>29.448164826639186</x:v>
      </x:c>
      <x:c r="V1227" s="23" t="n">
        <x:v>-15.58342368806666</x:v>
      </x:c>
    </x:row>
    <x:row r="1228">
      <x:c r="A1228" s="23" t="n">
        <x:v>1227</x:v>
      </x:c>
      <x:c r="B1228" s="23" t="str">
        <x:v>Train</x:v>
      </x:c>
      <x:c r="C1228" s="23" t="str">
        <x:v>Switching</x:v>
      </x:c>
      <x:c r="D1228" s="23" t="n">
        <x:v>1017.7959258435294</x:v>
      </x:c>
      <x:c r="E1228" s="23" t="n">
        <x:v>811.7912190617062</x:v>
      </x:c>
      <x:c r="F1228" s="23" t="n">
        <x:v>677.6017654687166</x:v>
      </x:c>
      <x:c r="G1228" s="23" t="n">
        <x:v>219.43375292001292</x:v>
      </x:c>
      <x:c r="H1228" s="23" t="n">
        <x:v>10.340463639236987</x:v>
      </x:c>
      <x:c r="I1228" s="23" t="n">
        <x:v>0.8072855338337832</x:v>
      </x:c>
      <x:c r="J1228" s="23" t="n">
        <x:v>7</x:v>
      </x:c>
      <x:c r="K1228" s="23" t="n">
        <x:v>180.10903439226522</x:v>
      </x:c>
      <x:c r="L1228" s="23" t="n">
        <x:v>12515</x:v>
      </x:c>
      <x:c r="M1228" s="23" t="n">
        <x:v>1200</x:v>
      </x:c>
      <x:c r="N1228" s="23" t="n">
        <x:v>250.00219617647582</x:v>
      </x:c>
      <x:c r="O1228" s="23" t="n">
        <x:v>2504.7474222040464</x:v>
      </x:c>
      <x:c r="P1228" s="23" t="n">
        <x:v>1017.7959258435294</x:v>
      </x:c>
      <x:c r="Q1228" s="23" t="n">
        <x:v>253.33334443485487</x:v>
      </x:c>
      <x:c r="R1228" s="23" t="n">
        <x:v>2534.8648573029736</x:v>
      </x:c>
      <x:c r="S1228" s="23" t="n">
        <x:v>1017.0575177655186</x:v>
      </x:c>
      <x:c r="T1228" s="23" t="n">
        <x:v>3.331148258379045</x:v>
      </x:c>
      <x:c r="U1228" s="23" t="n">
        <x:v>30.117435098927217</x:v>
      </x:c>
      <x:c r="V1228" s="23" t="n">
        <x:v>-0.7384080780108206</x:v>
      </x:c>
    </x:row>
    <x:row r="1229">
      <x:c r="A1229" s="23" t="n">
        <x:v>1228</x:v>
      </x:c>
      <x:c r="B1229" s="23" t="str">
        <x:v>Train</x:v>
      </x:c>
      <x:c r="C1229" s="23" t="str">
        <x:v>Switching</x:v>
      </x:c>
      <x:c r="D1229" s="23" t="n">
        <x:v>966.9480691081844</x:v>
      </x:c>
      <x:c r="E1229" s="23" t="n">
        <x:v>687.2841519769281</x:v>
      </x:c>
      <x:c r="F1229" s="23" t="n">
        <x:v>415.54681761190295</x:v>
      </x:c>
      <x:c r="G1229" s="23" t="n">
        <x:v>86.88290118705481</x:v>
      </x:c>
      <x:c r="H1229" s="23" t="n">
        <x:v>14.17015305487439</x:v>
      </x:c>
      <x:c r="I1229" s="23" t="n">
        <x:v>0.8192955097183585</x:v>
      </x:c>
      <x:c r="J1229" s="23" t="n">
        <x:v>6</x:v>
      </x:c>
      <x:c r="K1229" s="23" t="n">
        <x:v>196.70315485242986</x:v>
      </x:c>
      <x:c r="L1229" s="23" t="n">
        <x:v>20970</x:v>
      </x:c>
      <x:c r="M1229" s="23" t="n">
        <x:v>1200</x:v>
      </x:c>
      <x:c r="N1229" s="23" t="n">
        <x:v>249.98219979830068</x:v>
      </x:c>
      <x:c r="O1229" s="23" t="n">
        <x:v>2500.7361963296225</x:v>
      </x:c>
      <x:c r="P1229" s="23" t="n">
        <x:v>966.9480691081844</x:v>
      </x:c>
      <x:c r="Q1229" s="23" t="n">
        <x:v>246.4487734429246</x:v>
      </x:c>
      <x:c r="R1229" s="23" t="n">
        <x:v>2482.9034907955443</x:v>
      </x:c>
      <x:c r="S1229" s="23" t="n">
        <x:v>984.9489081769933</x:v>
      </x:c>
      <x:c r="T1229" s="23" t="n">
        <x:v>-3.5334263553760934</x:v>
      </x:c>
      <x:c r="U1229" s="23" t="n">
        <x:v>-17.832705534078286</x:v>
      </x:c>
      <x:c r="V1229" s="23" t="n">
        <x:v>18.000839068808887</x:v>
      </x:c>
    </x:row>
    <x:row r="1230">
      <x:c r="A1230" s="23" t="n">
        <x:v>1229</x:v>
      </x:c>
      <x:c r="B1230" s="23" t="str">
        <x:v>Train</x:v>
      </x:c>
      <x:c r="C1230" s="23" t="str">
        <x:v>Switching</x:v>
      </x:c>
      <x:c r="D1230" s="23" t="n">
        <x:v>985.8938866760582</x:v>
      </x:c>
      <x:c r="E1230" s="23" t="n">
        <x:v>1064.2285338486545</x:v>
      </x:c>
      <x:c r="F1230" s="23" t="n">
        <x:v>444.61453165858984</x:v>
      </x:c>
      <x:c r="G1230" s="23" t="n">
        <x:v>297.3351271194406</x:v>
      </x:c>
      <x:c r="H1230" s="23" t="n">
        <x:v>13.410722244530916</x:v>
      </x:c>
      <x:c r="I1230" s="23" t="n">
        <x:v>0.839755914809648</x:v>
      </x:c>
      <x:c r="J1230" s="23" t="n">
        <x:v>6</x:v>
      </x:c>
      <x:c r="K1230" s="23" t="n">
        <x:v>195.6707239348107</x:v>
      </x:c>
      <x:c r="L1230" s="23" t="n">
        <x:v>13815</x:v>
      </x:c>
      <x:c r="M1230" s="23" t="n">
        <x:v>1200</x:v>
      </x:c>
      <x:c r="N1230" s="23" t="n">
        <x:v>250.0229020811154</x:v>
      </x:c>
      <x:c r="O1230" s="23" t="n">
        <x:v>2503.8121067099296</x:v>
      </x:c>
      <x:c r="P1230" s="23" t="n">
        <x:v>985.8938866760582</x:v>
      </x:c>
      <x:c r="Q1230" s="23" t="n">
        <x:v>252.77387026802933</x:v>
      </x:c>
      <x:c r="R1230" s="23" t="n">
        <x:v>2519.839359103966</x:v>
      </x:c>
      <x:c r="S1230" s="23" t="n">
        <x:v>990.7558381142629</x:v>
      </x:c>
      <x:c r="T1230" s="23" t="n">
        <x:v>2.750968186913923</x:v>
      </x:c>
      <x:c r="U1230" s="23" t="n">
        <x:v>16.027252394036623</x:v>
      </x:c>
      <x:c r="V1230" s="23" t="n">
        <x:v>4.8619514382047555</x:v>
      </x:c>
    </x:row>
    <x:row r="1231">
      <x:c r="A1231" s="23" t="n">
        <x:v>1230</x:v>
      </x:c>
      <x:c r="B1231" s="23" t="str">
        <x:v>Train</x:v>
      </x:c>
      <x:c r="C1231" s="23" t="str">
        <x:v>Switching</x:v>
      </x:c>
      <x:c r="D1231" s="23" t="n">
        <x:v>1093.7361108255573</x:v>
      </x:c>
      <x:c r="E1231" s="23" t="n">
        <x:v>1186.2224620534107</x:v>
      </x:c>
      <x:c r="F1231" s="23" t="n">
        <x:v>440.5191604979336</x:v>
      </x:c>
      <x:c r="G1231" s="23" t="n">
        <x:v>267.53438256680965</x:v>
      </x:c>
      <x:c r="H1231" s="23" t="n">
        <x:v>27.989993060473353</x:v>
      </x:c>
      <x:c r="I1231" s="23" t="n">
        <x:v>0.8357942539406941</x:v>
      </x:c>
      <x:c r="J1231" s="23" t="n">
        <x:v>7</x:v>
      </x:c>
      <x:c r="K1231" s="23" t="n">
        <x:v>186.94554921325104</x:v>
      </x:c>
      <x:c r="L1231" s="23" t="n">
        <x:v>11290</x:v>
      </x:c>
      <x:c r="M1231" s="23" t="n">
        <x:v>1195</x:v>
      </x:c>
      <x:c r="N1231" s="23" t="n">
        <x:v>250.00747591023762</x:v>
      </x:c>
      <x:c r="O1231" s="23" t="n">
        <x:v>2495.3860138164896</x:v>
      </x:c>
      <x:c r="P1231" s="23" t="n">
        <x:v>1093.7361108255573</x:v>
      </x:c>
      <x:c r="Q1231" s="23" t="n">
        <x:v>250.19579124239732</x:v>
      </x:c>
      <x:c r="R1231" s="23" t="n">
        <x:v>2527.5206218874027</x:v>
      </x:c>
      <x:c r="S1231" s="23" t="n">
        <x:v>1081.4818059467077</x:v>
      </x:c>
      <x:c r="T1231" s="23" t="n">
        <x:v>0.18831533215970353</x:v>
      </x:c>
      <x:c r="U1231" s="23" t="n">
        <x:v>32.134608070913146</x:v>
      </x:c>
      <x:c r="V1231" s="23" t="n">
        <x:v>-12.254304878849553</x:v>
      </x:c>
    </x:row>
    <x:row r="1232">
      <x:c r="A1232" s="23" t="n">
        <x:v>1231</x:v>
      </x:c>
      <x:c r="B1232" s="23" t="str">
        <x:v>Train</x:v>
      </x:c>
      <x:c r="C1232" s="23" t="str">
        <x:v>Switching</x:v>
      </x:c>
      <x:c r="D1232" s="23" t="n">
        <x:v>981.2697550514713</x:v>
      </x:c>
      <x:c r="E1232" s="23" t="n">
        <x:v>922.5614001159556</x:v>
      </x:c>
      <x:c r="F1232" s="23" t="n">
        <x:v>730.2905805408955</x:v>
      </x:c>
      <x:c r="G1232" s="23" t="n">
        <x:v>125.6262644729577</x:v>
      </x:c>
      <x:c r="H1232" s="23" t="n">
        <x:v>18.286218195222318</x:v>
      </x:c>
      <x:c r="I1232" s="23" t="n">
        <x:v>0.8489746749191546</x:v>
      </x:c>
      <x:c r="J1232" s="23" t="n">
        <x:v>6</x:v>
      </x:c>
      <x:c r="K1232" s="23" t="n">
        <x:v>192.6382070122635</x:v>
      </x:c>
      <x:c r="L1232" s="23" t="n">
        <x:v>14030</x:v>
      </x:c>
      <x:c r="M1232" s="23" t="n">
        <x:v>1200</x:v>
      </x:c>
      <x:c r="N1232" s="23" t="n">
        <x:v>250.01999224947028</x:v>
      </x:c>
      <x:c r="O1232" s="23" t="n">
        <x:v>2503.6738950518993</x:v>
      </x:c>
      <x:c r="P1232" s="23" t="n">
        <x:v>981.2697550514713</x:v>
      </x:c>
      <x:c r="Q1232" s="23" t="n">
        <x:v>253.02000092821618</x:v>
      </x:c>
      <x:c r="R1232" s="23" t="n">
        <x:v>2512.8725934664917</x:v>
      </x:c>
      <x:c r="S1232" s="23" t="n">
        <x:v>983.8317283119674</x:v>
      </x:c>
      <x:c r="T1232" s="23" t="n">
        <x:v>3.0000086787458997</x:v>
      </x:c>
      <x:c r="U1232" s="23" t="n">
        <x:v>9.1986984145924</x:v>
      </x:c>
      <x:c r="V1232" s="23" t="n">
        <x:v>2.5619732604960745</x:v>
      </x:c>
    </x:row>
    <x:row r="1233">
      <x:c r="A1233" s="23" t="n">
        <x:v>1232</x:v>
      </x:c>
      <x:c r="B1233" s="23" t="str">
        <x:v>Train</x:v>
      </x:c>
      <x:c r="C1233" s="23" t="str">
        <x:v>Switching</x:v>
      </x:c>
      <x:c r="D1233" s="23" t="n">
        <x:v>1037.9561632755212</x:v>
      </x:c>
      <x:c r="E1233" s="23" t="n">
        <x:v>678.374326042831</x:v>
      </x:c>
      <x:c r="F1233" s="23" t="n">
        <x:v>675.2311541698873</x:v>
      </x:c>
      <x:c r="G1233" s="23" t="n">
        <x:v>255.82613800186664</x:v>
      </x:c>
      <x:c r="H1233" s="23" t="n">
        <x:v>13.400960424449295</x:v>
      </x:c>
      <x:c r="I1233" s="23" t="n">
        <x:v>0.7990490968432278</x:v>
      </x:c>
      <x:c r="J1233" s="23" t="n">
        <x:v>7</x:v>
      </x:c>
      <x:c r="K1233" s="23" t="n">
        <x:v>185.56988861173224</x:v>
      </x:c>
      <x:c r="L1233" s="23" t="n">
        <x:v>13290</x:v>
      </x:c>
      <x:c r="M1233" s="23" t="n">
        <x:v>1200</x:v>
      </x:c>
      <x:c r="N1233" s="23" t="n">
        <x:v>250.04175785292543</x:v>
      </x:c>
      <x:c r="O1233" s="23" t="n">
        <x:v>2504.168823335951</x:v>
      </x:c>
      <x:c r="P1233" s="23" t="n">
        <x:v>1037.9561632755212</x:v>
      </x:c>
      <x:c r="Q1233" s="23" t="n">
        <x:v>248.65669272385892</x:v>
      </x:c>
      <x:c r="R1233" s="23" t="n">
        <x:v>2484.140512181035</x:v>
      </x:c>
      <x:c r="S1233" s="23" t="n">
        <x:v>1043.9657276269138</x:v>
      </x:c>
      <x:c r="T1233" s="23" t="n">
        <x:v>-1.3850651290665041</x:v>
      </x:c>
      <x:c r="U1233" s="23" t="n">
        <x:v>-20.028311154916082</x:v>
      </x:c>
      <x:c r="V1233" s="23" t="n">
        <x:v>6.009564351392555</x:v>
      </x:c>
    </x:row>
    <x:row r="1234">
      <x:c r="A1234" s="23" t="n">
        <x:v>1233</x:v>
      </x:c>
      <x:c r="B1234" s="23" t="str">
        <x:v>Train</x:v>
      </x:c>
      <x:c r="C1234" s="23" t="str">
        <x:v>Switching</x:v>
      </x:c>
      <x:c r="D1234" s="23" t="n">
        <x:v>1083.3955288864672</x:v>
      </x:c>
      <x:c r="E1234" s="23" t="n">
        <x:v>721.8964186846279</x:v>
      </x:c>
      <x:c r="F1234" s="23" t="n">
        <x:v>559.0801307931542</x:v>
      </x:c>
      <x:c r="G1234" s="23" t="n">
        <x:v>329.45979012409225</x:v>
      </x:c>
      <x:c r="H1234" s="23" t="n">
        <x:v>18.223250212147832</x:v>
      </x:c>
      <x:c r="I1234" s="23" t="n">
        <x:v>0.8369409524579533</x:v>
      </x:c>
      <x:c r="J1234" s="23" t="n">
        <x:v>7</x:v>
      </x:c>
      <x:c r="K1234" s="23" t="n">
        <x:v>184.92438371714084</x:v>
      </x:c>
      <x:c r="L1234" s="23" t="n">
        <x:v>13280</x:v>
      </x:c>
      <x:c r="M1234" s="23" t="n">
        <x:v>1200</x:v>
      </x:c>
      <x:c r="N1234" s="23" t="n">
        <x:v>250.00969997514022</x:v>
      </x:c>
      <x:c r="O1234" s="23" t="n">
        <x:v>2504.1746720200904</x:v>
      </x:c>
      <x:c r="P1234" s="23" t="n">
        <x:v>1083.3955288864672</x:v>
      </x:c>
      <x:c r="Q1234" s="23" t="n">
        <x:v>251.9724852350056</x:v>
      </x:c>
      <x:c r="R1234" s="23" t="n">
        <x:v>2493.039312560185</x:v>
      </x:c>
      <x:c r="S1234" s="23" t="n">
        <x:v>1087.2346323511376</x:v>
      </x:c>
      <x:c r="T1234" s="23" t="n">
        <x:v>1.9627852598653703</x:v>
      </x:c>
      <x:c r="U1234" s="23" t="n">
        <x:v>-11.13535945990543</x:v>
      </x:c>
      <x:c r="V1234" s="23" t="n">
        <x:v>3.8391034646704156</x:v>
      </x:c>
    </x:row>
    <x:row r="1235">
      <x:c r="A1235" s="23" t="n">
        <x:v>1234</x:v>
      </x:c>
      <x:c r="B1235" s="23" t="str">
        <x:v>Train</x:v>
      </x:c>
      <x:c r="C1235" s="23" t="str">
        <x:v>Switching</x:v>
      </x:c>
      <x:c r="D1235" s="23" t="n">
        <x:v>981.163722614292</x:v>
      </x:c>
      <x:c r="E1235" s="23" t="n">
        <x:v>1166.7772517772391</x:v>
      </x:c>
      <x:c r="F1235" s="23" t="n">
        <x:v>662.8976562060416</x:v>
      </x:c>
      <x:c r="G1235" s="23" t="n">
        <x:v>121.01471905596554</x:v>
      </x:c>
      <x:c r="H1235" s="23" t="n">
        <x:v>15.414318934548646</x:v>
      </x:c>
      <x:c r="I1235" s="23" t="n">
        <x:v>0.8104209885979071</x:v>
      </x:c>
      <x:c r="J1235" s="23" t="n">
        <x:v>7</x:v>
      </x:c>
      <x:c r="K1235" s="23" t="n">
        <x:v>172.95485687044555</x:v>
      </x:c>
      <x:c r="L1235" s="23" t="n">
        <x:v>10965</x:v>
      </x:c>
      <x:c r="M1235" s="23" t="n">
        <x:v>1195</x:v>
      </x:c>
      <x:c r="N1235" s="23" t="n">
        <x:v>250.04147370180246</x:v>
      </x:c>
      <x:c r="O1235" s="23" t="n">
        <x:v>2495.7130404800164</x:v>
      </x:c>
      <x:c r="P1235" s="23" t="n">
        <x:v>981.163722614292</x:v>
      </x:c>
      <x:c r="Q1235" s="23" t="n">
        <x:v>252.40488762509935</x:v>
      </x:c>
      <x:c r="R1235" s="23" t="n">
        <x:v>2507.637115687523</x:v>
      </x:c>
      <x:c r="S1235" s="23" t="n">
        <x:v>981.5586968945869</x:v>
      </x:c>
      <x:c r="T1235" s="23" t="n">
        <x:v>2.363413923296889</x:v>
      </x:c>
      <x:c r="U1235" s="23" t="n">
        <x:v>11.924075207506576</x:v>
      </x:c>
      <x:c r="V1235" s="23" t="n">
        <x:v>0.39497428029483217</x:v>
      </x:c>
    </x:row>
    <x:row r="1236">
      <x:c r="A1236" s="23" t="n">
        <x:v>1235</x:v>
      </x:c>
      <x:c r="B1236" s="23" t="str">
        <x:v>Validation</x:v>
      </x:c>
      <x:c r="C1236" s="23" t="str">
        <x:v>Switching</x:v>
      </x:c>
      <x:c r="D1236" s="23" t="n">
        <x:v>1040.215198113583</x:v>
      </x:c>
      <x:c r="E1236" s="23" t="n">
        <x:v>764.8842334398068</x:v>
      </x:c>
      <x:c r="F1236" s="23" t="n">
        <x:v>369.7603549808264</x:v>
      </x:c>
      <x:c r="G1236" s="23" t="n">
        <x:v>142.06353072775528</x:v>
      </x:c>
      <x:c r="H1236" s="23" t="n">
        <x:v>17.460141685791314</x:v>
      </x:c>
      <x:c r="I1236" s="23" t="n">
        <x:v>0.839423300146591</x:v>
      </x:c>
      <x:c r="J1236" s="23" t="n">
        <x:v>7</x:v>
      </x:c>
      <x:c r="K1236" s="23" t="n">
        <x:v>177.02888534679997</x:v>
      </x:c>
      <x:c r="L1236" s="23" t="n">
        <x:v>16750</x:v>
      </x:c>
      <x:c r="M1236" s="23" t="n">
        <x:v>1200</x:v>
      </x:c>
      <x:c r="N1236" s="23" t="n">
        <x:v>249.989335897488</x:v>
      </x:c>
      <x:c r="O1236" s="23" t="n">
        <x:v>2502.2319733031864</x:v>
      </x:c>
      <x:c r="P1236" s="23" t="n">
        <x:v>1040.215198113583</x:v>
      </x:c>
      <x:c r="Q1236" s="23" t="n">
        <x:v>247.85367023645</x:v>
      </x:c>
      <x:c r="R1236" s="23" t="n">
        <x:v>2465.521055847456</x:v>
      </x:c>
      <x:c r="S1236" s="23" t="n">
        <x:v>1049.0446821888004</x:v>
      </x:c>
      <x:c r="T1236" s="23" t="n">
        <x:v>-2.13566566103799</x:v>
      </x:c>
      <x:c r="U1236" s="23" t="n">
        <x:v>-36.710917455730396</x:v>
      </x:c>
      <x:c r="V1236" s="23" t="n">
        <x:v>8.829484075217351</x:v>
      </x:c>
    </x:row>
    <x:row r="1237">
      <x:c r="A1237" s="23" t="n">
        <x:v>1236</x:v>
      </x:c>
      <x:c r="B1237" s="23" t="str">
        <x:v>Validation</x:v>
      </x:c>
      <x:c r="C1237" s="23" t="str">
        <x:v>Switching</x:v>
      </x:c>
      <x:c r="D1237" s="23" t="n">
        <x:v>972.5934398709796</x:v>
      </x:c>
      <x:c r="E1237" s="23" t="n">
        <x:v>1167.2828993294388</x:v>
      </x:c>
      <x:c r="F1237" s="23" t="n">
        <x:v>609.3541639856994</x:v>
      </x:c>
      <x:c r="G1237" s="23" t="n">
        <x:v>320.14717841055244</x:v>
      </x:c>
      <x:c r="H1237" s="23" t="n">
        <x:v>11.622151985298842</x:v>
      </x:c>
      <x:c r="I1237" s="23" t="n">
        <x:v>0.7954944430477917</x:v>
      </x:c>
      <x:c r="J1237" s="23" t="n">
        <x:v>7</x:v>
      </x:c>
      <x:c r="K1237" s="23" t="n">
        <x:v>174.66108179114102</x:v>
      </x:c>
      <x:c r="L1237" s="23" t="n">
        <x:v>10200</x:v>
      </x:c>
      <x:c r="M1237" s="23" t="n">
        <x:v>1195</x:v>
      </x:c>
      <x:c r="N1237" s="23" t="n">
        <x:v>250.0166992079661</x:v>
      </x:c>
      <x:c r="O1237" s="23" t="n">
        <x:v>2496.5599429261506</x:v>
      </x:c>
      <x:c r="P1237" s="23" t="n">
        <x:v>972.5934398709796</x:v>
      </x:c>
      <x:c r="Q1237" s="23" t="n">
        <x:v>251.9661102805926</x:v>
      </x:c>
      <x:c r="R1237" s="23" t="n">
        <x:v>2525.719553982493</x:v>
      </x:c>
      <x:c r="S1237" s="23" t="n">
        <x:v>974.739603635936</x:v>
      </x:c>
      <x:c r="T1237" s="23" t="n">
        <x:v>1.9494110726265035</x:v>
      </x:c>
      <x:c r="U1237" s="23" t="n">
        <x:v>29.159611056342328</x:v>
      </x:c>
      <x:c r="V1237" s="23" t="n">
        <x:v>2.146163764956327</x:v>
      </x:c>
    </x:row>
    <x:row r="1238">
      <x:c r="A1238" s="23" t="n">
        <x:v>1237</x:v>
      </x:c>
      <x:c r="B1238" s="23" t="str">
        <x:v>Validation</x:v>
      </x:c>
      <x:c r="C1238" s="23" t="str">
        <x:v>Switching</x:v>
      </x:c>
      <x:c r="D1238" s="23" t="n">
        <x:v>961.38004665263</x:v>
      </x:c>
      <x:c r="E1238" s="23" t="n">
        <x:v>1066.1135475966148</x:v>
      </x:c>
      <x:c r="F1238" s="23" t="n">
        <x:v>507.69688468426466</x:v>
      </x:c>
      <x:c r="G1238" s="23" t="n">
        <x:v>143.37891548173502</x:v>
      </x:c>
      <x:c r="H1238" s="23" t="n">
        <x:v>16.651212081313133</x:v>
      </x:c>
      <x:c r="I1238" s="23" t="n">
        <x:v>0.8535827281908133</x:v>
      </x:c>
      <x:c r="J1238" s="23" t="n">
        <x:v>6</x:v>
      </x:c>
      <x:c r="K1238" s="23" t="n">
        <x:v>187.71467894512023</x:v>
      </x:c>
      <x:c r="L1238" s="23" t="n">
        <x:v>14530</x:v>
      </x:c>
      <x:c r="M1238" s="23" t="n">
        <x:v>1200</x:v>
      </x:c>
      <x:c r="N1238" s="23" t="n">
        <x:v>250.00702616252897</x:v>
      </x:c>
      <x:c r="O1238" s="23" t="n">
        <x:v>2503.368087969596</x:v>
      </x:c>
      <x:c r="P1238" s="23" t="n">
        <x:v>961.38004665263</x:v>
      </x:c>
      <x:c r="Q1238" s="23" t="n">
        <x:v>250.50325465895185</x:v>
      </x:c>
      <x:c r="R1238" s="23" t="n">
        <x:v>2493.8552494740443</x:v>
      </x:c>
      <x:c r="S1238" s="23" t="n">
        <x:v>966.2914240871515</x:v>
      </x:c>
      <x:c r="T1238" s="23" t="n">
        <x:v>0.4962284964228729</x:v>
      </x:c>
      <x:c r="U1238" s="23" t="n">
        <x:v>-9.512838495551932</x:v>
      </x:c>
      <x:c r="V1238" s="23" t="n">
        <x:v>4.911377434521569</x:v>
      </x:c>
    </x:row>
    <x:row r="1239">
      <x:c r="A1239" s="23" t="n">
        <x:v>1238</x:v>
      </x:c>
      <x:c r="B1239" s="23" t="str">
        <x:v>Hidden Test</x:v>
      </x:c>
      <x:c r="C1239" s="23" t="str">
        <x:v>Switching</x:v>
      </x:c>
      <x:c r="D1239" s="23" t="n">
        <x:v>1026.3712448184378</x:v>
      </x:c>
      <x:c r="E1239" s="23" t="n">
        <x:v>737.3302934458479</x:v>
      </x:c>
      <x:c r="F1239" s="23" t="n">
        <x:v>633.1643891520798</x:v>
      </x:c>
      <x:c r="G1239" s="23" t="n">
        <x:v>267.05034675076604</x:v>
      </x:c>
      <x:c r="H1239" s="23" t="n">
        <x:v>11.294923460576683</x:v>
      </x:c>
      <x:c r="I1239" s="23" t="n">
        <x:v>0.8525759012019262</x:v>
      </x:c>
      <x:c r="J1239" s="23" t="n">
        <x:v>7</x:v>
      </x:c>
      <x:c r="K1239" s="23" t="n">
        <x:v>171.9781937758105</x:v>
      </x:c>
      <x:c r="L1239" s="23" t="n">
        <x:v>13060</x:v>
      </x:c>
      <x:c r="M1239" s="23" t="n">
        <x:v>1200</x:v>
      </x:c>
      <x:c r="N1239" s="23" t="n">
        <x:v>250.00655010379757</x:v>
      </x:c>
      <x:c r="O1239" s="23" t="n">
        <x:v>2504.3324771248444</x:v>
      </x:c>
      <x:c r="P1239" s="23" t="n">
        <x:v>1026.3712448184378</x:v>
      </x:c>
      <x:c r="Q1239" s="23" t="n">
        <x:v>249.36414340597014</x:v>
      </x:c>
      <x:c r="R1239" s="23" t="n">
        <x:v>2494.557196817174</x:v>
      </x:c>
      <x:c r="S1239" s="23" t="n">
        <x:v>1037.0490364972184</x:v>
      </x:c>
      <x:c r="T1239" s="23" t="n">
        <x:v>-0.6424066978274254</x:v>
      </x:c>
      <x:c r="U1239" s="23" t="n">
        <x:v>-9.775280307670528</x:v>
      </x:c>
      <x:c r="V1239" s="23" t="n">
        <x:v>10.677791678780522</x:v>
      </x:c>
    </x:row>
    <x:row r="1240">
      <x:c r="A1240" s="23" t="n">
        <x:v>1239</x:v>
      </x:c>
      <x:c r="B1240" s="23" t="str">
        <x:v>Hidden Test</x:v>
      </x:c>
      <x:c r="C1240" s="23" t="str">
        <x:v>Switching</x:v>
      </x:c>
      <x:c r="D1240" s="23" t="n">
        <x:v>1083.040808630176</x:v>
      </x:c>
      <x:c r="E1240" s="23" t="n">
        <x:v>1195.3798042726703</x:v>
      </x:c>
      <x:c r="F1240" s="23" t="n">
        <x:v>517.4776300787926</x:v>
      </x:c>
      <x:c r="G1240" s="23" t="n">
        <x:v>327.8963070898317</x:v>
      </x:c>
      <x:c r="H1240" s="23" t="n">
        <x:v>22.042661185376346</x:v>
      </x:c>
      <x:c r="I1240" s="23" t="n">
        <x:v>0.8021007217071019</x:v>
      </x:c>
      <x:c r="J1240" s="23" t="n">
        <x:v>7</x:v>
      </x:c>
      <x:c r="K1240" s="23" t="n">
        <x:v>192.89362461775062</x:v>
      </x:c>
      <x:c r="L1240" s="23" t="n">
        <x:v>10480</x:v>
      </x:c>
      <x:c r="M1240" s="23" t="n">
        <x:v>1195</x:v>
      </x:c>
      <x:c r="N1240" s="23" t="n">
        <x:v>250.01581700397946</x:v>
      </x:c>
      <x:c r="O1240" s="23" t="n">
        <x:v>2496.2351371976793</x:v>
      </x:c>
      <x:c r="P1240" s="23" t="n">
        <x:v>1083.040808630176</x:v>
      </x:c>
      <x:c r="Q1240" s="23" t="n">
        <x:v>250.97359300664107</x:v>
      </x:c>
      <x:c r="R1240" s="23" t="n">
        <x:v>2564.2668945114683</x:v>
      </x:c>
      <x:c r="S1240" s="23" t="n">
        <x:v>1074.4771225492145</x:v>
      </x:c>
      <x:c r="T1240" s="23" t="n">
        <x:v>0.9577760026616033</x:v>
      </x:c>
      <x:c r="U1240" s="23" t="n">
        <x:v>68.03175731378906</x:v>
      </x:c>
      <x:c r="V1240" s="23" t="n">
        <x:v>-8.56368608096136</x:v>
      </x:c>
    </x:row>
    <x:row r="1241">
      <x:c r="A1241" s="23" t="n">
        <x:v>1240</x:v>
      </x:c>
      <x:c r="B1241" s="23" t="str">
        <x:v>Hidden Test</x:v>
      </x:c>
      <x:c r="C1241" s="23" t="str">
        <x:v>Switching</x:v>
      </x:c>
      <x:c r="D1241" s="23" t="n">
        <x:v>1071.6950672562234</x:v>
      </x:c>
      <x:c r="E1241" s="23" t="n">
        <x:v>674.6843985281885</x:v>
      </x:c>
      <x:c r="F1241" s="23" t="n">
        <x:v>597.3257324658334</x:v>
      </x:c>
      <x:c r="G1241" s="23" t="n">
        <x:v>304.5374253252521</x:v>
      </x:c>
      <x:c r="H1241" s="23" t="n">
        <x:v>27.08777274703607</x:v>
      </x:c>
      <x:c r="I1241" s="23" t="n">
        <x:v>0.8222167224157602</x:v>
      </x:c>
      <x:c r="J1241" s="23" t="n">
        <x:v>7</x:v>
      </x:c>
      <x:c r="K1241" s="23" t="n">
        <x:v>186.2030911661534</x:v>
      </x:c>
      <x:c r="L1241" s="23" t="n">
        <x:v>13565</x:v>
      </x:c>
      <x:c r="M1241" s="23" t="n">
        <x:v>1200</x:v>
      </x:c>
      <x:c r="N1241" s="23" t="n">
        <x:v>250.00138776072953</x:v>
      </x:c>
      <x:c r="O1241" s="23" t="n">
        <x:v>2503.977398634846</x:v>
      </x:c>
      <x:c r="P1241" s="23" t="n">
        <x:v>1071.6950672562234</x:v>
      </x:c>
      <x:c r="Q1241" s="23" t="n">
        <x:v>247.66654571059644</x:v>
      </x:c>
      <x:c r="R1241" s="23" t="n">
        <x:v>2483.4113251551244</x:v>
      </x:c>
      <x:c r="S1241" s="23" t="n">
        <x:v>1061.9385161886637</x:v>
      </x:c>
      <x:c r="T1241" s="23" t="n">
        <x:v>-2.3348420501330907</x:v>
      </x:c>
      <x:c r="U1241" s="23" t="n">
        <x:v>-20.56607347972158</x:v>
      </x:c>
      <x:c r="V1241" s="23" t="n">
        <x:v>-9.756551067559712</x:v>
      </x:c>
    </x:row>
    <x:row r="1242">
      <x:c r="A1242" s="23" t="n">
        <x:v>1241</x:v>
      </x:c>
      <x:c r="B1242" s="23" t="str">
        <x:v>Train</x:v>
      </x:c>
      <x:c r="C1242" s="23" t="str">
        <x:v>Switching</x:v>
      </x:c>
      <x:c r="D1242" s="23" t="n">
        <x:v>1084.6837393939495</x:v>
      </x:c>
      <x:c r="E1242" s="23" t="n">
        <x:v>759.1412755078636</x:v>
      </x:c>
      <x:c r="F1242" s="23" t="n">
        <x:v>525.4208670929074</x:v>
      </x:c>
      <x:c r="G1242" s="23" t="n">
        <x:v>150.7656317972578</x:v>
      </x:c>
      <x:c r="H1242" s="23" t="n">
        <x:v>27.56102049164474</x:v>
      </x:c>
      <x:c r="I1242" s="23" t="n">
        <x:v>0.8244506602478214</x:v>
      </x:c>
      <x:c r="J1242" s="23" t="n">
        <x:v>7</x:v>
      </x:c>
      <x:c r="K1242" s="23" t="n">
        <x:v>187.94917317046423</x:v>
      </x:c>
      <x:c r="L1242" s="23" t="n">
        <x:v>14900</x:v>
      </x:c>
      <x:c r="M1242" s="23" t="n">
        <x:v>1200</x:v>
      </x:c>
      <x:c r="N1242" s="23" t="n">
        <x:v>250.00737868859568</x:v>
      </x:c>
      <x:c r="O1242" s="23" t="n">
        <x:v>2503.1553300403257</x:v>
      </x:c>
      <x:c r="P1242" s="23" t="n">
        <x:v>1084.6837393939495</x:v>
      </x:c>
      <x:c r="Q1242" s="23" t="n">
        <x:v>244.79220171832927</x:v>
      </x:c>
      <x:c r="R1242" s="23" t="n">
        <x:v>2480.727895944036</x:v>
      </x:c>
      <x:c r="S1242" s="23" t="n">
        <x:v>1078.864411132289</x:v>
      </x:c>
      <x:c r="T1242" s="23" t="n">
        <x:v>-5.215176970266413</x:v>
      </x:c>
      <x:c r="U1242" s="23" t="n">
        <x:v>-22.427434096289744</x:v>
      </x:c>
      <x:c r="V1242" s="23" t="n">
        <x:v>-5.81932826166053</x:v>
      </x:c>
    </x:row>
    <x:row r="1243">
      <x:c r="A1243" s="23" t="n">
        <x:v>1242</x:v>
      </x:c>
      <x:c r="B1243" s="23" t="str">
        <x:v>Train</x:v>
      </x:c>
      <x:c r="C1243" s="23" t="str">
        <x:v>Switching</x:v>
      </x:c>
      <x:c r="D1243" s="23" t="n">
        <x:v>963.0581303150393</x:v>
      </x:c>
      <x:c r="E1243" s="23" t="n">
        <x:v>685.6822924921289</x:v>
      </x:c>
      <x:c r="F1243" s="23" t="n">
        <x:v>393.91054967418313</x:v>
      </x:c>
      <x:c r="G1243" s="23" t="n">
        <x:v>268.8272555079311</x:v>
      </x:c>
      <x:c r="H1243" s="23" t="n">
        <x:v>29.69123723777011</x:v>
      </x:c>
      <x:c r="I1243" s="23" t="n">
        <x:v>0.8022713013039903</x:v>
      </x:c>
      <x:c r="J1243" s="23" t="n">
        <x:v>7</x:v>
      </x:c>
      <x:c r="K1243" s="23" t="n">
        <x:v>171.48779057474704</x:v>
      </x:c>
      <x:c r="L1243" s="23" t="n">
        <x:v>15860</x:v>
      </x:c>
      <x:c r="M1243" s="23" t="n">
        <x:v>1200</x:v>
      </x:c>
      <x:c r="N1243" s="23" t="n">
        <x:v>250.00222901842417</x:v>
      </x:c>
      <x:c r="O1243" s="23" t="n">
        <x:v>2502.649423072581</x:v>
      </x:c>
      <x:c r="P1243" s="23" t="n">
        <x:v>963.0581303150393</x:v>
      </x:c>
      <x:c r="Q1243" s="23" t="n">
        <x:v>248.03358036335482</x:v>
      </x:c>
      <x:c r="R1243" s="23" t="n">
        <x:v>2472.0125506160134</x:v>
      </x:c>
      <x:c r="S1243" s="23" t="n">
        <x:v>958.2257028155938</x:v>
      </x:c>
      <x:c r="T1243" s="23" t="n">
        <x:v>-1.9686486550693587</x:v>
      </x:c>
      <x:c r="U1243" s="23" t="n">
        <x:v>-30.636872456567744</x:v>
      </x:c>
      <x:c r="V1243" s="23" t="n">
        <x:v>-4.832427499445544</x:v>
      </x:c>
    </x:row>
    <x:row r="1244">
      <x:c r="A1244" s="23" t="n">
        <x:v>1243</x:v>
      </x:c>
      <x:c r="B1244" s="23" t="str">
        <x:v>Train</x:v>
      </x:c>
      <x:c r="C1244" s="23" t="str">
        <x:v>Switching</x:v>
      </x:c>
      <x:c r="D1244" s="23" t="n">
        <x:v>1008.3707087440416</x:v>
      </x:c>
      <x:c r="E1244" s="23" t="n">
        <x:v>770.6569444970228</x:v>
      </x:c>
      <x:c r="F1244" s="23" t="n">
        <x:v>690.9126702696085</x:v>
      </x:c>
      <x:c r="G1244" s="23" t="n">
        <x:v>178.06731826392934</x:v>
      </x:c>
      <x:c r="H1244" s="23" t="n">
        <x:v>13.451622896827757</x:v>
      </x:c>
      <x:c r="I1244" s="23" t="n">
        <x:v>0.8084413015353493</x:v>
      </x:c>
      <x:c r="J1244" s="23" t="n">
        <x:v>7</x:v>
      </x:c>
      <x:c r="K1244" s="23" t="n">
        <x:v>178.18604531761073</x:v>
      </x:c>
      <x:c r="L1244" s="23" t="n">
        <x:v>13045</x:v>
      </x:c>
      <x:c r="M1244" s="23" t="n">
        <x:v>1200</x:v>
      </x:c>
      <x:c r="N1244" s="23" t="n">
        <x:v>250.03846323094515</x:v>
      </x:c>
      <x:c r="O1244" s="23" t="n">
        <x:v>2504.3446545145575</x:v>
      </x:c>
      <x:c r="P1244" s="23" t="n">
        <x:v>1008.3707087440416</x:v>
      </x:c>
      <x:c r="Q1244" s="23" t="n">
        <x:v>252.19632188575648</x:v>
      </x:c>
      <x:c r="R1244" s="23" t="n">
        <x:v>2494.8511500412133</x:v>
      </x:c>
      <x:c r="S1244" s="23" t="n">
        <x:v>1011.6569013776312</x:v>
      </x:c>
      <x:c r="T1244" s="23" t="n">
        <x:v>2.1578586548113208</x:v>
      </x:c>
      <x:c r="U1244" s="23" t="n">
        <x:v>-9.493504473344274</x:v>
      </x:c>
      <x:c r="V1244" s="23" t="n">
        <x:v>3.2861926335896214</x:v>
      </x:c>
    </x:row>
    <x:row r="1245">
      <x:c r="A1245" s="23" t="n">
        <x:v>1244</x:v>
      </x:c>
      <x:c r="B1245" s="23" t="str">
        <x:v>Train</x:v>
      </x:c>
      <x:c r="C1245" s="23" t="str">
        <x:v>Switching</x:v>
      </x:c>
      <x:c r="D1245" s="23" t="n">
        <x:v>958.1258997670375</x:v>
      </x:c>
      <x:c r="E1245" s="23" t="n">
        <x:v>1244.453003956005</x:v>
      </x:c>
      <x:c r="F1245" s="23" t="n">
        <x:v>528.3717240206897</x:v>
      </x:c>
      <x:c r="G1245" s="23" t="n">
        <x:v>260.22045481484383</x:v>
      </x:c>
      <x:c r="H1245" s="23" t="n">
        <x:v>9.017955060582608</x:v>
      </x:c>
      <x:c r="I1245" s="23" t="n">
        <x:v>0.8563113553076983</x:v>
      </x:c>
      <x:c r="J1245" s="23" t="n">
        <x:v>6</x:v>
      </x:c>
      <x:c r="K1245" s="23" t="n">
        <x:v>186.48316289557127</x:v>
      </x:c>
      <x:c r="L1245" s="23" t="n">
        <x:v>12270</x:v>
      </x:c>
      <x:c r="M1245" s="23" t="n">
        <x:v>1200</x:v>
      </x:c>
      <x:c r="N1245" s="23" t="n">
        <x:v>249.95380892096398</x:v>
      </x:c>
      <x:c r="O1245" s="23" t="n">
        <x:v>2504.9440822440565</x:v>
      </x:c>
      <x:c r="P1245" s="23" t="n">
        <x:v>958.1258997670375</x:v>
      </x:c>
      <x:c r="Q1245" s="23" t="n">
        <x:v>251.8454632126772</x:v>
      </x:c>
      <x:c r="R1245" s="23" t="n">
        <x:v>2511.9128237264586</x:v>
      </x:c>
      <x:c r="S1245" s="23" t="n">
        <x:v>960.4046769985816</x:v>
      </x:c>
      <x:c r="T1245" s="23" t="n">
        <x:v>1.8916542917132233</x:v>
      </x:c>
      <x:c r="U1245" s="23" t="n">
        <x:v>6.968741482402038</x:v>
      </x:c>
      <x:c r="V1245" s="23" t="n">
        <x:v>2.2787772315441543</x:v>
      </x:c>
    </x:row>
    <x:row r="1246">
      <x:c r="A1246" s="23" t="n">
        <x:v>1245</x:v>
      </x:c>
      <x:c r="B1246" s="23" t="str">
        <x:v>Train</x:v>
      </x:c>
      <x:c r="C1246" s="23" t="str">
        <x:v>Switching</x:v>
      </x:c>
      <x:c r="D1246" s="23" t="n">
        <x:v>1036.1633456777781</x:v>
      </x:c>
      <x:c r="E1246" s="23" t="n">
        <x:v>939.6228314260952</x:v>
      </x:c>
      <x:c r="F1246" s="23" t="n">
        <x:v>748.1068944558501</x:v>
      </x:c>
      <x:c r="G1246" s="23" t="n">
        <x:v>188.0758206662722</x:v>
      </x:c>
      <x:c r="H1246" s="23" t="n">
        <x:v>26.86821375414729</x:v>
      </x:c>
      <x:c r="I1246" s="23" t="n">
        <x:v>0.8303856008895674</x:v>
      </x:c>
      <x:c r="J1246" s="23" t="n">
        <x:v>7</x:v>
      </x:c>
      <x:c r="K1246" s="23" t="n">
        <x:v>178.2585523379168</x:v>
      </x:c>
      <x:c r="L1246" s="23" t="n">
        <x:v>11400</x:v>
      </x:c>
      <x:c r="M1246" s="23" t="n">
        <x:v>1195</x:v>
      </x:c>
      <x:c r="N1246" s="23" t="n">
        <x:v>249.98180481488333</x:v>
      </x:c>
      <x:c r="O1246" s="23" t="n">
        <x:v>2495.278941584035</x:v>
      </x:c>
      <x:c r="P1246" s="23" t="n">
        <x:v>1036.1633456777781</x:v>
      </x:c>
      <x:c r="Q1246" s="23" t="n">
        <x:v>250.27669808294291</x:v>
      </x:c>
      <x:c r="R1246" s="23" t="n">
        <x:v>2524.4376863033776</x:v>
      </x:c>
      <x:c r="S1246" s="23" t="n">
        <x:v>1022.3966465885</x:v>
      </x:c>
      <x:c r="T1246" s="23" t="n">
        <x:v>0.2948932680595817</x:v>
      </x:c>
      <x:c r="U1246" s="23" t="n">
        <x:v>29.15874471934285</x:v>
      </x:c>
      <x:c r="V1246" s="23" t="n">
        <x:v>-13.766699089278177</x:v>
      </x:c>
    </x:row>
    <x:row r="1247">
      <x:c r="A1247" s="23" t="n">
        <x:v>1246</x:v>
      </x:c>
      <x:c r="B1247" s="23" t="str">
        <x:v>Train</x:v>
      </x:c>
      <x:c r="C1247" s="23" t="str">
        <x:v>Switching</x:v>
      </x:c>
      <x:c r="D1247" s="23" t="n">
        <x:v>971.024257701356</x:v>
      </x:c>
      <x:c r="E1247" s="23" t="n">
        <x:v>1197.8290303377435</x:v>
      </x:c>
      <x:c r="F1247" s="23" t="n">
        <x:v>516.2566860206425</x:v>
      </x:c>
      <x:c r="G1247" s="23" t="n">
        <x:v>145.45356195420027</x:v>
      </x:c>
      <x:c r="H1247" s="23" t="n">
        <x:v>21.132135140243918</x:v>
      </x:c>
      <x:c r="I1247" s="23" t="n">
        <x:v>0.8295748497126625</x:v>
      </x:c>
      <x:c r="J1247" s="23" t="n">
        <x:v>6</x:v>
      </x:c>
      <x:c r="K1247" s="23" t="n">
        <x:v>195.0847188045955</x:v>
      </x:c>
      <x:c r="L1247" s="23" t="n">
        <x:v>13415</x:v>
      </x:c>
      <x:c r="M1247" s="23" t="n">
        <x:v>1200</x:v>
      </x:c>
      <x:c r="N1247" s="23" t="n">
        <x:v>249.95665663318903</x:v>
      </x:c>
      <x:c r="O1247" s="23" t="n">
        <x:v>2504.078357183068</x:v>
      </x:c>
      <x:c r="P1247" s="23" t="n">
        <x:v>971.024257701356</x:v>
      </x:c>
      <x:c r="Q1247" s="23" t="n">
        <x:v>252.31106800133006</x:v>
      </x:c>
      <x:c r="R1247" s="23" t="n">
        <x:v>2510.921212274539</x:v>
      </x:c>
      <x:c r="S1247" s="23" t="n">
        <x:v>964.8913599720926</x:v>
      </x:c>
      <x:c r="T1247" s="23" t="n">
        <x:v>2.3544113681410295</x:v>
      </x:c>
      <x:c r="U1247" s="23" t="n">
        <x:v>6.842855091470938</x:v>
      </x:c>
      <x:c r="V1247" s="23" t="n">
        <x:v>-6.132897729263391</x:v>
      </x:c>
    </x:row>
    <x:row r="1248">
      <x:c r="A1248" s="23" t="n">
        <x:v>1247</x:v>
      </x:c>
      <x:c r="B1248" s="23" t="str">
        <x:v>Train</x:v>
      </x:c>
      <x:c r="C1248" s="23" t="str">
        <x:v>Switching</x:v>
      </x:c>
      <x:c r="D1248" s="23" t="n">
        <x:v>969.35306082014</x:v>
      </x:c>
      <x:c r="E1248" s="23" t="n">
        <x:v>1202.21130392747</x:v>
      </x:c>
      <x:c r="F1248" s="23" t="n">
        <x:v>580.2240334451199</x:v>
      </x:c>
      <x:c r="G1248" s="23" t="n">
        <x:v>176.0608920431696</x:v>
      </x:c>
      <x:c r="H1248" s="23" t="n">
        <x:v>13.750373206101358</x:v>
      </x:c>
      <x:c r="I1248" s="23" t="n">
        <x:v>0.8445821222080849</x:v>
      </x:c>
      <x:c r="J1248" s="23" t="n">
        <x:v>6</x:v>
      </x:c>
      <x:c r="K1248" s="23" t="n">
        <x:v>191.28849548418344</x:v>
      </x:c>
      <x:c r="L1248" s="23" t="n">
        <x:v>12740</x:v>
      </x:c>
      <x:c r="M1248" s="23" t="n">
        <x:v>1200</x:v>
      </x:c>
      <x:c r="N1248" s="23" t="n">
        <x:v>250.01181997548997</x:v>
      </x:c>
      <x:c r="O1248" s="23" t="n">
        <x:v>2504.5721127862926</x:v>
      </x:c>
      <x:c r="P1248" s="23" t="n">
        <x:v>969.35306082014</x:v>
      </x:c>
      <x:c r="Q1248" s="23" t="n">
        <x:v>253.65870574550144</x:v>
      </x:c>
      <x:c r="R1248" s="23" t="n">
        <x:v>2510.339005660752</x:v>
      </x:c>
      <x:c r="S1248" s="23" t="n">
        <x:v>963.9257009455058</x:v>
      </x:c>
      <x:c r="T1248" s="23" t="n">
        <x:v>3.6468857700114654</x:v>
      </x:c>
      <x:c r="U1248" s="23" t="n">
        <x:v>5.766892874459245</x:v>
      </x:c>
      <x:c r="V1248" s="23" t="n">
        <x:v>-5.427359874634135</x:v>
      </x:c>
    </x:row>
    <x:row r="1249">
      <x:c r="A1249" s="23" t="n">
        <x:v>1248</x:v>
      </x:c>
      <x:c r="B1249" s="23" t="str">
        <x:v>Train</x:v>
      </x:c>
      <x:c r="C1249" s="23" t="str">
        <x:v>Switching</x:v>
      </x:c>
      <x:c r="D1249" s="23" t="n">
        <x:v>1067.9273282992654</x:v>
      </x:c>
      <x:c r="E1249" s="23" t="n">
        <x:v>693.3726325631142</x:v>
      </x:c>
      <x:c r="F1249" s="23" t="n">
        <x:v>586.714646127075</x:v>
      </x:c>
      <x:c r="G1249" s="23" t="n">
        <x:v>292.98241161275655</x:v>
      </x:c>
      <x:c r="H1249" s="23" t="n">
        <x:v>17.478191079106182</x:v>
      </x:c>
      <x:c r="I1249" s="23" t="n">
        <x:v>0.8129073237907142</x:v>
      </x:c>
      <x:c r="J1249" s="23" t="n">
        <x:v>7</x:v>
      </x:c>
      <x:c r="K1249" s="23" t="n">
        <x:v>187.67335763255153</x:v>
      </x:c>
      <x:c r="L1249" s="23" t="n">
        <x:v>13595</x:v>
      </x:c>
      <x:c r="M1249" s="23" t="n">
        <x:v>1200</x:v>
      </x:c>
      <x:c r="N1249" s="23" t="n">
        <x:v>250.00134911378723</x:v>
      </x:c>
      <x:c r="O1249" s="23" t="n">
        <x:v>2503.9571532811915</x:v>
      </x:c>
      <x:c r="P1249" s="23" t="n">
        <x:v>1067.9273282992654</x:v>
      </x:c>
      <x:c r="Q1249" s="23" t="n">
        <x:v>252.30859178380152</x:v>
      </x:c>
      <x:c r="R1249" s="23" t="n">
        <x:v>2490.1377914583813</x:v>
      </x:c>
      <x:c r="S1249" s="23" t="n">
        <x:v>1067.784936192054</x:v>
      </x:c>
      <x:c r="T1249" s="23" t="n">
        <x:v>2.30724267001429</x:v>
      </x:c>
      <x:c r="U1249" s="23" t="n">
        <x:v>-13.819361822810151</x:v>
      </x:c>
      <x:c r="V1249" s="23" t="n">
        <x:v>-0.14239210721143536</x:v>
      </x:c>
    </x:row>
    <x:row r="1250">
      <x:c r="A1250" s="23" t="n">
        <x:v>1249</x:v>
      </x:c>
      <x:c r="B1250" s="23" t="str">
        <x:v>Train</x:v>
      </x:c>
      <x:c r="C1250" s="23" t="str">
        <x:v>Switching</x:v>
      </x:c>
      <x:c r="D1250" s="23" t="n">
        <x:v>1095.2574445866048</x:v>
      </x:c>
      <x:c r="E1250" s="23" t="n">
        <x:v>1177.8964287950657</x:v>
      </x:c>
      <x:c r="F1250" s="23" t="n">
        <x:v>692.5134086981416</x:v>
      </x:c>
      <x:c r="G1250" s="23" t="n">
        <x:v>221.2752895266749</x:v>
      </x:c>
      <x:c r="H1250" s="23" t="n">
        <x:v>13.307841593399644</x:v>
      </x:c>
      <x:c r="I1250" s="23" t="n">
        <x:v>0.8416146557335742</x:v>
      </x:c>
      <x:c r="J1250" s="23" t="n">
        <x:v>7</x:v>
      </x:c>
      <x:c r="K1250" s="23" t="n">
        <x:v>185.91091321987304</x:v>
      </x:c>
      <x:c r="L1250" s="23" t="n">
        <x:v>10225</x:v>
      </x:c>
      <x:c r="M1250" s="23" t="n">
        <x:v>1195</x:v>
      </x:c>
      <x:c r="N1250" s="23" t="n">
        <x:v>250.0200342796793</x:v>
      </x:c>
      <x:c r="O1250" s="23" t="n">
        <x:v>2496.5303836386524</x:v>
      </x:c>
      <x:c r="P1250" s="23" t="n">
        <x:v>1095.2574445866048</x:v>
      </x:c>
      <x:c r="Q1250" s="23" t="n">
        <x:v>253.20708628617282</x:v>
      </x:c>
      <x:c r="R1250" s="23" t="n">
        <x:v>2565.831752614135</x:v>
      </x:c>
      <x:c r="S1250" s="23" t="n">
        <x:v>1094.4408383784107</x:v>
      </x:c>
      <x:c r="T1250" s="23" t="n">
        <x:v>3.1870520064935306</x:v>
      </x:c>
      <x:c r="U1250" s="23" t="n">
        <x:v>69.30136897548255</x:v>
      </x:c>
      <x:c r="V1250" s="23" t="n">
        <x:v>-0.8166062081941163</x:v>
      </x:c>
    </x:row>
    <x:row r="1251">
      <x:c r="A1251" s="23" t="n">
        <x:v>1250</x:v>
      </x:c>
      <x:c r="B1251" s="23" t="str">
        <x:v>Train</x:v>
      </x:c>
      <x:c r="C1251" s="23" t="str">
        <x:v>Switching</x:v>
      </x:c>
      <x:c r="D1251" s="23" t="n">
        <x:v>1024.3236178182997</x:v>
      </x:c>
      <x:c r="E1251" s="23" t="n">
        <x:v>623.223205213435</x:v>
      </x:c>
      <x:c r="F1251" s="23" t="n">
        <x:v>509.44743091240525</x:v>
      </x:c>
      <x:c r="G1251" s="23" t="n">
        <x:v>285.85416280664504</x:v>
      </x:c>
      <x:c r="H1251" s="23" t="n">
        <x:v>26.42391971545294</x:v>
      </x:c>
      <x:c r="I1251" s="23" t="n">
        <x:v>0.8032295536110178</x:v>
      </x:c>
      <x:c r="J1251" s="23" t="n">
        <x:v>7</x:v>
      </x:c>
      <x:c r="K1251" s="23" t="n">
        <x:v>182.17948374130518</x:v>
      </x:c>
      <x:c r="L1251" s="23" t="n">
        <x:v>15075</x:v>
      </x:c>
      <x:c r="M1251" s="23" t="n">
        <x:v>1200</x:v>
      </x:c>
      <x:c r="N1251" s="23" t="n">
        <x:v>249.98253782882293</x:v>
      </x:c>
      <x:c r="O1251" s="23" t="n">
        <x:v>2503.057516559546</x:v>
      </x:c>
      <x:c r="P1251" s="23" t="n">
        <x:v>1024.3236178182997</x:v>
      </x:c>
      <x:c r="Q1251" s="23" t="n">
        <x:v>249.66814789612036</x:v>
      </x:c>
      <x:c r="R1251" s="23" t="n">
        <x:v>2452.2726856069303</x:v>
      </x:c>
      <x:c r="S1251" s="23" t="n">
        <x:v>1024.7382583996036</x:v>
      </x:c>
      <x:c r="T1251" s="23" t="n">
        <x:v>-0.3143899327025679</x:v>
      </x:c>
      <x:c r="U1251" s="23" t="n">
        <x:v>-50.78483095261572</x:v>
      </x:c>
      <x:c r="V1251" s="23" t="n">
        <x:v>0.4146405813039564</x:v>
      </x:c>
    </x:row>
    <x:row r="1252">
      <x:c r="A1252" s="23" t="n">
        <x:v>1251</x:v>
      </x:c>
      <x:c r="B1252" s="23" t="str">
        <x:v>Train</x:v>
      </x:c>
      <x:c r="C1252" s="23" t="str">
        <x:v>Switching</x:v>
      </x:c>
      <x:c r="D1252" s="23" t="n">
        <x:v>970.654086000286</x:v>
      </x:c>
      <x:c r="E1252" s="23" t="n">
        <x:v>720.9425622248091</x:v>
      </x:c>
      <x:c r="F1252" s="23" t="n">
        <x:v>701.8962662667036</x:v>
      </x:c>
      <x:c r="G1252" s="23" t="n">
        <x:v>221.89673372311518</x:v>
      </x:c>
      <x:c r="H1252" s="23" t="n">
        <x:v>27.335136611945927</x:v>
      </x:c>
      <x:c r="I1252" s="23" t="n">
        <x:v>0.7946533922175877</x:v>
      </x:c>
      <x:c r="J1252" s="23" t="n">
        <x:v>7</x:v>
      </x:c>
      <x:c r="K1252" s="23" t="n">
        <x:v>174.49729754710947</x:v>
      </x:c>
      <x:c r="L1252" s="23" t="n">
        <x:v>13005</x:v>
      </x:c>
      <x:c r="M1252" s="23" t="n">
        <x:v>1200</x:v>
      </x:c>
      <x:c r="N1252" s="23" t="n">
        <x:v>250.04722499751855</x:v>
      </x:c>
      <x:c r="O1252" s="23" t="n">
        <x:v>2504.3743346547635</x:v>
      </x:c>
      <x:c r="P1252" s="23" t="n">
        <x:v>970.654086000286</x:v>
      </x:c>
      <x:c r="Q1252" s="23" t="n">
        <x:v>251.31143351832173</x:v>
      </x:c>
      <x:c r="R1252" s="23" t="n">
        <x:v>2521.420591630165</x:v>
      </x:c>
      <x:c r="S1252" s="23" t="n">
        <x:v>961.6037880606565</x:v>
      </x:c>
      <x:c r="T1252" s="23" t="n">
        <x:v>1.2642085208031801</x:v>
      </x:c>
      <x:c r="U1252" s="23" t="n">
        <x:v>17.04625697540132</x:v>
      </x:c>
      <x:c r="V1252" s="23" t="n">
        <x:v>-9.050297939629559</x:v>
      </x:c>
    </x:row>
    <x:row r="1253">
      <x:c r="A1253" s="23" t="n">
        <x:v>1252</x:v>
      </x:c>
      <x:c r="B1253" s="23" t="str">
        <x:v>Train</x:v>
      </x:c>
      <x:c r="C1253" s="23" t="str">
        <x:v>Switching</x:v>
      </x:c>
      <x:c r="D1253" s="23" t="n">
        <x:v>1018.5637402697466</x:v>
      </x:c>
      <x:c r="E1253" s="23" t="n">
        <x:v>1012.4583490658551</x:v>
      </x:c>
      <x:c r="F1253" s="23" t="n">
        <x:v>649.644938390702</x:v>
      </x:c>
      <x:c r="G1253" s="23" t="n">
        <x:v>195.9387327497825</x:v>
      </x:c>
      <x:c r="H1253" s="23" t="n">
        <x:v>28.07696459395811</x:v>
      </x:c>
      <x:c r="I1253" s="23" t="n">
        <x:v>0.8558135339431465</x:v>
      </x:c>
      <x:c r="J1253" s="23" t="n">
        <x:v>6</x:v>
      </x:c>
      <x:c r="K1253" s="23" t="n">
        <x:v>198.36169521194864</x:v>
      </x:c>
      <x:c r="L1253" s="23" t="n">
        <x:v>13430</x:v>
      </x:c>
      <x:c r="M1253" s="23" t="n">
        <x:v>1200</x:v>
      </x:c>
      <x:c r="N1253" s="23" t="n">
        <x:v>250.03484075921625</x:v>
      </x:c>
      <x:c r="O1253" s="23" t="n">
        <x:v>2504.0708864640214</x:v>
      </x:c>
      <x:c r="P1253" s="23" t="n">
        <x:v>1018.5637402697466</x:v>
      </x:c>
      <x:c r="Q1253" s="23" t="n">
        <x:v>250.22868181006123</x:v>
      </x:c>
      <x:c r="R1253" s="23" t="n">
        <x:v>2487.615224337136</x:v>
      </x:c>
      <x:c r="S1253" s="23" t="n">
        <x:v>1008.4923646078605</x:v>
      </x:c>
      <x:c r="T1253" s="23" t="n">
        <x:v>0.1938410508449806</x:v>
      </x:c>
      <x:c r="U1253" s="23" t="n">
        <x:v>-16.455662126885272</x:v>
      </x:c>
      <x:c r="V1253" s="23" t="n">
        <x:v>-10.071375661886123</x:v>
      </x:c>
    </x:row>
    <x:row r="1254">
      <x:c r="A1254" s="23" t="n">
        <x:v>1253</x:v>
      </x:c>
      <x:c r="B1254" s="23" t="str">
        <x:v>Train</x:v>
      </x:c>
      <x:c r="C1254" s="23" t="str">
        <x:v>Switching</x:v>
      </x:c>
      <x:c r="D1254" s="23" t="n">
        <x:v>967.2802789602429</x:v>
      </x:c>
      <x:c r="E1254" s="23" t="n">
        <x:v>997.5681414711289</x:v>
      </x:c>
      <x:c r="F1254" s="23" t="n">
        <x:v>666.3854850456119</x:v>
      </x:c>
      <x:c r="G1254" s="23" t="n">
        <x:v>107.4517101352103</x:v>
      </x:c>
      <x:c r="H1254" s="23" t="n">
        <x:v>18.281022764742374</x:v>
      </x:c>
      <x:c r="I1254" s="23" t="n">
        <x:v>0.8428531124652364</x:v>
      </x:c>
      <x:c r="J1254" s="23" t="n">
        <x:v>6</x:v>
      </x:c>
      <x:c r="K1254" s="23" t="n">
        <x:v>191.27102628259726</x:v>
      </x:c>
      <x:c r="L1254" s="23" t="n">
        <x:v>14085</x:v>
      </x:c>
      <x:c r="M1254" s="23" t="n">
        <x:v>1200</x:v>
      </x:c>
      <x:c r="N1254" s="23" t="n">
        <x:v>250.00189811389734</x:v>
      </x:c>
      <x:c r="O1254" s="23" t="n">
        <x:v>2503.638604067758</x:v>
      </x:c>
      <x:c r="P1254" s="23" t="n">
        <x:v>967.2802789602429</x:v>
      </x:c>
      <x:c r="Q1254" s="23" t="n">
        <x:v>251.78908249347313</x:v>
      </x:c>
      <x:c r="R1254" s="23" t="n">
        <x:v>2496.1258658313027</x:v>
      </x:c>
      <x:c r="S1254" s="23" t="n">
        <x:v>969.5572132985533</x:v>
      </x:c>
      <x:c r="T1254" s="23" t="n">
        <x:v>1.7871843795757911</x:v>
      </x:c>
      <x:c r="U1254" s="23" t="n">
        <x:v>-7.512738236455334</x:v>
      </x:c>
      <x:c r="V1254" s="23" t="n">
        <x:v>2.2769343383104115</x:v>
      </x:c>
    </x:row>
    <x:row r="1255">
      <x:c r="A1255" s="23" t="n">
        <x:v>1254</x:v>
      </x:c>
      <x:c r="B1255" s="23" t="str">
        <x:v>Train</x:v>
      </x:c>
      <x:c r="C1255" s="23" t="str">
        <x:v>Switching</x:v>
      </x:c>
      <x:c r="D1255" s="23" t="n">
        <x:v>1078.6269846488722</x:v>
      </x:c>
      <x:c r="E1255" s="23" t="n">
        <x:v>890.4757261043414</x:v>
      </x:c>
      <x:c r="F1255" s="23" t="n">
        <x:v>633.9618531055748</x:v>
      </x:c>
      <x:c r="G1255" s="23" t="n">
        <x:v>141.22984131798148</x:v>
      </x:c>
      <x:c r="H1255" s="23" t="n">
        <x:v>22.136038957629353</x:v>
      </x:c>
      <x:c r="I1255" s="23" t="n">
        <x:v>0.8009436835488305</x:v>
      </x:c>
      <x:c r="J1255" s="23" t="n">
        <x:v>7</x:v>
      </x:c>
      <x:c r="K1255" s="23" t="n">
        <x:v>192.38502331750882</x:v>
      </x:c>
      <x:c r="L1255" s="23" t="n">
        <x:v>12840</x:v>
      </x:c>
      <x:c r="M1255" s="23" t="n">
        <x:v>1200</x:v>
      </x:c>
      <x:c r="N1255" s="23" t="n">
        <x:v>250.01652767235794</x:v>
      </x:c>
      <x:c r="O1255" s="23" t="n">
        <x:v>2504.496183188377</x:v>
      </x:c>
      <x:c r="P1255" s="23" t="n">
        <x:v>1078.6269846488722</x:v>
      </x:c>
      <x:c r="Q1255" s="23" t="n">
        <x:v>248.42372150665196</x:v>
      </x:c>
      <x:c r="R1255" s="23" t="n">
        <x:v>2537.1741018184653</x:v>
      </x:c>
      <x:c r="S1255" s="23" t="n">
        <x:v>1078.2214242671544</x:v>
      </x:c>
      <x:c r="T1255" s="23" t="n">
        <x:v>-1.59280616570598</x:v>
      </x:c>
      <x:c r="U1255" s="23" t="n">
        <x:v>32.67791863008824</x:v>
      </x:c>
      <x:c r="V1255" s="23" t="n">
        <x:v>-0.4055603817178053</x:v>
      </x:c>
    </x:row>
    <x:row r="1256">
      <x:c r="A1256" s="23" t="n">
        <x:v>1255</x:v>
      </x:c>
      <x:c r="B1256" s="23" t="str">
        <x:v>Validation</x:v>
      </x:c>
      <x:c r="C1256" s="23" t="str">
        <x:v>Switching</x:v>
      </x:c>
      <x:c r="D1256" s="23" t="n">
        <x:v>1011.1063796328381</x:v>
      </x:c>
      <x:c r="E1256" s="23" t="n">
        <x:v>955.197031435091</x:v>
      </x:c>
      <x:c r="F1256" s="23" t="n">
        <x:v>560.580724477768</x:v>
      </x:c>
      <x:c r="G1256" s="23" t="n">
        <x:v>189.27409114083275</x:v>
      </x:c>
      <x:c r="H1256" s="23" t="n">
        <x:v>9.370440530590713</x:v>
      </x:c>
      <x:c r="I1256" s="23" t="n">
        <x:v>0.7954653356201016</x:v>
      </x:c>
      <x:c r="J1256" s="23" t="n">
        <x:v>7</x:v>
      </x:c>
      <x:c r="K1256" s="23" t="n">
        <x:v>181.5839887056503</x:v>
      </x:c>
      <x:c r="L1256" s="23" t="n">
        <x:v>12545</x:v>
      </x:c>
      <x:c r="M1256" s="23" t="n">
        <x:v>1200</x:v>
      </x:c>
      <x:c r="N1256" s="23" t="n">
        <x:v>250.04786642480227</x:v>
      </x:c>
      <x:c r="O1256" s="23" t="n">
        <x:v>2504.725447812069</x:v>
      </x:c>
      <x:c r="P1256" s="23" t="n">
        <x:v>1011.1063796328381</x:v>
      </x:c>
      <x:c r="Q1256" s="23" t="n">
        <x:v>249.48222676488533</x:v>
      </x:c>
      <x:c r="R1256" s="23" t="n">
        <x:v>2510.449390051536</x:v>
      </x:c>
      <x:c r="S1256" s="23" t="n">
        <x:v>1014.4206765626548</x:v>
      </x:c>
      <x:c r="T1256" s="23" t="n">
        <x:v>-0.5656396599169398</x:v>
      </x:c>
      <x:c r="U1256" s="23" t="n">
        <x:v>5.723942239466851</x:v>
      </x:c>
      <x:c r="V1256" s="23" t="n">
        <x:v>3.3142969298166918</x:v>
      </x:c>
    </x:row>
    <x:row r="1257">
      <x:c r="A1257" s="23" t="n">
        <x:v>1256</x:v>
      </x:c>
      <x:c r="B1257" s="23" t="str">
        <x:v>Validation</x:v>
      </x:c>
      <x:c r="C1257" s="23" t="str">
        <x:v>Switching</x:v>
      </x:c>
      <x:c r="D1257" s="23" t="n">
        <x:v>987.8623389522545</x:v>
      </x:c>
      <x:c r="E1257" s="23" t="n">
        <x:v>795.6703552044928</x:v>
      </x:c>
      <x:c r="F1257" s="23" t="n">
        <x:v>504.73288660869</x:v>
      </x:c>
      <x:c r="G1257" s="23" t="n">
        <x:v>112.81844931188971</x:v>
      </x:c>
      <x:c r="H1257" s="23" t="n">
        <x:v>24.575492245610803</x:v>
      </x:c>
      <x:c r="I1257" s="23" t="n">
        <x:v>0.8422569750342519</x:v>
      </x:c>
      <x:c r="J1257" s="23" t="n">
        <x:v>6</x:v>
      </x:c>
      <x:c r="K1257" s="23" t="n">
        <x:v>195.47920413720948</x:v>
      </x:c>
      <x:c r="L1257" s="23" t="n">
        <x:v>17655</x:v>
      </x:c>
      <x:c r="M1257" s="23" t="n">
        <x:v>1200</x:v>
      </x:c>
      <x:c r="N1257" s="23" t="n">
        <x:v>250.00378244152222</x:v>
      </x:c>
      <x:c r="O1257" s="23" t="n">
        <x:v>2501.8514109500375</x:v>
      </x:c>
      <x:c r="P1257" s="23" t="n">
        <x:v>987.8623389522545</x:v>
      </x:c>
      <x:c r="Q1257" s="23" t="n">
        <x:v>245.46595455706023</x:v>
      </x:c>
      <x:c r="R1257" s="23" t="n">
        <x:v>2506.977386599997</x:v>
      </x:c>
      <x:c r="S1257" s="23" t="n">
        <x:v>990.9644715265321</x:v>
      </x:c>
      <x:c r="T1257" s="23" t="n">
        <x:v>-4.53782788446199</x:v>
      </x:c>
      <x:c r="U1257" s="23" t="n">
        <x:v>5.1259756499594005</x:v>
      </x:c>
      <x:c r="V1257" s="23" t="n">
        <x:v>3.1021325742775616</x:v>
      </x:c>
    </x:row>
    <x:row r="1258">
      <x:c r="A1258" s="23" t="n">
        <x:v>1257</x:v>
      </x:c>
      <x:c r="B1258" s="23" t="str">
        <x:v>Validation</x:v>
      </x:c>
      <x:c r="C1258" s="23" t="str">
        <x:v>Switching</x:v>
      </x:c>
      <x:c r="D1258" s="23" t="n">
        <x:v>1075.1667505130172</x:v>
      </x:c>
      <x:c r="E1258" s="23" t="n">
        <x:v>1123.5007953247987</x:v>
      </x:c>
      <x:c r="F1258" s="23" t="n">
        <x:v>389.8659648373723</x:v>
      </x:c>
      <x:c r="G1258" s="23" t="n">
        <x:v>323.46757266903296</x:v>
      </x:c>
      <x:c r="H1258" s="23" t="n">
        <x:v>22.996424546465278</x:v>
      </x:c>
      <x:c r="I1258" s="23" t="n">
        <x:v>0.7987872289237566</x:v>
      </x:c>
      <x:c r="J1258" s="23" t="n">
        <x:v>7</x:v>
      </x:c>
      <x:c r="K1258" s="23" t="n">
        <x:v>192.2855605493771</x:v>
      </x:c>
      <x:c r="L1258" s="23" t="n">
        <x:v>11645</x:v>
      </x:c>
      <x:c r="M1258" s="23" t="n">
        <x:v>1195</x:v>
      </x:c>
      <x:c r="N1258" s="23" t="n">
        <x:v>250.0489384797961</x:v>
      </x:c>
      <x:c r="O1258" s="23" t="n">
        <x:v>2495.053027601534</x:v>
      </x:c>
      <x:c r="P1258" s="23" t="n">
        <x:v>1075.1667505130172</x:v>
      </x:c>
      <x:c r="Q1258" s="23" t="n">
        <x:v>248.0814913493858</x:v>
      </x:c>
      <x:c r="R1258" s="23" t="n">
        <x:v>2549.1010561995977</x:v>
      </x:c>
      <x:c r="S1258" s="23" t="n">
        <x:v>1066.5294178140568</x:v>
      </x:c>
      <x:c r="T1258" s="23" t="n">
        <x:v>-1.9674471304103065</x:v>
      </x:c>
      <x:c r="U1258" s="23" t="n">
        <x:v>54.048028598063866</x:v>
      </x:c>
      <x:c r="V1258" s="23" t="n">
        <x:v>-8.637332698960336</x:v>
      </x:c>
    </x:row>
    <x:row r="1259">
      <x:c r="A1259" s="23" t="n">
        <x:v>1258</x:v>
      </x:c>
      <x:c r="B1259" s="23" t="str">
        <x:v>Hidden Test</x:v>
      </x:c>
      <x:c r="C1259" s="23" t="str">
        <x:v>Switching</x:v>
      </x:c>
      <x:c r="D1259" s="23" t="n">
        <x:v>975.1373205916025</x:v>
      </x:c>
      <x:c r="E1259" s="23" t="n">
        <x:v>1180.5277098203078</x:v>
      </x:c>
      <x:c r="F1259" s="23" t="n">
        <x:v>374.38943395391107</x:v>
      </x:c>
      <x:c r="G1259" s="23" t="n">
        <x:v>153.1120768468827</x:v>
      </x:c>
      <x:c r="H1259" s="23" t="n">
        <x:v>24.60828845622018</x:v>
      </x:c>
      <x:c r="I1259" s="23" t="n">
        <x:v>0.7980693623097613</x:v>
      </x:c>
      <x:c r="J1259" s="23" t="n">
        <x:v>7</x:v>
      </x:c>
      <x:c r="K1259" s="23" t="n">
        <x:v>174.55291243095778</x:v>
      </x:c>
      <x:c r="L1259" s="23" t="n">
        <x:v>12520</x:v>
      </x:c>
      <x:c r="M1259" s="23" t="n">
        <x:v>1200</x:v>
      </x:c>
      <x:c r="N1259" s="23" t="n">
        <x:v>249.98569323997268</x:v>
      </x:c>
      <x:c r="O1259" s="23" t="n">
        <x:v>2504.7427796990796</x:v>
      </x:c>
      <x:c r="P1259" s="23" t="n">
        <x:v>975.1373205916025</x:v>
      </x:c>
      <x:c r="Q1259" s="23" t="n">
        <x:v>246.49521273555447</x:v>
      </x:c>
      <x:c r="R1259" s="23" t="n">
        <x:v>2492.9336941161578</x:v>
      </x:c>
      <x:c r="S1259" s="23" t="n">
        <x:v>965.1050704903096</x:v>
      </x:c>
      <x:c r="T1259" s="23" t="n">
        <x:v>-3.4904805044182012</x:v>
      </x:c>
      <x:c r="U1259" s="23" t="n">
        <x:v>-11.809085582921853</x:v>
      </x:c>
      <x:c r="V1259" s="23" t="n">
        <x:v>-10.032250101292902</x:v>
      </x:c>
    </x:row>
    <x:row r="1260">
      <x:c r="A1260" s="23" t="n">
        <x:v>1259</x:v>
      </x:c>
      <x:c r="B1260" s="23" t="str">
        <x:v>Hidden Test</x:v>
      </x:c>
      <x:c r="C1260" s="23" t="str">
        <x:v>Switching</x:v>
      </x:c>
      <x:c r="D1260" s="23" t="n">
        <x:v>1052.4802735773847</x:v>
      </x:c>
      <x:c r="E1260" s="23" t="n">
        <x:v>1088.7418991536833</x:v>
      </x:c>
      <x:c r="F1260" s="23" t="n">
        <x:v>450.3895182162523</x:v>
      </x:c>
      <x:c r="G1260" s="23" t="n">
        <x:v>178.27256033895537</x:v>
      </x:c>
      <x:c r="H1260" s="23" t="n">
        <x:v>24.941336975432932</x:v>
      </x:c>
      <x:c r="I1260" s="23" t="n">
        <x:v>0.8349353160592727</x:v>
      </x:c>
      <x:c r="J1260" s="23" t="n">
        <x:v>7</x:v>
      </x:c>
      <x:c r="K1260" s="23" t="n">
        <x:v>180.07900960090117</x:v>
      </x:c>
      <x:c r="L1260" s="23" t="n">
        <x:v>12450</x:v>
      </x:c>
      <x:c r="M1260" s="23" t="n">
        <x:v>1200</x:v>
      </x:c>
      <x:c r="N1260" s="23" t="n">
        <x:v>249.95243103574103</x:v>
      </x:c>
      <x:c r="O1260" s="23" t="n">
        <x:v>2504.797352035039</x:v>
      </x:c>
      <x:c r="P1260" s="23" t="n">
        <x:v>1052.4802735773847</x:v>
      </x:c>
      <x:c r="Q1260" s="23" t="n">
        <x:v>251.7512575343393</x:v>
      </x:c>
      <x:c r="R1260" s="23" t="n">
        <x:v>2519.2161018292913</x:v>
      </x:c>
      <x:c r="S1260" s="23" t="n">
        <x:v>1047.250483901703</x:v>
      </x:c>
      <x:c r="T1260" s="23" t="n">
        <x:v>1.7988264985982596</x:v>
      </x:c>
      <x:c r="U1260" s="23" t="n">
        <x:v>14.418749794252562</x:v>
      </x:c>
      <x:c r="V1260" s="23" t="n">
        <x:v>-5.229789675681559</x:v>
      </x:c>
    </x:row>
    <x:row r="1261">
      <x:c r="A1261" s="23" t="n">
        <x:v>1260</x:v>
      </x:c>
      <x:c r="B1261" s="23" t="str">
        <x:v>Hidden Test</x:v>
      </x:c>
      <x:c r="C1261" s="23" t="str">
        <x:v>Switching</x:v>
      </x:c>
      <x:c r="D1261" s="23" t="n">
        <x:v>1024.7400721884333</x:v>
      </x:c>
      <x:c r="E1261" s="23" t="n">
        <x:v>834.3018071260303</x:v>
      </x:c>
      <x:c r="F1261" s="23" t="n">
        <x:v>392.4311618320644</x:v>
      </x:c>
      <x:c r="G1261" s="23" t="n">
        <x:v>220.04731632303447</x:v>
      </x:c>
      <x:c r="H1261" s="23" t="n">
        <x:v>14.003324109595269</x:v>
      </x:c>
      <x:c r="I1261" s="23" t="n">
        <x:v>0.7971814255788923</x:v>
      </x:c>
      <x:c r="J1261" s="23" t="n">
        <x:v>7</x:v>
      </x:c>
      <x:c r="K1261" s="23" t="n">
        <x:v>183.6362892898016</x:v>
      </x:c>
      <x:c r="L1261" s="23" t="n">
        <x:v>14780</x:v>
      </x:c>
      <x:c r="M1261" s="23" t="n">
        <x:v>1200</x:v>
      </x:c>
      <x:c r="N1261" s="23" t="n">
        <x:v>249.97237602958978</x:v>
      </x:c>
      <x:c r="O1261" s="23" t="n">
        <x:v>2503.2219973966785</x:v>
      </x:c>
      <x:c r="P1261" s="23" t="n">
        <x:v>1024.7400721884333</x:v>
      </x:c>
      <x:c r="Q1261" s="23" t="n">
        <x:v>252.2893971319889</x:v>
      </x:c>
      <x:c r="R1261" s="23" t="n">
        <x:v>2468.71273811168</x:v>
      </x:c>
      <x:c r="S1261" s="23" t="n">
        <x:v>1031.295294405917</x:v>
      </x:c>
      <x:c r="T1261" s="23" t="n">
        <x:v>2.31702110239911</x:v>
      </x:c>
      <x:c r="U1261" s="23" t="n">
        <x:v>-34.50925928499828</x:v>
      </x:c>
      <x:c r="V1261" s="23" t="n">
        <x:v>6.555222217483788</x:v>
      </x:c>
    </x:row>
    <x:row r="1262">
      <x:c r="A1262" s="23" t="n">
        <x:v>1261</x:v>
      </x:c>
      <x:c r="B1262" s="23" t="str">
        <x:v>Train</x:v>
      </x:c>
      <x:c r="C1262" s="23" t="str">
        <x:v>Switching</x:v>
      </x:c>
      <x:c r="D1262" s="23" t="n">
        <x:v>1062.887336825952</x:v>
      </x:c>
      <x:c r="E1262" s="23" t="n">
        <x:v>728.8751254673116</x:v>
      </x:c>
      <x:c r="F1262" s="23" t="n">
        <x:v>609.4847133383155</x:v>
      </x:c>
      <x:c r="G1262" s="23" t="n">
        <x:v>134.31040545227006</x:v>
      </x:c>
      <x:c r="H1262" s="23" t="n">
        <x:v>15.625414106994867</x:v>
      </x:c>
      <x:c r="I1262" s="23" t="n">
        <x:v>0.8460316305630841</x:v>
      </x:c>
      <x:c r="J1262" s="23" t="n">
        <x:v>7</x:v>
      </x:c>
      <x:c r="K1262" s="23" t="n">
        <x:v>179.47443409052443</x:v>
      </x:c>
      <x:c r="L1262" s="23" t="n">
        <x:v>14520</x:v>
      </x:c>
      <x:c r="M1262" s="23" t="n">
        <x:v>1200</x:v>
      </x:c>
      <x:c r="N1262" s="23" t="n">
        <x:v>249.96960097330927</x:v>
      </x:c>
      <x:c r="O1262" s="23" t="n">
        <x:v>2503.3727080258736</x:v>
      </x:c>
      <x:c r="P1262" s="23" t="n">
        <x:v>1062.887336825952</x:v>
      </x:c>
      <x:c r="Q1262" s="23" t="n">
        <x:v>249.31551650211196</x:v>
      </x:c>
      <x:c r="R1262" s="23" t="n">
        <x:v>2464.203043263741</x:v>
      </x:c>
      <x:c r="S1262" s="23" t="n">
        <x:v>1068.9393600836493</x:v>
      </x:c>
      <x:c r="T1262" s="23" t="n">
        <x:v>-0.654084471197308</x:v>
      </x:c>
      <x:c r="U1262" s="23" t="n">
        <x:v>-39.16966476213247</x:v>
      </x:c>
      <x:c r="V1262" s="23" t="n">
        <x:v>6.0520232576973285</x:v>
      </x:c>
    </x:row>
    <x:row r="1263">
      <x:c r="A1263" s="23" t="n">
        <x:v>1262</x:v>
      </x:c>
      <x:c r="B1263" s="23" t="str">
        <x:v>Train</x:v>
      </x:c>
      <x:c r="C1263" s="23" t="str">
        <x:v>Switching</x:v>
      </x:c>
      <x:c r="D1263" s="23" t="n">
        <x:v>1075.9016661089845</x:v>
      </x:c>
      <x:c r="E1263" s="23" t="n">
        <x:v>626.8244311911985</x:v>
      </x:c>
      <x:c r="F1263" s="23" t="n">
        <x:v>528.3216689713299</x:v>
      </x:c>
      <x:c r="G1263" s="23" t="n">
        <x:v>186.54480755329132</x:v>
      </x:c>
      <x:c r="H1263" s="23" t="n">
        <x:v>12.823247919324785</x:v>
      </x:c>
      <x:c r="I1263" s="23" t="n">
        <x:v>0.8088885756535455</x:v>
      </x:c>
      <x:c r="J1263" s="23" t="n">
        <x:v>7</x:v>
      </x:c>
      <x:c r="K1263" s="23" t="n">
        <x:v>190.01410409509907</x:v>
      </x:c>
      <x:c r="L1263" s="23" t="n">
        <x:v>15940</x:v>
      </x:c>
      <x:c r="M1263" s="23" t="n">
        <x:v>1200</x:v>
      </x:c>
      <x:c r="N1263" s="23" t="n">
        <x:v>250.00904528075378</x:v>
      </x:c>
      <x:c r="O1263" s="23" t="n">
        <x:v>2502.6102511119957</x:v>
      </x:c>
      <x:c r="P1263" s="23" t="n">
        <x:v>1075.9016661089845</x:v>
      </x:c>
      <x:c r="Q1263" s="23" t="n">
        <x:v>248.89700441317905</x:v>
      </x:c>
      <x:c r="R1263" s="23" t="n">
        <x:v>2513.4458224463674</x:v>
      </x:c>
      <x:c r="S1263" s="23" t="n">
        <x:v>1091.2760980853038</x:v>
      </x:c>
      <x:c r="T1263" s="23" t="n">
        <x:v>-1.1120408675747342</x:v>
      </x:c>
      <x:c r="U1263" s="23" t="n">
        <x:v>10.835571334371707</x:v>
      </x:c>
      <x:c r="V1263" s="23" t="n">
        <x:v>15.374431976319329</x:v>
      </x:c>
    </x:row>
    <x:row r="1264">
      <x:c r="A1264" s="23" t="n">
        <x:v>1263</x:v>
      </x:c>
      <x:c r="B1264" s="23" t="str">
        <x:v>Train</x:v>
      </x:c>
      <x:c r="C1264" s="23" t="str">
        <x:v>Switching</x:v>
      </x:c>
      <x:c r="D1264" s="23" t="n">
        <x:v>1032.3469953844324</x:v>
      </x:c>
      <x:c r="E1264" s="23" t="n">
        <x:v>677.5773623143323</x:v>
      </x:c>
      <x:c r="F1264" s="23" t="n">
        <x:v>726.8925823271275</x:v>
      </x:c>
      <x:c r="G1264" s="23" t="n">
        <x:v>92.515781854745</x:v>
      </x:c>
      <x:c r="H1264" s="23" t="n">
        <x:v>20.39117111172527</x:v>
      </x:c>
      <x:c r="I1264" s="23" t="n">
        <x:v>0.7940989451645873</x:v>
      </x:c>
      <x:c r="J1264" s="23" t="n">
        <x:v>7</x:v>
      </x:c>
      <x:c r="K1264" s="23" t="n">
        <x:v>185.71758984922124</x:v>
      </x:c>
      <x:c r="L1264" s="23" t="n">
        <x:v>14285</x:v>
      </x:c>
      <x:c r="M1264" s="23" t="n">
        <x:v>1200</x:v>
      </x:c>
      <x:c r="N1264" s="23" t="n">
        <x:v>249.98454218066877</x:v>
      </x:c>
      <x:c r="O1264" s="23" t="n">
        <x:v>2503.5142533110798</x:v>
      </x:c>
      <x:c r="P1264" s="23" t="n">
        <x:v>1032.3469953844324</x:v>
      </x:c>
      <x:c r="Q1264" s="23" t="n">
        <x:v>250.61027627356364</x:v>
      </x:c>
      <x:c r="R1264" s="23" t="n">
        <x:v>2523.0736995106504</x:v>
      </x:c>
      <x:c r="S1264" s="23" t="n">
        <x:v>1035.0791603216533</x:v>
      </x:c>
      <x:c r="T1264" s="23" t="n">
        <x:v>0.6257340928948736</x:v>
      </x:c>
      <x:c r="U1264" s="23" t="n">
        <x:v>19.55944619957063</x:v>
      </x:c>
      <x:c r="V1264" s="23" t="n">
        <x:v>2.7321649372208867</x:v>
      </x:c>
    </x:row>
    <x:row r="1265">
      <x:c r="A1265" s="23" t="n">
        <x:v>1264</x:v>
      </x:c>
      <x:c r="B1265" s="23" t="str">
        <x:v>Train</x:v>
      </x:c>
      <x:c r="C1265" s="23" t="str">
        <x:v>Switching</x:v>
      </x:c>
      <x:c r="D1265" s="23" t="n">
        <x:v>1050.3114204737358</x:v>
      </x:c>
      <x:c r="E1265" s="23" t="n">
        <x:v>827.8217108920217</x:v>
      </x:c>
      <x:c r="F1265" s="23" t="n">
        <x:v>680.3179844282568</x:v>
      </x:c>
      <x:c r="G1265" s="23" t="n">
        <x:v>228.41102075297385</x:v>
      </x:c>
      <x:c r="H1265" s="23" t="n">
        <x:v>22.373553657438606</x:v>
      </x:c>
      <x:c r="I1265" s="23" t="n">
        <x:v>0.8300754562672228</x:v>
      </x:c>
      <x:c r="J1265" s="23" t="n">
        <x:v>7</x:v>
      </x:c>
      <x:c r="K1265" s="23" t="n">
        <x:v>180.76005922864186</x:v>
      </x:c>
      <x:c r="L1265" s="23" t="n">
        <x:v>12315</x:v>
      </x:c>
      <x:c r="M1265" s="23" t="n">
        <x:v>1200</x:v>
      </x:c>
      <x:c r="N1265" s="23" t="n">
        <x:v>249.99846376702226</x:v>
      </x:c>
      <x:c r="O1265" s="23" t="n">
        <x:v>2504.9088090284054</x:v>
      </x:c>
      <x:c r="P1265" s="23" t="n">
        <x:v>1050.3114204737358</x:v>
      </x:c>
      <x:c r="Q1265" s="23" t="n">
        <x:v>250.78794508186837</x:v>
      </x:c>
      <x:c r="R1265" s="23" t="n">
        <x:v>2510.2179643399018</x:v>
      </x:c>
      <x:c r="S1265" s="23" t="n">
        <x:v>1043.6322196914896</x:v>
      </x:c>
      <x:c r="T1265" s="23" t="n">
        <x:v>0.789481314846114</x:v>
      </x:c>
      <x:c r="U1265" s="23" t="n">
        <x:v>5.309155311496397</x:v>
      </x:c>
      <x:c r="V1265" s="23" t="n">
        <x:v>-6.679200782246198</x:v>
      </x:c>
    </x:row>
    <x:row r="1266">
      <x:c r="A1266" s="23" t="n">
        <x:v>1265</x:v>
      </x:c>
      <x:c r="B1266" s="23" t="str">
        <x:v>Train</x:v>
      </x:c>
      <x:c r="C1266" s="23" t="str">
        <x:v>Switching</x:v>
      </x:c>
      <x:c r="D1266" s="23" t="n">
        <x:v>997.251680213958</x:v>
      </x:c>
      <x:c r="E1266" s="23" t="n">
        <x:v>766.4794491021894</x:v>
      </x:c>
      <x:c r="F1266" s="23" t="n">
        <x:v>385.97600255161524</x:v>
      </x:c>
      <x:c r="G1266" s="23" t="n">
        <x:v>236.29651030758396</x:v>
      </x:c>
      <x:c r="H1266" s="23" t="n">
        <x:v>8.689631747081876</x:v>
      </x:c>
      <x:c r="I1266" s="23" t="n">
        <x:v>0.8551550672878512</x:v>
      </x:c>
      <x:c r="J1266" s="23" t="n">
        <x:v>6</x:v>
      </x:c>
      <x:c r="K1266" s="23" t="n">
        <x:v>194.36078873522715</x:v>
      </x:c>
      <x:c r="L1266" s="23" t="n">
        <x:v>17965</x:v>
      </x:c>
      <x:c r="M1266" s="23" t="n">
        <x:v>1200</x:v>
      </x:c>
      <x:c r="N1266" s="23" t="n">
        <x:v>249.9884368327807</x:v>
      </x:c>
      <x:c r="O1266" s="23" t="n">
        <x:v>2501.729316789402</x:v>
      </x:c>
      <x:c r="P1266" s="23" t="n">
        <x:v>997.251680213958</x:v>
      </x:c>
      <x:c r="Q1266" s="23" t="n">
        <x:v>252.92704137433495</x:v>
      </x:c>
      <x:c r="R1266" s="23" t="n">
        <x:v>2522.202493373968</x:v>
      </x:c>
      <x:c r="S1266" s="23" t="n">
        <x:v>1005.7749057638548</x:v>
      </x:c>
      <x:c r="T1266" s="23" t="n">
        <x:v>2.9386045415542412</x:v>
      </x:c>
      <x:c r="U1266" s="23" t="n">
        <x:v>20.473176584565863</x:v>
      </x:c>
      <x:c r="V1266" s="23" t="n">
        <x:v>8.523225549896779</x:v>
      </x:c>
    </x:row>
    <x:row r="1267">
      <x:c r="A1267" s="23" t="n">
        <x:v>1266</x:v>
      </x:c>
      <x:c r="B1267" s="23" t="str">
        <x:v>Train</x:v>
      </x:c>
      <x:c r="C1267" s="23" t="str">
        <x:v>Switching</x:v>
      </x:c>
      <x:c r="D1267" s="23" t="n">
        <x:v>1082.8632637509145</x:v>
      </x:c>
      <x:c r="E1267" s="23" t="n">
        <x:v>1074.5224763872102</x:v>
      </x:c>
      <x:c r="F1267" s="23" t="n">
        <x:v>367.5092943944037</x:v>
      </x:c>
      <x:c r="G1267" s="23" t="n">
        <x:v>300.424396218732</x:v>
      </x:c>
      <x:c r="H1267" s="23" t="n">
        <x:v>27.98770207213238</x:v>
      </x:c>
      <x:c r="I1267" s="23" t="n">
        <x:v>0.8122253549331799</x:v>
      </x:c>
      <x:c r="J1267" s="23" t="n">
        <x:v>7</x:v>
      </x:c>
      <x:c r="K1267" s="23" t="n">
        <x:v>190.45792036022164</x:v>
      </x:c>
      <x:c r="L1267" s="23" t="n">
        <x:v>12275</x:v>
      </x:c>
      <x:c r="M1267" s="23" t="n">
        <x:v>1200</x:v>
      </x:c>
      <x:c r="N1267" s="23" t="n">
        <x:v>250.03399201437622</x:v>
      </x:c>
      <x:c r="O1267" s="23" t="n">
        <x:v>2504.9431858393427</x:v>
      </x:c>
      <x:c r="P1267" s="23" t="n">
        <x:v>1082.8632637509145</x:v>
      </x:c>
      <x:c r="Q1267" s="23" t="n">
        <x:v>248.47952688519302</x:v>
      </x:c>
      <x:c r="R1267" s="23" t="n">
        <x:v>2561.118655930276</x:v>
      </x:c>
      <x:c r="S1267" s="23" t="n">
        <x:v>1074.6791632495379</x:v>
      </x:c>
      <x:c r="T1267" s="23" t="n">
        <x:v>-1.5544651291831997</x:v>
      </x:c>
      <x:c r="U1267" s="23" t="n">
        <x:v>56.17547009093323</x:v>
      </x:c>
      <x:c r="V1267" s="23" t="n">
        <x:v>-8.184100501376633</x:v>
      </x:c>
    </x:row>
    <x:row r="1268">
      <x:c r="A1268" s="23" t="n">
        <x:v>1267</x:v>
      </x:c>
      <x:c r="B1268" s="23" t="str">
        <x:v>Train</x:v>
      </x:c>
      <x:c r="C1268" s="23" t="str">
        <x:v>Switching</x:v>
      </x:c>
      <x:c r="D1268" s="23" t="n">
        <x:v>1026.5023743500933</x:v>
      </x:c>
      <x:c r="E1268" s="23" t="n">
        <x:v>816.9929016032256</x:v>
      </x:c>
      <x:c r="F1268" s="23" t="n">
        <x:v>481.0678716748953</x:v>
      </x:c>
      <x:c r="G1268" s="23" t="n">
        <x:v>232.204277634155</x:v>
      </x:c>
      <x:c r="H1268" s="23" t="n">
        <x:v>19.813646686263382</x:v>
      </x:c>
      <x:c r="I1268" s="23" t="n">
        <x:v>0.8200489253248089</x:v>
      </x:c>
      <x:c r="J1268" s="23" t="n">
        <x:v>7</x:v>
      </x:c>
      <x:c r="K1268" s="23" t="n">
        <x:v>178.82249681339985</x:v>
      </x:c>
      <x:c r="L1268" s="23" t="n">
        <x:v>13975</x:v>
      </x:c>
      <x:c r="M1268" s="23" t="n">
        <x:v>1200</x:v>
      </x:c>
      <x:c r="N1268" s="23" t="n">
        <x:v>249.9963810767194</x:v>
      </x:c>
      <x:c r="O1268" s="23" t="n">
        <x:v>2503.7079789143704</x:v>
      </x:c>
      <x:c r="P1268" s="23" t="n">
        <x:v>1026.5023743500933</x:v>
      </x:c>
      <x:c r="Q1268" s="23" t="n">
        <x:v>249.2891691778074</x:v>
      </x:c>
      <x:c r="R1268" s="23" t="n">
        <x:v>2493.1847835245703</x:v>
      </x:c>
      <x:c r="S1268" s="23" t="n">
        <x:v>1033.5621010941934</x:v>
      </x:c>
      <x:c r="T1268" s="23" t="n">
        <x:v>-0.7072118989119929</x:v>
      </x:c>
      <x:c r="U1268" s="23" t="n">
        <x:v>-10.523195389800094</x:v>
      </x:c>
      <x:c r="V1268" s="23" t="n">
        <x:v>7.0597267441000895</x:v>
      </x:c>
    </x:row>
    <x:row r="1269">
      <x:c r="A1269" s="23" t="n">
        <x:v>1268</x:v>
      </x:c>
      <x:c r="B1269" s="23" t="str">
        <x:v>Train</x:v>
      </x:c>
      <x:c r="C1269" s="23" t="str">
        <x:v>Switching</x:v>
      </x:c>
      <x:c r="D1269" s="23" t="n">
        <x:v>1045.470794418361</x:v>
      </x:c>
      <x:c r="E1269" s="23" t="n">
        <x:v>1074.454146111384</x:v>
      </x:c>
      <x:c r="F1269" s="23" t="n">
        <x:v>375.230913143605</x:v>
      </x:c>
      <x:c r="G1269" s="23" t="n">
        <x:v>317.57971765007824</x:v>
      </x:c>
      <x:c r="H1269" s="23" t="n">
        <x:v>24.591387092601508</x:v>
      </x:c>
      <x:c r="I1269" s="23" t="n">
        <x:v>0.8147984797693789</x:v>
      </x:c>
      <x:c r="J1269" s="23" t="n">
        <x:v>7</x:v>
      </x:c>
      <x:c r="K1269" s="23" t="n">
        <x:v>183.30050231987101</x:v>
      </x:c>
      <x:c r="L1269" s="23" t="n">
        <x:v>12100</x:v>
      </x:c>
      <x:c r="M1269" s="23" t="n">
        <x:v>1200</x:v>
      </x:c>
      <x:c r="N1269" s="23" t="n">
        <x:v>249.97844150233306</x:v>
      </x:c>
      <x:c r="O1269" s="23" t="n">
        <x:v>2505.0876017193195</x:v>
      </x:c>
      <x:c r="P1269" s="23" t="n">
        <x:v>1045.470794418361</x:v>
      </x:c>
      <x:c r="Q1269" s="23" t="n">
        <x:v>249.73448217887173</x:v>
      </x:c>
      <x:c r="R1269" s="23" t="n">
        <x:v>2565.584388384139</x:v>
      </x:c>
      <x:c r="S1269" s="23" t="n">
        <x:v>1039.2948334416358</x:v>
      </x:c>
      <x:c r="T1269" s="23" t="n">
        <x:v>-0.24395932346132554</x:v>
      </x:c>
      <x:c r="U1269" s="23" t="n">
        <x:v>60.49678666481941</x:v>
      </x:c>
      <x:c r="V1269" s="23" t="n">
        <x:v>-6.175960976725264</x:v>
      </x:c>
    </x:row>
    <x:row r="1270">
      <x:c r="A1270" s="23" t="n">
        <x:v>1269</x:v>
      </x:c>
      <x:c r="B1270" s="23" t="str">
        <x:v>Train</x:v>
      </x:c>
      <x:c r="C1270" s="23" t="str">
        <x:v>Switching</x:v>
      </x:c>
      <x:c r="D1270" s="23" t="n">
        <x:v>1042.3195984680206</x:v>
      </x:c>
      <x:c r="E1270" s="23" t="n">
        <x:v>881.8841040018015</x:v>
      </x:c>
      <x:c r="F1270" s="23" t="n">
        <x:v>437.17401903122663</x:v>
      </x:c>
      <x:c r="G1270" s="23" t="n">
        <x:v>222.78446353273466</x:v>
      </x:c>
      <x:c r="H1270" s="23" t="n">
        <x:v>18.399736016988754</x:v>
      </x:c>
      <x:c r="I1270" s="23" t="n">
        <x:v>0.8338682796643115</x:v>
      </x:c>
      <x:c r="J1270" s="23" t="n">
        <x:v>7</x:v>
      </x:c>
      <x:c r="K1270" s="23" t="n">
        <x:v>178.56873011297333</x:v>
      </x:c>
      <x:c r="L1270" s="23" t="n">
        <x:v>13870</x:v>
      </x:c>
      <x:c r="M1270" s="23" t="n">
        <x:v>1200</x:v>
      </x:c>
      <x:c r="N1270" s="23" t="n">
        <x:v>249.99521514487836</x:v>
      </x:c>
      <x:c r="O1270" s="23" t="n">
        <x:v>2503.7753740649164</x:v>
      </x:c>
      <x:c r="P1270" s="23" t="n">
        <x:v>1042.3195984680206</x:v>
      </x:c>
      <x:c r="Q1270" s="23" t="n">
        <x:v>252.34112008780252</x:v>
      </x:c>
      <x:c r="R1270" s="23" t="n">
        <x:v>2504.5902579680746</x:v>
      </x:c>
      <x:c r="S1270" s="23" t="n">
        <x:v>1051.684128981131</x:v>
      </x:c>
      <x:c r="T1270" s="23" t="n">
        <x:v>2.3459049429241645</x:v>
      </x:c>
      <x:c r="U1270" s="23" t="n">
        <x:v>0.8148839031582611</x:v>
      </x:c>
      <x:c r="V1270" s="23" t="n">
        <x:v>9.364530513110367</x:v>
      </x:c>
    </x:row>
    <x:row r="1271">
      <x:c r="A1271" s="23" t="n">
        <x:v>1270</x:v>
      </x:c>
      <x:c r="B1271" s="23" t="str">
        <x:v>Train</x:v>
      </x:c>
      <x:c r="C1271" s="23" t="str">
        <x:v>Switching</x:v>
      </x:c>
      <x:c r="D1271" s="23" t="n">
        <x:v>980.4976665531285</x:v>
      </x:c>
      <x:c r="E1271" s="23" t="n">
        <x:v>1093.2613493641838</x:v>
      </x:c>
      <x:c r="F1271" s="23" t="n">
        <x:v>627.5351387448609</x:v>
      </x:c>
      <x:c r="G1271" s="23" t="n">
        <x:v>249.52904919162393</x:v>
      </x:c>
      <x:c r="H1271" s="23" t="n">
        <x:v>21.166795930359513</x:v>
      </x:c>
      <x:c r="I1271" s="23" t="n">
        <x:v>0.7906028815871105</x:v>
      </x:c>
      <x:c r="J1271" s="23" t="n">
        <x:v>7</x:v>
      </x:c>
      <x:c r="K1271" s="23" t="n">
        <x:v>177.16997810669142</x:v>
      </x:c>
      <x:c r="L1271" s="23" t="n">
        <x:v>10855</x:v>
      </x:c>
      <x:c r="M1271" s="23" t="n">
        <x:v>1195</x:v>
      </x:c>
      <x:c r="N1271" s="23" t="n">
        <x:v>250.02494204419796</x:v>
      </x:c>
      <x:c r="O1271" s="23" t="n">
        <x:v>2495.826868771827</x:v>
      </x:c>
      <x:c r="P1271" s="23" t="n">
        <x:v>980.4976665531285</x:v>
      </x:c>
      <x:c r="Q1271" s="23" t="n">
        <x:v>248.98716372036233</x:v>
      </x:c>
      <x:c r="R1271" s="23" t="n">
        <x:v>2473.0668974243695</x:v>
      </x:c>
      <x:c r="S1271" s="23" t="n">
        <x:v>971.2358257460855</x:v>
      </x:c>
      <x:c r="T1271" s="23" t="n">
        <x:v>-1.0377783238356244</x:v>
      </x:c>
      <x:c r="U1271" s="23" t="n">
        <x:v>-22.759971347457395</x:v>
      </x:c>
      <x:c r="V1271" s="23" t="n">
        <x:v>-9.261840807042972</x:v>
      </x:c>
    </x:row>
    <x:row r="1272">
      <x:c r="A1272" s="23" t="n">
        <x:v>1271</x:v>
      </x:c>
      <x:c r="B1272" s="23" t="str">
        <x:v>Train</x:v>
      </x:c>
      <x:c r="C1272" s="23" t="str">
        <x:v>Switching</x:v>
      </x:c>
      <x:c r="D1272" s="23" t="n">
        <x:v>953.9198444457725</x:v>
      </x:c>
      <x:c r="E1272" s="23" t="n">
        <x:v>662.773946498055</x:v>
      </x:c>
      <x:c r="F1272" s="23" t="n">
        <x:v>446.454681456089</x:v>
      </x:c>
      <x:c r="G1272" s="23" t="n">
        <x:v>156.92367857089266</x:v>
      </x:c>
      <x:c r="H1272" s="23" t="n">
        <x:v>25.16793833207339</x:v>
      </x:c>
      <x:c r="I1272" s="23" t="n">
        <x:v>0.8146453768364155</x:v>
      </x:c>
      <x:c r="J1272" s="23" t="n">
        <x:v>6</x:v>
      </x:c>
      <x:c r="K1272" s="23" t="n">
        <x:v>195.16055115708014</x:v>
      </x:c>
      <x:c r="L1272" s="23" t="n">
        <x:v>19705</x:v>
      </x:c>
      <x:c r="M1272" s="23" t="n">
        <x:v>1200</x:v>
      </x:c>
      <x:c r="N1272" s="23" t="n">
        <x:v>249.99474699610886</x:v>
      </x:c>
      <x:c r="O1272" s="23" t="n">
        <x:v>2501.117593548637</x:v>
      </x:c>
      <x:c r="P1272" s="23" t="n">
        <x:v>953.9198444457725</x:v>
      </x:c>
      <x:c r="Q1272" s="23" t="n">
        <x:v>249.35383822914739</x:v>
      </x:c>
      <x:c r="R1272" s="23" t="n">
        <x:v>2436.0309862409204</x:v>
      </x:c>
      <x:c r="S1272" s="23" t="n">
        <x:v>956.5386122072833</x:v>
      </x:c>
      <x:c r="T1272" s="23" t="n">
        <x:v>-0.6409087669614735</x:v>
      </x:c>
      <x:c r="U1272" s="23" t="n">
        <x:v>-65.0866073077168</x:v>
      </x:c>
      <x:c r="V1272" s="23" t="n">
        <x:v>2.618767761510867</x:v>
      </x:c>
    </x:row>
    <x:row r="1273">
      <x:c r="A1273" s="23" t="n">
        <x:v>1272</x:v>
      </x:c>
      <x:c r="B1273" s="23" t="str">
        <x:v>Train</x:v>
      </x:c>
      <x:c r="C1273" s="23" t="str">
        <x:v>Switching</x:v>
      </x:c>
      <x:c r="D1273" s="23" t="n">
        <x:v>958.5432915831916</x:v>
      </x:c>
      <x:c r="E1273" s="23" t="n">
        <x:v>1067.2750676982105</x:v>
      </x:c>
      <x:c r="F1273" s="23" t="n">
        <x:v>679.5412591658533</x:v>
      </x:c>
      <x:c r="G1273" s="23" t="n">
        <x:v>179.27514439914376</x:v>
      </x:c>
      <x:c r="H1273" s="23" t="n">
        <x:v>9.649822061415762</x:v>
      </x:c>
      <x:c r="I1273" s="23" t="n">
        <x:v>0.8003735974151641</x:v>
      </x:c>
      <x:c r="J1273" s="23" t="n">
        <x:v>6</x:v>
      </x:c>
      <x:c r="K1273" s="23" t="n">
        <x:v>199.6033049813325</x:v>
      </x:c>
      <x:c r="L1273" s="23" t="n">
        <x:v>12955</x:v>
      </x:c>
      <x:c r="M1273" s="23" t="n">
        <x:v>1200</x:v>
      </x:c>
      <x:c r="N1273" s="23" t="n">
        <x:v>250.02445955574416</x:v>
      </x:c>
      <x:c r="O1273" s="23" t="n">
        <x:v>2504.4104260050144</x:v>
      </x:c>
      <x:c r="P1273" s="23" t="n">
        <x:v>958.5432915831916</x:v>
      </x:c>
      <x:c r="Q1273" s="23" t="n">
        <x:v>251.7839729327138</x:v>
      </x:c>
      <x:c r="R1273" s="23" t="n">
        <x:v>2482.7000901831752</x:v>
      </x:c>
      <x:c r="S1273" s="23" t="n">
        <x:v>961.813040306137</x:v>
      </x:c>
      <x:c r="T1273" s="23" t="n">
        <x:v>1.759513376969636</x:v>
      </x:c>
      <x:c r="U1273" s="23" t="n">
        <x:v>-21.71033582183918</x:v>
      </x:c>
      <x:c r="V1273" s="23" t="n">
        <x:v>3.269748722945451</x:v>
      </x:c>
    </x:row>
    <x:row r="1274">
      <x:c r="A1274" s="23" t="n">
        <x:v>1273</x:v>
      </x:c>
      <x:c r="B1274" s="23" t="str">
        <x:v>Train</x:v>
      </x:c>
      <x:c r="C1274" s="23" t="str">
        <x:v>Switching</x:v>
      </x:c>
      <x:c r="D1274" s="23" t="n">
        <x:v>968.1382674723864</x:v>
      </x:c>
      <x:c r="E1274" s="23" t="n">
        <x:v>968.6569026089273</x:v>
      </x:c>
      <x:c r="F1274" s="23" t="n">
        <x:v>617.236496694386</x:v>
      </x:c>
      <x:c r="G1274" s="23" t="n">
        <x:v>282.55463250214234</x:v>
      </x:c>
      <x:c r="H1274" s="23" t="n">
        <x:v>13.164070708677173</x:v>
      </x:c>
      <x:c r="I1274" s="23" t="n">
        <x:v>0.8599677245062777</x:v>
      </x:c>
      <x:c r="J1274" s="23" t="n">
        <x:v>6</x:v>
      </x:c>
      <x:c r="K1274" s="23" t="n">
        <x:v>187.63073696132244</x:v>
      </x:c>
      <x:c r="L1274" s="23" t="n">
        <x:v>13355</x:v>
      </x:c>
      <x:c r="M1274" s="23" t="n">
        <x:v>1200</x:v>
      </x:c>
      <x:c r="N1274" s="23" t="n">
        <x:v>250.03064005936682</x:v>
      </x:c>
      <x:c r="O1274" s="23" t="n">
        <x:v>2504.1228082994967</x:v>
      </x:c>
      <x:c r="P1274" s="23" t="n">
        <x:v>968.1382674723864</x:v>
      </x:c>
      <x:c r="Q1274" s="23" t="n">
        <x:v>254.1949125634543</x:v>
      </x:c>
      <x:c r="R1274" s="23" t="n">
        <x:v>2472.9684764728227</x:v>
      </x:c>
      <x:c r="S1274" s="23" t="n">
        <x:v>966.7081401674785</x:v>
      </x:c>
      <x:c r="T1274" s="23" t="n">
        <x:v>4.164272504087478</x:v>
      </x:c>
      <x:c r="U1274" s="23" t="n">
        <x:v>-31.154331826674024</x:v>
      </x:c>
      <x:c r="V1274" s="23" t="n">
        <x:v>-1.4301273049078418</x:v>
      </x:c>
    </x:row>
    <x:row r="1275">
      <x:c r="A1275" s="23" t="n">
        <x:v>1274</x:v>
      </x:c>
      <x:c r="B1275" s="23" t="str">
        <x:v>Train</x:v>
      </x:c>
      <x:c r="C1275" s="23" t="str">
        <x:v>Switching</x:v>
      </x:c>
      <x:c r="D1275" s="23" t="n">
        <x:v>1029.37658081064</x:v>
      </x:c>
      <x:c r="E1275" s="23" t="n">
        <x:v>1200.5307814339176</x:v>
      </x:c>
      <x:c r="F1275" s="23" t="n">
        <x:v>382.25259939208627</x:v>
      </x:c>
      <x:c r="G1275" s="23" t="n">
        <x:v>175.26893845759332</x:v>
      </x:c>
      <x:c r="H1275" s="23" t="n">
        <x:v>15.814674448687583</x:v>
      </x:c>
      <x:c r="I1275" s="23" t="n">
        <x:v>0.80966426350642</x:v>
      </x:c>
      <x:c r="J1275" s="23" t="n">
        <x:v>7</x:v>
      </x:c>
      <x:c r="K1275" s="23" t="n">
        <x:v>181.62317875043135</x:v>
      </x:c>
      <x:c r="L1275" s="23" t="n">
        <x:v>12165</x:v>
      </x:c>
      <x:c r="M1275" s="23" t="n">
        <x:v>1200</x:v>
      </x:c>
      <x:c r="N1275" s="23" t="n">
        <x:v>250.0109862477005</x:v>
      </x:c>
      <x:c r="O1275" s="23" t="n">
        <x:v>2505.0339741610132</x:v>
      </x:c>
      <x:c r="P1275" s="23" t="n">
        <x:v>1029.37658081064</x:v>
      </x:c>
      <x:c r="Q1275" s="23" t="n">
        <x:v>250.7018556730796</x:v>
      </x:c>
      <x:c r="R1275" s="23" t="n">
        <x:v>2505.9906150319957</x:v>
      </x:c>
      <x:c r="S1275" s="23" t="n">
        <x:v>1030.649881006864</x:v>
      </x:c>
      <x:c r="T1275" s="23" t="n">
        <x:v>0.6908694253791055</x:v>
      </x:c>
      <x:c r="U1275" s="23" t="n">
        <x:v>0.9566408709824827</x:v>
      </x:c>
      <x:c r="V1275" s="23" t="n">
        <x:v>1.2733001962239996</x:v>
      </x:c>
    </x:row>
    <x:row r="1276">
      <x:c r="A1276" s="23" t="n">
        <x:v>1275</x:v>
      </x:c>
      <x:c r="B1276" s="23" t="str">
        <x:v>Validation</x:v>
      </x:c>
      <x:c r="C1276" s="23" t="str">
        <x:v>Switching</x:v>
      </x:c>
      <x:c r="D1276" s="23" t="n">
        <x:v>1054.7014941228554</x:v>
      </x:c>
      <x:c r="E1276" s="23" t="n">
        <x:v>772.9651809320785</x:v>
      </x:c>
      <x:c r="F1276" s="23" t="n">
        <x:v>670.7600925117731</x:v>
      </x:c>
      <x:c r="G1276" s="23" t="n">
        <x:v>134.63459267048165</x:v>
      </x:c>
      <x:c r="H1276" s="23" t="n">
        <x:v>25.985600748099387</x:v>
      </x:c>
      <x:c r="I1276" s="23" t="n">
        <x:v>0.8513413994270377</x:v>
      </x:c>
      <x:c r="J1276" s="23" t="n">
        <x:v>7</x:v>
      </x:c>
      <x:c r="K1276" s="23" t="n">
        <x:v>176.98145787219377</x:v>
      </x:c>
      <x:c r="L1276" s="23" t="n">
        <x:v>13550</x:v>
      </x:c>
      <x:c r="M1276" s="23" t="n">
        <x:v>1200</x:v>
      </x:c>
      <x:c r="N1276" s="23" t="n">
        <x:v>250.01198551431182</x:v>
      </x:c>
      <x:c r="O1276" s="23" t="n">
        <x:v>2503.9879484526246</x:v>
      </x:c>
      <x:c r="P1276" s="23" t="n">
        <x:v>1054.7014941228554</x:v>
      </x:c>
      <x:c r="Q1276" s="23" t="n">
        <x:v>251.45145208665457</x:v>
      </x:c>
      <x:c r="R1276" s="23" t="n">
        <x:v>2507.764559929145</x:v>
      </x:c>
      <x:c r="S1276" s="23" t="n">
        <x:v>1044.7593388652729</x:v>
      </x:c>
      <x:c r="T1276" s="23" t="n">
        <x:v>1.4394665723427522</x:v>
      </x:c>
      <x:c r="U1276" s="23" t="n">
        <x:v>3.7766114765204293</x:v>
      </x:c>
      <x:c r="V1276" s="23" t="n">
        <x:v>-9.942155257582499</x:v>
      </x:c>
    </x:row>
    <x:row r="1277">
      <x:c r="A1277" s="23" t="n">
        <x:v>1276</x:v>
      </x:c>
      <x:c r="B1277" s="23" t="str">
        <x:v>Validation</x:v>
      </x:c>
      <x:c r="C1277" s="23" t="str">
        <x:v>Switching</x:v>
      </x:c>
      <x:c r="D1277" s="23" t="n">
        <x:v>954.0975626907311</x:v>
      </x:c>
      <x:c r="E1277" s="23" t="n">
        <x:v>734.1079357545823</x:v>
      </x:c>
      <x:c r="F1277" s="23" t="n">
        <x:v>697.819125186652</x:v>
      </x:c>
      <x:c r="G1277" s="23" t="n">
        <x:v>157.36156310420483</x:v>
      </x:c>
      <x:c r="H1277" s="23" t="n">
        <x:v>13.706185739021748</x:v>
      </x:c>
      <x:c r="I1277" s="23" t="n">
        <x:v>0.8282159927487374</x:v>
      </x:c>
      <x:c r="J1277" s="23" t="n">
        <x:v>6</x:v>
      </x:c>
      <x:c r="K1277" s="23" t="n">
        <x:v>191.99853883610922</x:v>
      </x:c>
      <x:c r="L1277" s="23" t="n">
        <x:v>15700</x:v>
      </x:c>
      <x:c r="M1277" s="23" t="n">
        <x:v>1200</x:v>
      </x:c>
      <x:c r="N1277" s="23" t="n">
        <x:v>250.01765433604976</x:v>
      </x:c>
      <x:c r="O1277" s="23" t="n">
        <x:v>2502.7299145185366</x:v>
      </x:c>
      <x:c r="P1277" s="23" t="n">
        <x:v>954.0975626907311</x:v>
      </x:c>
      <x:c r="Q1277" s="23" t="n">
        <x:v>251.68111698812166</x:v>
      </x:c>
      <x:c r="R1277" s="23" t="n">
        <x:v>2505.575555790357</x:v>
      </x:c>
      <x:c r="S1277" s="23" t="n">
        <x:v>956.8763481371703</x:v>
      </x:c>
      <x:c r="T1277" s="23" t="n">
        <x:v>1.6634626520718996</x:v>
      </x:c>
      <x:c r="U1277" s="23" t="n">
        <x:v>2.8456412718205684</x:v>
      </x:c>
      <x:c r="V1277" s="23" t="n">
        <x:v>2.7787854464392012</x:v>
      </x:c>
    </x:row>
    <x:row r="1278">
      <x:c r="A1278" s="23" t="n">
        <x:v>1277</x:v>
      </x:c>
      <x:c r="B1278" s="23" t="str">
        <x:v>Validation</x:v>
      </x:c>
      <x:c r="C1278" s="23" t="str">
        <x:v>Switching</x:v>
      </x:c>
      <x:c r="D1278" s="23" t="n">
        <x:v>1043.0243256967515</x:v>
      </x:c>
      <x:c r="E1278" s="23" t="n">
        <x:v>1038.2758517633192</x:v>
      </x:c>
      <x:c r="F1278" s="23" t="n">
        <x:v>513.4464746341109</x:v>
      </x:c>
      <x:c r="G1278" s="23" t="n">
        <x:v>103.51095789344981</x:v>
      </x:c>
      <x:c r="H1278" s="23" t="n">
        <x:v>19.98600372299552</x:v>
      </x:c>
      <x:c r="I1278" s="23" t="n">
        <x:v>0.7901289098360577</x:v>
      </x:c>
      <x:c r="J1278" s="23" t="n">
        <x:v>7</x:v>
      </x:c>
      <x:c r="K1278" s="23" t="n">
        <x:v>188.58122167742522</x:v>
      </x:c>
      <x:c r="L1278" s="23" t="n">
        <x:v>12920</x:v>
      </x:c>
      <x:c r="M1278" s="23" t="n">
        <x:v>1200</x:v>
      </x:c>
      <x:c r="N1278" s="23" t="n">
        <x:v>249.9982893547553</x:v>
      </x:c>
      <x:c r="O1278" s="23" t="n">
        <x:v>2504.435443994514</x:v>
      </x:c>
      <x:c r="P1278" s="23" t="n">
        <x:v>1043.0243256967515</x:v>
      </x:c>
      <x:c r="Q1278" s="23" t="n">
        <x:v>250.45820068939918</x:v>
      </x:c>
      <x:c r="R1278" s="23" t="n">
        <x:v>2546.660681548024</x:v>
      </x:c>
      <x:c r="S1278" s="23" t="n">
        <x:v>1042.043464548699</x:v>
      </x:c>
      <x:c r="T1278" s="23" t="n">
        <x:v>0.4599113346438912</x:v>
      </x:c>
      <x:c r="U1278" s="23" t="n">
        <x:v>42.22523755350994</x:v>
      </x:c>
      <x:c r="V1278" s="23" t="n">
        <x:v>-0.9808611480525542</x:v>
      </x:c>
    </x:row>
    <x:row r="1279">
      <x:c r="A1279" s="23" t="n">
        <x:v>1278</x:v>
      </x:c>
      <x:c r="B1279" s="23" t="str">
        <x:v>Hidden Test</x:v>
      </x:c>
      <x:c r="C1279" s="23" t="str">
        <x:v>Switching</x:v>
      </x:c>
      <x:c r="D1279" s="23" t="n">
        <x:v>1075.5031932261772</x:v>
      </x:c>
      <x:c r="E1279" s="23" t="n">
        <x:v>765.164993959479</x:v>
      </x:c>
      <x:c r="F1279" s="23" t="n">
        <x:v>359.23974411562085</x:v>
      </x:c>
      <x:c r="G1279" s="23" t="n">
        <x:v>254.68827683478594</x:v>
      </x:c>
      <x:c r="H1279" s="23" t="n">
        <x:v>13.545356544200331</x:v>
      </x:c>
      <x:c r="I1279" s="23" t="n">
        <x:v>0.8020757332770154</x:v>
      </x:c>
      <x:c r="J1279" s="23" t="n">
        <x:v>7</x:v>
      </x:c>
      <x:c r="K1279" s="23" t="n">
        <x:v>191.55711480048112</x:v>
      </x:c>
      <x:c r="L1279" s="23" t="n">
        <x:v>15505</x:v>
      </x:c>
      <x:c r="M1279" s="23" t="n">
        <x:v>1200</x:v>
      </x:c>
      <x:c r="N1279" s="23" t="n">
        <x:v>249.96562734680882</x:v>
      </x:c>
      <x:c r="O1279" s="23" t="n">
        <x:v>2502.827976258393</x:v>
      </x:c>
      <x:c r="P1279" s="23" t="n">
        <x:v>1075.5031932261772</x:v>
      </x:c>
      <x:c r="Q1279" s="23" t="n">
        <x:v>248.3753159770882</x:v>
      </x:c>
      <x:c r="R1279" s="23" t="n">
        <x:v>2468.9122518088757</x:v>
      </x:c>
      <x:c r="S1279" s="23" t="n">
        <x:v>1082.7448072989887</x:v>
      </x:c>
      <x:c r="T1279" s="23" t="n">
        <x:v>-1.5903113697206095</x:v>
      </x:c>
      <x:c r="U1279" s="23" t="n">
        <x:v>-33.915724449517256</x:v>
      </x:c>
      <x:c r="V1279" s="23" t="n">
        <x:v>7.241614072811444</x:v>
      </x:c>
    </x:row>
    <x:row r="1280">
      <x:c r="A1280" s="23" t="n">
        <x:v>1279</x:v>
      </x:c>
      <x:c r="B1280" s="23" t="str">
        <x:v>Hidden Test</x:v>
      </x:c>
      <x:c r="C1280" s="23" t="str">
        <x:v>Switching</x:v>
      </x:c>
      <x:c r="D1280" s="23" t="n">
        <x:v>958.9959129923955</x:v>
      </x:c>
      <x:c r="E1280" s="23" t="n">
        <x:v>849.0967395831831</x:v>
      </x:c>
      <x:c r="F1280" s="23" t="n">
        <x:v>383.16854164004326</x:v>
      </x:c>
      <x:c r="G1280" s="23" t="n">
        <x:v>305.75036383932456</x:v>
      </x:c>
      <x:c r="H1280" s="23" t="n">
        <x:v>24.13802475389093</x:v>
      </x:c>
      <x:c r="I1280" s="23" t="n">
        <x:v>0.8499676181538962</x:v>
      </x:c>
      <x:c r="J1280" s="23" t="n">
        <x:v>6</x:v>
      </x:c>
      <x:c r="K1280" s="23" t="n">
        <x:v>188.04557815102524</x:v>
      </x:c>
      <x:c r="L1280" s="23" t="n">
        <x:v>16220</x:v>
      </x:c>
      <x:c r="M1280" s="23" t="n">
        <x:v>1200</x:v>
      </x:c>
      <x:c r="N1280" s="23" t="n">
        <x:v>249.9655876610264</x:v>
      </x:c>
      <x:c r="O1280" s="23" t="n">
        <x:v>2502.4740828626036</x:v>
      </x:c>
      <x:c r="P1280" s="23" t="n">
        <x:v>958.9959129923955</x:v>
      </x:c>
      <x:c r="Q1280" s="23" t="n">
        <x:v>251.14101076293082</x:v>
      </x:c>
      <x:c r="R1280" s="23" t="n">
        <x:v>2468.9498432011237</x:v>
      </x:c>
      <x:c r="S1280" s="23" t="n">
        <x:v>956.0408166477175</x:v>
      </x:c>
      <x:c r="T1280" s="23" t="n">
        <x:v>1.1754231019044141</x:v>
      </x:c>
      <x:c r="U1280" s="23" t="n">
        <x:v>-33.524239661479896</x:v>
      </x:c>
      <x:c r="V1280" s="23" t="n">
        <x:v>-2.9550963446779406</x:v>
      </x:c>
    </x:row>
    <x:row r="1281">
      <x:c r="A1281" s="23" t="n">
        <x:v>1280</x:v>
      </x:c>
      <x:c r="B1281" s="23" t="str">
        <x:v>Hidden Test</x:v>
      </x:c>
      <x:c r="C1281" s="23" t="str">
        <x:v>Switching</x:v>
      </x:c>
      <x:c r="D1281" s="23" t="n">
        <x:v>1011.5145372110419</x:v>
      </x:c>
      <x:c r="E1281" s="23" t="n">
        <x:v>1121.9994235783815</x:v>
      </x:c>
      <x:c r="F1281" s="23" t="n">
        <x:v>500.1390694640577</x:v>
      </x:c>
      <x:c r="G1281" s="23" t="n">
        <x:v>285.6417810963467</x:v>
      </x:c>
      <x:c r="H1281" s="23" t="n">
        <x:v>25.133282290305942</x:v>
      </x:c>
      <x:c r="I1281" s="23" t="n">
        <x:v>0.8087656219583005</x:v>
      </x:c>
      <x:c r="J1281" s="23" t="n">
        <x:v>7</x:v>
      </x:c>
      <x:c r="K1281" s="23" t="n">
        <x:v>178.66990487867818</x:v>
      </x:c>
      <x:c r="L1281" s="23" t="n">
        <x:v>11210</x:v>
      </x:c>
      <x:c r="M1281" s="23" t="n">
        <x:v>1195</x:v>
      </x:c>
      <x:c r="N1281" s="23" t="n">
        <x:v>250.00554385432233</x:v>
      </x:c>
      <x:c r="O1281" s="23" t="n">
        <x:v>2495.464297321267</x:v>
      </x:c>
      <x:c r="P1281" s="23" t="n">
        <x:v>1011.5145372110419</x:v>
      </x:c>
      <x:c r="Q1281" s="23" t="n">
        <x:v>250.99857515317387</x:v>
      </x:c>
      <x:c r="R1281" s="23" t="n">
        <x:v>2563.314871049304</x:v>
      </x:c>
      <x:c r="S1281" s="23" t="n">
        <x:v>993.4535730907412</x:v>
      </x:c>
      <x:c r="T1281" s="23" t="n">
        <x:v>0.9930312988515482</x:v>
      </x:c>
      <x:c r="U1281" s="23" t="n">
        <x:v>67.85057372803703</x:v>
      </x:c>
      <x:c r="V1281" s="23" t="n">
        <x:v>-18.060964120300696</x:v>
      </x:c>
    </x:row>
    <x:row r="1282">
      <x:c r="A1282" s="23" t="n">
        <x:v>1281</x:v>
      </x:c>
      <x:c r="B1282" s="23" t="str">
        <x:v>Train</x:v>
      </x:c>
      <x:c r="C1282" s="23" t="str">
        <x:v>Switching</x:v>
      </x:c>
      <x:c r="D1282" s="23" t="n">
        <x:v>1096.1096505634487</x:v>
      </x:c>
      <x:c r="E1282" s="23" t="n">
        <x:v>1039.8953880532645</x:v>
      </x:c>
      <x:c r="F1282" s="23" t="n">
        <x:v>641.8421799317002</x:v>
      </x:c>
      <x:c r="G1282" s="23" t="n">
        <x:v>266.86125153908506</x:v>
      </x:c>
      <x:c r="H1282" s="23" t="n">
        <x:v>10.968687811866403</x:v>
      </x:c>
      <x:c r="I1282" s="23" t="n">
        <x:v>0.8481430892203935</x:v>
      </x:c>
      <x:c r="J1282" s="23" t="n">
        <x:v>7</x:v>
      </x:c>
      <x:c r="K1282" s="23" t="n">
        <x:v>184.62343787009942</x:v>
      </x:c>
      <x:c r="L1282" s="23" t="n">
        <x:v>10975</x:v>
      </x:c>
      <x:c r="M1282" s="23" t="n">
        <x:v>1195</x:v>
      </x:c>
      <x:c r="N1282" s="23" t="n">
        <x:v>250.001142240184</x:v>
      </x:c>
      <x:c r="O1282" s="23" t="n">
        <x:v>2495.700920183846</x:v>
      </x:c>
      <x:c r="P1282" s="23" t="n">
        <x:v>1096.1096505634487</x:v>
      </x:c>
      <x:c r="Q1282" s="23" t="n">
        <x:v>253.81118517763187</x:v>
      </x:c>
      <x:c r="R1282" s="23" t="n">
        <x:v>2471.9705281289284</x:v>
      </x:c>
      <x:c r="S1282" s="23" t="n">
        <x:v>1088.4110958206265</x:v>
      </x:c>
      <x:c r="T1282" s="23" t="n">
        <x:v>3.810042937447861</x:v>
      </x:c>
      <x:c r="U1282" s="23" t="n">
        <x:v>-23.730392054917502</x:v>
      </x:c>
      <x:c r="V1282" s="23" t="n">
        <x:v>-7.698554742822125</x:v>
      </x:c>
    </x:row>
    <x:row r="1283">
      <x:c r="A1283" s="23" t="n">
        <x:v>1282</x:v>
      </x:c>
      <x:c r="B1283" s="23" t="str">
        <x:v>Train</x:v>
      </x:c>
      <x:c r="C1283" s="23" t="str">
        <x:v>Switching</x:v>
      </x:c>
      <x:c r="D1283" s="23" t="n">
        <x:v>977.7627324336208</x:v>
      </x:c>
      <x:c r="E1283" s="23" t="n">
        <x:v>1022.9951641755179</x:v>
      </x:c>
      <x:c r="F1283" s="23" t="n">
        <x:v>552.5190376676619</x:v>
      </x:c>
      <x:c r="G1283" s="23" t="n">
        <x:v>139.75059629417956</x:v>
      </x:c>
      <x:c r="H1283" s="23" t="n">
        <x:v>22.98759349482134</x:v>
      </x:c>
      <x:c r="I1283" s="23" t="n">
        <x:v>0.8576310182968155</x:v>
      </x:c>
      <x:c r="J1283" s="23" t="n">
        <x:v>6</x:v>
      </x:c>
      <x:c r="K1283" s="23" t="n">
        <x:v>190.01231523695296</x:v>
      </x:c>
      <x:c r="L1283" s="23" t="n">
        <x:v>14545</x:v>
      </x:c>
      <x:c r="M1283" s="23" t="n">
        <x:v>1200</x:v>
      </x:c>
      <x:c r="N1283" s="23" t="n">
        <x:v>249.98478528191015</x:v>
      </x:c>
      <x:c r="O1283" s="23" t="n">
        <x:v>2503.358485236786</x:v>
      </x:c>
      <x:c r="P1283" s="23" t="n">
        <x:v>977.7627324336208</x:v>
      </x:c>
      <x:c r="Q1283" s="23" t="n">
        <x:v>248.9866520216597</x:v>
      </x:c>
      <x:c r="R1283" s="23" t="n">
        <x:v>2492.5010979086182</x:v>
      </x:c>
      <x:c r="S1283" s="23" t="n">
        <x:v>971.9583853833622</x:v>
      </x:c>
      <x:c r="T1283" s="23" t="n">
        <x:v>-0.9981332602504551</x:v>
      </x:c>
      <x:c r="U1283" s="23" t="n">
        <x:v>-10.857387328167533</x:v>
      </x:c>
      <x:c r="V1283" s="23" t="n">
        <x:v>-5.804347050258684</x:v>
      </x:c>
    </x:row>
    <x:row r="1284">
      <x:c r="A1284" s="23" t="n">
        <x:v>1283</x:v>
      </x:c>
      <x:c r="B1284" s="23" t="str">
        <x:v>Train</x:v>
      </x:c>
      <x:c r="C1284" s="23" t="str">
        <x:v>Switching</x:v>
      </x:c>
      <x:c r="D1284" s="23" t="n">
        <x:v>1052.3515853798017</x:v>
      </x:c>
      <x:c r="E1284" s="23" t="n">
        <x:v>1068.279544787947</x:v>
      </x:c>
      <x:c r="F1284" s="23" t="n">
        <x:v>388.6045169085264</x:v>
      </x:c>
      <x:c r="G1284" s="23" t="n">
        <x:v>253.7089712987654</x:v>
      </x:c>
      <x:c r="H1284" s="23" t="n">
        <x:v>28.633190219290555</x:v>
      </x:c>
      <x:c r="I1284" s="23" t="n">
        <x:v>0.7968194636772387</x:v>
      </x:c>
      <x:c r="J1284" s="23" t="n">
        <x:v>7</x:v>
      </x:c>
      <x:c r="K1284" s="23" t="n">
        <x:v>188.67001575834811</x:v>
      </x:c>
      <x:c r="L1284" s="23" t="n">
        <x:v>12500</x:v>
      </x:c>
      <x:c r="M1284" s="23" t="n">
        <x:v>1200</x:v>
      </x:c>
      <x:c r="N1284" s="23" t="n">
        <x:v>249.96109005160537</x:v>
      </x:c>
      <x:c r="O1284" s="23" t="n">
        <x:v>2504.757704163672</x:v>
      </x:c>
      <x:c r="P1284" s="23" t="n">
        <x:v>1052.3515853798017</x:v>
      </x:c>
      <x:c r="Q1284" s="23" t="n">
        <x:v>250.71365539097468</x:v>
      </x:c>
      <x:c r="R1284" s="23" t="n">
        <x:v>2506.5280902978043</x:v>
      </x:c>
      <x:c r="S1284" s="23" t="n">
        <x:v>1042.2450302378654</x:v>
      </x:c>
      <x:c r="T1284" s="23" t="n">
        <x:v>0.7525653393693119</x:v>
      </x:c>
      <x:c r="U1284" s="23" t="n">
        <x:v>1.7703861341324227</x:v>
      </x:c>
      <x:c r="V1284" s="23" t="n">
        <x:v>-10.10655514193627</x:v>
      </x:c>
    </x:row>
    <x:row r="1285">
      <x:c r="A1285" s="23" t="n">
        <x:v>1284</x:v>
      </x:c>
      <x:c r="B1285" s="23" t="str">
        <x:v>Train</x:v>
      </x:c>
      <x:c r="C1285" s="23" t="str">
        <x:v>Switching</x:v>
      </x:c>
      <x:c r="D1285" s="23" t="n">
        <x:v>1019.4057583226822</x:v>
      </x:c>
      <x:c r="E1285" s="23" t="n">
        <x:v>839.5564537961036</x:v>
      </x:c>
      <x:c r="F1285" s="23" t="n">
        <x:v>448.27639488503337</x:v>
      </x:c>
      <x:c r="G1285" s="23" t="n">
        <x:v>86.63949956651777</x:v>
      </x:c>
      <x:c r="H1285" s="23" t="n">
        <x:v>23.138899705838412</x:v>
      </x:c>
      <x:c r="I1285" s="23" t="n">
        <x:v>0.847992951180786</x:v>
      </x:c>
      <x:c r="J1285" s="23" t="n">
        <x:v>7</x:v>
      </x:c>
      <x:c r="K1285" s="23" t="n">
        <x:v>171.73420350171085</x:v>
      </x:c>
      <x:c r="L1285" s="23" t="n">
        <x:v>15560</x:v>
      </x:c>
      <x:c r="M1285" s="23" t="n">
        <x:v>1200</x:v>
      </x:c>
      <x:c r="N1285" s="23" t="n">
        <x:v>250.01201551265385</x:v>
      </x:c>
      <x:c r="O1285" s="23" t="n">
        <x:v>2502.8010784336193</x:v>
      </x:c>
      <x:c r="P1285" s="23" t="n">
        <x:v>1019.4057583226822</x:v>
      </x:c>
      <x:c r="Q1285" s="23" t="n">
        <x:v>247.72414684565845</x:v>
      </x:c>
      <x:c r="R1285" s="23" t="n">
        <x:v>2506.5702901141485</x:v>
      </x:c>
      <x:c r="S1285" s="23" t="n">
        <x:v>1018.0261384923208</x:v>
      </x:c>
      <x:c r="T1285" s="23" t="n">
        <x:v>-2.2878686669953936</x:v>
      </x:c>
      <x:c r="U1285" s="23" t="n">
        <x:v>3.7692116805292244</x:v>
      </x:c>
      <x:c r="V1285" s="23" t="n">
        <x:v>-1.3796198303614347</x:v>
      </x:c>
    </x:row>
    <x:row r="1286">
      <x:c r="A1286" s="23" t="n">
        <x:v>1285</x:v>
      </x:c>
      <x:c r="B1286" s="23" t="str">
        <x:v>Train</x:v>
      </x:c>
      <x:c r="C1286" s="23" t="str">
        <x:v>Switching</x:v>
      </x:c>
      <x:c r="D1286" s="23" t="n">
        <x:v>1024.369556689635</x:v>
      </x:c>
      <x:c r="E1286" s="23" t="n">
        <x:v>1127.622378792148</x:v>
      </x:c>
      <x:c r="F1286" s="23" t="n">
        <x:v>622.925035469234</x:v>
      </x:c>
      <x:c r="G1286" s="23" t="n">
        <x:v>229.43225990282372</x:v>
      </x:c>
      <x:c r="H1286" s="23" t="n">
        <x:v>11.645993195474148</x:v>
      </x:c>
      <x:c r="I1286" s="23" t="n">
        <x:v>0.8536910654813983</x:v>
      </x:c>
      <x:c r="J1286" s="23" t="n">
        <x:v>6</x:v>
      </x:c>
      <x:c r="K1286" s="23" t="n">
        <x:v>199.98834045662463</x:v>
      </x:c>
      <x:c r="L1286" s="23" t="n">
        <x:v>12600</x:v>
      </x:c>
      <x:c r="M1286" s="23" t="n">
        <x:v>1200</x:v>
      </x:c>
      <x:c r="N1286" s="23" t="n">
        <x:v>249.97671539658936</x:v>
      </x:c>
      <x:c r="O1286" s="23" t="n">
        <x:v>2504.679306582209</x:v>
      </x:c>
      <x:c r="P1286" s="23" t="n">
        <x:v>1024.369556689635</x:v>
      </x:c>
      <x:c r="Q1286" s="23" t="n">
        <x:v>253.4533043115738</x:v>
      </x:c>
      <x:c r="R1286" s="23" t="n">
        <x:v>2547.6936508576946</x:v>
      </x:c>
      <x:c r="S1286" s="23" t="n">
        <x:v>1024.419364961595</x:v>
      </x:c>
      <x:c r="T1286" s="23" t="n">
        <x:v>3.4765889149844327</x:v>
      </x:c>
      <x:c r="U1286" s="23" t="n">
        <x:v>43.014344275485655</x:v>
      </x:c>
      <x:c r="V1286" s="23" t="n">
        <x:v>0.04980827196004611</x:v>
      </x:c>
    </x:row>
    <x:row r="1287">
      <x:c r="A1287" s="23" t="n">
        <x:v>1286</x:v>
      </x:c>
      <x:c r="B1287" s="23" t="str">
        <x:v>Train</x:v>
      </x:c>
      <x:c r="C1287" s="23" t="str">
        <x:v>Switching</x:v>
      </x:c>
      <x:c r="D1287" s="23" t="n">
        <x:v>993.3320148964413</x:v>
      </x:c>
      <x:c r="E1287" s="23" t="n">
        <x:v>849.1913441335782</x:v>
      </x:c>
      <x:c r="F1287" s="23" t="n">
        <x:v>488.79269333556294</x:v>
      </x:c>
      <x:c r="G1287" s="23" t="n">
        <x:v>81.4384794048965</x:v>
      </x:c>
      <x:c r="H1287" s="23" t="n">
        <x:v>25.067461712751538</x:v>
      </x:c>
      <x:c r="I1287" s="23" t="n">
        <x:v>0.8087756327679381</x:v>
      </x:c>
      <x:c r="J1287" s="23" t="n">
        <x:v>7</x:v>
      </x:c>
      <x:c r="K1287" s="23" t="n">
        <x:v>175.45604467704226</x:v>
      </x:c>
      <x:c r="L1287" s="23" t="n">
        <x:v>15065</x:v>
      </x:c>
      <x:c r="M1287" s="23" t="n">
        <x:v>1200</x:v>
      </x:c>
      <x:c r="N1287" s="23" t="n">
        <x:v>249.97478274756543</x:v>
      </x:c>
      <x:c r="O1287" s="23" t="n">
        <x:v>2503.0627423552273</x:v>
      </x:c>
      <x:c r="P1287" s="23" t="n">
        <x:v>993.3320148964413</x:v>
      </x:c>
      <x:c r="Q1287" s="23" t="n">
        <x:v>248.7241257488979</x:v>
      </x:c>
      <x:c r="R1287" s="23" t="n">
        <x:v>2540.0419319729494</x:v>
      </x:c>
      <x:c r="S1287" s="23" t="n">
        <x:v>990.1732545165754</x:v>
      </x:c>
      <x:c r="T1287" s="23" t="n">
        <x:v>-1.2506569986675231</x:v>
      </x:c>
      <x:c r="U1287" s="23" t="n">
        <x:v>36.97918961772211</x:v>
      </x:c>
      <x:c r="V1287" s="23" t="n">
        <x:v>-3.1587603798658392</x:v>
      </x:c>
    </x:row>
    <x:row r="1288">
      <x:c r="A1288" s="23" t="n">
        <x:v>1287</x:v>
      </x:c>
      <x:c r="B1288" s="23" t="str">
        <x:v>Train</x:v>
      </x:c>
      <x:c r="C1288" s="23" t="str">
        <x:v>Switching</x:v>
      </x:c>
      <x:c r="D1288" s="23" t="n">
        <x:v>1030.474580754526</x:v>
      </x:c>
      <x:c r="E1288" s="23" t="n">
        <x:v>760.0760340807028</x:v>
      </x:c>
      <x:c r="F1288" s="23" t="n">
        <x:v>420.1983779668808</x:v>
      </x:c>
      <x:c r="G1288" s="23" t="n">
        <x:v>235.94531962415203</x:v>
      </x:c>
      <x:c r="H1288" s="23" t="n">
        <x:v>24.910465869121253</x:v>
      </x:c>
      <x:c r="I1288" s="23" t="n">
        <x:v>0.8548909369087778</x:v>
      </x:c>
      <x:c r="J1288" s="23" t="n">
        <x:v>7</x:v>
      </x:c>
      <x:c r="K1288" s="23" t="n">
        <x:v>172.19816942475316</x:v>
      </x:c>
      <x:c r="L1288" s="23" t="n">
        <x:v>15100</x:v>
      </x:c>
      <x:c r="M1288" s="23" t="n">
        <x:v>1200</x:v>
      </x:c>
      <x:c r="N1288" s="23" t="n">
        <x:v>249.9901827785046</x:v>
      </x:c>
      <x:c r="O1288" s="23" t="n">
        <x:v>2503.0440983020076</x:v>
      </x:c>
      <x:c r="P1288" s="23" t="n">
        <x:v>1030.474580754526</x:v>
      </x:c>
      <x:c r="Q1288" s="23" t="n">
        <x:v>245.8829867824776</x:v>
      </x:c>
      <x:c r="R1288" s="23" t="n">
        <x:v>2530.761028412434</x:v>
      </x:c>
      <x:c r="S1288" s="23" t="n">
        <x:v>1025.2358236422963</x:v>
      </x:c>
      <x:c r="T1288" s="23" t="n">
        <x:v>-4.107195996027002</x:v>
      </x:c>
      <x:c r="U1288" s="23" t="n">
        <x:v>27.716930110426347</x:v>
      </x:c>
      <x:c r="V1288" s="23" t="n">
        <x:v>-5.238757112229678</x:v>
      </x:c>
    </x:row>
    <x:row r="1289">
      <x:c r="A1289" s="23" t="n">
        <x:v>1288</x:v>
      </x:c>
      <x:c r="B1289" s="23" t="str">
        <x:v>Train</x:v>
      </x:c>
      <x:c r="C1289" s="23" t="str">
        <x:v>Switching</x:v>
      </x:c>
      <x:c r="D1289" s="23" t="n">
        <x:v>1049.475077248644</x:v>
      </x:c>
      <x:c r="E1289" s="23" t="n">
        <x:v>982.9258126206696</x:v>
      </x:c>
      <x:c r="F1289" s="23" t="n">
        <x:v>591.0440630279481</x:v>
      </x:c>
      <x:c r="G1289" s="23" t="n">
        <x:v>307.1492403233424</x:v>
      </x:c>
      <x:c r="H1289" s="23" t="n">
        <x:v>21.04742601281032</x:v>
      </x:c>
      <x:c r="I1289" s="23" t="n">
        <x:v>0.8217464906815439</x:v>
      </x:c>
      <x:c r="J1289" s="23" t="n">
        <x:v>7</x:v>
      </x:c>
      <x:c r="K1289" s="23" t="n">
        <x:v>182.44679196764818</x:v>
      </x:c>
      <x:c r="L1289" s="23" t="n">
        <x:v>11370</x:v>
      </x:c>
      <x:c r="M1289" s="23" t="n">
        <x:v>1195</x:v>
      </x:c>
      <x:c r="N1289" s="23" t="n">
        <x:v>250.03006366999267</x:v>
      </x:c>
      <x:c r="O1289" s="23" t="n">
        <x:v>2495.3097440537376</x:v>
      </x:c>
      <x:c r="P1289" s="23" t="n">
        <x:v>1049.475077248644</x:v>
      </x:c>
      <x:c r="Q1289" s="23" t="n">
        <x:v>252.56407092821885</x:v>
      </x:c>
      <x:c r="R1289" s="23" t="n">
        <x:v>2509.6125803001123</x:v>
      </x:c>
      <x:c r="S1289" s="23" t="n">
        <x:v>1046.66773492258</x:v>
      </x:c>
      <x:c r="T1289" s="23" t="n">
        <x:v>2.5340072582261826</x:v>
      </x:c>
      <x:c r="U1289" s="23" t="n">
        <x:v>14.302836246374682</x:v>
      </x:c>
      <x:c r="V1289" s="23" t="n">
        <x:v>-2.807342326064145</x:v>
      </x:c>
    </x:row>
    <x:row r="1290">
      <x:c r="A1290" s="23" t="n">
        <x:v>1289</x:v>
      </x:c>
      <x:c r="B1290" s="23" t="str">
        <x:v>Train</x:v>
      </x:c>
      <x:c r="C1290" s="23" t="str">
        <x:v>Switching</x:v>
      </x:c>
      <x:c r="D1290" s="23" t="n">
        <x:v>955.8521660044789</x:v>
      </x:c>
      <x:c r="E1290" s="23" t="n">
        <x:v>1085.4581386200152</x:v>
      </x:c>
      <x:c r="F1290" s="23" t="n">
        <x:v>418.69579274207354</x:v>
      </x:c>
      <x:c r="G1290" s="23" t="n">
        <x:v>304.2757431813516</x:v>
      </x:c>
      <x:c r="H1290" s="23" t="n">
        <x:v>20.3583620544523</x:v>
      </x:c>
      <x:c r="I1290" s="23" t="n">
        <x:v>0.8402478537824937</x:v>
      </x:c>
      <x:c r="J1290" s="23" t="n">
        <x:v>6</x:v>
      </x:c>
      <x:c r="K1290" s="23" t="n">
        <x:v>189.5972642083278</x:v>
      </x:c>
      <x:c r="L1290" s="23" t="n">
        <x:v>13795</x:v>
      </x:c>
      <x:c r="M1290" s="23" t="n">
        <x:v>1200</x:v>
      </x:c>
      <x:c r="N1290" s="23" t="n">
        <x:v>249.97233279782392</x:v>
      </x:c>
      <x:c r="O1290" s="23" t="n">
        <x:v>2503.8233407041016</x:v>
      </x:c>
      <x:c r="P1290" s="23" t="n">
        <x:v>955.8521660044789</x:v>
      </x:c>
      <x:c r="Q1290" s="23" t="n">
        <x:v>249.8704526607884</x:v>
      </x:c>
      <x:c r="R1290" s="23" t="n">
        <x:v>2509.7454821774218</x:v>
      </x:c>
      <x:c r="S1290" s="23" t="n">
        <x:v>948.9949879859876</x:v>
      </x:c>
      <x:c r="T1290" s="23" t="n">
        <x:v>-0.10188013703552201</x:v>
      </x:c>
      <x:c r="U1290" s="23" t="n">
        <x:v>5.922141473320153</x:v>
      </x:c>
      <x:c r="V1290" s="23" t="n">
        <x:v>-6.857178018491368</x:v>
      </x:c>
    </x:row>
    <x:row r="1291">
      <x:c r="A1291" s="23" t="n">
        <x:v>1290</x:v>
      </x:c>
      <x:c r="B1291" s="23" t="str">
        <x:v>Train</x:v>
      </x:c>
      <x:c r="C1291" s="23" t="str">
        <x:v>Switching</x:v>
      </x:c>
      <x:c r="D1291" s="23" t="n">
        <x:v>998.3917251811363</x:v>
      </x:c>
      <x:c r="E1291" s="23" t="n">
        <x:v>694.3250827724114</x:v>
      </x:c>
      <x:c r="F1291" s="23" t="n">
        <x:v>603.4436495043337</x:v>
      </x:c>
      <x:c r="G1291" s="23" t="n">
        <x:v>195.6989939045161</x:v>
      </x:c>
      <x:c r="H1291" s="23" t="n">
        <x:v>23.562439892906696</x:v>
      </x:c>
      <x:c r="I1291" s="23" t="n">
        <x:v>0.858269841563888</x:v>
      </x:c>
      <x:c r="J1291" s="23" t="n">
        <x:v>6</x:v>
      </x:c>
      <x:c r="K1291" s="23" t="n">
        <x:v>193.87681216937682</x:v>
      </x:c>
      <x:c r="L1291" s="23" t="n">
        <x:v>16705</x:v>
      </x:c>
      <x:c r="M1291" s="23" t="n">
        <x:v>1200</x:v>
      </x:c>
      <x:c r="N1291" s="23" t="n">
        <x:v>249.98324196265224</x:v>
      </x:c>
      <x:c r="O1291" s="23" t="n">
        <x:v>2502.2518065665536</x:v>
      </x:c>
      <x:c r="P1291" s="23" t="n">
        <x:v>998.3917251811363</x:v>
      </x:c>
      <x:c r="Q1291" s="23" t="n">
        <x:v>250.88179060431673</x:v>
      </x:c>
      <x:c r="R1291" s="23" t="n">
        <x:v>2484.6030997617663</x:v>
      </x:c>
      <x:c r="S1291" s="23" t="n">
        <x:v>993.5936614889665</x:v>
      </x:c>
      <x:c r="T1291" s="23" t="n">
        <x:v>0.8985486416644903</x:v>
      </x:c>
      <x:c r="U1291" s="23" t="n">
        <x:v>-17.648706804787253</x:v>
      </x:c>
      <x:c r="V1291" s="23" t="n">
        <x:v>-4.798063692169762</x:v>
      </x:c>
    </x:row>
    <x:row r="1292">
      <x:c r="A1292" s="23" t="n">
        <x:v>1291</x:v>
      </x:c>
      <x:c r="B1292" s="23" t="str">
        <x:v>Train</x:v>
      </x:c>
      <x:c r="C1292" s="23" t="str">
        <x:v>Switching</x:v>
      </x:c>
      <x:c r="D1292" s="23" t="n">
        <x:v>1073.8592910347506</x:v>
      </x:c>
      <x:c r="E1292" s="23" t="n">
        <x:v>694.5525283575989</x:v>
      </x:c>
      <x:c r="F1292" s="23" t="n">
        <x:v>381.20530135929585</x:v>
      </x:c>
      <x:c r="G1292" s="23" t="n">
        <x:v>141.6701694088988</x:v>
      </x:c>
      <x:c r="H1292" s="23" t="n">
        <x:v>16.602205962873995</x:v>
      </x:c>
      <x:c r="I1292" s="23" t="n">
        <x:v>0.7965986080351286</x:v>
      </x:c>
      <x:c r="J1292" s="23" t="n">
        <x:v>7</x:v>
      </x:c>
      <x:c r="K1292" s="23" t="n">
        <x:v>192.57938515134396</x:v>
      </x:c>
      <x:c r="L1292" s="23" t="n">
        <x:v>17565</x:v>
      </x:c>
      <x:c r="M1292" s="23" t="n">
        <x:v>1200</x:v>
      </x:c>
      <x:c r="N1292" s="23" t="n">
        <x:v>249.9806774543394</x:v>
      </x:c>
      <x:c r="O1292" s="23" t="n">
        <x:v>2501.886891868511</x:v>
      </x:c>
      <x:c r="P1292" s="23" t="n">
        <x:v>1073.8592910347506</x:v>
      </x:c>
      <x:c r="Q1292" s="23" t="n">
        <x:v>246.02862552343146</x:v>
      </x:c>
      <x:c r="R1292" s="23" t="n">
        <x:v>2480.6788480891364</x:v>
      </x:c>
      <x:c r="S1292" s="23" t="n">
        <x:v>1089.4845812503256</x:v>
      </x:c>
      <x:c r="T1292" s="23" t="n">
        <x:v>-3.952051930907942</x:v>
      </x:c>
      <x:c r="U1292" s="23" t="n">
        <x:v>-21.208043779374748</x:v>
      </x:c>
      <x:c r="V1292" s="23" t="n">
        <x:v>15.625290215574978</x:v>
      </x:c>
    </x:row>
    <x:row r="1293">
      <x:c r="A1293" s="23" t="n">
        <x:v>1292</x:v>
      </x:c>
      <x:c r="B1293" s="23" t="str">
        <x:v>Train</x:v>
      </x:c>
      <x:c r="C1293" s="23" t="str">
        <x:v>Switching</x:v>
      </x:c>
      <x:c r="D1293" s="23" t="n">
        <x:v>1080.9174569672905</x:v>
      </x:c>
      <x:c r="E1293" s="23" t="n">
        <x:v>883.697592234239</x:v>
      </x:c>
      <x:c r="F1293" s="23" t="n">
        <x:v>435.0202332250774</x:v>
      </x:c>
      <x:c r="G1293" s="23" t="n">
        <x:v>328.83510067593306</x:v>
      </x:c>
      <x:c r="H1293" s="23" t="n">
        <x:v>12.837324860971421</x:v>
      </x:c>
      <x:c r="I1293" s="23" t="n">
        <x:v>0.8134108759090305</x:v>
      </x:c>
      <x:c r="J1293" s="23" t="n">
        <x:v>7</x:v>
      </x:c>
      <x:c r="K1293" s="23" t="n">
        <x:v>189.83859712250185</x:v>
      </x:c>
      <x:c r="L1293" s="23" t="n">
        <x:v>12980</x:v>
      </x:c>
      <x:c r="M1293" s="23" t="n">
        <x:v>1200</x:v>
      </x:c>
      <x:c r="N1293" s="23" t="n">
        <x:v>249.99371524680714</x:v>
      </x:c>
      <x:c r="O1293" s="23" t="n">
        <x:v>2504.3907350936183</x:v>
      </x:c>
      <x:c r="P1293" s="23" t="n">
        <x:v>1080.9174569672905</x:v>
      </x:c>
      <x:c r="Q1293" s="23" t="n">
        <x:v>253.2079396188826</x:v>
      </x:c>
      <x:c r="R1293" s="23" t="n">
        <x:v>2536.2481770898808</x:v>
      </x:c>
      <x:c r="S1293" s="23" t="n">
        <x:v>1085.2548064869225</x:v>
      </x:c>
      <x:c r="T1293" s="23" t="n">
        <x:v>3.2142243720754493</x:v>
      </x:c>
      <x:c r="U1293" s="23" t="n">
        <x:v>31.857441996262423</x:v>
      </x:c>
      <x:c r="V1293" s="23" t="n">
        <x:v>4.337349519631971</x:v>
      </x:c>
    </x:row>
    <x:row r="1294">
      <x:c r="A1294" s="23" t="n">
        <x:v>1293</x:v>
      </x:c>
      <x:c r="B1294" s="23" t="str">
        <x:v>Train</x:v>
      </x:c>
      <x:c r="C1294" s="23" t="str">
        <x:v>Switching</x:v>
      </x:c>
      <x:c r="D1294" s="23" t="n">
        <x:v>968.3276997413486</x:v>
      </x:c>
      <x:c r="E1294" s="23" t="n">
        <x:v>1032.5627117301337</x:v>
      </x:c>
      <x:c r="F1294" s="23" t="n">
        <x:v>412.26878967136145</x:v>
      </x:c>
      <x:c r="G1294" s="23" t="n">
        <x:v>112.22182003082708</x:v>
      </x:c>
      <x:c r="H1294" s="23" t="n">
        <x:v>15.392334897071123</x:v>
      </x:c>
      <x:c r="I1294" s="23" t="n">
        <x:v>0.8582119540893474</x:v>
      </x:c>
      <x:c r="J1294" s="23" t="n">
        <x:v>6</x:v>
      </x:c>
      <x:c r="K1294" s="23" t="n">
        <x:v>188.05138892307895</x:v>
      </x:c>
      <x:c r="L1294" s="23" t="n">
        <x:v>16025</x:v>
      </x:c>
      <x:c r="M1294" s="23" t="n">
        <x:v>1200</x:v>
      </x:c>
      <x:c r="N1294" s="23" t="n">
        <x:v>250.0171645297832</x:v>
      </x:c>
      <x:c r="O1294" s="23" t="n">
        <x:v>2502.5690732526186</x:v>
      </x:c>
      <x:c r="P1294" s="23" t="n">
        <x:v>968.3276997413486</x:v>
      </x:c>
      <x:c r="Q1294" s="23" t="n">
        <x:v>250.12204081085082</x:v>
      </x:c>
      <x:c r="R1294" s="23" t="n">
        <x:v>2512.3961081478665</x:v>
      </x:c>
      <x:c r="S1294" s="23" t="n">
        <x:v>967.9400576212515</x:v>
      </x:c>
      <x:c r="T1294" s="23" t="n">
        <x:v>0.10487628106761804</x:v>
      </x:c>
      <x:c r="U1294" s="23" t="n">
        <x:v>9.827034895247834</x:v>
      </x:c>
      <x:c r="V1294" s="23" t="n">
        <x:v>-0.3876421200970981</x:v>
      </x:c>
    </x:row>
    <x:row r="1295">
      <x:c r="A1295" s="23" t="n">
        <x:v>1294</x:v>
      </x:c>
      <x:c r="B1295" s="23" t="str">
        <x:v>Train</x:v>
      </x:c>
      <x:c r="C1295" s="23" t="str">
        <x:v>Switching</x:v>
      </x:c>
      <x:c r="D1295" s="23" t="n">
        <x:v>1058.9851806056686</x:v>
      </x:c>
      <x:c r="E1295" s="23" t="n">
        <x:v>1003.6840011132881</x:v>
      </x:c>
      <x:c r="F1295" s="23" t="n">
        <x:v>482.5521712191403</x:v>
      </x:c>
      <x:c r="G1295" s="23" t="n">
        <x:v>140.76608039438725</x:v>
      </x:c>
      <x:c r="H1295" s="23" t="n">
        <x:v>27.27072053635493</x:v>
      </x:c>
      <x:c r="I1295" s="23" t="n">
        <x:v>0.8132090459717438</x:v>
      </x:c>
      <x:c r="J1295" s="23" t="n">
        <x:v>7</x:v>
      </x:c>
      <x:c r="K1295" s="23" t="n">
        <x:v>186.03285093638496</x:v>
      </x:c>
      <x:c r="L1295" s="23" t="n">
        <x:v>13145</x:v>
      </x:c>
      <x:c r="M1295" s="23" t="n">
        <x:v>1200</x:v>
      </x:c>
      <x:c r="N1295" s="23" t="n">
        <x:v>250.01400119231926</x:v>
      </x:c>
      <x:c r="O1295" s="23" t="n">
        <x:v>2504.2711055135733</x:v>
      </x:c>
      <x:c r="P1295" s="23" t="n">
        <x:v>1058.9851806056686</x:v>
      </x:c>
      <x:c r="Q1295" s="23" t="n">
        <x:v>248.57609388722813</x:v>
      </x:c>
      <x:c r="R1295" s="23" t="n">
        <x:v>2511.7142080737917</x:v>
      </x:c>
      <x:c r="S1295" s="23" t="n">
        <x:v>1050.3989678017606</x:v>
      </x:c>
      <x:c r="T1295" s="23" t="n">
        <x:v>-1.4379073050911302</x:v>
      </x:c>
      <x:c r="U1295" s="23" t="n">
        <x:v>7.443102560218449</x:v>
      </x:c>
      <x:c r="V1295" s="23" t="n">
        <x:v>-8.586212803907983</x:v>
      </x:c>
    </x:row>
    <x:row r="1296">
      <x:c r="A1296" s="23" t="n">
        <x:v>1295</x:v>
      </x:c>
      <x:c r="B1296" s="23" t="str">
        <x:v>Validation</x:v>
      </x:c>
      <x:c r="C1296" s="23" t="str">
        <x:v>Switching</x:v>
      </x:c>
      <x:c r="D1296" s="23" t="n">
        <x:v>1060.260964767076</x:v>
      </x:c>
      <x:c r="E1296" s="23" t="n">
        <x:v>1110.419490665663</x:v>
      </x:c>
      <x:c r="F1296" s="23" t="n">
        <x:v>507.62735083699226</x:v>
      </x:c>
      <x:c r="G1296" s="23" t="n">
        <x:v>305.3619585535489</x:v>
      </x:c>
      <x:c r="H1296" s="23" t="n">
        <x:v>23.230893849395216</x:v>
      </x:c>
      <x:c r="I1296" s="23" t="n">
        <x:v>0.7988395999162459</x:v>
      </x:c>
      <x:c r="J1296" s="23" t="n">
        <x:v>7</x:v>
      </x:c>
      <x:c r="K1296" s="23" t="n">
        <x:v>189.607340604375</x:v>
      </x:c>
      <x:c r="L1296" s="23" t="n">
        <x:v>11120</x:v>
      </x:c>
      <x:c r="M1296" s="23" t="n">
        <x:v>1195</x:v>
      </x:c>
      <x:c r="N1296" s="23" t="n">
        <x:v>250.02991846536563</x:v>
      </x:c>
      <x:c r="O1296" s="23" t="n">
        <x:v>2495.554895026442</x:v>
      </x:c>
      <x:c r="P1296" s="23" t="n">
        <x:v>1060.260964767076</x:v>
      </x:c>
      <x:c r="Q1296" s="23" t="n">
        <x:v>250.37637086405738</x:v>
      </x:c>
      <x:c r="R1296" s="23" t="n">
        <x:v>2486.8115325978038</x:v>
      </x:c>
      <x:c r="S1296" s="23" t="n">
        <x:v>1049.0211140396066</x:v>
      </x:c>
      <x:c r="T1296" s="23" t="n">
        <x:v>0.3464523986917527</x:v>
      </x:c>
      <x:c r="U1296" s="23" t="n">
        <x:v>-8.743362428638193</x:v>
      </x:c>
      <x:c r="V1296" s="23" t="n">
        <x:v>-11.239850727469502</x:v>
      </x:c>
    </x:row>
    <x:row r="1297">
      <x:c r="A1297" s="23" t="n">
        <x:v>1296</x:v>
      </x:c>
      <x:c r="B1297" s="23" t="str">
        <x:v>Validation</x:v>
      </x:c>
      <x:c r="C1297" s="23" t="str">
        <x:v>Switching</x:v>
      </x:c>
      <x:c r="D1297" s="23" t="n">
        <x:v>983.9486352982931</x:v>
      </x:c>
      <x:c r="E1297" s="23" t="n">
        <x:v>979.5137112960219</x:v>
      </x:c>
      <x:c r="F1297" s="23" t="n">
        <x:v>696.9164266251028</x:v>
      </x:c>
      <x:c r="G1297" s="23" t="n">
        <x:v>304.65958644170314</x:v>
      </x:c>
      <x:c r="H1297" s="23" t="n">
        <x:v>13.028220483567566</x:v>
      </x:c>
      <x:c r="I1297" s="23" t="n">
        <x:v>0.8278442454244942</x:v>
      </x:c>
      <x:c r="J1297" s="23" t="n">
        <x:v>6</x:v>
      </x:c>
      <x:c r="K1297" s="23" t="n">
        <x:v>198.09455718604676</x:v>
      </x:c>
      <x:c r="L1297" s="23" t="n">
        <x:v>12595</x:v>
      </x:c>
      <x:c r="M1297" s="23" t="n">
        <x:v>1200</x:v>
      </x:c>
      <x:c r="N1297" s="23" t="n">
        <x:v>250.01764716849354</x:v>
      </x:c>
      <x:c r="O1297" s="23" t="n">
        <x:v>2504.68484528868</x:v>
      </x:c>
      <x:c r="P1297" s="23" t="n">
        <x:v>983.9486352982931</x:v>
      </x:c>
      <x:c r="Q1297" s="23" t="n">
        <x:v>255.21032723142847</x:v>
      </x:c>
      <x:c r="R1297" s="23" t="n">
        <x:v>2488.245104594449</x:v>
      </x:c>
      <x:c r="S1297" s="23" t="n">
        <x:v>976.7764522815553</x:v>
      </x:c>
      <x:c r="T1297" s="23" t="n">
        <x:v>5.192680062934926</x:v>
      </x:c>
      <x:c r="U1297" s="23" t="n">
        <x:v>-16.439740694231205</x:v>
      </x:c>
      <x:c r="V1297" s="23" t="n">
        <x:v>-7.17218301673779</x:v>
      </x:c>
    </x:row>
    <x:row r="1298">
      <x:c r="A1298" s="23" t="n">
        <x:v>1297</x:v>
      </x:c>
      <x:c r="B1298" s="23" t="str">
        <x:v>Validation</x:v>
      </x:c>
      <x:c r="C1298" s="23" t="str">
        <x:v>Switching</x:v>
      </x:c>
      <x:c r="D1298" s="23" t="n">
        <x:v>1050.0764423049986</x:v>
      </x:c>
      <x:c r="E1298" s="23" t="n">
        <x:v>1143.9976697205566</x:v>
      </x:c>
      <x:c r="F1298" s="23" t="n">
        <x:v>611.3143334165215</x:v>
      </x:c>
      <x:c r="G1298" s="23" t="n">
        <x:v>289.53582791844383</x:v>
      </x:c>
      <x:c r="H1298" s="23" t="n">
        <x:v>24.1024988014251</x:v>
      </x:c>
      <x:c r="I1298" s="23" t="n">
        <x:v>0.8568529830058106</x:v>
      </x:c>
      <x:c r="J1298" s="23" t="n">
        <x:v>7</x:v>
      </x:c>
      <x:c r="K1298" s="23" t="n">
        <x:v>175.07194735210282</x:v>
      </x:c>
      <x:c r="L1298" s="23" t="n">
        <x:v>10460</x:v>
      </x:c>
      <x:c r="M1298" s="23" t="n">
        <x:v>1195</x:v>
      </x:c>
      <x:c r="N1298" s="23" t="n">
        <x:v>250.03936333768087</x:v>
      </x:c>
      <x:c r="O1298" s="23" t="n">
        <x:v>2496.258870409998</x:v>
      </x:c>
      <x:c r="P1298" s="23" t="n">
        <x:v>1050.0764423049986</x:v>
      </x:c>
      <x:c r="Q1298" s="23" t="n">
        <x:v>251.28501450188367</x:v>
      </x:c>
      <x:c r="R1298" s="23" t="n">
        <x:v>2550.0088629332713</x:v>
      </x:c>
      <x:c r="S1298" s="23" t="n">
        <x:v>1036.0672984931025</x:v>
      </x:c>
      <x:c r="T1298" s="23" t="n">
        <x:v>1.2456511642027976</x:v>
      </x:c>
      <x:c r="U1298" s="23" t="n">
        <x:v>53.74999252327325</x:v>
      </x:c>
      <x:c r="V1298" s="23" t="n">
        <x:v>-14.009143811896138</x:v>
      </x:c>
    </x:row>
    <x:row r="1299">
      <x:c r="A1299" s="23" t="n">
        <x:v>1298</x:v>
      </x:c>
      <x:c r="B1299" s="23" t="str">
        <x:v>Hidden Test</x:v>
      </x:c>
      <x:c r="C1299" s="23" t="str">
        <x:v>Switching</x:v>
      </x:c>
      <x:c r="D1299" s="23" t="n">
        <x:v>954.3673302629031</x:v>
      </x:c>
      <x:c r="E1299" s="23" t="n">
        <x:v>1101.8695705803111</x:v>
      </x:c>
      <x:c r="F1299" s="23" t="n">
        <x:v>627.1780767478049</x:v>
      </x:c>
      <x:c r="G1299" s="23" t="n">
        <x:v>287.89114315994084</x:v>
      </x:c>
      <x:c r="H1299" s="23" t="n">
        <x:v>13.639505848754197</x:v>
      </x:c>
      <x:c r="I1299" s="23" t="n">
        <x:v>0.8271203413093463</x:v>
      </x:c>
      <x:c r="J1299" s="23" t="n">
        <x:v>6</x:v>
      </x:c>
      <x:c r="K1299" s="23" t="n">
        <x:v>192.3072299959243</x:v>
      </x:c>
      <x:c r="L1299" s="23" t="n">
        <x:v>12370</x:v>
      </x:c>
      <x:c r="M1299" s="23" t="n">
        <x:v>1200</x:v>
      </x:c>
      <x:c r="N1299" s="23" t="n">
        <x:v>249.9947026624327</x:v>
      </x:c>
      <x:c r="O1299" s="23" t="n">
        <x:v>2504.8637177890187</x:v>
      </x:c>
      <x:c r="P1299" s="23" t="n">
        <x:v>954.3673302629031</x:v>
      </x:c>
      <x:c r="Q1299" s="23" t="n">
        <x:v>251.25218589652982</x:v>
      </x:c>
      <x:c r="R1299" s="23" t="n">
        <x:v>2484.640792439042</x:v>
      </x:c>
      <x:c r="S1299" s="23" t="n">
        <x:v>954.9942631447852</x:v>
      </x:c>
      <x:c r="T1299" s="23" t="n">
        <x:v>1.2574832340971227</x:v>
      </x:c>
      <x:c r="U1299" s="23" t="n">
        <x:v>-20.222925349976776</x:v>
      </x:c>
      <x:c r="V1299" s="23" t="n">
        <x:v>0.6269328818821123</x:v>
      </x:c>
    </x:row>
    <x:row r="1300">
      <x:c r="A1300" s="23" t="n">
        <x:v>1299</x:v>
      </x:c>
      <x:c r="B1300" s="23" t="str">
        <x:v>Hidden Test</x:v>
      </x:c>
      <x:c r="C1300" s="23" t="str">
        <x:v>Switching</x:v>
      </x:c>
      <x:c r="D1300" s="23" t="n">
        <x:v>1070.478788181208</x:v>
      </x:c>
      <x:c r="E1300" s="23" t="n">
        <x:v>774.6659256168641</x:v>
      </x:c>
      <x:c r="F1300" s="23" t="n">
        <x:v>382.788672670722</x:v>
      </x:c>
      <x:c r="G1300" s="23" t="n">
        <x:v>117.37776417983696</x:v>
      </x:c>
      <x:c r="H1300" s="23" t="n">
        <x:v>10.810582396574318</x:v>
      </x:c>
      <x:c r="I1300" s="23" t="n">
        <x:v>0.8277273058588617</x:v>
      </x:c>
      <x:c r="J1300" s="23" t="n">
        <x:v>7</x:v>
      </x:c>
      <x:c r="K1300" s="23" t="n">
        <x:v>184.75352943692764</x:v>
      </x:c>
      <x:c r="L1300" s="23" t="n">
        <x:v>16775</x:v>
      </x:c>
      <x:c r="M1300" s="23" t="n">
        <x:v>1200</x:v>
      </x:c>
      <x:c r="N1300" s="23" t="n">
        <x:v>249.99449975471404</x:v>
      </x:c>
      <x:c r="O1300" s="23" t="n">
        <x:v>2502.221054148395</x:v>
      </x:c>
      <x:c r="P1300" s="23" t="n">
        <x:v>1070.478788181208</x:v>
      </x:c>
      <x:c r="Q1300" s="23" t="n">
        <x:v>247.69002984799337</x:v>
      </x:c>
      <x:c r="R1300" s="23" t="n">
        <x:v>2499.4918054716877</x:v>
      </x:c>
      <x:c r="S1300" s="23" t="n">
        <x:v>1083.791178900658</x:v>
      </x:c>
      <x:c r="T1300" s="23" t="n">
        <x:v>-2.3044699067206693</x:v>
      </x:c>
      <x:c r="U1300" s="23" t="n">
        <x:v>-2.729248676707357</x:v>
      </x:c>
      <x:c r="V1300" s="23" t="n">
        <x:v>13.312390719449922</x:v>
      </x:c>
    </x:row>
    <x:row r="1301">
      <x:c r="A1301" s="23" t="n">
        <x:v>1300</x:v>
      </x:c>
      <x:c r="B1301" s="23" t="str">
        <x:v>Hidden Test</x:v>
      </x:c>
      <x:c r="C1301" s="23" t="str">
        <x:v>Switching</x:v>
      </x:c>
      <x:c r="D1301" s="23" t="n">
        <x:v>1008.5593973635696</x:v>
      </x:c>
      <x:c r="E1301" s="23" t="n">
        <x:v>670.662763575092</x:v>
      </x:c>
      <x:c r="F1301" s="23" t="n">
        <x:v>743.8363152556121</x:v>
      </x:c>
      <x:c r="G1301" s="23" t="n">
        <x:v>134.42377307917923</x:v>
      </x:c>
      <x:c r="H1301" s="23" t="n">
        <x:v>11.511342033278197</x:v>
      </x:c>
      <x:c r="I1301" s="23" t="n">
        <x:v>0.8020636657066643</x:v>
      </x:c>
      <x:c r="J1301" s="23" t="n">
        <x:v>7</x:v>
      </x:c>
      <x:c r="K1301" s="23" t="n">
        <x:v>179.63650526687138</x:v>
      </x:c>
      <x:c r="L1301" s="23" t="n">
        <x:v>13805</x:v>
      </x:c>
      <x:c r="M1301" s="23" t="n">
        <x:v>1200</x:v>
      </x:c>
      <x:c r="N1301" s="23" t="n">
        <x:v>249.96611552328295</x:v>
      </x:c>
      <x:c r="O1301" s="23" t="n">
        <x:v>2503.816589705538</x:v>
      </x:c>
      <x:c r="P1301" s="23" t="n">
        <x:v>1008.5593973635696</x:v>
      </x:c>
      <x:c r="Q1301" s="23" t="n">
        <x:v>249.78683596484686</x:v>
      </x:c>
      <x:c r="R1301" s="23" t="n">
        <x:v>2512.445937390792</x:v>
      </x:c>
      <x:c r="S1301" s="23" t="n">
        <x:v>1014.3586841256661</x:v>
      </x:c>
      <x:c r="T1301" s="23" t="n">
        <x:v>-0.1792795584360931</x:v>
      </x:c>
      <x:c r="U1301" s="23" t="n">
        <x:v>8.629347685254288</x:v>
      </x:c>
      <x:c r="V1301" s="23" t="n">
        <x:v>5.799286762096472</x:v>
      </x:c>
    </x:row>
    <x:row r="1302">
      <x:c r="A1302" s="23" t="n">
        <x:v>1301</x:v>
      </x:c>
      <x:c r="B1302" s="23" t="str">
        <x:v>Train</x:v>
      </x:c>
      <x:c r="C1302" s="23" t="str">
        <x:v>Switching</x:v>
      </x:c>
      <x:c r="D1302" s="23" t="n">
        <x:v>977.0341270137578</x:v>
      </x:c>
      <x:c r="E1302" s="23" t="n">
        <x:v>884.6036750706844</x:v>
      </x:c>
      <x:c r="F1302" s="23" t="n">
        <x:v>556.5792081877589</x:v>
      </x:c>
      <x:c r="G1302" s="23" t="n">
        <x:v>299.3349490989931</x:v>
      </x:c>
      <x:c r="H1302" s="23" t="n">
        <x:v>13.73460753262043</x:v>
      </x:c>
      <x:c r="I1302" s="23" t="n">
        <x:v>0.8561714149848558</x:v>
      </x:c>
      <x:c r="J1302" s="23" t="n">
        <x:v>6</x:v>
      </x:c>
      <x:c r="K1302" s="23" t="n">
        <x:v>190.1944147152355</x:v>
      </x:c>
      <x:c r="L1302" s="23" t="n">
        <x:v>14335</x:v>
      </x:c>
      <x:c r="M1302" s="23" t="n">
        <x:v>1200</x:v>
      </x:c>
      <x:c r="N1302" s="23" t="n">
        <x:v>250.00257107563425</x:v>
      </x:c>
      <x:c r="O1302" s="23" t="n">
        <x:v>2503.48448777633</x:v>
      </x:c>
      <x:c r="P1302" s="23" t="n">
        <x:v>977.0341270137578</x:v>
      </x:c>
      <x:c r="Q1302" s="23" t="n">
        <x:v>252.40346130771619</x:v>
      </x:c>
      <x:c r="R1302" s="23" t="n">
        <x:v>2539.8261180692666</x:v>
      </x:c>
      <x:c r="S1302" s="23" t="n">
        <x:v>982.4101278601555</x:v>
      </x:c>
      <x:c r="T1302" s="23" t="n">
        <x:v>2.4008902320819345</x:v>
      </x:c>
      <x:c r="U1302" s="23" t="n">
        <x:v>36.34163029293677</x:v>
      </x:c>
      <x:c r="V1302" s="23" t="n">
        <x:v>5.376000846397687</x:v>
      </x:c>
    </x:row>
    <x:row r="1303">
      <x:c r="A1303" s="23" t="n">
        <x:v>1302</x:v>
      </x:c>
      <x:c r="B1303" s="23" t="str">
        <x:v>Train</x:v>
      </x:c>
      <x:c r="C1303" s="23" t="str">
        <x:v>Switching</x:v>
      </x:c>
      <x:c r="D1303" s="23" t="n">
        <x:v>1092.6877384190448</x:v>
      </x:c>
      <x:c r="E1303" s="23" t="n">
        <x:v>787.2093444457278</x:v>
      </x:c>
      <x:c r="F1303" s="23" t="n">
        <x:v>496.158589143306</x:v>
      </x:c>
      <x:c r="G1303" s="23" t="n">
        <x:v>280.0130941160023</x:v>
      </x:c>
      <x:c r="H1303" s="23" t="n">
        <x:v>17.196038013789803</x:v>
      </x:c>
      <x:c r="I1303" s="23" t="n">
        <x:v>0.8293539964174852</x:v>
      </x:c>
      <x:c r="J1303" s="23" t="n">
        <x:v>7</x:v>
      </x:c>
      <x:c r="K1303" s="23" t="n">
        <x:v>188.21667107154101</x:v>
      </x:c>
      <x:c r="L1303" s="23" t="n">
        <x:v>13680</x:v>
      </x:c>
      <x:c r="M1303" s="23" t="n">
        <x:v>1200</x:v>
      </x:c>
      <x:c r="N1303" s="23" t="n">
        <x:v>250.0150181069038</x:v>
      </x:c>
      <x:c r="O1303" s="23" t="n">
        <x:v>2503.9007536384765</x:v>
      </x:c>
      <x:c r="P1303" s="23" t="n">
        <x:v>1092.6877384190448</x:v>
      </x:c>
      <x:c r="Q1303" s="23" t="n">
        <x:v>247.859854957769</x:v>
      </x:c>
      <x:c r="R1303" s="23" t="n">
        <x:v>2490.967745111293</x:v>
      </x:c>
      <x:c r="S1303" s="23" t="n">
        <x:v>1093.1805693046244</x:v>
      </x:c>
      <x:c r="T1303" s="23" t="n">
        <x:v>-2.1551631491348076</x:v>
      </x:c>
      <x:c r="U1303" s="23" t="n">
        <x:v>-12.933008527183574</x:v>
      </x:c>
      <x:c r="V1303" s="23" t="n">
        <x:v>0.4928308855796786</x:v>
      </x:c>
    </x:row>
    <x:row r="1304">
      <x:c r="A1304" s="23" t="n">
        <x:v>1303</x:v>
      </x:c>
      <x:c r="B1304" s="23" t="str">
        <x:v>Train</x:v>
      </x:c>
      <x:c r="C1304" s="23" t="str">
        <x:v>Switching</x:v>
      </x:c>
      <x:c r="D1304" s="23" t="n">
        <x:v>1080.4182631196454</x:v>
      </x:c>
      <x:c r="E1304" s="23" t="n">
        <x:v>1227.594169427175</x:v>
      </x:c>
      <x:c r="F1304" s="23" t="n">
        <x:v>435.1138159632683</x:v>
      </x:c>
      <x:c r="G1304" s="23" t="n">
        <x:v>185.5896551697515</x:v>
      </x:c>
      <x:c r="H1304" s="23" t="n">
        <x:v>23.821381296031177</x:v>
      </x:c>
      <x:c r="I1304" s="23" t="n">
        <x:v>0.8278485917649232</x:v>
      </x:c>
      <x:c r="J1304" s="23" t="n">
        <x:v>7</x:v>
      </x:c>
      <x:c r="K1304" s="23" t="n">
        <x:v>186.4416605829988</x:v>
      </x:c>
      <x:c r="L1304" s="23" t="n">
        <x:v>11570</x:v>
      </x:c>
      <x:c r="M1304" s="23" t="n">
        <x:v>1195</x:v>
      </x:c>
      <x:c r="N1304" s="23" t="n">
        <x:v>249.9889692582554</x:v>
      </x:c>
      <x:c r="O1304" s="23" t="n">
        <x:v>2495.119479765957</x:v>
      </x:c>
      <x:c r="P1304" s="23" t="n">
        <x:v>1080.4182631196454</x:v>
      </x:c>
      <x:c r="Q1304" s="23" t="n">
        <x:v>248.35458167360662</x:v>
      </x:c>
      <x:c r="R1304" s="23" t="n">
        <x:v>2556.3580230221824</x:v>
      </x:c>
      <x:c r="S1304" s="23" t="n">
        <x:v>1063.845735539574</x:v>
      </x:c>
      <x:c r="T1304" s="23" t="n">
        <x:v>-1.6343875846487776</x:v>
      </x:c>
      <x:c r="U1304" s="23" t="n">
        <x:v>61.23854325622551</x:v>
      </x:c>
      <x:c r="V1304" s="23" t="n">
        <x:v>-16.572527580071437</x:v>
      </x:c>
    </x:row>
    <x:row r="1305">
      <x:c r="A1305" s="23" t="n">
        <x:v>1304</x:v>
      </x:c>
      <x:c r="B1305" s="23" t="str">
        <x:v>Train</x:v>
      </x:c>
      <x:c r="C1305" s="23" t="str">
        <x:v>Switching</x:v>
      </x:c>
      <x:c r="D1305" s="23" t="n">
        <x:v>962.0882074232213</x:v>
      </x:c>
      <x:c r="E1305" s="23" t="n">
        <x:v>638.4424447081983</x:v>
      </x:c>
      <x:c r="F1305" s="23" t="n">
        <x:v>727.6751360855997</x:v>
      </x:c>
      <x:c r="G1305" s="23" t="n">
        <x:v>205.20004494581372</x:v>
      </x:c>
      <x:c r="H1305" s="23" t="n">
        <x:v>22.417077293153852</x:v>
      </x:c>
      <x:c r="I1305" s="23" t="n">
        <x:v>0.8306473528314382</x:v>
      </x:c>
      <x:c r="J1305" s="23" t="n">
        <x:v>6</x:v>
      </x:c>
      <x:c r="K1305" s="23" t="n">
        <x:v>193.03984298987592</x:v>
      </x:c>
      <x:c r="L1305" s="23" t="n">
        <x:v>15880</x:v>
      </x:c>
      <x:c r="M1305" s="23" t="n">
        <x:v>1200</x:v>
      </x:c>
      <x:c r="N1305" s="23" t="n">
        <x:v>250.02478058311496</x:v>
      </x:c>
      <x:c r="O1305" s="23" t="n">
        <x:v>2502.64024642539</x:v>
      </x:c>
      <x:c r="P1305" s="23" t="n">
        <x:v>962.0882074232213</x:v>
      </x:c>
      <x:c r="Q1305" s="23" t="n">
        <x:v>250.44289983236584</x:v>
      </x:c>
      <x:c r="R1305" s="23" t="n">
        <x:v>2432.615529479255</x:v>
      </x:c>
      <x:c r="S1305" s="23" t="n">
        <x:v>955.8041005985193</x:v>
      </x:c>
      <x:c r="T1305" s="23" t="n">
        <x:v>0.4181192492508785</x:v>
      </x:c>
      <x:c r="U1305" s="23" t="n">
        <x:v>-70.02471694613496</x:v>
      </x:c>
      <x:c r="V1305" s="23" t="n">
        <x:v>-6.2841068247020075</x:v>
      </x:c>
    </x:row>
    <x:row r="1306">
      <x:c r="A1306" s="23" t="n">
        <x:v>1305</x:v>
      </x:c>
      <x:c r="B1306" s="23" t="str">
        <x:v>Train</x:v>
      </x:c>
      <x:c r="C1306" s="23" t="str">
        <x:v>Switching</x:v>
      </x:c>
      <x:c r="D1306" s="23" t="n">
        <x:v>1018.0134937167168</x:v>
      </x:c>
      <x:c r="E1306" s="23" t="n">
        <x:v>1016.169060242828</x:v>
      </x:c>
      <x:c r="F1306" s="23" t="n">
        <x:v>416.7353080585599</x:v>
      </x:c>
      <x:c r="G1306" s="23" t="n">
        <x:v>256.9208522164263</x:v>
      </x:c>
      <x:c r="H1306" s="23" t="n">
        <x:v>29.168623534962535</x:v>
      </x:c>
      <x:c r="I1306" s="23" t="n">
        <x:v>0.7972641829145142</x:v>
      </x:c>
      <x:c r="J1306" s="23" t="n">
        <x:v>7</x:v>
      </x:c>
      <x:c r="K1306" s="23" t="n">
        <x:v>182.41193097468138</x:v>
      </x:c>
      <x:c r="L1306" s="23" t="n">
        <x:v>12655</x:v>
      </x:c>
      <x:c r="M1306" s="23" t="n">
        <x:v>1200</x:v>
      </x:c>
      <x:c r="N1306" s="23" t="n">
        <x:v>249.98827651233222</x:v>
      </x:c>
      <x:c r="O1306" s="23" t="n">
        <x:v>2504.6368105736783</x:v>
      </x:c>
      <x:c r="P1306" s="23" t="n">
        <x:v>1018.0134937167168</x:v>
      </x:c>
      <x:c r="Q1306" s="23" t="n">
        <x:v>250.326202866536</x:v>
      </x:c>
      <x:c r="R1306" s="23" t="n">
        <x:v>2478.069877310034</x:v>
      </x:c>
      <x:c r="S1306" s="23" t="n">
        <x:v>1010.3556212543689</x:v>
      </x:c>
      <x:c r="T1306" s="23" t="n">
        <x:v>0.33792635420377337</x:v>
      </x:c>
      <x:c r="U1306" s="23" t="n">
        <x:v>-26.566933263644387</x:v>
      </x:c>
      <x:c r="V1306" s="23" t="n">
        <x:v>-7.657872462347882</x:v>
      </x:c>
    </x:row>
    <x:row r="1307">
      <x:c r="A1307" s="23" t="n">
        <x:v>1306</x:v>
      </x:c>
      <x:c r="B1307" s="23" t="str">
        <x:v>Train</x:v>
      </x:c>
      <x:c r="C1307" s="23" t="str">
        <x:v>Switching</x:v>
      </x:c>
      <x:c r="D1307" s="23" t="n">
        <x:v>996.3513022870757</x:v>
      </x:c>
      <x:c r="E1307" s="23" t="n">
        <x:v>1193.0148924002424</x:v>
      </x:c>
      <x:c r="F1307" s="23" t="n">
        <x:v>483.67181280627847</x:v>
      </x:c>
      <x:c r="G1307" s="23" t="n">
        <x:v>185.39909987710416</x:v>
      </x:c>
      <x:c r="H1307" s="23" t="n">
        <x:v>29.625113841611892</x:v>
      </x:c>
      <x:c r="I1307" s="23" t="n">
        <x:v>0.8084886050270871</x:v>
      </x:c>
      <x:c r="J1307" s="23" t="n">
        <x:v>7</x:v>
      </x:c>
      <x:c r="K1307" s="23" t="n">
        <x:v>176.05183232230758</x:v>
      </x:c>
      <x:c r="L1307" s="23" t="n">
        <x:v>11485</x:v>
      </x:c>
      <x:c r="M1307" s="23" t="n">
        <x:v>1195</x:v>
      </x:c>
      <x:c r="N1307" s="23" t="n">
        <x:v>250.0037576915425</x:v>
      </x:c>
      <x:c r="O1307" s="23" t="n">
        <x:v>2495.1994089973505</x:v>
      </x:c>
      <x:c r="P1307" s="23" t="n">
        <x:v>996.3513022870757</x:v>
      </x:c>
      <x:c r="Q1307" s="23" t="n">
        <x:v>249.62776259275006</x:v>
      </x:c>
      <x:c r="R1307" s="23" t="n">
        <x:v>2550.882212384134</x:v>
      </x:c>
      <x:c r="S1307" s="23" t="n">
        <x:v>980.7653439264957</x:v>
      </x:c>
      <x:c r="T1307" s="23" t="n">
        <x:v>-0.37599509879242987</x:v>
      </x:c>
      <x:c r="U1307" s="23" t="n">
        <x:v>55.68280338678369</x:v>
      </x:c>
      <x:c r="V1307" s="23" t="n">
        <x:v>-15.58595836057998</x:v>
      </x:c>
    </x:row>
    <x:row r="1308">
      <x:c r="A1308" s="23" t="n">
        <x:v>1307</x:v>
      </x:c>
      <x:c r="B1308" s="23" t="str">
        <x:v>Train</x:v>
      </x:c>
      <x:c r="C1308" s="23" t="str">
        <x:v>Switching</x:v>
      </x:c>
      <x:c r="D1308" s="23" t="n">
        <x:v>1069.9016318423674</x:v>
      </x:c>
      <x:c r="E1308" s="23" t="n">
        <x:v>1029.6613205806352</x:v>
      </x:c>
      <x:c r="F1308" s="23" t="n">
        <x:v>450.35917796194553</x:v>
      </x:c>
      <x:c r="G1308" s="23" t="n">
        <x:v>114.45268532959744</x:v>
      </x:c>
      <x:c r="H1308" s="23" t="n">
        <x:v>22.525741242803633</x:v>
      </x:c>
      <x:c r="I1308" s="23" t="n">
        <x:v>0.7983862326550297</x:v>
      </x:c>
      <x:c r="J1308" s="23" t="n">
        <x:v>7</x:v>
      </x:c>
      <x:c r="K1308" s="23" t="n">
        <x:v>191.44003743015003</x:v>
      </x:c>
      <x:c r="L1308" s="23" t="n">
        <x:v>13410</x:v>
      </x:c>
      <x:c r="M1308" s="23" t="n">
        <x:v>1200</x:v>
      </x:c>
      <x:c r="N1308" s="23" t="n">
        <x:v>249.95474120751268</x:v>
      </x:c>
      <x:c r="O1308" s="23" t="n">
        <x:v>2504.0817472979566</x:v>
      </x:c>
      <x:c r="P1308" s="23" t="n">
        <x:v>1069.9016318423674</x:v>
      </x:c>
      <x:c r="Q1308" s="23" t="n">
        <x:v>251.24225632998943</x:v>
      </x:c>
      <x:c r="R1308" s="23" t="n">
        <x:v>2538.580134167257</x:v>
      </x:c>
      <x:c r="S1308" s="23" t="n">
        <x:v>1066.9988861507704</x:v>
      </x:c>
      <x:c r="T1308" s="23" t="n">
        <x:v>1.2875151224767478</x:v>
      </x:c>
      <x:c r="U1308" s="23" t="n">
        <x:v>34.49838686930025</x:v>
      </x:c>
      <x:c r="V1308" s="23" t="n">
        <x:v>-2.9027456915969196</x:v>
      </x:c>
    </x:row>
    <x:row r="1309">
      <x:c r="A1309" s="23" t="n">
        <x:v>1308</x:v>
      </x:c>
      <x:c r="B1309" s="23" t="str">
        <x:v>Train</x:v>
      </x:c>
      <x:c r="C1309" s="23" t="str">
        <x:v>Switching</x:v>
      </x:c>
      <x:c r="D1309" s="23" t="n">
        <x:v>1096.7059500864707</x:v>
      </x:c>
      <x:c r="E1309" s="23" t="n">
        <x:v>1063.5708070825785</x:v>
      </x:c>
      <x:c r="F1309" s="23" t="n">
        <x:v>719.9097300879657</x:v>
      </x:c>
      <x:c r="G1309" s="23" t="n">
        <x:v>134.93866268079728</x:v>
      </x:c>
      <x:c r="H1309" s="23" t="n">
        <x:v>15.613385762553662</x:v>
      </x:c>
      <x:c r="I1309" s="23" t="n">
        <x:v>0.8413224410265685</x:v>
      </x:c>
      <x:c r="J1309" s="23" t="n">
        <x:v>7</x:v>
      </x:c>
      <x:c r="K1309" s="23" t="n">
        <x:v>186.22144250973795</x:v>
      </x:c>
      <x:c r="L1309" s="23" t="n">
        <x:v>11150</x:v>
      </x:c>
      <x:c r="M1309" s="23" t="n">
        <x:v>1195</x:v>
      </x:c>
      <x:c r="N1309" s="23" t="n">
        <x:v>250.05389056602914</x:v>
      </x:c>
      <x:c r="O1309" s="23" t="n">
        <x:v>2495.5259705884823</x:v>
      </x:c>
      <x:c r="P1309" s="23" t="n">
        <x:v>1096.7059500864707</x:v>
      </x:c>
      <x:c r="Q1309" s="23" t="n">
        <x:v>254.81481595545944</x:v>
      </x:c>
      <x:c r="R1309" s="23" t="n">
        <x:v>2545.1744431161824</x:v>
      </x:c>
      <x:c r="S1309" s="23" t="n">
        <x:v>1100.4145139345665</x:v>
      </x:c>
      <x:c r="T1309" s="23" t="n">
        <x:v>4.760925389430298</x:v>
      </x:c>
      <x:c r="U1309" s="23" t="n">
        <x:v>49.64847252770005</x:v>
      </x:c>
      <x:c r="V1309" s="23" t="n">
        <x:v>3.708563848095764</x:v>
      </x:c>
    </x:row>
    <x:row r="1310">
      <x:c r="A1310" s="23" t="n">
        <x:v>1309</x:v>
      </x:c>
      <x:c r="B1310" s="23" t="str">
        <x:v>Train</x:v>
      </x:c>
      <x:c r="C1310" s="23" t="str">
        <x:v>Switching</x:v>
      </x:c>
      <x:c r="D1310" s="23" t="n">
        <x:v>967.2207682859153</x:v>
      </x:c>
      <x:c r="E1310" s="23" t="n">
        <x:v>750.5456724087708</x:v>
      </x:c>
      <x:c r="F1310" s="23" t="n">
        <x:v>650.806394778192</x:v>
      </x:c>
      <x:c r="G1310" s="23" t="n">
        <x:v>241.68459953041747</x:v>
      </x:c>
      <x:c r="H1310" s="23" t="n">
        <x:v>18.300431799143553</x:v>
      </x:c>
      <x:c r="I1310" s="23" t="n">
        <x:v>0.8072898880788125</x:v>
      </x:c>
      <x:c r="J1310" s="23" t="n">
        <x:v>6</x:v>
      </x:c>
      <x:c r="K1310" s="23" t="n">
        <x:v>199.68472758232818</x:v>
      </x:c>
      <x:c r="L1310" s="23" t="n">
        <x:v>15185</x:v>
      </x:c>
      <x:c r="M1310" s="23" t="n">
        <x:v>1200</x:v>
      </x:c>
      <x:c r="N1310" s="23" t="n">
        <x:v>249.99452737338336</x:v>
      </x:c>
      <x:c r="O1310" s="23" t="n">
        <x:v>2502.9980957522525</x:v>
      </x:c>
      <x:c r="P1310" s="23" t="n">
        <x:v>967.2207682859153</x:v>
      </x:c>
      <x:c r="Q1310" s="23" t="n">
        <x:v>248.863162838503</x:v>
      </x:c>
      <x:c r="R1310" s="23" t="n">
        <x:v>2490.6895936695646</x:v>
      </x:c>
      <x:c r="S1310" s="23" t="n">
        <x:v>964.4375486404484</x:v>
      </x:c>
      <x:c r="T1310" s="23" t="n">
        <x:v>-1.1313645348803618</x:v>
      </x:c>
      <x:c r="U1310" s="23" t="n">
        <x:v>-12.308502082687937</x:v>
      </x:c>
      <x:c r="V1310" s="23" t="n">
        <x:v>-2.783219645466829</x:v>
      </x:c>
    </x:row>
    <x:row r="1311">
      <x:c r="A1311" s="23" t="n">
        <x:v>1310</x:v>
      </x:c>
      <x:c r="B1311" s="23" t="str">
        <x:v>Train</x:v>
      </x:c>
      <x:c r="C1311" s="23" t="str">
        <x:v>Switching</x:v>
      </x:c>
      <x:c r="D1311" s="23" t="n">
        <x:v>1021.9004541751929</x:v>
      </x:c>
      <x:c r="E1311" s="23" t="n">
        <x:v>985.2166882483289</x:v>
      </x:c>
      <x:c r="F1311" s="23" t="n">
        <x:v>387.81583504751325</x:v>
      </x:c>
      <x:c r="G1311" s="23" t="n">
        <x:v>265.78728195279837</x:v>
      </x:c>
      <x:c r="H1311" s="23" t="n">
        <x:v>19.836833792272955</x:v>
      </x:c>
      <x:c r="I1311" s="23" t="n">
        <x:v>0.8439686590014026</x:v>
      </x:c>
      <x:c r="J1311" s="23" t="n">
        <x:v>7</x:v>
      </x:c>
      <x:c r="K1311" s="23" t="n">
        <x:v>172.9753559102745</x:v>
      </x:c>
      <x:c r="L1311" s="23" t="n">
        <x:v>13050</x:v>
      </x:c>
      <x:c r="M1311" s="23" t="n">
        <x:v>1200</x:v>
      </x:c>
      <x:c r="N1311" s="23" t="n">
        <x:v>250.00978928416058</x:v>
      </x:c>
      <x:c r="O1311" s="23" t="n">
        <x:v>2504.3398978503137</x:v>
      </x:c>
      <x:c r="P1311" s="23" t="n">
        <x:v>1021.9004541751929</x:v>
      </x:c>
      <x:c r="Q1311" s="23" t="n">
        <x:v>247.71595107573125</x:v>
      </x:c>
      <x:c r="R1311" s="23" t="n">
        <x:v>2540.5233065203533</x:v>
      </x:c>
      <x:c r="S1311" s="23" t="n">
        <x:v>1023.5061518744367</x:v>
      </x:c>
      <x:c r="T1311" s="23" t="n">
        <x:v>-2.293838208429321</x:v>
      </x:c>
      <x:c r="U1311" s="23" t="n">
        <x:v>36.183408670039626</x:v>
      </x:c>
      <x:c r="V1311" s="23" t="n">
        <x:v>1.6056976992438194</x:v>
      </x:c>
    </x:row>
    <x:row r="1312">
      <x:c r="A1312" s="23" t="n">
        <x:v>1311</x:v>
      </x:c>
      <x:c r="B1312" s="23" t="str">
        <x:v>Train</x:v>
      </x:c>
      <x:c r="C1312" s="23" t="str">
        <x:v>Switching</x:v>
      </x:c>
      <x:c r="D1312" s="23" t="n">
        <x:v>1016.1950987065211</x:v>
      </x:c>
      <x:c r="E1312" s="23" t="n">
        <x:v>739.0335611184128</x:v>
      </x:c>
      <x:c r="F1312" s="23" t="n">
        <x:v>529.5475743710995</x:v>
      </x:c>
      <x:c r="G1312" s="23" t="n">
        <x:v>280.41077717905864</x:v>
      </x:c>
      <x:c r="H1312" s="23" t="n">
        <x:v>13.095284990034997</x:v>
      </x:c>
      <x:c r="I1312" s="23" t="n">
        <x:v>0.8359503335668705</x:v>
      </x:c>
      <x:c r="J1312" s="23" t="n">
        <x:v>7</x:v>
      </x:c>
      <x:c r="K1312" s="23" t="n">
        <x:v>173.65951367855178</x:v>
      </x:c>
      <x:c r="L1312" s="23" t="n">
        <x:v>13805</x:v>
      </x:c>
      <x:c r="M1312" s="23" t="n">
        <x:v>1200</x:v>
      </x:c>
      <x:c r="N1312" s="23" t="n">
        <x:v>249.97729479574474</x:v>
      </x:c>
      <x:c r="O1312" s="23" t="n">
        <x:v>2503.8169917220266</x:v>
      </x:c>
      <x:c r="P1312" s="23" t="n">
        <x:v>1016.1950987065211</x:v>
      </x:c>
      <x:c r="Q1312" s="23" t="n">
        <x:v>253.54357559529046</x:v>
      </x:c>
      <x:c r="R1312" s="23" t="n">
        <x:v>2495.4370927056966</x:v>
      </x:c>
      <x:c r="S1312" s="23" t="n">
        <x:v>1016.8936499448934</x:v>
      </x:c>
      <x:c r="T1312" s="23" t="n">
        <x:v>3.566280799545723</x:v>
      </x:c>
      <x:c r="U1312" s="23" t="n">
        <x:v>-8.37989901633</x:v>
      </x:c>
      <x:c r="V1312" s="23" t="n">
        <x:v>0.6985512383722607</x:v>
      </x:c>
    </x:row>
    <x:row r="1313">
      <x:c r="A1313" s="23" t="n">
        <x:v>1312</x:v>
      </x:c>
      <x:c r="B1313" s="23" t="str">
        <x:v>Train</x:v>
      </x:c>
      <x:c r="C1313" s="23" t="str">
        <x:v>Switching</x:v>
      </x:c>
      <x:c r="D1313" s="23" t="n">
        <x:v>1015.4065308975987</x:v>
      </x:c>
      <x:c r="E1313" s="23" t="n">
        <x:v>995.427592843771</x:v>
      </x:c>
      <x:c r="F1313" s="23" t="n">
        <x:v>453.029206302017</x:v>
      </x:c>
      <x:c r="G1313" s="23" t="n">
        <x:v>320.0294087128714</x:v>
      </x:c>
      <x:c r="H1313" s="23" t="n">
        <x:v>8.928821118082851</x:v>
      </x:c>
      <x:c r="I1313" s="23" t="n">
        <x:v>0.7937070481013507</x:v>
      </x:c>
      <x:c r="J1313" s="23" t="n">
        <x:v>7</x:v>
      </x:c>
      <x:c r="K1313" s="23" t="n">
        <x:v>182.76022140601077</x:v>
      </x:c>
      <x:c r="L1313" s="23" t="n">
        <x:v>12095</x:v>
      </x:c>
      <x:c r="M1313" s="23" t="n">
        <x:v>1200</x:v>
      </x:c>
      <x:c r="N1313" s="23" t="n">
        <x:v>250.04745774544148</x:v>
      </x:c>
      <x:c r="O1313" s="23" t="n">
        <x:v>2505.0947119131865</x:v>
      </x:c>
      <x:c r="P1313" s="23" t="n">
        <x:v>1015.4065308975987</x:v>
      </x:c>
      <x:c r="Q1313" s="23" t="n">
        <x:v>254.64819773930031</x:v>
      </x:c>
      <x:c r="R1313" s="23" t="n">
        <x:v>2515.1622733267964</x:v>
      </x:c>
      <x:c r="S1313" s="23" t="n">
        <x:v>1012.5927807589575</x:v>
      </x:c>
      <x:c r="T1313" s="23" t="n">
        <x:v>4.600739993858838</x:v>
      </x:c>
      <x:c r="U1313" s="23" t="n">
        <x:v>10.067561413609837</x:v>
      </x:c>
      <x:c r="V1313" s="23" t="n">
        <x:v>-2.8137501386412396</x:v>
      </x:c>
    </x:row>
    <x:row r="1314">
      <x:c r="A1314" s="23" t="n">
        <x:v>1313</x:v>
      </x:c>
      <x:c r="B1314" s="23" t="str">
        <x:v>Train</x:v>
      </x:c>
      <x:c r="C1314" s="23" t="str">
        <x:v>Switching</x:v>
      </x:c>
      <x:c r="D1314" s="23" t="n">
        <x:v>1040.7858139835298</x:v>
      </x:c>
      <x:c r="E1314" s="23" t="n">
        <x:v>783.8682338013314</x:v>
      </x:c>
      <x:c r="F1314" s="23" t="n">
        <x:v>519.4229805842042</x:v>
      </x:c>
      <x:c r="G1314" s="23" t="n">
        <x:v>130.7400697679259</x:v>
      </x:c>
      <x:c r="H1314" s="23" t="n">
        <x:v>23.28097560442984</x:v>
      </x:c>
      <x:c r="I1314" s="23" t="n">
        <x:v>0.8126273694937117</x:v>
      </x:c>
      <x:c r="J1314" s="23" t="n">
        <x:v>7</x:v>
      </x:c>
      <x:c r="K1314" s="23" t="n">
        <x:v>182.96662565594696</x:v>
      </x:c>
      <x:c r="L1314" s="23" t="n">
        <x:v>14915</x:v>
      </x:c>
      <x:c r="M1314" s="23" t="n">
        <x:v>1200</x:v>
      </x:c>
      <x:c r="N1314" s="23" t="n">
        <x:v>250.0329259760968</x:v>
      </x:c>
      <x:c r="O1314" s="23" t="n">
        <x:v>2503.1477829113137</x:v>
      </x:c>
      <x:c r="P1314" s="23" t="n">
        <x:v>1040.7858139835298</x:v>
      </x:c>
      <x:c r="Q1314" s="23" t="n">
        <x:v>250.1727274925838</x:v>
      </x:c>
      <x:c r="R1314" s="23" t="n">
        <x:v>2456.000819955385</x:v>
      </x:c>
      <x:c r="S1314" s="23" t="n">
        <x:v>1043.6099010357427</x:v>
      </x:c>
      <x:c r="T1314" s="23" t="n">
        <x:v>0.13980151648698325</x:v>
      </x:c>
      <x:c r="U1314" s="23" t="n">
        <x:v>-47.14696295592876</x:v>
      </x:c>
      <x:c r="V1314" s="23" t="n">
        <x:v>2.824087052212917</x:v>
      </x:c>
    </x:row>
    <x:row r="1315">
      <x:c r="A1315" s="23" t="n">
        <x:v>1314</x:v>
      </x:c>
      <x:c r="B1315" s="23" t="str">
        <x:v>Train</x:v>
      </x:c>
      <x:c r="C1315" s="23" t="str">
        <x:v>Switching</x:v>
      </x:c>
      <x:c r="D1315" s="23" t="n">
        <x:v>1016.7625980102457</x:v>
      </x:c>
      <x:c r="E1315" s="23" t="n">
        <x:v>1028.407200728543</x:v>
      </x:c>
      <x:c r="F1315" s="23" t="n">
        <x:v>626.4534526504576</x:v>
      </x:c>
      <x:c r="G1315" s="23" t="n">
        <x:v>191.06262006796896</x:v>
      </x:c>
      <x:c r="H1315" s="23" t="n">
        <x:v>13.868335374165326</x:v>
      </x:c>
      <x:c r="I1315" s="23" t="n">
        <x:v>0.8476932934531942</x:v>
      </x:c>
      <x:c r="J1315" s="23" t="n">
        <x:v>6</x:v>
      </x:c>
      <x:c r="K1315" s="23" t="n">
        <x:v>199.90771934904362</x:v>
      </x:c>
      <x:c r="L1315" s="23" t="n">
        <x:v>13515</x:v>
      </x:c>
      <x:c r="M1315" s="23" t="n">
        <x:v>1200</x:v>
      </x:c>
      <x:c r="N1315" s="23" t="n">
        <x:v>249.97584047949545</x:v>
      </x:c>
      <x:c r="O1315" s="23" t="n">
        <x:v>2504.0104187651905</x:v>
      </x:c>
      <x:c r="P1315" s="23" t="n">
        <x:v>1016.7625980102457</x:v>
      </x:c>
      <x:c r="Q1315" s="23" t="n">
        <x:v>255.00646515890938</x:v>
      </x:c>
      <x:c r="R1315" s="23" t="n">
        <x:v>2473.525636878498</x:v>
      </x:c>
      <x:c r="S1315" s="23" t="n">
        <x:v>1017.9613587223913</x:v>
      </x:c>
      <x:c r="T1315" s="23" t="n">
        <x:v>5.030624679413933</x:v>
      </x:c>
      <x:c r="U1315" s="23" t="n">
        <x:v>-30.484781886692417</x:v>
      </x:c>
      <x:c r="V1315" s="23" t="n">
        <x:v>1.1987607121455994</x:v>
      </x:c>
    </x:row>
    <x:row r="1316">
      <x:c r="A1316" s="23" t="n">
        <x:v>1315</x:v>
      </x:c>
      <x:c r="B1316" s="23" t="str">
        <x:v>Validation</x:v>
      </x:c>
      <x:c r="C1316" s="23" t="str">
        <x:v>Switching</x:v>
      </x:c>
      <x:c r="D1316" s="23" t="n">
        <x:v>1027.7215987211093</x:v>
      </x:c>
      <x:c r="E1316" s="23" t="n">
        <x:v>1161.2596185528673</x:v>
      </x:c>
      <x:c r="F1316" s="23" t="n">
        <x:v>423.85593466460705</x:v>
      </x:c>
      <x:c r="G1316" s="23" t="n">
        <x:v>295.04674636526033</x:v>
      </x:c>
      <x:c r="H1316" s="23" t="n">
        <x:v>29.51693527866155</x:v>
      </x:c>
      <x:c r="I1316" s="23" t="n">
        <x:v>0.8214624848286621</x:v>
      </x:c>
      <x:c r="J1316" s="23" t="n">
        <x:v>7</x:v>
      </x:c>
      <x:c r="K1316" s="23" t="n">
        <x:v>178.72681218850235</x:v>
      </x:c>
      <x:c r="L1316" s="23" t="n">
        <x:v>11375</x:v>
      </x:c>
      <x:c r="M1316" s="23" t="n">
        <x:v>1195</x:v>
      </x:c>
      <x:c r="N1316" s="23" t="n">
        <x:v>250.01300541782297</x:v>
      </x:c>
      <x:c r="O1316" s="23" t="n">
        <x:v>2495.3041974417542</x:v>
      </x:c>
      <x:c r="P1316" s="23" t="n">
        <x:v>1027.7215987211093</x:v>
      </x:c>
      <x:c r="Q1316" s="23" t="n">
        <x:v>249.48254865001155</x:v>
      </x:c>
      <x:c r="R1316" s="23" t="n">
        <x:v>2480.2440911761005</x:v>
      </x:c>
      <x:c r="S1316" s="23" t="n">
        <x:v>1015.056591521948</x:v>
      </x:c>
      <x:c r="T1316" s="23" t="n">
        <x:v>-0.5304567678114154</x:v>
      </x:c>
      <x:c r="U1316" s="23" t="n">
        <x:v>-15.060106265653758</x:v>
      </x:c>
      <x:c r="V1316" s="23" t="n">
        <x:v>-12.665007199161323</x:v>
      </x:c>
    </x:row>
    <x:row r="1317">
      <x:c r="A1317" s="23" t="n">
        <x:v>1316</x:v>
      </x:c>
      <x:c r="B1317" s="23" t="str">
        <x:v>Validation</x:v>
      </x:c>
      <x:c r="C1317" s="23" t="str">
        <x:v>Switching</x:v>
      </x:c>
      <x:c r="D1317" s="23" t="n">
        <x:v>1042.5970862968825</x:v>
      </x:c>
      <x:c r="E1317" s="23" t="n">
        <x:v>1035.4068950284272</x:v>
      </x:c>
      <x:c r="F1317" s="23" t="n">
        <x:v>574.8562308959663</x:v>
      </x:c>
      <x:c r="G1317" s="23" t="n">
        <x:v>150.09956089314073</x:v>
      </x:c>
      <x:c r="H1317" s="23" t="n">
        <x:v>10.693913049530238</x:v>
      </x:c>
      <x:c r="I1317" s="23" t="n">
        <x:v>0.8116753877513111</x:v>
      </x:c>
      <x:c r="J1317" s="23" t="n">
        <x:v>7</x:v>
      </x:c>
      <x:c r="K1317" s="23" t="n">
        <x:v>183.50000892867908</x:v>
      </x:c>
      <x:c r="L1317" s="23" t="n">
        <x:v>12150</x:v>
      </x:c>
      <x:c r="M1317" s="23" t="n">
        <x:v>1200</x:v>
      </x:c>
      <x:c r="N1317" s="23" t="n">
        <x:v>250.03073615348646</x:v>
      </x:c>
      <x:c r="O1317" s="23" t="n">
        <x:v>2505.047423272502</x:v>
      </x:c>
      <x:c r="P1317" s="23" t="n">
        <x:v>1042.5970862968825</x:v>
      </x:c>
      <x:c r="Q1317" s="23" t="n">
        <x:v>253.7519153645399</x:v>
      </x:c>
      <x:c r="R1317" s="23" t="n">
        <x:v>2540.8522756323805</x:v>
      </x:c>
      <x:c r="S1317" s="23" t="n">
        <x:v>1047.398768923245</x:v>
      </x:c>
      <x:c r="T1317" s="23" t="n">
        <x:v>3.721179211053453</x:v>
      </x:c>
      <x:c r="U1317" s="23" t="n">
        <x:v>35.80485235987862</x:v>
      </x:c>
      <x:c r="V1317" s="23" t="n">
        <x:v>4.801682626362435</x:v>
      </x:c>
    </x:row>
    <x:row r="1318">
      <x:c r="A1318" s="23" t="n">
        <x:v>1317</x:v>
      </x:c>
      <x:c r="B1318" s="23" t="str">
        <x:v>Validation</x:v>
      </x:c>
      <x:c r="C1318" s="23" t="str">
        <x:v>Switching</x:v>
      </x:c>
      <x:c r="D1318" s="23" t="n">
        <x:v>1011.5247047040612</x:v>
      </x:c>
      <x:c r="E1318" s="23" t="n">
        <x:v>1009.533467690926</x:v>
      </x:c>
      <x:c r="F1318" s="23" t="n">
        <x:v>626.1553360149264</x:v>
      </x:c>
      <x:c r="G1318" s="23" t="n">
        <x:v>301.9421465997584</x:v>
      </x:c>
      <x:c r="H1318" s="23" t="n">
        <x:v>13.331564135849476</x:v>
      </x:c>
      <x:c r="I1318" s="23" t="n">
        <x:v>0.8313213826180437</x:v>
      </x:c>
      <x:c r="J1318" s="23" t="n">
        <x:v>7</x:v>
      </x:c>
      <x:c r="K1318" s="23" t="n">
        <x:v>173.82390524872432</x:v>
      </x:c>
      <x:c r="L1318" s="23" t="n">
        <x:v>11035</x:v>
      </x:c>
      <x:c r="M1318" s="23" t="n">
        <x:v>1195</x:v>
      </x:c>
      <x:c r="N1318" s="23" t="n">
        <x:v>249.95310588041656</x:v>
      </x:c>
      <x:c r="O1318" s="23" t="n">
        <x:v>2495.637340049219</x:v>
      </x:c>
      <x:c r="P1318" s="23" t="n">
        <x:v>1011.5247047040612</x:v>
      </x:c>
      <x:c r="Q1318" s="23" t="n">
        <x:v>252.49990369462245</x:v>
      </x:c>
      <x:c r="R1318" s="23" t="n">
        <x:v>2509.043683620645</x:v>
      </x:c>
      <x:c r="S1318" s="23" t="n">
        <x:v>1014.5799080429704</x:v>
      </x:c>
      <x:c r="T1318" s="23" t="n">
        <x:v>2.5467978142058882</x:v>
      </x:c>
      <x:c r="U1318" s="23" t="n">
        <x:v>13.406343571426078</x:v>
      </x:c>
      <x:c r="V1318" s="23" t="n">
        <x:v>3.055203338909223</x:v>
      </x:c>
    </x:row>
    <x:row r="1319">
      <x:c r="A1319" s="23" t="n">
        <x:v>1318</x:v>
      </x:c>
      <x:c r="B1319" s="23" t="str">
        <x:v>Hidden Test</x:v>
      </x:c>
      <x:c r="C1319" s="23" t="str">
        <x:v>Switching</x:v>
      </x:c>
      <x:c r="D1319" s="23" t="n">
        <x:v>1052.7065302361734</x:v>
      </x:c>
      <x:c r="E1319" s="23" t="n">
        <x:v>914.8234374588355</x:v>
      </x:c>
      <x:c r="F1319" s="23" t="n">
        <x:v>556.5725234337151</x:v>
      </x:c>
      <x:c r="G1319" s="23" t="n">
        <x:v>94.99730860814452</x:v>
      </x:c>
      <x:c r="H1319" s="23" t="n">
        <x:v>25.963260917458683</x:v>
      </x:c>
      <x:c r="I1319" s="23" t="n">
        <x:v>0.8347749537369237</x:v>
      </x:c>
      <x:c r="J1319" s="23" t="n">
        <x:v>7</x:v>
      </x:c>
      <x:c r="K1319" s="23" t="n">
        <x:v>180.1523230942432</x:v>
      </x:c>
      <x:c r="L1319" s="23" t="n">
        <x:v>13655</x:v>
      </x:c>
      <x:c r="M1319" s="23" t="n">
        <x:v>1200</x:v>
      </x:c>
      <x:c r="N1319" s="23" t="n">
        <x:v>250.03914712714734</x:v>
      </x:c>
      <x:c r="O1319" s="23" t="n">
        <x:v>2503.9182885004175</x:v>
      </x:c>
      <x:c r="P1319" s="23" t="n">
        <x:v>1052.7065302361734</x:v>
      </x:c>
      <x:c r="Q1319" s="23" t="n">
        <x:v>249.4433575346109</x:v>
      </x:c>
      <x:c r="R1319" s="23" t="n">
        <x:v>2548.2105383866847</x:v>
      </x:c>
      <x:c r="S1319" s="23" t="n">
        <x:v>1044.5545515958233</x:v>
      </x:c>
      <x:c r="T1319" s="23" t="n">
        <x:v>-0.5957895925364483</x:v>
      </x:c>
      <x:c r="U1319" s="23" t="n">
        <x:v>44.2922498862672</x:v>
      </x:c>
      <x:c r="V1319" s="23" t="n">
        <x:v>-8.15197864035008</x:v>
      </x:c>
    </x:row>
    <x:row r="1320">
      <x:c r="A1320" s="23" t="n">
        <x:v>1319</x:v>
      </x:c>
      <x:c r="B1320" s="23" t="str">
        <x:v>Hidden Test</x:v>
      </x:c>
      <x:c r="C1320" s="23" t="str">
        <x:v>Switching</x:v>
      </x:c>
      <x:c r="D1320" s="23" t="n">
        <x:v>1010.9278629766777</x:v>
      </x:c>
      <x:c r="E1320" s="23" t="n">
        <x:v>974.9696184066124</x:v>
      </x:c>
      <x:c r="F1320" s="23" t="n">
        <x:v>477.70612239837646</x:v>
      </x:c>
      <x:c r="G1320" s="23" t="n">
        <x:v>159.88271670183167</x:v>
      </x:c>
      <x:c r="H1320" s="23" t="n">
        <x:v>15.747089642100036</x:v>
      </x:c>
      <x:c r="I1320" s="23" t="n">
        <x:v>0.8459364017075859</x:v>
      </x:c>
      <x:c r="J1320" s="23" t="n">
        <x:v>6</x:v>
      </x:c>
      <x:c r="K1320" s="23" t="n">
        <x:v>199.17333835342</x:v>
      </x:c>
      <x:c r="L1320" s="23" t="n">
        <x:v>15470</x:v>
      </x:c>
      <x:c r="M1320" s="23" t="n">
        <x:v>1200</x:v>
      </x:c>
      <x:c r="N1320" s="23" t="n">
        <x:v>249.9620731111545</x:v>
      </x:c>
      <x:c r="O1320" s="23" t="n">
        <x:v>2502.8460216795756</x:v>
      </x:c>
      <x:c r="P1320" s="23" t="n">
        <x:v>1010.9278629766777</x:v>
      </x:c>
      <x:c r="Q1320" s="23" t="n">
        <x:v>253.39264564528077</x:v>
      </x:c>
      <x:c r="R1320" s="23" t="n">
        <x:v>2545.0841125905436</x:v>
      </x:c>
      <x:c r="S1320" s="23" t="n">
        <x:v>1016.2599902632564</x:v>
      </x:c>
      <x:c r="T1320" s="23" t="n">
        <x:v>3.43057253412627</x:v>
      </x:c>
      <x:c r="U1320" s="23" t="n">
        <x:v>42.23809091096791</x:v>
      </x:c>
      <x:c r="V1320" s="23" t="n">
        <x:v>5.332127286578725</x:v>
      </x:c>
    </x:row>
    <x:row r="1321">
      <x:c r="A1321" s="23" t="n">
        <x:v>1320</x:v>
      </x:c>
      <x:c r="B1321" s="23" t="str">
        <x:v>Hidden Test</x:v>
      </x:c>
      <x:c r="C1321" s="23" t="str">
        <x:v>Switching</x:v>
      </x:c>
      <x:c r="D1321" s="23" t="n">
        <x:v>1092.8815529565327</x:v>
      </x:c>
      <x:c r="E1321" s="23" t="n">
        <x:v>610.1623968221247</x:v>
      </x:c>
      <x:c r="F1321" s="23" t="n">
        <x:v>422.0089412294328</x:v>
      </x:c>
      <x:c r="G1321" s="23" t="n">
        <x:v>315.8294442528859</x:v>
      </x:c>
      <x:c r="H1321" s="23" t="n">
        <x:v>13.694658470805734</x:v>
      </x:c>
      <x:c r="I1321" s="23" t="n">
        <x:v>0.8173146787378938</x:v>
      </x:c>
      <x:c r="J1321" s="23" t="n">
        <x:v>7</x:v>
      </x:c>
      <x:c r="K1321" s="23" t="n">
        <x:v>191.02304191788028</x:v>
      </x:c>
      <x:c r="L1321" s="23" t="n">
        <x:v>15865</x:v>
      </x:c>
      <x:c r="M1321" s="23" t="n">
        <x:v>1200</x:v>
      </x:c>
      <x:c r="N1321" s="23" t="n">
        <x:v>250.0029763058891</x:v>
      </x:c>
      <x:c r="O1321" s="23" t="n">
        <x:v>2502.6469821539504</x:v>
      </x:c>
      <x:c r="P1321" s="23" t="n">
        <x:v>1092.8815529565327</x:v>
      </x:c>
      <x:c r="Q1321" s="23" t="n">
        <x:v>247.01146507190177</x:v>
      </x:c>
      <x:c r="R1321" s="23" t="n">
        <x:v>2477.2442756511796</x:v>
      </x:c>
      <x:c r="S1321" s="23" t="n">
        <x:v>1110.2097312556764</x:v>
      </x:c>
      <x:c r="T1321" s="23" t="n">
        <x:v>-2.9915112339873247</x:v>
      </x:c>
      <x:c r="U1321" s="23" t="n">
        <x:v>-25.402706502770798</x:v>
      </x:c>
      <x:c r="V1321" s="23" t="n">
        <x:v>17.3281782991437</x:v>
      </x:c>
    </x:row>
    <x:row r="1322">
      <x:c r="A1322" s="23" t="n">
        <x:v>1321</x:v>
      </x:c>
      <x:c r="B1322" s="23" t="str">
        <x:v>Train</x:v>
      </x:c>
      <x:c r="C1322" s="23" t="str">
        <x:v>Switching</x:v>
      </x:c>
      <x:c r="D1322" s="23" t="n">
        <x:v>1043.6534700915217</x:v>
      </x:c>
      <x:c r="E1322" s="23" t="n">
        <x:v>720.0952399871312</x:v>
      </x:c>
      <x:c r="F1322" s="23" t="n">
        <x:v>370.1746227219701</x:v>
      </x:c>
      <x:c r="G1322" s="23" t="n">
        <x:v>116.4459227421321</x:v>
      </x:c>
      <x:c r="H1322" s="23" t="n">
        <x:v>26.354101976379752</x:v>
      </x:c>
      <x:c r="I1322" s="23" t="n">
        <x:v>0.8434091374394485</x:v>
      </x:c>
      <x:c r="J1322" s="23" t="n">
        <x:v>7</x:v>
      </x:c>
      <x:c r="K1322" s="23" t="n">
        <x:v>176.7746473827139</x:v>
      </x:c>
      <x:c r="L1322" s="23" t="n">
        <x:v>17720</x:v>
      </x:c>
      <x:c r="M1322" s="23" t="n">
        <x:v>1200</x:v>
      </x:c>
      <x:c r="N1322" s="23" t="n">
        <x:v>249.96775698505067</x:v>
      </x:c>
      <x:c r="O1322" s="23" t="n">
        <x:v>2501.8245339302684</x:v>
      </x:c>
      <x:c r="P1322" s="23" t="n">
        <x:v>1043.6534700915217</x:v>
      </x:c>
      <x:c r="Q1322" s="23" t="n">
        <x:v>245.41025350828005</x:v>
      </x:c>
      <x:c r="R1322" s="23" t="n">
        <x:v>2509.962765095941</x:v>
      </x:c>
      <x:c r="S1322" s="23" t="n">
        <x:v>1044.7981300602657</x:v>
      </x:c>
      <x:c r="T1322" s="23" t="n">
        <x:v>-4.55750347677062</x:v>
      </x:c>
      <x:c r="U1322" s="23" t="n">
        <x:v>8.13823116567255</x:v>
      </x:c>
      <x:c r="V1322" s="23" t="n">
        <x:v>1.1446599687440084</x:v>
      </x:c>
    </x:row>
    <x:row r="1323">
      <x:c r="A1323" s="23" t="n">
        <x:v>1322</x:v>
      </x:c>
      <x:c r="B1323" s="23" t="str">
        <x:v>Train</x:v>
      </x:c>
      <x:c r="C1323" s="23" t="str">
        <x:v>Switching</x:v>
      </x:c>
      <x:c r="D1323" s="23" t="n">
        <x:v>1013.3515950874425</x:v>
      </x:c>
      <x:c r="E1323" s="23" t="n">
        <x:v>813.3001920068637</x:v>
      </x:c>
      <x:c r="F1323" s="23" t="n">
        <x:v>353.41194281354547</x:v>
      </x:c>
      <x:c r="G1323" s="23" t="n">
        <x:v>179.08681618981063</x:v>
      </x:c>
      <x:c r="H1323" s="23" t="n">
        <x:v>11.672709722537547</x:v>
      </x:c>
      <x:c r="I1323" s="23" t="n">
        <x:v>0.8101867343159392</x:v>
      </x:c>
      <x:c r="J1323" s="23" t="n">
        <x:v>7</x:v>
      </x:c>
      <x:c r="K1323" s="23" t="n">
        <x:v>178.68042940267176</x:v>
      </x:c>
      <x:c r="L1323" s="23" t="n">
        <x:v>15890</x:v>
      </x:c>
      <x:c r="M1323" s="23" t="n">
        <x:v>1200</x:v>
      </x:c>
      <x:c r="N1323" s="23" t="n">
        <x:v>249.9878919923841</x:v>
      </x:c>
      <x:c r="O1323" s="23" t="n">
        <x:v>2502.6341648536204</x:v>
      </x:c>
      <x:c r="P1323" s="23" t="n">
        <x:v>1013.3515950874425</x:v>
      </x:c>
      <x:c r="Q1323" s="23" t="n">
        <x:v>247.958258822914</x:v>
      </x:c>
      <x:c r="R1323" s="23" t="n">
        <x:v>2476.3147226027</x:v>
      </x:c>
      <x:c r="S1323" s="23" t="n">
        <x:v>1030.2607889627734</x:v>
      </x:c>
      <x:c r="T1323" s="23" t="n">
        <x:v>-2.0296331694701166</x:v>
      </x:c>
      <x:c r="U1323" s="23" t="n">
        <x:v>-26.319442250920474</x:v>
      </x:c>
      <x:c r="V1323" s="23" t="n">
        <x:v>16.909193875330857</x:v>
      </x:c>
    </x:row>
    <x:row r="1324">
      <x:c r="A1324" s="23" t="n">
        <x:v>1323</x:v>
      </x:c>
      <x:c r="B1324" s="23" t="str">
        <x:v>Train</x:v>
      </x:c>
      <x:c r="C1324" s="23" t="str">
        <x:v>Switching</x:v>
      </x:c>
      <x:c r="D1324" s="23" t="n">
        <x:v>950.7745309500024</x:v>
      </x:c>
      <x:c r="E1324" s="23" t="n">
        <x:v>650.005577376578</x:v>
      </x:c>
      <x:c r="F1324" s="23" t="n">
        <x:v>711.3088805228472</x:v>
      </x:c>
      <x:c r="G1324" s="23" t="n">
        <x:v>179.2371758329682</x:v>
      </x:c>
      <x:c r="H1324" s="23" t="n">
        <x:v>14.082592085935175</x:v>
      </x:c>
      <x:c r="I1324" s="23" t="n">
        <x:v>0.8274987984332256</x:v>
      </x:c>
      <x:c r="J1324" s="23" t="n">
        <x:v>6</x:v>
      </x:c>
      <x:c r="K1324" s="23" t="n">
        <x:v>191.49565186684364</x:v>
      </x:c>
      <x:c r="L1324" s="23" t="n">
        <x:v>16195</x:v>
      </x:c>
      <x:c r="M1324" s="23" t="n">
        <x:v>1200</x:v>
      </x:c>
      <x:c r="N1324" s="23" t="n">
        <x:v>249.991624292819</x:v>
      </x:c>
      <x:c r="O1324" s="23" t="n">
        <x:v>2502.4867364316706</x:v>
      </x:c>
      <x:c r="P1324" s="23" t="n">
        <x:v>950.7745309500024</x:v>
      </x:c>
      <x:c r="Q1324" s="23" t="n">
        <x:v>250.6530982044096</x:v>
      </x:c>
      <x:c r="R1324" s="23" t="n">
        <x:v>2474.4811455376744</x:v>
      </x:c>
      <x:c r="S1324" s="23" t="n">
        <x:v>953.9719578745677</x:v>
      </x:c>
      <x:c r="T1324" s="23" t="n">
        <x:v>0.6614739115905763</x:v>
      </x:c>
      <x:c r="U1324" s="23" t="n">
        <x:v>-28.005590893996214</x:v>
      </x:c>
      <x:c r="V1324" s="23" t="n">
        <x:v>3.1974269245653204</x:v>
      </x:c>
    </x:row>
    <x:row r="1325">
      <x:c r="A1325" s="23" t="n">
        <x:v>1324</x:v>
      </x:c>
      <x:c r="B1325" s="23" t="str">
        <x:v>Train</x:v>
      </x:c>
      <x:c r="C1325" s="23" t="str">
        <x:v>Switching</x:v>
      </x:c>
      <x:c r="D1325" s="23" t="n">
        <x:v>959.1313464916311</x:v>
      </x:c>
      <x:c r="E1325" s="23" t="n">
        <x:v>773.0264389421791</x:v>
      </x:c>
      <x:c r="F1325" s="23" t="n">
        <x:v>618.753484915942</x:v>
      </x:c>
      <x:c r="G1325" s="23" t="n">
        <x:v>198.0668108863756</x:v>
      </x:c>
      <x:c r="H1325" s="23" t="n">
        <x:v>27.131872105877846</x:v>
      </x:c>
      <x:c r="I1325" s="23" t="n">
        <x:v>0.7919426009431482</x:v>
      </x:c>
      <x:c r="J1325" s="23" t="n">
        <x:v>7</x:v>
      </x:c>
      <x:c r="K1325" s="23" t="n">
        <x:v>173.01602871387269</x:v>
      </x:c>
      <x:c r="L1325" s="23" t="n">
        <x:v>13450</x:v>
      </x:c>
      <x:c r="M1325" s="23" t="n">
        <x:v>1200</x:v>
      </x:c>
      <x:c r="N1325" s="23" t="n">
        <x:v>249.97299859617576</x:v>
      </x:c>
      <x:c r="O1325" s="23" t="n">
        <x:v>2504.0548158122947</x:v>
      </x:c>
      <x:c r="P1325" s="23" t="n">
        <x:v>959.1313464916311</x:v>
      </x:c>
      <x:c r="Q1325" s="23" t="n">
        <x:v>246.67582203179052</x:v>
      </x:c>
      <x:c r="R1325" s="23" t="n">
        <x:v>2478.62207850249</x:v>
      </x:c>
      <x:c r="S1325" s="23" t="n">
        <x:v>952.1922714690847</x:v>
      </x:c>
      <x:c r="T1325" s="23" t="n">
        <x:v>-3.2971765643852393</x:v>
      </x:c>
      <x:c r="U1325" s="23" t="n">
        <x:v>-25.432737309804907</x:v>
      </x:c>
      <x:c r="V1325" s="23" t="n">
        <x:v>-6.939075022546376</x:v>
      </x:c>
    </x:row>
    <x:row r="1326">
      <x:c r="A1326" s="23" t="n">
        <x:v>1325</x:v>
      </x:c>
      <x:c r="B1326" s="23" t="str">
        <x:v>Train</x:v>
      </x:c>
      <x:c r="C1326" s="23" t="str">
        <x:v>Switching</x:v>
      </x:c>
      <x:c r="D1326" s="23" t="n">
        <x:v>976.6717625316232</x:v>
      </x:c>
      <x:c r="E1326" s="23" t="n">
        <x:v>820.7319664652459</x:v>
      </x:c>
      <x:c r="F1326" s="23" t="n">
        <x:v>491.4921512827277</x:v>
      </x:c>
      <x:c r="G1326" s="23" t="n">
        <x:v>153.46316968323663</x:v>
      </x:c>
      <x:c r="H1326" s="23" t="n">
        <x:v>16.054990474134684</x:v>
      </x:c>
      <x:c r="I1326" s="23" t="n">
        <x:v>0.8352214459353127</x:v>
      </x:c>
      <x:c r="J1326" s="23" t="n">
        <x:v>6</x:v>
      </x:c>
      <x:c r="K1326" s="23" t="n">
        <x:v>194.89277709616061</x:v>
      </x:c>
      <x:c r="L1326" s="23" t="n">
        <x:v>17025</x:v>
      </x:c>
      <x:c r="M1326" s="23" t="n">
        <x:v>1200</x:v>
      </x:c>
      <x:c r="N1326" s="23" t="n">
        <x:v>250.0326553002257</x:v>
      </x:c>
      <x:c r="O1326" s="23" t="n">
        <x:v>2502.1131932893663</x:v>
      </x:c>
      <x:c r="P1326" s="23" t="n">
        <x:v>976.6717625316232</x:v>
      </x:c>
      <x:c r="Q1326" s="23" t="n">
        <x:v>251.599164308884</x:v>
      </x:c>
      <x:c r="R1326" s="23" t="n">
        <x:v>2515.5711714488543</x:v>
      </x:c>
      <x:c r="S1326" s="23" t="n">
        <x:v>978.8566363913142</x:v>
      </x:c>
      <x:c r="T1326" s="23" t="n">
        <x:v>1.5665090086583007</x:v>
      </x:c>
      <x:c r="U1326" s="23" t="n">
        <x:v>13.457978159487993</x:v>
      </x:c>
      <x:c r="V1326" s="23" t="n">
        <x:v>2.1848738596909243</x:v>
      </x:c>
    </x:row>
    <x:row r="1327">
      <x:c r="A1327" s="23" t="n">
        <x:v>1326</x:v>
      </x:c>
      <x:c r="B1327" s="23" t="str">
        <x:v>Train</x:v>
      </x:c>
      <x:c r="C1327" s="23" t="str">
        <x:v>Switching</x:v>
      </x:c>
      <x:c r="D1327" s="23" t="n">
        <x:v>950.5733242374845</x:v>
      </x:c>
      <x:c r="E1327" s="23" t="n">
        <x:v>807.7252440853044</x:v>
      </x:c>
      <x:c r="F1327" s="23" t="n">
        <x:v>605.6032453663647</x:v>
      </x:c>
      <x:c r="G1327" s="23" t="n">
        <x:v>134.01289835572243</x:v>
      </x:c>
      <x:c r="H1327" s="23" t="n">
        <x:v>19.321424583438784</x:v>
      </x:c>
      <x:c r="I1327" s="23" t="n">
        <x:v>0.8455171395046637</x:v>
      </x:c>
      <x:c r="J1327" s="23" t="n">
        <x:v>6</x:v>
      </x:c>
      <x:c r="K1327" s="23" t="n">
        <x:v>187.37513406969822</x:v>
      </x:c>
      <x:c r="L1327" s="23" t="n">
        <x:v>16125</x:v>
      </x:c>
      <x:c r="M1327" s="23" t="n">
        <x:v>1200</x:v>
      </x:c>
      <x:c r="N1327" s="23" t="n">
        <x:v>250.00823326461244</x:v>
      </x:c>
      <x:c r="O1327" s="23" t="n">
        <x:v>2502.520614588603</x:v>
      </x:c>
      <x:c r="P1327" s="23" t="n">
        <x:v>950.5733242374845</x:v>
      </x:c>
      <x:c r="Q1327" s="23" t="n">
        <x:v>248.59010107399666</x:v>
      </x:c>
      <x:c r="R1327" s="23" t="n">
        <x:v>2510.195236407673</x:v>
      </x:c>
      <x:c r="S1327" s="23" t="n">
        <x:v>954.830382720853</x:v>
      </x:c>
      <x:c r="T1327" s="23" t="n">
        <x:v>-1.418132190615779</x:v>
      </x:c>
      <x:c r="U1327" s="23" t="n">
        <x:v>7.674621819069671</x:v>
      </x:c>
      <x:c r="V1327" s="23" t="n">
        <x:v>4.257058483368496</x:v>
      </x:c>
    </x:row>
    <x:row r="1328">
      <x:c r="A1328" s="23" t="n">
        <x:v>1327</x:v>
      </x:c>
      <x:c r="B1328" s="23" t="str">
        <x:v>Train</x:v>
      </x:c>
      <x:c r="C1328" s="23" t="str">
        <x:v>Switching</x:v>
      </x:c>
      <x:c r="D1328" s="23" t="n">
        <x:v>972.8180596837774</x:v>
      </x:c>
      <x:c r="E1328" s="23" t="n">
        <x:v>886.8897871230729</x:v>
      </x:c>
      <x:c r="F1328" s="23" t="n">
        <x:v>673.9109016954899</x:v>
      </x:c>
      <x:c r="G1328" s="23" t="n">
        <x:v>260.0449215224944</x:v>
      </x:c>
      <x:c r="H1328" s="23" t="n">
        <x:v>15.217251642607152</x:v>
      </x:c>
      <x:c r="I1328" s="23" t="n">
        <x:v>0.7994942465960049</x:v>
      </x:c>
      <x:c r="J1328" s="23" t="n">
        <x:v>7</x:v>
      </x:c>
      <x:c r="K1328" s="23" t="n">
        <x:v>173.8274029087283</x:v>
      </x:c>
      <x:c r="L1328" s="23" t="n">
        <x:v>11745</x:v>
      </x:c>
      <x:c r="M1328" s="23" t="n">
        <x:v>1195</x:v>
      </x:c>
      <x:c r="N1328" s="23" t="n">
        <x:v>250.00075887353623</x:v>
      </x:c>
      <x:c r="O1328" s="23" t="n">
        <x:v>2494.9603418566385</x:v>
      </x:c>
      <x:c r="P1328" s="23" t="n">
        <x:v>972.8180596837774</x:v>
      </x:c>
      <x:c r="Q1328" s="23" t="n">
        <x:v>250.50128046471076</x:v>
      </x:c>
      <x:c r="R1328" s="23" t="n">
        <x:v>2467.936091439764</x:v>
      </x:c>
      <x:c r="S1328" s="23" t="n">
        <x:v>970.1382710603923</x:v>
      </x:c>
      <x:c r="T1328" s="23" t="n">
        <x:v>0.5005215911745324</x:v>
      </x:c>
      <x:c r="U1328" s="23" t="n">
        <x:v>-27.024250416874565</x:v>
      </x:c>
      <x:c r="V1328" s="23" t="n">
        <x:v>-2.679788623385093</x:v>
      </x:c>
    </x:row>
    <x:row r="1329">
      <x:c r="A1329" s="23" t="n">
        <x:v>1328</x:v>
      </x:c>
      <x:c r="B1329" s="23" t="str">
        <x:v>Train</x:v>
      </x:c>
      <x:c r="C1329" s="23" t="str">
        <x:v>Switching</x:v>
      </x:c>
      <x:c r="D1329" s="23" t="n">
        <x:v>1028.4368995460682</x:v>
      </x:c>
      <x:c r="E1329" s="23" t="n">
        <x:v>884.3841651454568</x:v>
      </x:c>
      <x:c r="F1329" s="23" t="n">
        <x:v>507.49718388542533</x:v>
      </x:c>
      <x:c r="G1329" s="23" t="n">
        <x:v>139.0212979586795</x:v>
      </x:c>
      <x:c r="H1329" s="23" t="n">
        <x:v>28.680146449711174</x:v>
      </x:c>
      <x:c r="I1329" s="23" t="n">
        <x:v>0.847154048299417</x:v>
      </x:c>
      <x:c r="J1329" s="23" t="n">
        <x:v>7</x:v>
      </x:c>
      <x:c r="K1329" s="23" t="n">
        <x:v>173.4272029661395</x:v>
      </x:c>
      <x:c r="L1329" s="23" t="n">
        <x:v>13970</x:v>
      </x:c>
      <x:c r="M1329" s="23" t="n">
        <x:v>1200</x:v>
      </x:c>
      <x:c r="N1329" s="23" t="n">
        <x:v>250.0112518755654</x:v>
      </x:c>
      <x:c r="O1329" s="23" t="n">
        <x:v>2503.711690488655</x:v>
      </x:c>
      <x:c r="P1329" s="23" t="n">
        <x:v>1028.4368995460682</x:v>
      </x:c>
      <x:c r="Q1329" s="23" t="n">
        <x:v>246.74968184565563</x:v>
      </x:c>
      <x:c r="R1329" s="23" t="n">
        <x:v>2540.642148644359</x:v>
      </x:c>
      <x:c r="S1329" s="23" t="n">
        <x:v>1016.4851222408975</x:v>
      </x:c>
      <x:c r="T1329" s="23" t="n">
        <x:v>-3.2615700299097625</x:v>
      </x:c>
      <x:c r="U1329" s="23" t="n">
        <x:v>36.930458155703946</x:v>
      </x:c>
      <x:c r="V1329" s="23" t="n">
        <x:v>-11.951777305170708</x:v>
      </x:c>
    </x:row>
    <x:row r="1330">
      <x:c r="A1330" s="23" t="n">
        <x:v>1329</x:v>
      </x:c>
      <x:c r="B1330" s="23" t="str">
        <x:v>Train</x:v>
      </x:c>
      <x:c r="C1330" s="23" t="str">
        <x:v>Switching</x:v>
      </x:c>
      <x:c r="D1330" s="23" t="n">
        <x:v>995.135196018964</x:v>
      </x:c>
      <x:c r="E1330" s="23" t="n">
        <x:v>1239.4425356178544</x:v>
      </x:c>
      <x:c r="F1330" s="23" t="n">
        <x:v>590.0267640128732</x:v>
      </x:c>
      <x:c r="G1330" s="23" t="n">
        <x:v>232.37232303479686</x:v>
      </x:c>
      <x:c r="H1330" s="23" t="n">
        <x:v>16.801450984552503</x:v>
      </x:c>
      <x:c r="I1330" s="23" t="n">
        <x:v>0.7912522289087065</x:v>
      </x:c>
      <x:c r="J1330" s="23" t="n">
        <x:v>7</x:v>
      </x:c>
      <x:c r="K1330" s="23" t="n">
        <x:v>179.6673243573946</x:v>
      </x:c>
      <x:c r="L1330" s="23" t="n">
        <x:v>10370</x:v>
      </x:c>
      <x:c r="M1330" s="23" t="n">
        <x:v>1195</x:v>
      </x:c>
      <x:c r="N1330" s="23" t="n">
        <x:v>249.94785242577183</x:v>
      </x:c>
      <x:c r="O1330" s="23" t="n">
        <x:v>2496.357382485303</x:v>
      </x:c>
      <x:c r="P1330" s="23" t="n">
        <x:v>995.135196018964</x:v>
      </x:c>
      <x:c r="Q1330" s="23" t="n">
        <x:v>255.0342606648098</x:v>
      </x:c>
      <x:c r="R1330" s="23" t="n">
        <x:v>2543.0671103596037</x:v>
      </x:c>
      <x:c r="S1330" s="23" t="n">
        <x:v>991.7974903700651</x:v>
      </x:c>
      <x:c r="T1330" s="23" t="n">
        <x:v>5.086408239037979</x:v>
      </x:c>
      <x:c r="U1330" s="23" t="n">
        <x:v>46.709727874300825</x:v>
      </x:c>
      <x:c r="V1330" s="23" t="n">
        <x:v>-3.3377056488989183</x:v>
      </x:c>
    </x:row>
    <x:row r="1331">
      <x:c r="A1331" s="23" t="n">
        <x:v>1330</x:v>
      </x:c>
      <x:c r="B1331" s="23" t="str">
        <x:v>Train</x:v>
      </x:c>
      <x:c r="C1331" s="23" t="str">
        <x:v>Switching</x:v>
      </x:c>
      <x:c r="D1331" s="23" t="n">
        <x:v>1012.149310822133</x:v>
      </x:c>
      <x:c r="E1331" s="23" t="n">
        <x:v>1107.027762872167</x:v>
      </x:c>
      <x:c r="F1331" s="23" t="n">
        <x:v>682.5778313912451</x:v>
      </x:c>
      <x:c r="G1331" s="23" t="n">
        <x:v>210.76481339521706</x:v>
      </x:c>
      <x:c r="H1331" s="23" t="n">
        <x:v>17.682962686289102</x:v>
      </x:c>
      <x:c r="I1331" s="23" t="n">
        <x:v>0.8175510160857812</x:v>
      </x:c>
      <x:c r="J1331" s="23" t="n">
        <x:v>7</x:v>
      </x:c>
      <x:c r="K1331" s="23" t="n">
        <x:v>176.86083907172934</x:v>
      </x:c>
      <x:c r="L1331" s="23" t="n">
        <x:v>10690</x:v>
      </x:c>
      <x:c r="M1331" s="23" t="n">
        <x:v>1195</x:v>
      </x:c>
      <x:c r="N1331" s="23" t="n">
        <x:v>249.97898169394998</x:v>
      </x:c>
      <x:c r="O1331" s="23" t="n">
        <x:v>2496.0010372328247</x:v>
      </x:c>
      <x:c r="P1331" s="23" t="n">
        <x:v>1012.149310822133</x:v>
      </x:c>
      <x:c r="Q1331" s="23" t="n">
        <x:v>254.51047139679974</x:v>
      </x:c>
      <x:c r="R1331" s="23" t="n">
        <x:v>2509.183175847135</x:v>
      </x:c>
      <x:c r="S1331" s="23" t="n">
        <x:v>1004.3567793518918</x:v>
      </x:c>
      <x:c r="T1331" s="23" t="n">
        <x:v>4.531489702849768</x:v>
      </x:c>
      <x:c r="U1331" s="23" t="n">
        <x:v>13.182138614310134</x:v>
      </x:c>
      <x:c r="V1331" s="23" t="n">
        <x:v>-7.792531470241215</x:v>
      </x:c>
    </x:row>
    <x:row r="1332">
      <x:c r="A1332" s="23" t="n">
        <x:v>1331</x:v>
      </x:c>
      <x:c r="B1332" s="23" t="str">
        <x:v>Train</x:v>
      </x:c>
      <x:c r="C1332" s="23" t="str">
        <x:v>Switching</x:v>
      </x:c>
      <x:c r="D1332" s="23" t="n">
        <x:v>992.3531798413023</x:v>
      </x:c>
      <x:c r="E1332" s="23" t="n">
        <x:v>869.0373386838473</x:v>
      </x:c>
      <x:c r="F1332" s="23" t="n">
        <x:v>398.99502359330654</x:v>
      </x:c>
      <x:c r="G1332" s="23" t="n">
        <x:v>290.04614856792614</x:v>
      </x:c>
      <x:c r="H1332" s="23" t="n">
        <x:v>18.95265780109912</x:v>
      </x:c>
      <x:c r="I1332" s="23" t="n">
        <x:v>0.8470177679206246</x:v>
      </x:c>
      <x:c r="J1332" s="23" t="n">
        <x:v>6</x:v>
      </x:c>
      <x:c r="K1332" s="23" t="n">
        <x:v>195.26414073490398</x:v>
      </x:c>
      <x:c r="L1332" s="23" t="n">
        <x:v>16015</x:v>
      </x:c>
      <x:c r="M1332" s="23" t="n">
        <x:v>1200</x:v>
      </x:c>
      <x:c r="N1332" s="23" t="n">
        <x:v>250.02573779411753</x:v>
      </x:c>
      <x:c r="O1332" s="23" t="n">
        <x:v>2502.5741885377124</x:v>
      </x:c>
      <x:c r="P1332" s="23" t="n">
        <x:v>992.3531798413023</x:v>
      </x:c>
      <x:c r="Q1332" s="23" t="n">
        <x:v>250.77319023347104</x:v>
      </x:c>
      <x:c r="R1332" s="23" t="n">
        <x:v>2477.438696663851</x:v>
      </x:c>
      <x:c r="S1332" s="23" t="n">
        <x:v>993.6983088977327</x:v>
      </x:c>
      <x:c r="T1332" s="23" t="n">
        <x:v>0.7474524393535091</x:v>
      </x:c>
      <x:c r="U1332" s="23" t="n">
        <x:v>-25.13549187386161</x:v>
      </x:c>
      <x:c r="V1332" s="23" t="n">
        <x:v>1.3451290564303235</x:v>
      </x:c>
    </x:row>
    <x:row r="1333">
      <x:c r="A1333" s="23" t="n">
        <x:v>1332</x:v>
      </x:c>
      <x:c r="B1333" s="23" t="str">
        <x:v>Train</x:v>
      </x:c>
      <x:c r="C1333" s="23" t="str">
        <x:v>Switching</x:v>
      </x:c>
      <x:c r="D1333" s="23" t="n">
        <x:v>972.0338092534803</x:v>
      </x:c>
      <x:c r="E1333" s="23" t="n">
        <x:v>1084.2839958611876</x:v>
      </x:c>
      <x:c r="F1333" s="23" t="n">
        <x:v>517.1723234467208</x:v>
      </x:c>
      <x:c r="G1333" s="23" t="n">
        <x:v>208.8202138384804</x:v>
      </x:c>
      <x:c r="H1333" s="23" t="n">
        <x:v>10.24017110420391</x:v>
      </x:c>
      <x:c r="I1333" s="23" t="n">
        <x:v>0.796365928594023</x:v>
      </x:c>
      <x:c r="J1333" s="23" t="n">
        <x:v>7</x:v>
      </x:c>
      <x:c r="K1333" s="23" t="n">
        <x:v>174.36955520643224</x:v>
      </x:c>
      <x:c r="L1333" s="23" t="n">
        <x:v>11815</x:v>
      </x:c>
      <x:c r="M1333" s="23" t="n">
        <x:v>1195</x:v>
      </x:c>
      <x:c r="N1333" s="23" t="n">
        <x:v>250.03085599034586</x:v>
      </x:c>
      <x:c r="O1333" s="23" t="n">
        <x:v>2494.89907349744</x:v>
      </x:c>
      <x:c r="P1333" s="23" t="n">
        <x:v>972.0338092534803</x:v>
      </x:c>
      <x:c r="Q1333" s="23" t="n">
        <x:v>250.80976383624514</x:v>
      </x:c>
      <x:c r="R1333" s="23" t="n">
        <x:v>2551.4880573387513</x:v>
      </x:c>
      <x:c r="S1333" s="23" t="n">
        <x:v>970.1067880396054</x:v>
      </x:c>
      <x:c r="T1333" s="23" t="n">
        <x:v>0.7789078458992833</x:v>
      </x:c>
      <x:c r="U1333" s="23" t="n">
        <x:v>56.58898384131135</x:v>
      </x:c>
      <x:c r="V1333" s="23" t="n">
        <x:v>-1.927021213874923</x:v>
      </x:c>
    </x:row>
    <x:row r="1334">
      <x:c r="A1334" s="23" t="n">
        <x:v>1333</x:v>
      </x:c>
      <x:c r="B1334" s="23" t="str">
        <x:v>Train</x:v>
      </x:c>
      <x:c r="C1334" s="23" t="str">
        <x:v>Switching</x:v>
      </x:c>
      <x:c r="D1334" s="23" t="n">
        <x:v>958.5351068992168</x:v>
      </x:c>
      <x:c r="E1334" s="23" t="n">
        <x:v>1181.6269971313886</x:v>
      </x:c>
      <x:c r="F1334" s="23" t="n">
        <x:v>399.7503427788615</x:v>
      </x:c>
      <x:c r="G1334" s="23" t="n">
        <x:v>319.8382335086353</x:v>
      </x:c>
      <x:c r="H1334" s="23" t="n">
        <x:v>11.92901998758316</x:v>
      </x:c>
      <x:c r="I1334" s="23" t="n">
        <x:v>0.844690132199321</x:v>
      </x:c>
      <x:c r="J1334" s="23" t="n">
        <x:v>6</x:v>
      </x:c>
      <x:c r="K1334" s="23" t="n">
        <x:v>189.12953408596462</x:v>
      </x:c>
      <x:c r="L1334" s="23" t="n">
        <x:v>13125</x:v>
      </x:c>
      <x:c r="M1334" s="23" t="n">
        <x:v>1200</x:v>
      </x:c>
      <x:c r="N1334" s="23" t="n">
        <x:v>250.0339293127557</x:v>
      </x:c>
      <x:c r="O1334" s="23" t="n">
        <x:v>2504.2863052251305</x:v>
      </x:c>
      <x:c r="P1334" s="23" t="n">
        <x:v>958.5351068992168</x:v>
      </x:c>
      <x:c r="Q1334" s="23" t="n">
        <x:v>255.84554888584958</x:v>
      </x:c>
      <x:c r="R1334" s="23" t="n">
        <x:v>2508.9578180406</x:v>
      </x:c>
      <x:c r="S1334" s="23" t="n">
        <x:v>960.0496605491924</x:v>
      </x:c>
      <x:c r="T1334" s="23" t="n">
        <x:v>5.811619573093878</x:v>
      </x:c>
      <x:c r="U1334" s="23" t="n">
        <x:v>4.671512815469669</x:v>
      </x:c>
      <x:c r="V1334" s="23" t="n">
        <x:v>1.5145536499755963</x:v>
      </x:c>
    </x:row>
    <x:row r="1335">
      <x:c r="A1335" s="23" t="n">
        <x:v>1334</x:v>
      </x:c>
      <x:c r="B1335" s="23" t="str">
        <x:v>Train</x:v>
      </x:c>
      <x:c r="C1335" s="23" t="str">
        <x:v>Switching</x:v>
      </x:c>
      <x:c r="D1335" s="23" t="n">
        <x:v>980.4890678380616</x:v>
      </x:c>
      <x:c r="E1335" s="23" t="n">
        <x:v>821.2311634561047</x:v>
      </x:c>
      <x:c r="F1335" s="23" t="n">
        <x:v>630.4898184724152</x:v>
      </x:c>
      <x:c r="G1335" s="23" t="n">
        <x:v>85.94999128952622</x:v>
      </x:c>
      <x:c r="H1335" s="23" t="n">
        <x:v>27.207600882742554</x:v>
      </x:c>
      <x:c r="I1335" s="23" t="n">
        <x:v>0.8378954078024253</x:v>
      </x:c>
      <x:c r="J1335" s="23" t="n">
        <x:v>6</x:v>
      </x:c>
      <x:c r="K1335" s="23" t="n">
        <x:v>195.03012323252872</x:v>
      </x:c>
      <x:c r="L1335" s="23" t="n">
        <x:v>16225</x:v>
      </x:c>
      <x:c r="M1335" s="23" t="n">
        <x:v>1200</x:v>
      </x:c>
      <x:c r="N1335" s="23" t="n">
        <x:v>249.9866730540358</x:v>
      </x:c>
      <x:c r="O1335" s="23" t="n">
        <x:v>2502.4723630879685</x:v>
      </x:c>
      <x:c r="P1335" s="23" t="n">
        <x:v>980.4890678380616</x:v>
      </x:c>
      <x:c r="Q1335" s="23" t="n">
        <x:v>249.4754588593724</x:v>
      </x:c>
      <x:c r="R1335" s="23" t="n">
        <x:v>2471.9511862239224</x:v>
      </x:c>
      <x:c r="S1335" s="23" t="n">
        <x:v>971.2646706274776</x:v>
      </x:c>
      <x:c r="T1335" s="23" t="n">
        <x:v>-0.5112141946634097</x:v>
      </x:c>
      <x:c r="U1335" s="23" t="n">
        <x:v>-30.521176864046083</x:v>
      </x:c>
      <x:c r="V1335" s="23" t="n">
        <x:v>-9.224397210584016</x:v>
      </x:c>
    </x:row>
    <x:row r="1336">
      <x:c r="A1336" s="23" t="n">
        <x:v>1335</x:v>
      </x:c>
      <x:c r="B1336" s="23" t="str">
        <x:v>Validation</x:v>
      </x:c>
      <x:c r="C1336" s="23" t="str">
        <x:v>Switching</x:v>
      </x:c>
      <x:c r="D1336" s="23" t="n">
        <x:v>993.5846486361697</x:v>
      </x:c>
      <x:c r="E1336" s="23" t="n">
        <x:v>1131.6190375131555</x:v>
      </x:c>
      <x:c r="F1336" s="23" t="n">
        <x:v>492.68354922533035</x:v>
      </x:c>
      <x:c r="G1336" s="23" t="n">
        <x:v>98.25092633953318</x:v>
      </x:c>
      <x:c r="H1336" s="23" t="n">
        <x:v>24.032042811624706</x:v>
      </x:c>
      <x:c r="I1336" s="23" t="n">
        <x:v>0.8067189114145004</x:v>
      </x:c>
      <x:c r="J1336" s="23" t="n">
        <x:v>7</x:v>
      </x:c>
      <x:c r="K1336" s="23" t="n">
        <x:v>175.94810544605025</x:v>
      </x:c>
      <x:c r="L1336" s="23" t="n">
        <x:v>12415</x:v>
      </x:c>
      <x:c r="M1336" s="23" t="n">
        <x:v>1200</x:v>
      </x:c>
      <x:c r="N1336" s="23" t="n">
        <x:v>249.9970940608441</x:v>
      </x:c>
      <x:c r="O1336" s="23" t="n">
        <x:v>2504.8273285103296</x:v>
      </x:c>
      <x:c r="P1336" s="23" t="n">
        <x:v>993.5846486361697</x:v>
      </x:c>
      <x:c r="Q1336" s="23" t="n">
        <x:v>246.733558271316</x:v>
      </x:c>
      <x:c r="R1336" s="23" t="n">
        <x:v>2544.2711057633087</x:v>
      </x:c>
      <x:c r="S1336" s="23" t="n">
        <x:v>990.0540437899806</x:v>
      </x:c>
      <x:c r="T1336" s="23" t="n">
        <x:v>-3.2635357895280777</x:v>
      </x:c>
      <x:c r="U1336" s="23" t="n">
        <x:v>39.44377725297909</x:v>
      </x:c>
      <x:c r="V1336" s="23" t="n">
        <x:v>-3.530604846189135</x:v>
      </x:c>
    </x:row>
    <x:row r="1337">
      <x:c r="A1337" s="23" t="n">
        <x:v>1336</x:v>
      </x:c>
      <x:c r="B1337" s="23" t="str">
        <x:v>Validation</x:v>
      </x:c>
      <x:c r="C1337" s="23" t="str">
        <x:v>Switching</x:v>
      </x:c>
      <x:c r="D1337" s="23" t="n">
        <x:v>1042.7973440731876</x:v>
      </x:c>
      <x:c r="E1337" s="23" t="n">
        <x:v>1183.065679948777</x:v>
      </x:c>
      <x:c r="F1337" s="23" t="n">
        <x:v>475.7605663500726</x:v>
      </x:c>
      <x:c r="G1337" s="23" t="n">
        <x:v>143.206902355887</x:v>
      </x:c>
      <x:c r="H1337" s="23" t="n">
        <x:v>10.478161489125341</x:v>
      </x:c>
      <x:c r="I1337" s="23" t="n">
        <x:v>0.8248287601489575</x:v>
      </x:c>
      <x:c r="J1337" s="23" t="n">
        <x:v>7</x:v>
      </x:c>
      <x:c r="K1337" s="23" t="n">
        <x:v>180.60845638603766</x:v>
      </x:c>
      <x:c r="L1337" s="23" t="n">
        <x:v>11870</x:v>
      </x:c>
      <x:c r="M1337" s="23" t="n">
        <x:v>1195</x:v>
      </x:c>
      <x:c r="N1337" s="23" t="n">
        <x:v>250.05092356376272</x:v>
      </x:c>
      <x:c r="O1337" s="23" t="n">
        <x:v>2494.8512870509285</x:v>
      </x:c>
      <x:c r="P1337" s="23" t="n">
        <x:v>1042.7973440731876</x:v>
      </x:c>
      <x:c r="Q1337" s="23" t="n">
        <x:v>254.6104341279463</x:v>
      </x:c>
      <x:c r="R1337" s="23" t="n">
        <x:v>2550.354168045151</x:v>
      </x:c>
      <x:c r="S1337" s="23" t="n">
        <x:v>1043.558993528409</x:v>
      </x:c>
      <x:c r="T1337" s="23" t="n">
        <x:v>4.559510564183569</x:v>
      </x:c>
      <x:c r="U1337" s="23" t="n">
        <x:v>55.50288099422232</x:v>
      </x:c>
      <x:c r="V1337" s="23" t="n">
        <x:v>0.761649455221459</x:v>
      </x:c>
    </x:row>
    <x:row r="1338">
      <x:c r="A1338" s="23" t="n">
        <x:v>1337</x:v>
      </x:c>
      <x:c r="B1338" s="23" t="str">
        <x:v>Validation</x:v>
      </x:c>
      <x:c r="C1338" s="23" t="str">
        <x:v>Switching</x:v>
      </x:c>
      <x:c r="D1338" s="23" t="n">
        <x:v>953.0044864863157</x:v>
      </x:c>
      <x:c r="E1338" s="23" t="n">
        <x:v>939.2082659876905</x:v>
      </x:c>
      <x:c r="F1338" s="23" t="n">
        <x:v>499.1614418104291</x:v>
      </x:c>
      <x:c r="G1338" s="23" t="n">
        <x:v>232.09793351823464</x:v>
      </x:c>
      <x:c r="H1338" s="23" t="n">
        <x:v>18.718966079875827</x:v>
      </x:c>
      <x:c r="I1338" s="23" t="n">
        <x:v>0.8352060022694059</x:v>
      </x:c>
      <x:c r="J1338" s="23" t="n">
        <x:v>6</x:v>
      </x:c>
      <x:c r="K1338" s="23" t="n">
        <x:v>190.17353880296798</x:v>
      </x:c>
      <x:c r="L1338" s="23" t="n">
        <x:v>14935</x:v>
      </x:c>
      <x:c r="M1338" s="23" t="n">
        <x:v>1200</x:v>
      </x:c>
      <x:c r="N1338" s="23" t="n">
        <x:v>249.98374698031492</x:v>
      </x:c>
      <x:c r="O1338" s="23" t="n">
        <x:v>2503.1349653431116</x:v>
      </x:c>
      <x:c r="P1338" s="23" t="n">
        <x:v>953.0044864863157</x:v>
      </x:c>
      <x:c r="Q1338" s="23" t="n">
        <x:v>250.60783555918394</x:v>
      </x:c>
      <x:c r="R1338" s="23" t="n">
        <x:v>2498.2095040198424</x:v>
      </x:c>
      <x:c r="S1338" s="23" t="n">
        <x:v>955.5277308537908</x:v>
      </x:c>
      <x:c r="T1338" s="23" t="n">
        <x:v>0.6240885788690207</x:v>
      </x:c>
      <x:c r="U1338" s="23" t="n">
        <x:v>-4.925461323269246</x:v>
      </x:c>
      <x:c r="V1338" s="23" t="n">
        <x:v>2.5232443674750584</x:v>
      </x:c>
    </x:row>
    <x:row r="1339">
      <x:c r="A1339" s="23" t="n">
        <x:v>1338</x:v>
      </x:c>
      <x:c r="B1339" s="23" t="str">
        <x:v>Hidden Test</x:v>
      </x:c>
      <x:c r="C1339" s="23" t="str">
        <x:v>Switching</x:v>
      </x:c>
      <x:c r="D1339" s="23" t="n">
        <x:v>999.7916209162213</x:v>
      </x:c>
      <x:c r="E1339" s="23" t="n">
        <x:v>960.6016664067283</x:v>
      </x:c>
      <x:c r="F1339" s="23" t="n">
        <x:v>652.9045180417597</x:v>
      </x:c>
      <x:c r="G1339" s="23" t="n">
        <x:v>228.32540578208864</x:v>
      </x:c>
      <x:c r="H1339" s="23" t="n">
        <x:v>21.646725338418037</x:v>
      </x:c>
      <x:c r="I1339" s="23" t="n">
        <x:v>0.8303690817253665</x:v>
      </x:c>
      <x:c r="J1339" s="23" t="n">
        <x:v>7</x:v>
      </x:c>
      <x:c r="K1339" s="23" t="n">
        <x:v>172.00468750574373</x:v>
      </x:c>
      <x:c r="L1339" s="23" t="n">
        <x:v>11610</x:v>
      </x:c>
      <x:c r="M1339" s="23" t="n">
        <x:v>1195</x:v>
      </x:c>
      <x:c r="N1339" s="23" t="n">
        <x:v>249.97559709136874</x:v>
      </x:c>
      <x:c r="O1339" s="23" t="n">
        <x:v>2495.081996427829</x:v>
      </x:c>
      <x:c r="P1339" s="23" t="n">
        <x:v>999.7916209162213</x:v>
      </x:c>
      <x:c r="Q1339" s="23" t="n">
        <x:v>252.04576918625597</x:v>
      </x:c>
      <x:c r="R1339" s="23" t="n">
        <x:v>2544.622029958137</x:v>
      </x:c>
      <x:c r="S1339" s="23" t="n">
        <x:v>997.447454464601</x:v>
      </x:c>
      <x:c r="T1339" s="23" t="n">
        <x:v>2.0701720948872264</x:v>
      </x:c>
      <x:c r="U1339" s="23" t="n">
        <x:v>49.54003353030794</x:v>
      </x:c>
      <x:c r="V1339" s="23" t="n">
        <x:v>-2.3441664516202536</x:v>
      </x:c>
    </x:row>
    <x:row r="1340">
      <x:c r="A1340" s="23" t="n">
        <x:v>1339</x:v>
      </x:c>
      <x:c r="B1340" s="23" t="str">
        <x:v>Hidden Test</x:v>
      </x:c>
      <x:c r="C1340" s="23" t="str">
        <x:v>Switching</x:v>
      </x:c>
      <x:c r="D1340" s="23" t="n">
        <x:v>1069.2970496369526</x:v>
      </x:c>
      <x:c r="E1340" s="23" t="n">
        <x:v>1063.480959145818</x:v>
      </x:c>
      <x:c r="F1340" s="23" t="n">
        <x:v>686.5946922451258</x:v>
      </x:c>
      <x:c r="G1340" s="23" t="n">
        <x:v>314.0853169444017</x:v>
      </x:c>
      <x:c r="H1340" s="23" t="n">
        <x:v>23.065940865315497</x:v>
      </x:c>
      <x:c r="I1340" s="23" t="n">
        <x:v>0.8422210648912005</x:v>
      </x:c>
      <x:c r="J1340" s="23" t="n">
        <x:v>7</x:v>
      </x:c>
      <x:c r="K1340" s="23" t="n">
        <x:v>181.37366511539446</x:v>
      </x:c>
      <x:c r="L1340" s="23" t="n">
        <x:v>10360</x:v>
      </x:c>
      <x:c r="M1340" s="23" t="n">
        <x:v>1195</x:v>
      </x:c>
      <x:c r="N1340" s="23" t="n">
        <x:v>249.98789617352352</x:v>
      </x:c>
      <x:c r="O1340" s="23" t="n">
        <x:v>2496.3708276045863</x:v>
      </x:c>
      <x:c r="P1340" s="23" t="n">
        <x:v>1069.2970496369526</x:v>
      </x:c>
      <x:c r="Q1340" s="23" t="n">
        <x:v>249.4722528149102</x:v>
      </x:c>
      <x:c r="R1340" s="23" t="n">
        <x:v>2525.247000618951</x:v>
      </x:c>
      <x:c r="S1340" s="23" t="n">
        <x:v>1057.789324550483</x:v>
      </x:c>
      <x:c r="T1340" s="23" t="n">
        <x:v>-0.5156433586133176</x:v>
      </x:c>
      <x:c r="U1340" s="23" t="n">
        <x:v>28.876173014364667</x:v>
      </x:c>
      <x:c r="V1340" s="23" t="n">
        <x:v>-11.50772508646969</x:v>
      </x:c>
    </x:row>
    <x:row r="1341">
      <x:c r="A1341" s="23" t="n">
        <x:v>1340</x:v>
      </x:c>
      <x:c r="B1341" s="23" t="str">
        <x:v>Hidden Test</x:v>
      </x:c>
      <x:c r="C1341" s="23" t="str">
        <x:v>Switching</x:v>
      </x:c>
      <x:c r="D1341" s="23" t="n">
        <x:v>1051.3990600011311</x:v>
      </x:c>
      <x:c r="E1341" s="23" t="n">
        <x:v>1058.2871745806187</x:v>
      </x:c>
      <x:c r="F1341" s="23" t="n">
        <x:v>573.2079918496311</x:v>
      </x:c>
      <x:c r="G1341" s="23" t="n">
        <x:v>190.66293518524617</x:v>
      </x:c>
      <x:c r="H1341" s="23" t="n">
        <x:v>10.74614692805335</x:v>
      </x:c>
      <x:c r="I1341" s="23" t="n">
        <x:v>0.8135738153755665</x:v>
      </x:c>
      <x:c r="J1341" s="23" t="n">
        <x:v>7</x:v>
      </x:c>
      <x:c r="K1341" s="23" t="n">
        <x:v>184.61737936478596</x:v>
      </x:c>
      <x:c r="L1341" s="23" t="n">
        <x:v>11735</x:v>
      </x:c>
      <x:c r="M1341" s="23" t="n">
        <x:v>1195</x:v>
      </x:c>
      <x:c r="N1341" s="23" t="n">
        <x:v>249.96783910455815</x:v>
      </x:c>
      <x:c r="O1341" s="23" t="n">
        <x:v>2494.967950296369</x:v>
      </x:c>
      <x:c r="P1341" s="23" t="n">
        <x:v>1051.3990600011311</x:v>
      </x:c>
      <x:c r="Q1341" s="23" t="n">
        <x:v>251.44692614345655</x:v>
      </x:c>
      <x:c r="R1341" s="23" t="n">
        <x:v>2545.356323268057</x:v>
      </x:c>
      <x:c r="S1341" s="23" t="n">
        <x:v>1051.045534898884</x:v>
      </x:c>
      <x:c r="T1341" s="23" t="n">
        <x:v>1.479087038898399</x:v>
      </x:c>
      <x:c r="U1341" s="23" t="n">
        <x:v>50.38837297168811</x:v>
      </x:c>
      <x:c r="V1341" s="23" t="n">
        <x:v>-0.3535251022472039</x:v>
      </x:c>
    </x:row>
    <x:row r="1342">
      <x:c r="A1342" s="23" t="n">
        <x:v>1341</x:v>
      </x:c>
      <x:c r="B1342" s="23" t="str">
        <x:v>Train</x:v>
      </x:c>
      <x:c r="C1342" s="23" t="str">
        <x:v>Switching</x:v>
      </x:c>
      <x:c r="D1342" s="23" t="n">
        <x:v>1014.0688355546445</x:v>
      </x:c>
      <x:c r="E1342" s="23" t="n">
        <x:v>876.9510921905749</x:v>
      </x:c>
      <x:c r="F1342" s="23" t="n">
        <x:v>639.3370455130935</x:v>
      </x:c>
      <x:c r="G1342" s="23" t="n">
        <x:v>105.06866940530017</x:v>
      </x:c>
      <x:c r="H1342" s="23" t="n">
        <x:v>28.76437884196639</x:v>
      </x:c>
      <x:c r="I1342" s="23" t="n">
        <x:v>0.8500899711647072</x:v>
      </x:c>
      <x:c r="J1342" s="23" t="n">
        <x:v>6</x:v>
      </x:c>
      <x:c r="K1342" s="23" t="n">
        <x:v>198.81598221995063</x:v>
      </x:c>
      <x:c r="L1342" s="23" t="n">
        <x:v>15390</x:v>
      </x:c>
      <x:c r="M1342" s="23" t="n">
        <x:v>1200</x:v>
      </x:c>
      <x:c r="N1342" s="23" t="n">
        <x:v>250.02651650530171</x:v>
      </x:c>
      <x:c r="O1342" s="23" t="n">
        <x:v>2502.8899219247505</x:v>
      </x:c>
      <x:c r="P1342" s="23" t="n">
        <x:v>1014.0688355546445</x:v>
      </x:c>
      <x:c r="Q1342" s="23" t="n">
        <x:v>247.85693419151306</x:v>
      </x:c>
      <x:c r="R1342" s="23" t="n">
        <x:v>2467.690364311935</x:v>
      </x:c>
      <x:c r="S1342" s="23" t="n">
        <x:v>1006.5311307862756</x:v>
      </x:c>
      <x:c r="T1342" s="23" t="n">
        <x:v>-2.169582313788652</x:v>
      </x:c>
      <x:c r="U1342" s="23" t="n">
        <x:v>-35.199557612815624</x:v>
      </x:c>
      <x:c r="V1342" s="23" t="n">
        <x:v>-7.537704768368826</x:v>
      </x:c>
    </x:row>
    <x:row r="1343">
      <x:c r="A1343" s="23" t="n">
        <x:v>1342</x:v>
      </x:c>
      <x:c r="B1343" s="23" t="str">
        <x:v>Train</x:v>
      </x:c>
      <x:c r="C1343" s="23" t="str">
        <x:v>Switching</x:v>
      </x:c>
      <x:c r="D1343" s="23" t="n">
        <x:v>1056.4745854702778</x:v>
      </x:c>
      <x:c r="E1343" s="23" t="n">
        <x:v>1227.423810469918</x:v>
      </x:c>
      <x:c r="F1343" s="23" t="n">
        <x:v>732.5025369413197</x:v>
      </x:c>
      <x:c r="G1343" s="23" t="n">
        <x:v>286.08089957386255</x:v>
      </x:c>
      <x:c r="H1343" s="23" t="n">
        <x:v>18.41745555633679</x:v>
      </x:c>
      <x:c r="I1343" s="23" t="n">
        <x:v>0.8103744764951989</x:v>
      </x:c>
      <x:c r="J1343" s="23" t="n">
        <x:v>7</x:v>
      </x:c>
      <x:c r="K1343" s="23" t="n">
        <x:v>186.2409850742164</x:v>
      </x:c>
      <x:c r="L1343" s="23" t="n">
        <x:v>9520</x:v>
      </x:c>
      <x:c r="M1343" s="23" t="n">
        <x:v>1195</x:v>
      </x:c>
      <x:c r="N1343" s="23" t="n">
        <x:v>249.95602823495764</x:v>
      </x:c>
      <x:c r="O1343" s="23" t="n">
        <x:v>2497.424980480374</x:v>
      </x:c>
      <x:c r="P1343" s="23" t="n">
        <x:v>1056.4745854702778</x:v>
      </x:c>
      <x:c r="Q1343" s="23" t="n">
        <x:v>252.5714796075859</x:v>
      </x:c>
      <x:c r="R1343" s="23" t="n">
        <x:v>2519.0992168966636</x:v>
      </x:c>
      <x:c r="S1343" s="23" t="n">
        <x:v>1041.891878739564</x:v>
      </x:c>
      <x:c r="T1343" s="23" t="n">
        <x:v>2.6154513726282573</x:v>
      </x:c>
      <x:c r="U1343" s="23" t="n">
        <x:v>21.67423641628966</x:v>
      </x:c>
      <x:c r="V1343" s="23" t="n">
        <x:v>-14.58270673071388</x:v>
      </x:c>
    </x:row>
    <x:row r="1344">
      <x:c r="A1344" s="23" t="n">
        <x:v>1343</x:v>
      </x:c>
      <x:c r="B1344" s="23" t="str">
        <x:v>Train</x:v>
      </x:c>
      <x:c r="C1344" s="23" t="str">
        <x:v>Switching</x:v>
      </x:c>
      <x:c r="D1344" s="23" t="n">
        <x:v>988.9913894468918</x:v>
      </x:c>
      <x:c r="E1344" s="23" t="n">
        <x:v>721.026895486284</x:v>
      </x:c>
      <x:c r="F1344" s="23" t="n">
        <x:v>686.4021472632885</x:v>
      </x:c>
      <x:c r="G1344" s="23" t="n">
        <x:v>254.12538401549682</x:v>
      </x:c>
      <x:c r="H1344" s="23" t="n">
        <x:v>18.018394148908556</x:v>
      </x:c>
      <x:c r="I1344" s="23" t="n">
        <x:v>0.804999750868883</x:v>
      </x:c>
      <x:c r="J1344" s="23" t="n">
        <x:v>7</x:v>
      </x:c>
      <x:c r="K1344" s="23" t="n">
        <x:v>175.50873034954643</x:v>
      </x:c>
      <x:c r="L1344" s="23" t="n">
        <x:v>12870</x:v>
      </x:c>
      <x:c r="M1344" s="23" t="n">
        <x:v>1200</x:v>
      </x:c>
      <x:c r="N1344" s="23" t="n">
        <x:v>249.981779481917</x:v>
      </x:c>
      <x:c r="O1344" s="23" t="n">
        <x:v>2504.4722406290844</x:v>
      </x:c>
      <x:c r="P1344" s="23" t="n">
        <x:v>988.9913894468918</x:v>
      </x:c>
      <x:c r="Q1344" s="23" t="n">
        <x:v>248.96561015353294</x:v>
      </x:c>
      <x:c r="R1344" s="23" t="n">
        <x:v>2467.0243635533234</x:v>
      </x:c>
      <x:c r="S1344" s="23" t="n">
        <x:v>986.7592808636215</x:v>
      </x:c>
      <x:c r="T1344" s="23" t="n">
        <x:v>-1.016169328384052</x:v>
      </x:c>
      <x:c r="U1344" s="23" t="n">
        <x:v>-37.44787707576097</x:v>
      </x:c>
      <x:c r="V1344" s="23" t="n">
        <x:v>-2.23210858327036</x:v>
      </x:c>
    </x:row>
    <x:row r="1345">
      <x:c r="A1345" s="23" t="n">
        <x:v>1344</x:v>
      </x:c>
      <x:c r="B1345" s="23" t="str">
        <x:v>Train</x:v>
      </x:c>
      <x:c r="C1345" s="23" t="str">
        <x:v>Switching</x:v>
      </x:c>
      <x:c r="D1345" s="23" t="n">
        <x:v>979.7192761558108</x:v>
      </x:c>
      <x:c r="E1345" s="23" t="n">
        <x:v>658.7316032499075</x:v>
      </x:c>
      <x:c r="F1345" s="23" t="n">
        <x:v>580.9807597659528</x:v>
      </x:c>
      <x:c r="G1345" s="23" t="n">
        <x:v>169.73538235295564</x:v>
      </x:c>
      <x:c r="H1345" s="23" t="n">
        <x:v>16.47686810931191</x:v>
      </x:c>
      <x:c r="I1345" s="23" t="n">
        <x:v>0.7902645612042397</x:v>
      </x:c>
      <x:c r="J1345" s="23" t="n">
        <x:v>7</x:v>
      </x:c>
      <x:c r="K1345" s="23" t="n">
        <x:v>177.10511576073998</x:v>
      </x:c>
      <x:c r="L1345" s="23" t="n">
        <x:v>15175</x:v>
      </x:c>
      <x:c r="M1345" s="23" t="n">
        <x:v>1200</x:v>
      </x:c>
      <x:c r="N1345" s="23" t="n">
        <x:v>250.0303636734852</x:v>
      </x:c>
      <x:c r="O1345" s="23" t="n">
        <x:v>2503.004677215341</x:v>
      </x:c>
      <x:c r="P1345" s="23" t="n">
        <x:v>979.7192761558108</x:v>
      </x:c>
      <x:c r="Q1345" s="23" t="n">
        <x:v>247.90686359265263</x:v>
      </x:c>
      <x:c r="R1345" s="23" t="n">
        <x:v>2510.2222633936003</x:v>
      </x:c>
      <x:c r="S1345" s="23" t="n">
        <x:v>988.2294468732451</x:v>
      </x:c>
      <x:c r="T1345" s="23" t="n">
        <x:v>-2.123500080832571</x:v>
      </x:c>
      <x:c r="U1345" s="23" t="n">
        <x:v>7.217586178259353</x:v>
      </x:c>
      <x:c r="V1345" s="23" t="n">
        <x:v>8.510170717434335</x:v>
      </x:c>
    </x:row>
    <x:row r="1346">
      <x:c r="A1346" s="23" t="n">
        <x:v>1345</x:v>
      </x:c>
      <x:c r="B1346" s="23" t="str">
        <x:v>Train</x:v>
      </x:c>
      <x:c r="C1346" s="23" t="str">
        <x:v>Switching</x:v>
      </x:c>
      <x:c r="D1346" s="23" t="n">
        <x:v>1007.1606907062232</x:v>
      </x:c>
      <x:c r="E1346" s="23" t="n">
        <x:v>1181.1345461173914</x:v>
      </x:c>
      <x:c r="F1346" s="23" t="n">
        <x:v>370.8124512806535</x:v>
      </x:c>
      <x:c r="G1346" s="23" t="n">
        <x:v>167.43444929132238</x:v>
      </x:c>
      <x:c r="H1346" s="23" t="n">
        <x:v>19.94367958046496</x:v>
      </x:c>
      <x:c r="I1346" s="23" t="n">
        <x:v>0.8423319008504041</x:v>
      </x:c>
      <x:c r="J1346" s="23" t="n">
        <x:v>6</x:v>
      </x:c>
      <x:c r="K1346" s="23" t="n">
        <x:v>199.2802539571814</x:v>
      </x:c>
      <x:c r="L1346" s="23" t="n">
        <x:v>14510</x:v>
      </x:c>
      <x:c r="M1346" s="23" t="n">
        <x:v>1200</x:v>
      </x:c>
      <x:c r="N1346" s="23" t="n">
        <x:v>249.9816906138944</x:v>
      </x:c>
      <x:c r="O1346" s="23" t="n">
        <x:v>2503.3790256664015</x:v>
      </x:c>
      <x:c r="P1346" s="23" t="n">
        <x:v>1007.1606907062232</x:v>
      </x:c>
      <x:c r="Q1346" s="23" t="n">
        <x:v>251.9619138014872</x:v>
      </x:c>
      <x:c r="R1346" s="23" t="n">
        <x:v>2571.1142114031195</x:v>
      </x:c>
      <x:c r="S1346" s="23" t="n">
        <x:v>998.8936520447731</x:v>
      </x:c>
      <x:c r="T1346" s="23" t="n">
        <x:v>1.9802231875928271</x:v>
      </x:c>
      <x:c r="U1346" s="23" t="n">
        <x:v>67.735185736718</x:v>
      </x:c>
      <x:c r="V1346" s="23" t="n">
        <x:v>-8.267038661450101</x:v>
      </x:c>
    </x:row>
    <x:row r="1347">
      <x:c r="A1347" s="23" t="n">
        <x:v>1346</x:v>
      </x:c>
      <x:c r="B1347" s="23" t="str">
        <x:v>Train</x:v>
      </x:c>
      <x:c r="C1347" s="23" t="str">
        <x:v>Switching</x:v>
      </x:c>
      <x:c r="D1347" s="23" t="n">
        <x:v>1015.2184782200493</x:v>
      </x:c>
      <x:c r="E1347" s="23" t="n">
        <x:v>1132.4341683881357</x:v>
      </x:c>
      <x:c r="F1347" s="23" t="n">
        <x:v>650.0495039857924</x:v>
      </x:c>
      <x:c r="G1347" s="23" t="n">
        <x:v>326.90571264363825</x:v>
      </x:c>
      <x:c r="H1347" s="23" t="n">
        <x:v>11.551252775359899</x:v>
      </x:c>
      <x:c r="I1347" s="23" t="n">
        <x:v>0.847970822439529</x:v>
      </x:c>
      <x:c r="J1347" s="23" t="n">
        <x:v>6</x:v>
      </x:c>
      <x:c r="K1347" s="23" t="n">
        <x:v>199.53879924377688</x:v>
      </x:c>
      <x:c r="L1347" s="23" t="n">
        <x:v>11830</x:v>
      </x:c>
      <x:c r="M1347" s="23" t="n">
        <x:v>1195</x:v>
      </x:c>
      <x:c r="N1347" s="23" t="n">
        <x:v>250.04018549463885</x:v>
      </x:c>
      <x:c r="O1347" s="23" t="n">
        <x:v>2494.886155070169</x:v>
      </x:c>
      <x:c r="P1347" s="23" t="n">
        <x:v>1015.2184782200493</x:v>
      </x:c>
      <x:c r="Q1347" s="23" t="n">
        <x:v>252.50175989981815</x:v>
      </x:c>
      <x:c r="R1347" s="23" t="n">
        <x:v>2558.4541873287258</x:v>
      </x:c>
      <x:c r="S1347" s="23" t="n">
        <x:v>1009.6884449459021</x:v>
      </x:c>
      <x:c r="T1347" s="23" t="n">
        <x:v>2.461574405179306</x:v>
      </x:c>
      <x:c r="U1347" s="23" t="n">
        <x:v>63.56803225855674</x:v>
      </x:c>
      <x:c r="V1347" s="23" t="n">
        <x:v>-5.530033274147172</x:v>
      </x:c>
    </x:row>
    <x:row r="1348">
      <x:c r="A1348" s="23" t="n">
        <x:v>1347</x:v>
      </x:c>
      <x:c r="B1348" s="23" t="str">
        <x:v>Train</x:v>
      </x:c>
      <x:c r="C1348" s="23" t="str">
        <x:v>Switching</x:v>
      </x:c>
      <x:c r="D1348" s="23" t="n">
        <x:v>1050.957241258584</x:v>
      </x:c>
      <x:c r="E1348" s="23" t="n">
        <x:v>1195.4699417226948</x:v>
      </x:c>
      <x:c r="F1348" s="23" t="n">
        <x:v>447.3477851599455</x:v>
      </x:c>
      <x:c r="G1348" s="23" t="n">
        <x:v>277.825342125725</x:v>
      </x:c>
      <x:c r="H1348" s="23" t="n">
        <x:v>11.22245577443391</x:v>
      </x:c>
      <x:c r="I1348" s="23" t="n">
        <x:v>0.8580636568437331</x:v>
      </x:c>
      <x:c r="J1348" s="23" t="n">
        <x:v>7</x:v>
      </x:c>
      <x:c r="K1348" s="23" t="n">
        <x:v>174.97157414111123</x:v>
      </x:c>
      <x:c r="L1348" s="23" t="n">
        <x:v>11135</x:v>
      </x:c>
      <x:c r="M1348" s="23" t="n">
        <x:v>1195</x:v>
      </x:c>
      <x:c r="N1348" s="23" t="n">
        <x:v>250.00685565946097</x:v>
      </x:c>
      <x:c r="O1348" s="23" t="n">
        <x:v>2495.5388622356722</x:v>
      </x:c>
      <x:c r="P1348" s="23" t="n">
        <x:v>1050.957241258584</x:v>
      </x:c>
      <x:c r="Q1348" s="23" t="n">
        <x:v>250.49113515482222</x:v>
      </x:c>
      <x:c r="R1348" s="23" t="n">
        <x:v>2527.7211327835394</x:v>
      </x:c>
      <x:c r="S1348" s="23" t="n">
        <x:v>1052.27688611396</x:v>
      </x:c>
      <x:c r="T1348" s="23" t="n">
        <x:v>0.4842794953612497</x:v>
      </x:c>
      <x:c r="U1348" s="23" t="n">
        <x:v>32.18227054786712</x:v>
      </x:c>
      <x:c r="V1348" s="23" t="n">
        <x:v>1.3196448553760547</x:v>
      </x:c>
    </x:row>
    <x:row r="1349">
      <x:c r="A1349" s="23" t="n">
        <x:v>1348</x:v>
      </x:c>
      <x:c r="B1349" s="23" t="str">
        <x:v>Train</x:v>
      </x:c>
      <x:c r="C1349" s="23" t="str">
        <x:v>Switching</x:v>
      </x:c>
      <x:c r="D1349" s="23" t="n">
        <x:v>1077.6091597392224</x:v>
      </x:c>
      <x:c r="E1349" s="23" t="n">
        <x:v>1128.775541903451</x:v>
      </x:c>
      <x:c r="F1349" s="23" t="n">
        <x:v>634.5113995485008</x:v>
      </x:c>
      <x:c r="G1349" s="23" t="n">
        <x:v>99.85041087027639</x:v>
      </x:c>
      <x:c r="H1349" s="23" t="n">
        <x:v>13.647033921908587</x:v>
      </x:c>
      <x:c r="I1349" s="23" t="n">
        <x:v>0.797421146389097</x:v>
      </x:c>
      <x:c r="J1349" s="23" t="n">
        <x:v>7</x:v>
      </x:c>
      <x:c r="K1349" s="23" t="n">
        <x:v>193.05252484728518</x:v>
      </x:c>
      <x:c r="L1349" s="23" t="n">
        <x:v>11480</x:v>
      </x:c>
      <x:c r="M1349" s="23" t="n">
        <x:v>1195</x:v>
      </x:c>
      <x:c r="N1349" s="23" t="n">
        <x:v>250.03562295322433</x:v>
      </x:c>
      <x:c r="O1349" s="23" t="n">
        <x:v>2495.2055047588574</x:v>
      </x:c>
      <x:c r="P1349" s="23" t="n">
        <x:v>1077.6091597392224</x:v>
      </x:c>
      <x:c r="Q1349" s="23" t="n">
        <x:v>250.41990119790043</x:v>
      </x:c>
      <x:c r="R1349" s="23" t="n">
        <x:v>2562.5442541154516</x:v>
      </x:c>
      <x:c r="S1349" s="23" t="n">
        <x:v>1080.9840583585797</x:v>
      </x:c>
      <x:c r="T1349" s="23" t="n">
        <x:v>0.3842782446760964</x:v>
      </x:c>
      <x:c r="U1349" s="23" t="n">
        <x:v>67.33874935659423</x:v>
      </x:c>
      <x:c r="V1349" s="23" t="n">
        <x:v>3.374898619357282</x:v>
      </x:c>
    </x:row>
    <x:row r="1350">
      <x:c r="A1350" s="23" t="n">
        <x:v>1349</x:v>
      </x:c>
      <x:c r="B1350" s="23" t="str">
        <x:v>Train</x:v>
      </x:c>
      <x:c r="C1350" s="23" t="str">
        <x:v>Switching</x:v>
      </x:c>
      <x:c r="D1350" s="23" t="n">
        <x:v>1090.1165726128966</x:v>
      </x:c>
      <x:c r="E1350" s="23" t="n">
        <x:v>918.2342694955878</x:v>
      </x:c>
      <x:c r="F1350" s="23" t="n">
        <x:v>350.5392773076892</x:v>
      </x:c>
      <x:c r="G1350" s="23" t="n">
        <x:v>164.3673565541394</x:v>
      </x:c>
      <x:c r="H1350" s="23" t="n">
        <x:v>19.72030394524336</x:v>
      </x:c>
      <x:c r="I1350" s="23" t="n">
        <x:v>0.7967389369220473</x:v>
      </x:c>
      <x:c r="J1350" s="23" t="n">
        <x:v>7</x:v>
      </x:c>
      <x:c r="K1350" s="23" t="n">
        <x:v>195.46043468933183</x:v>
      </x:c>
      <x:c r="L1350" s="23" t="n">
        <x:v>14920</x:v>
      </x:c>
      <x:c r="M1350" s="23" t="n">
        <x:v>1200</x:v>
      </x:c>
      <x:c r="N1350" s="23" t="n">
        <x:v>249.96137819120594</x:v>
      </x:c>
      <x:c r="O1350" s="23" t="n">
        <x:v>2503.142599826624</x:v>
      </x:c>
      <x:c r="P1350" s="23" t="n">
        <x:v>1090.1165726128966</x:v>
      </x:c>
      <x:c r="Q1350" s="23" t="n">
        <x:v>251.4701310817319</x:v>
      </x:c>
      <x:c r="R1350" s="23" t="n">
        <x:v>2483.5928063950596</x:v>
      </x:c>
      <x:c r="S1350" s="23" t="n">
        <x:v>1088.2701569662765</x:v>
      </x:c>
      <x:c r="T1350" s="23" t="n">
        <x:v>1.5087528905259546</x:v>
      </x:c>
      <x:c r="U1350" s="23" t="n">
        <x:v>-19.549793431564467</x:v>
      </x:c>
      <x:c r="V1350" s="23" t="n">
        <x:v>-1.8464156466200166</x:v>
      </x:c>
    </x:row>
    <x:row r="1351">
      <x:c r="A1351" s="23" t="n">
        <x:v>1350</x:v>
      </x:c>
      <x:c r="B1351" s="23" t="str">
        <x:v>Train</x:v>
      </x:c>
      <x:c r="C1351" s="23" t="str">
        <x:v>Switching</x:v>
      </x:c>
      <x:c r="D1351" s="23" t="n">
        <x:v>950.4700130899437</x:v>
      </x:c>
      <x:c r="E1351" s="23" t="n">
        <x:v>1180.4445158457384</x:v>
      </x:c>
      <x:c r="F1351" s="23" t="n">
        <x:v>356.8814215250313</x:v>
      </x:c>
      <x:c r="G1351" s="23" t="n">
        <x:v>325.36946369335055</x:v>
      </x:c>
      <x:c r="H1351" s="23" t="n">
        <x:v>22.57026274362579</x:v>
      </x:c>
      <x:c r="I1351" s="23" t="n">
        <x:v>0.8338671835651622</x:v>
      </x:c>
      <x:c r="J1351" s="23" t="n">
        <x:v>6</x:v>
      </x:c>
      <x:c r="K1351" s="23" t="n">
        <x:v>189.97230250870635</x:v>
      </x:c>
      <x:c r="L1351" s="23" t="n">
        <x:v>13395</x:v>
      </x:c>
      <x:c r="M1351" s="23" t="n">
        <x:v>1200</x:v>
      </x:c>
      <x:c r="N1351" s="23" t="n">
        <x:v>250.0076513012696</x:v>
      </x:c>
      <x:c r="O1351" s="23" t="n">
        <x:v>2504.094104973149</x:v>
      </x:c>
      <x:c r="P1351" s="23" t="n">
        <x:v>950.4700130899437</x:v>
      </x:c>
      <x:c r="Q1351" s="23" t="n">
        <x:v>252.66279954796659</x:v>
      </x:c>
      <x:c r="R1351" s="23" t="n">
        <x:v>2525.8472208525563</x:v>
      </x:c>
      <x:c r="S1351" s="23" t="n">
        <x:v>940.459503896174</x:v>
      </x:c>
      <x:c r="T1351" s="23" t="n">
        <x:v>2.655148246696996</x:v>
      </x:c>
      <x:c r="U1351" s="23" t="n">
        <x:v>21.753115879407233</x:v>
      </x:c>
      <x:c r="V1351" s="23" t="n">
        <x:v>-10.010509193769622</x:v>
      </x:c>
    </x:row>
    <x:row r="1352">
      <x:c r="A1352" s="23" t="n">
        <x:v>1351</x:v>
      </x:c>
      <x:c r="B1352" s="23" t="str">
        <x:v>Train</x:v>
      </x:c>
      <x:c r="C1352" s="23" t="str">
        <x:v>Switching</x:v>
      </x:c>
      <x:c r="D1352" s="23" t="n">
        <x:v>1061.2491852836683</x:v>
      </x:c>
      <x:c r="E1352" s="23" t="n">
        <x:v>1187.359473865945</x:v>
      </x:c>
      <x:c r="F1352" s="23" t="n">
        <x:v>707.957473397255</x:v>
      </x:c>
      <x:c r="G1352" s="23" t="n">
        <x:v>116.14609682699665</x:v>
      </x:c>
      <x:c r="H1352" s="23" t="n">
        <x:v>20.39373958390206</x:v>
      </x:c>
      <x:c r="I1352" s="23" t="n">
        <x:v>0.8172821499384009</x:v>
      </x:c>
      <x:c r="J1352" s="23" t="n">
        <x:v>7</x:v>
      </x:c>
      <x:c r="K1352" s="23" t="n">
        <x:v>185.5014531768768</x:v>
      </x:c>
      <x:c r="L1352" s="23" t="n">
        <x:v>10630</x:v>
      </x:c>
      <x:c r="M1352" s="23" t="n">
        <x:v>1195</x:v>
      </x:c>
      <x:c r="N1352" s="23" t="n">
        <x:v>249.95442386078028</x:v>
      </x:c>
      <x:c r="O1352" s="23" t="n">
        <x:v>2496.0653406361234</x:v>
      </x:c>
      <x:c r="P1352" s="23" t="n">
        <x:v>1061.2491852836683</x:v>
      </x:c>
      <x:c r="Q1352" s="23" t="n">
        <x:v>251.764590432547</x:v>
      </x:c>
      <x:c r="R1352" s="23" t="n">
        <x:v>2534.588015341588</x:v>
      </x:c>
      <x:c r="S1352" s="23" t="n">
        <x:v>1055.6252072812485</x:v>
      </x:c>
      <x:c r="T1352" s="23" t="n">
        <x:v>1.8101665717667288</x:v>
      </x:c>
      <x:c r="U1352" s="23" t="n">
        <x:v>38.5226747054644</x:v>
      </x:c>
      <x:c r="V1352" s="23" t="n">
        <x:v>-5.62397800241979</x:v>
      </x:c>
    </x:row>
    <x:row r="1353">
      <x:c r="A1353" s="23" t="n">
        <x:v>1352</x:v>
      </x:c>
      <x:c r="B1353" s="23" t="str">
        <x:v>Train</x:v>
      </x:c>
      <x:c r="C1353" s="23" t="str">
        <x:v>Switching</x:v>
      </x:c>
      <x:c r="D1353" s="23" t="n">
        <x:v>976.5961703727953</x:v>
      </x:c>
      <x:c r="E1353" s="23" t="n">
        <x:v>928.8998831994832</x:v>
      </x:c>
      <x:c r="F1353" s="23" t="n">
        <x:v>584.7857243381441</x:v>
      </x:c>
      <x:c r="G1353" s="23" t="n">
        <x:v>81.3944614911452</x:v>
      </x:c>
      <x:c r="H1353" s="23" t="n">
        <x:v>23.402687666472048</x:v>
      </x:c>
      <x:c r="I1353" s="23" t="n">
        <x:v>0.795986685687676</x:v>
      </x:c>
      <x:c r="J1353" s="23" t="n">
        <x:v>7</x:v>
      </x:c>
      <x:c r="K1353" s="23" t="n">
        <x:v>175.27144754205918</x:v>
      </x:c>
      <x:c r="L1353" s="23" t="n">
        <x:v>13405</x:v>
      </x:c>
      <x:c r="M1353" s="23" t="n">
        <x:v>1200</x:v>
      </x:c>
      <x:c r="N1353" s="23" t="n">
        <x:v>249.95666555038306</x:v>
      </x:c>
      <x:c r="O1353" s="23" t="n">
        <x:v>2504.0852800978305</x:v>
      </x:c>
      <x:c r="P1353" s="23" t="n">
        <x:v>976.5961703727953</x:v>
      </x:c>
      <x:c r="Q1353" s="23" t="n">
        <x:v>247.1423097876324</x:v>
      </x:c>
      <x:c r="R1353" s="23" t="n">
        <x:v>2496.6862116053417</x:v>
      </x:c>
      <x:c r="S1353" s="23" t="n">
        <x:v>977.8937826746034</x:v>
      </x:c>
      <x:c r="T1353" s="23" t="n">
        <x:v>-2.8143557627506652</x:v>
      </x:c>
      <x:c r="U1353" s="23" t="n">
        <x:v>-7.399068492488823</x:v>
      </x:c>
      <x:c r="V1353" s="23" t="n">
        <x:v>1.2976123018080443</x:v>
      </x:c>
    </x:row>
    <x:row r="1354">
      <x:c r="A1354" s="23" t="n">
        <x:v>1353</x:v>
      </x:c>
      <x:c r="B1354" s="23" t="str">
        <x:v>Train</x:v>
      </x:c>
      <x:c r="C1354" s="23" t="str">
        <x:v>Switching</x:v>
      </x:c>
      <x:c r="D1354" s="23" t="n">
        <x:v>969.3751061335206</x:v>
      </x:c>
      <x:c r="E1354" s="23" t="n">
        <x:v>963.7707420042716</x:v>
      </x:c>
      <x:c r="F1354" s="23" t="n">
        <x:v>410.17159540206194</x:v>
      </x:c>
      <x:c r="G1354" s="23" t="n">
        <x:v>92.03987892949954</x:v>
      </x:c>
      <x:c r="H1354" s="23" t="n">
        <x:v>28.987306421622634</x:v>
      </x:c>
      <x:c r="I1354" s="23" t="n">
        <x:v>0.832683921691496</x:v>
      </x:c>
      <x:c r="J1354" s="23" t="n">
        <x:v>6</x:v>
      </x:c>
      <x:c r="K1354" s="23" t="n">
        <x:v>194.0262246936695</x:v>
      </x:c>
      <x:c r="L1354" s="23" t="n">
        <x:v>17020</x:v>
      </x:c>
      <x:c r="M1354" s="23" t="n">
        <x:v>1200</x:v>
      </x:c>
      <x:c r="N1354" s="23" t="n">
        <x:v>250.0097861141011</x:v>
      </x:c>
      <x:c r="O1354" s="23" t="n">
        <x:v>2502.114664866629</x:v>
      </x:c>
      <x:c r="P1354" s="23" t="n">
        <x:v>969.3751061335206</x:v>
      </x:c>
      <x:c r="Q1354" s="23" t="n">
        <x:v>245.7683104114214</x:v>
      </x:c>
      <x:c r="R1354" s="23" t="n">
        <x:v>2465.504466221668</x:v>
      </x:c>
      <x:c r="S1354" s="23" t="n">
        <x:v>966.6601385761787</x:v>
      </x:c>
      <x:c r="T1354" s="23" t="n">
        <x:v>-4.241475702679708</x:v>
      </x:c>
      <x:c r="U1354" s="23" t="n">
        <x:v>-36.6101986449612</x:v>
      </x:c>
      <x:c r="V1354" s="23" t="n">
        <x:v>-2.714967557341879</x:v>
      </x:c>
    </x:row>
    <x:row r="1355">
      <x:c r="A1355" s="23" t="n">
        <x:v>1354</x:v>
      </x:c>
      <x:c r="B1355" s="23" t="str">
        <x:v>Train</x:v>
      </x:c>
      <x:c r="C1355" s="23" t="str">
        <x:v>Switching</x:v>
      </x:c>
      <x:c r="D1355" s="23" t="n">
        <x:v>950.7481314823963</x:v>
      </x:c>
      <x:c r="E1355" s="23" t="n">
        <x:v>682.1857035392895</x:v>
      </x:c>
      <x:c r="F1355" s="23" t="n">
        <x:v>357.15564200654626</x:v>
      </x:c>
      <x:c r="G1355" s="23" t="n">
        <x:v>104.6488347183913</x:v>
      </x:c>
      <x:c r="H1355" s="23" t="n">
        <x:v>22.135142866987735</x:v>
      </x:c>
      <x:c r="I1355" s="23" t="n">
        <x:v>0.8150541714252905</x:v>
      </x:c>
      <x:c r="J1355" s="23" t="n">
        <x:v>6</x:v>
      </x:c>
      <x:c r="K1355" s="23" t="n">
        <x:v>194.41409843548945</x:v>
      </x:c>
      <x:c r="L1355" s="23" t="n">
        <x:v>21810</x:v>
      </x:c>
      <x:c r="M1355" s="23" t="n">
        <x:v>1200</x:v>
      </x:c>
      <x:c r="N1355" s="23" t="n">
        <x:v>250.0036199354083</x:v>
      </x:c>
      <x:c r="O1355" s="23" t="n">
        <x:v>2500.5080534034464</x:v>
      </x:c>
      <x:c r="P1355" s="23" t="n">
        <x:v>950.7481314823963</x:v>
      </x:c>
      <x:c r="Q1355" s="23" t="n">
        <x:v>247.57946771037018</x:v>
      </x:c>
      <x:c r="R1355" s="23" t="n">
        <x:v>2433.818039890427</x:v>
      </x:c>
      <x:c r="S1355" s="23" t="n">
        <x:v>953.6990255443295</x:v>
      </x:c>
      <x:c r="T1355" s="23" t="n">
        <x:v>-2.424152225038114</x:v>
      </x:c>
      <x:c r="U1355" s="23" t="n">
        <x:v>-66.6900135130195</x:v>
      </x:c>
      <x:c r="V1355" s="23" t="n">
        <x:v>2.9508940619332407</x:v>
      </x:c>
    </x:row>
    <x:row r="1356">
      <x:c r="A1356" s="23" t="n">
        <x:v>1355</x:v>
      </x:c>
      <x:c r="B1356" s="23" t="str">
        <x:v>Validation</x:v>
      </x:c>
      <x:c r="C1356" s="23" t="str">
        <x:v>Switching</x:v>
      </x:c>
      <x:c r="D1356" s="23" t="n">
        <x:v>1070.0362960575148</x:v>
      </x:c>
      <x:c r="E1356" s="23" t="n">
        <x:v>604.7897669137456</x:v>
      </x:c>
      <x:c r="F1356" s="23" t="n">
        <x:v>713.2100213319063</x:v>
      </x:c>
      <x:c r="G1356" s="23" t="n">
        <x:v>239.4904253142886</x:v>
      </x:c>
      <x:c r="H1356" s="23" t="n">
        <x:v>17.610766828991473</x:v>
      </x:c>
      <x:c r="I1356" s="23" t="n">
        <x:v>0.7927030259254388</x:v>
      </x:c>
      <x:c r="J1356" s="23" t="n">
        <x:v>7</x:v>
      </x:c>
      <x:c r="K1356" s="23" t="n">
        <x:v>192.8368165742243</x:v>
      </x:c>
      <x:c r="L1356" s="23" t="n">
        <x:v>13730</x:v>
      </x:c>
      <x:c r="M1356" s="23" t="n">
        <x:v>1200</x:v>
      </x:c>
      <x:c r="N1356" s="23" t="n">
        <x:v>249.9833244940377</x:v>
      </x:c>
      <x:c r="O1356" s="23" t="n">
        <x:v>2503.866462031175</x:v>
      </x:c>
      <x:c r="P1356" s="23" t="n">
        <x:v>1070.0362960575148</x:v>
      </x:c>
      <x:c r="Q1356" s="23" t="n">
        <x:v>248.83919624143462</x:v>
      </x:c>
      <x:c r="R1356" s="23" t="n">
        <x:v>2470.694466462843</x:v>
      </x:c>
      <x:c r="S1356" s="23" t="n">
        <x:v>1072.3293272377578</x:v>
      </x:c>
      <x:c r="T1356" s="23" t="n">
        <x:v>-1.1441282526030818</x:v>
      </x:c>
      <x:c r="U1356" s="23" t="n">
        <x:v>-33.17199556833202</x:v>
      </x:c>
      <x:c r="V1356" s="23" t="n">
        <x:v>2.293031180242906</x:v>
      </x:c>
    </x:row>
    <x:row r="1357">
      <x:c r="A1357" s="23" t="n">
        <x:v>1356</x:v>
      </x:c>
      <x:c r="B1357" s="23" t="str">
        <x:v>Validation</x:v>
      </x:c>
      <x:c r="C1357" s="23" t="str">
        <x:v>Switching</x:v>
      </x:c>
      <x:c r="D1357" s="23" t="n">
        <x:v>991.6266138083301</x:v>
      </x:c>
      <x:c r="E1357" s="23" t="n">
        <x:v>1140.6245288904756</x:v>
      </x:c>
      <x:c r="F1357" s="23" t="n">
        <x:v>625.3203700296581</x:v>
      </x:c>
      <x:c r="G1357" s="23" t="n">
        <x:v>163.3442535949871</x:v>
      </x:c>
      <x:c r="H1357" s="23" t="n">
        <x:v>21.440432641189545</x:v>
      </x:c>
      <x:c r="I1357" s="23" t="n">
        <x:v>0.8197040909156204</x:v>
      </x:c>
      <x:c r="J1357" s="23" t="n">
        <x:v>7</x:v>
      </x:c>
      <x:c r="K1357" s="23" t="n">
        <x:v>172.81961429706212</x:v>
      </x:c>
      <x:c r="L1357" s="23" t="n">
        <x:v>11085</x:v>
      </x:c>
      <x:c r="M1357" s="23" t="n">
        <x:v>1195</x:v>
      </x:c>
      <x:c r="N1357" s="23" t="n">
        <x:v>250.00490708903135</x:v>
      </x:c>
      <x:c r="O1357" s="23" t="n">
        <x:v>2495.588983106227</x:v>
      </x:c>
      <x:c r="P1357" s="23" t="n">
        <x:v>991.6266138083301</x:v>
      </x:c>
      <x:c r="Q1357" s="23" t="n">
        <x:v>252.19693408930232</x:v>
      </x:c>
      <x:c r="R1357" s="23" t="n">
        <x:v>2558.490178858168</x:v>
      </x:c>
      <x:c r="S1357" s="23" t="n">
        <x:v>984.2510046415915</x:v>
      </x:c>
      <x:c r="T1357" s="23" t="n">
        <x:v>2.1920270002709685</x:v>
      </x:c>
      <x:c r="U1357" s="23" t="n">
        <x:v>62.90119575194103</x:v>
      </x:c>
      <x:c r="V1357" s="23" t="n">
        <x:v>-7.375609166738627</x:v>
      </x:c>
    </x:row>
    <x:row r="1358">
      <x:c r="A1358" s="23" t="n">
        <x:v>1357</x:v>
      </x:c>
      <x:c r="B1358" s="23" t="str">
        <x:v>Validation</x:v>
      </x:c>
      <x:c r="C1358" s="23" t="str">
        <x:v>Switching</x:v>
      </x:c>
      <x:c r="D1358" s="23" t="n">
        <x:v>999.0950623061508</x:v>
      </x:c>
      <x:c r="E1358" s="23" t="n">
        <x:v>1223.9798135007732</x:v>
      </x:c>
      <x:c r="F1358" s="23" t="n">
        <x:v>566.9301887974143</x:v>
      </x:c>
      <x:c r="G1358" s="23" t="n">
        <x:v>215.58450323762372</x:v>
      </x:c>
      <x:c r="H1358" s="23" t="n">
        <x:v>17.17563669756055</x:v>
      </x:c>
      <x:c r="I1358" s="23" t="n">
        <x:v>0.8595784166478553</x:v>
      </x:c>
      <x:c r="J1358" s="23" t="n">
        <x:v>6</x:v>
      </x:c>
      <x:c r="K1358" s="23" t="n">
        <x:v>193.7180372292998</x:v>
      </x:c>
      <x:c r="L1358" s="23" t="n">
        <x:v>12435</x:v>
      </x:c>
      <x:c r="M1358" s="23" t="n">
        <x:v>1200</x:v>
      </x:c>
      <x:c r="N1358" s="23" t="n">
        <x:v>250.00708750054577</x:v>
      </x:c>
      <x:c r="O1358" s="23" t="n">
        <x:v>2504.8116049848213</x:v>
      </x:c>
      <x:c r="P1358" s="23" t="n">
        <x:v>999.0950623061508</x:v>
      </x:c>
      <x:c r="Q1358" s="23" t="n">
        <x:v>252.02214131115198</x:v>
      </x:c>
      <x:c r="R1358" s="23" t="n">
        <x:v>2513.5128871940205</x:v>
      </x:c>
      <x:c r="S1358" s="23" t="n">
        <x:v>989.5422260850953</x:v>
      </x:c>
      <x:c r="T1358" s="23" t="n">
        <x:v>2.0150538106062186</x:v>
      </x:c>
      <x:c r="U1358" s="23" t="n">
        <x:v>8.701282209199235</x:v>
      </x:c>
      <x:c r="V1358" s="23" t="n">
        <x:v>-9.552836221055486</x:v>
      </x:c>
    </x:row>
    <x:row r="1359">
      <x:c r="A1359" s="23" t="n">
        <x:v>1358</x:v>
      </x:c>
      <x:c r="B1359" s="23" t="str">
        <x:v>Hidden Test</x:v>
      </x:c>
      <x:c r="C1359" s="23" t="str">
        <x:v>Switching</x:v>
      </x:c>
      <x:c r="D1359" s="23" t="n">
        <x:v>960.5965169263072</x:v>
      </x:c>
      <x:c r="E1359" s="23" t="n">
        <x:v>611.9034823728725</x:v>
      </x:c>
      <x:c r="F1359" s="23" t="n">
        <x:v>656.1174695380032</x:v>
      </x:c>
      <x:c r="G1359" s="23" t="n">
        <x:v>252.13120870292187</x:v>
      </x:c>
      <x:c r="H1359" s="23" t="n">
        <x:v>8.80812373245135</x:v>
      </x:c>
      <x:c r="I1359" s="23" t="n">
        <x:v>0.7942930808616803</x:v>
      </x:c>
      <x:c r="J1359" s="23" t="n">
        <x:v>7</x:v>
      </x:c>
      <x:c r="K1359" s="23" t="n">
        <x:v>172.76755539371555</x:v>
      </x:c>
      <x:c r="L1359" s="23" t="n">
        <x:v>14070</x:v>
      </x:c>
      <x:c r="M1359" s="23" t="n">
        <x:v>1200</x:v>
      </x:c>
      <x:c r="N1359" s="23" t="n">
        <x:v>250.03222980759517</x:v>
      </x:c>
      <x:c r="O1359" s="23" t="n">
        <x:v>2503.649109757365</x:v>
      </x:c>
      <x:c r="P1359" s="23" t="n">
        <x:v>960.5965169263072</x:v>
      </x:c>
      <x:c r="Q1359" s="23" t="n">
        <x:v>248.688100612325</x:v>
      </x:c>
      <x:c r="R1359" s="23" t="n">
        <x:v>2499.9021832100393</x:v>
      </x:c>
      <x:c r="S1359" s="23" t="n">
        <x:v>967.8043443367185</x:v>
      </x:c>
      <x:c r="T1359" s="23" t="n">
        <x:v>-1.3441291952701704</x:v>
      </x:c>
      <x:c r="U1359" s="23" t="n">
        <x:v>-3.746926547325529</x:v>
      </x:c>
      <x:c r="V1359" s="23" t="n">
        <x:v>7.207827410411255</x:v>
      </x:c>
    </x:row>
    <x:row r="1360">
      <x:c r="A1360" s="23" t="n">
        <x:v>1359</x:v>
      </x:c>
      <x:c r="B1360" s="23" t="str">
        <x:v>Hidden Test</x:v>
      </x:c>
      <x:c r="C1360" s="23" t="str">
        <x:v>Switching</x:v>
      </x:c>
      <x:c r="D1360" s="23" t="n">
        <x:v>1083.2934266189113</x:v>
      </x:c>
      <x:c r="E1360" s="23" t="n">
        <x:v>714.1965036396869</x:v>
      </x:c>
      <x:c r="F1360" s="23" t="n">
        <x:v>558.4092505276203</x:v>
      </x:c>
      <x:c r="G1360" s="23" t="n">
        <x:v>143.8510477147065</x:v>
      </x:c>
      <x:c r="H1360" s="23" t="n">
        <x:v>27.73085972573608</x:v>
      </x:c>
      <x:c r="I1360" s="23" t="n">
        <x:v>0.8297042426257395</x:v>
      </x:c>
      <x:c r="J1360" s="23" t="n">
        <x:v>7</x:v>
      </x:c>
      <x:c r="K1360" s="23" t="n">
        <x:v>186.51972094652598</x:v>
      </x:c>
      <x:c r="L1360" s="23" t="n">
        <x:v>15100</x:v>
      </x:c>
      <x:c r="M1360" s="23" t="n">
        <x:v>1200</x:v>
      </x:c>
      <x:c r="N1360" s="23" t="n">
        <x:v>250.03208587561437</x:v>
      </x:c>
      <x:c r="O1360" s="23" t="n">
        <x:v>2503.045478335115</x:v>
      </x:c>
      <x:c r="P1360" s="23" t="n">
        <x:v>1083.2934266189113</x:v>
      </x:c>
      <x:c r="Q1360" s="23" t="n">
        <x:v>248.07676944099484</x:v>
      </x:c>
      <x:c r="R1360" s="23" t="n">
        <x:v>2459.6582051552873</x:v>
      </x:c>
      <x:c r="S1360" s="23" t="n">
        <x:v>1085.2077594560308</x:v>
      </x:c>
      <x:c r="T1360" s="23" t="n">
        <x:v>-1.955316434619533</x:v>
      </x:c>
      <x:c r="U1360" s="23" t="n">
        <x:v>-43.387273179827844</x:v>
      </x:c>
      <x:c r="V1360" s="23" t="n">
        <x:v>1.9143328371194457</x:v>
      </x:c>
    </x:row>
    <x:row r="1361">
      <x:c r="A1361" s="23" t="n">
        <x:v>1360</x:v>
      </x:c>
      <x:c r="B1361" s="23" t="str">
        <x:v>Hidden Test</x:v>
      </x:c>
      <x:c r="C1361" s="23" t="str">
        <x:v>Switching</x:v>
      </x:c>
      <x:c r="D1361" s="23" t="n">
        <x:v>1019.439055013936</x:v>
      </x:c>
      <x:c r="E1361" s="23" t="n">
        <x:v>1156.6481603309512</x:v>
      </x:c>
      <x:c r="F1361" s="23" t="n">
        <x:v>400.78095933422446</x:v>
      </x:c>
      <x:c r="G1361" s="23" t="n">
        <x:v>249.22686819452792</x:v>
      </x:c>
      <x:c r="H1361" s="23" t="n">
        <x:v>22.23826710274443</x:v>
      </x:c>
      <x:c r="I1361" s="23" t="n">
        <x:v>0.8432721988763661</x:v>
      </x:c>
      <x:c r="J1361" s="23" t="n">
        <x:v>7</x:v>
      </x:c>
      <x:c r="K1361" s="23" t="n">
        <x:v>172.70123562751095</x:v>
      </x:c>
      <x:c r="L1361" s="23" t="n">
        <x:v>11835</x:v>
      </x:c>
      <x:c r="M1361" s="23" t="n">
        <x:v>1195</x:v>
      </x:c>
      <x:c r="N1361" s="23" t="n">
        <x:v>249.95349392640307</x:v>
      </x:c>
      <x:c r="O1361" s="23" t="n">
        <x:v>2494.878085395543</x:v>
      </x:c>
      <x:c r="P1361" s="23" t="n">
        <x:v>1019.439055013936</x:v>
      </x:c>
      <x:c r="Q1361" s="23" t="n">
        <x:v>247.52894668877326</x:v>
      </x:c>
      <x:c r="R1361" s="23" t="n">
        <x:v>2489.3235859146293</x:v>
      </x:c>
      <x:c r="S1361" s="23" t="n">
        <x:v>1012.4735347711046</x:v>
      </x:c>
      <x:c r="T1361" s="23" t="n">
        <x:v>-2.4245472376298096</x:v>
      </x:c>
      <x:c r="U1361" s="23" t="n">
        <x:v>-5.554499480913819</x:v>
      </x:c>
      <x:c r="V1361" s="23" t="n">
        <x:v>-6.965520242831417</x:v>
      </x:c>
    </x:row>
    <x:row r="1362">
      <x:c r="A1362" s="23" t="n">
        <x:v>1361</x:v>
      </x:c>
      <x:c r="B1362" s="23" t="str">
        <x:v>Train</x:v>
      </x:c>
      <x:c r="C1362" s="23" t="str">
        <x:v>Switching</x:v>
      </x:c>
      <x:c r="D1362" s="23" t="n">
        <x:v>1009.9120722152293</x:v>
      </x:c>
      <x:c r="E1362" s="23" t="n">
        <x:v>935.461751872208</x:v>
      </x:c>
      <x:c r="F1362" s="23" t="n">
        <x:v>458.2949349656701</x:v>
      </x:c>
      <x:c r="G1362" s="23" t="n">
        <x:v>155.65682573476806</x:v>
      </x:c>
      <x:c r="H1362" s="23" t="n">
        <x:v>28.844837905839086</x:v>
      </x:c>
      <x:c r="I1362" s="23" t="n">
        <x:v>0.818664084293414</x:v>
      </x:c>
      <x:c r="J1362" s="23" t="n">
        <x:v>7</x:v>
      </x:c>
      <x:c r="K1362" s="23" t="n">
        <x:v>176.22997752261946</x:v>
      </x:c>
      <x:c r="L1362" s="23" t="n">
        <x:v>13800</x:v>
      </x:c>
      <x:c r="M1362" s="23" t="n">
        <x:v>1200</x:v>
      </x:c>
      <x:c r="N1362" s="23" t="n">
        <x:v>249.95511000365073</x:v>
      </x:c>
      <x:c r="O1362" s="23" t="n">
        <x:v>2503.819445939388</x:v>
      </x:c>
      <x:c r="P1362" s="23" t="n">
        <x:v>1009.9120722152293</x:v>
      </x:c>
      <x:c r="Q1362" s="23" t="n">
        <x:v>247.88202913237765</x:v>
      </x:c>
      <x:c r="R1362" s="23" t="n">
        <x:v>2490.716662140361</x:v>
      </x:c>
      <x:c r="S1362" s="23" t="n">
        <x:v>996.4368445077001</x:v>
      </x:c>
      <x:c r="T1362" s="23" t="n">
        <x:v>-2.0730808712730777</x:v>
      </x:c>
      <x:c r="U1362" s="23" t="n">
        <x:v>-13.102783799026838</x:v>
      </x:c>
      <x:c r="V1362" s="23" t="n">
        <x:v>-13.475227707529143</x:v>
      </x:c>
    </x:row>
    <x:row r="1363">
      <x:c r="A1363" s="23" t="n">
        <x:v>1362</x:v>
      </x:c>
      <x:c r="B1363" s="23" t="str">
        <x:v>Train</x:v>
      </x:c>
      <x:c r="C1363" s="23" t="str">
        <x:v>Switching</x:v>
      </x:c>
      <x:c r="D1363" s="23" t="n">
        <x:v>962.526344100479</x:v>
      </x:c>
      <x:c r="E1363" s="23" t="n">
        <x:v>1242.7375317784026</x:v>
      </x:c>
      <x:c r="F1363" s="23" t="n">
        <x:v>530.6323864497244</x:v>
      </x:c>
      <x:c r="G1363" s="23" t="n">
        <x:v>90.92651044018567</x:v>
      </x:c>
      <x:c r="H1363" s="23" t="n">
        <x:v>8.775055006612092</x:v>
      </x:c>
      <x:c r="I1363" s="23" t="n">
        <x:v>0.7951811976218597</x:v>
      </x:c>
      <x:c r="J1363" s="23" t="n">
        <x:v>7</x:v>
      </x:c>
      <x:c r="K1363" s="23" t="n">
        <x:v>172.92129624563142</x:v>
      </x:c>
      <x:c r="L1363" s="23" t="n">
        <x:v>11470</x:v>
      </x:c>
      <x:c r="M1363" s="23" t="n">
        <x:v>1195</x:v>
      </x:c>
      <x:c r="N1363" s="23" t="n">
        <x:v>249.97310977744502</x:v>
      </x:c>
      <x:c r="O1363" s="23" t="n">
        <x:v>2495.212223860686</x:v>
      </x:c>
      <x:c r="P1363" s="23" t="n">
        <x:v>962.526344100479</x:v>
      </x:c>
      <x:c r="Q1363" s="23" t="n">
        <x:v>253.21996952429708</x:v>
      </x:c>
      <x:c r="R1363" s="23" t="n">
        <x:v>2532.562079080758</x:v>
      </x:c>
      <x:c r="S1363" s="23" t="n">
        <x:v>965.419504807906</x:v>
      </x:c>
      <x:c r="T1363" s="23" t="n">
        <x:v>3.246859746852067</x:v>
      </x:c>
      <x:c r="U1363" s="23" t="n">
        <x:v>37.34985522007173</x:v>
      </x:c>
      <x:c r="V1363" s="23" t="n">
        <x:v>2.8931607074270005</x:v>
      </x:c>
    </x:row>
    <x:row r="1364">
      <x:c r="A1364" s="23" t="n">
        <x:v>1363</x:v>
      </x:c>
      <x:c r="B1364" s="23" t="str">
        <x:v>Train</x:v>
      </x:c>
      <x:c r="C1364" s="23" t="str">
        <x:v>Switching</x:v>
      </x:c>
      <x:c r="D1364" s="23" t="n">
        <x:v>1055.303039564751</x:v>
      </x:c>
      <x:c r="E1364" s="23" t="n">
        <x:v>935.1474240073003</x:v>
      </x:c>
      <x:c r="F1364" s="23" t="n">
        <x:v>485.0091900676489</x:v>
      </x:c>
      <x:c r="G1364" s="23" t="n">
        <x:v>246.57783900154755</x:v>
      </x:c>
      <x:c r="H1364" s="23" t="n">
        <x:v>11.210331884212792</x:v>
      </x:c>
      <x:c r="I1364" s="23" t="n">
        <x:v>0.8373233876819722</x:v>
      </x:c>
      <x:c r="J1364" s="23" t="n">
        <x:v>7</x:v>
      </x:c>
      <x:c r="K1364" s="23" t="n">
        <x:v>180.0470156435409</x:v>
      </x:c>
      <x:c r="L1364" s="23" t="n">
        <x:v>12830</x:v>
      </x:c>
      <x:c r="M1364" s="23" t="n">
        <x:v>1200</x:v>
      </x:c>
      <x:c r="N1364" s="23" t="n">
        <x:v>249.98159402280754</x:v>
      </x:c>
      <x:c r="O1364" s="23" t="n">
        <x:v>2504.5023945982484</x:v>
      </x:c>
      <x:c r="P1364" s="23" t="n">
        <x:v>1055.303039564751</x:v>
      </x:c>
      <x:c r="Q1364" s="23" t="n">
        <x:v>252.92593474425917</x:v>
      </x:c>
      <x:c r="R1364" s="23" t="n">
        <x:v>2486.9759943282274</x:v>
      </x:c>
      <x:c r="S1364" s="23" t="n">
        <x:v>1063.2981085317144</x:v>
      </x:c>
      <x:c r="T1364" s="23" t="n">
        <x:v>2.944340721451624</x:v>
      </x:c>
      <x:c r="U1364" s="23" t="n">
        <x:v>-17.526400270020986</x:v>
      </x:c>
      <x:c r="V1364" s="23" t="n">
        <x:v>7.995068966963345</x:v>
      </x:c>
    </x:row>
    <x:row r="1365">
      <x:c r="A1365" s="23" t="n">
        <x:v>1364</x:v>
      </x:c>
      <x:c r="B1365" s="23" t="str">
        <x:v>Train</x:v>
      </x:c>
      <x:c r="C1365" s="23" t="str">
        <x:v>Switching</x:v>
      </x:c>
      <x:c r="D1365" s="23" t="n">
        <x:v>1029.6623406349681</x:v>
      </x:c>
      <x:c r="E1365" s="23" t="n">
        <x:v>1219.474337110296</x:v>
      </x:c>
      <x:c r="F1365" s="23" t="n">
        <x:v>703.4908908419311</x:v>
      </x:c>
      <x:c r="G1365" s="23" t="n">
        <x:v>154.6911590686068</x:v>
      </x:c>
      <x:c r="H1365" s="23" t="n">
        <x:v>17.729778602253646</x:v>
      </x:c>
      <x:c r="I1365" s="23" t="n">
        <x:v>0.82474994616583</x:v>
      </x:c>
      <x:c r="J1365" s="23" t="n">
        <x:v>7</x:v>
      </x:c>
      <x:c r="K1365" s="23" t="n">
        <x:v>178.35056646506754</x:v>
      </x:c>
      <x:c r="L1365" s="23" t="n">
        <x:v>10295</x:v>
      </x:c>
      <x:c r="M1365" s="23" t="n">
        <x:v>1195</x:v>
      </x:c>
      <x:c r="N1365" s="23" t="n">
        <x:v>250.04344715247896</x:v>
      </x:c>
      <x:c r="O1365" s="23" t="n">
        <x:v>2496.449059804458</x:v>
      </x:c>
      <x:c r="P1365" s="23" t="n">
        <x:v>1029.6623406349681</x:v>
      </x:c>
      <x:c r="Q1365" s="23" t="n">
        <x:v>253.91821772988715</x:v>
      </x:c>
      <x:c r="R1365" s="23" t="n">
        <x:v>2554.592177816332</x:v>
      </x:c>
      <x:c r="S1365" s="23" t="n">
        <x:v>1026.9062820383995</x:v>
      </x:c>
      <x:c r="T1365" s="23" t="n">
        <x:v>3.874770577408185</x:v>
      </x:c>
      <x:c r="U1365" s="23" t="n">
        <x:v>58.14311801187387</x:v>
      </x:c>
      <x:c r="V1365" s="23" t="n">
        <x:v>-2.756058596568664</x:v>
      </x:c>
    </x:row>
    <x:row r="1366">
      <x:c r="A1366" s="23" t="n">
        <x:v>1365</x:v>
      </x:c>
      <x:c r="B1366" s="23" t="str">
        <x:v>Train</x:v>
      </x:c>
      <x:c r="C1366" s="23" t="str">
        <x:v>Switching</x:v>
      </x:c>
      <x:c r="D1366" s="23" t="n">
        <x:v>1041.5527627337724</x:v>
      </x:c>
      <x:c r="E1366" s="23" t="n">
        <x:v>1240.4650565120392</x:v>
      </x:c>
      <x:c r="F1366" s="23" t="n">
        <x:v>381.77531342953444</x:v>
      </x:c>
      <x:c r="G1366" s="23" t="n">
        <x:v>141.25842808978632</x:v>
      </x:c>
      <x:c r="H1366" s="23" t="n">
        <x:v>29.474916741251945</x:v>
      </x:c>
      <x:c r="I1366" s="23" t="n">
        <x:v>0.812216179354582</x:v>
      </x:c>
      <x:c r="J1366" s="23" t="n">
        <x:v>7</x:v>
      </x:c>
      <x:c r="K1366" s="23" t="n">
        <x:v>183.19414904705192</x:v>
      </x:c>
      <x:c r="L1366" s="23" t="n">
        <x:v>12125</x:v>
      </x:c>
      <x:c r="M1366" s="23" t="n">
        <x:v>1200</x:v>
      </x:c>
      <x:c r="N1366" s="23" t="n">
        <x:v>249.96124894077147</x:v>
      </x:c>
      <x:c r="O1366" s="23" t="n">
        <x:v>2505.0656792031</x:v>
      </x:c>
      <x:c r="P1366" s="23" t="n">
        <x:v>1041.5527627337724</x:v>
      </x:c>
      <x:c r="Q1366" s="23" t="n">
        <x:v>247.43137096877416</x:v>
      </x:c>
      <x:c r="R1366" s="23" t="n">
        <x:v>2514.34984029501</x:v>
      </x:c>
      <x:c r="S1366" s="23" t="n">
        <x:v>1030.758823248271</x:v>
      </x:c>
      <x:c r="T1366" s="23" t="n">
        <x:v>-2.5298779719973084</x:v>
      </x:c>
      <x:c r="U1366" s="23" t="n">
        <x:v>9.284161091909937</x:v>
      </x:c>
      <x:c r="V1366" s="23" t="n">
        <x:v>-10.793939485501369</x:v>
      </x:c>
    </x:row>
    <x:row r="1367">
      <x:c r="A1367" s="23" t="n">
        <x:v>1366</x:v>
      </x:c>
      <x:c r="B1367" s="23" t="str">
        <x:v>Train</x:v>
      </x:c>
      <x:c r="C1367" s="23" t="str">
        <x:v>Switching</x:v>
      </x:c>
      <x:c r="D1367" s="23" t="n">
        <x:v>1088.793012232054</x:v>
      </x:c>
      <x:c r="E1367" s="23" t="n">
        <x:v>704.4149411609396</x:v>
      </x:c>
      <x:c r="F1367" s="23" t="n">
        <x:v>678.2339048571885</x:v>
      </x:c>
      <x:c r="G1367" s="23" t="n">
        <x:v>101.81850047782063</x:v>
      </x:c>
      <x:c r="H1367" s="23" t="n">
        <x:v>29.870185709092766</x:v>
      </x:c>
      <x:c r="I1367" s="23" t="n">
        <x:v>0.8220120278513059</x:v>
      </x:c>
      <x:c r="J1367" s="23" t="n">
        <x:v>7</x:v>
      </x:c>
      <x:c r="K1367" s="23" t="n">
        <x:v>189.2209038557152</x:v>
      </x:c>
      <x:c r="L1367" s="23" t="n">
        <x:v>14405</x:v>
      </x:c>
      <x:c r="M1367" s="23" t="n">
        <x:v>1200</x:v>
      </x:c>
      <x:c r="N1367" s="23" t="n">
        <x:v>249.97668073206123</x:v>
      </x:c>
      <x:c r="O1367" s="23" t="n">
        <x:v>2503.4413813174224</x:v>
      </x:c>
      <x:c r="P1367" s="23" t="n">
        <x:v>1088.793012232054</x:v>
      </x:c>
      <x:c r="Q1367" s="23" t="n">
        <x:v>250.66650659386843</x:v>
      </x:c>
      <x:c r="R1367" s="23" t="n">
        <x:v>2497.0843073585825</x:v>
      </x:c>
      <x:c r="S1367" s="23" t="n">
        <x:v>1078.9085079488277</x:v>
      </x:c>
      <x:c r="T1367" s="23" t="n">
        <x:v>0.6898258618072077</x:v>
      </x:c>
      <x:c r="U1367" s="23" t="n">
        <x:v>-6.357073958839919</x:v>
      </x:c>
      <x:c r="V1367" s="23" t="n">
        <x:v>-9.884504283226306</x:v>
      </x:c>
    </x:row>
    <x:row r="1368">
      <x:c r="A1368" s="23" t="n">
        <x:v>1367</x:v>
      </x:c>
      <x:c r="B1368" s="23" t="str">
        <x:v>Train</x:v>
      </x:c>
      <x:c r="C1368" s="23" t="str">
        <x:v>Switching</x:v>
      </x:c>
      <x:c r="D1368" s="23" t="n">
        <x:v>1004.9363349797204</x:v>
      </x:c>
      <x:c r="E1368" s="23" t="n">
        <x:v>983.0333652091213</x:v>
      </x:c>
      <x:c r="F1368" s="23" t="n">
        <x:v>359.64239686727524</x:v>
      </x:c>
      <x:c r="G1368" s="23" t="n">
        <x:v>145.67043153336272</x:v>
      </x:c>
      <x:c r="H1368" s="23" t="n">
        <x:v>19.797725613228977</x:v>
      </x:c>
      <x:c r="I1368" s="23" t="n">
        <x:v>0.8486086307070219</x:v>
      </x:c>
      <x:c r="J1368" s="23" t="n">
        <x:v>6</x:v>
      </x:c>
      <x:c r="K1368" s="23" t="n">
        <x:v>197.36941518464434</x:v>
      </x:c>
      <x:c r="L1368" s="23" t="n">
        <x:v>16765</x:v>
      </x:c>
      <x:c r="M1368" s="23" t="n">
        <x:v>1200</x:v>
      </x:c>
      <x:c r="N1368" s="23" t="n">
        <x:v>250.02069269054252</x:v>
      </x:c>
      <x:c r="O1368" s="23" t="n">
        <x:v>2502.2262521676353</x:v>
      </x:c>
      <x:c r="P1368" s="23" t="n">
        <x:v>1004.9363349797204</x:v>
      </x:c>
      <x:c r="Q1368" s="23" t="n">
        <x:v>250.259520383396</x:v>
      </x:c>
      <x:c r="R1368" s="23" t="n">
        <x:v>2510.6187290992184</x:v>
      </x:c>
      <x:c r="S1368" s="23" t="n">
        <x:v>1007.7889106123636</x:v>
      </x:c>
      <x:c r="T1368" s="23" t="n">
        <x:v>0.2388276928534765</x:v>
      </x:c>
      <x:c r="U1368" s="23" t="n">
        <x:v>8.392476931583133</x:v>
      </x:c>
      <x:c r="V1368" s="23" t="n">
        <x:v>2.852575632643152</x:v>
      </x:c>
    </x:row>
    <x:row r="1369">
      <x:c r="A1369" s="23" t="n">
        <x:v>1368</x:v>
      </x:c>
      <x:c r="B1369" s="23" t="str">
        <x:v>Train</x:v>
      </x:c>
      <x:c r="C1369" s="23" t="str">
        <x:v>Switching</x:v>
      </x:c>
      <x:c r="D1369" s="23" t="n">
        <x:v>1032.2319808299653</x:v>
      </x:c>
      <x:c r="E1369" s="23" t="n">
        <x:v>1134.3051738105714</x:v>
      </x:c>
      <x:c r="F1369" s="23" t="n">
        <x:v>364.08075308427215</x:v>
      </x:c>
      <x:c r="G1369" s="23" t="n">
        <x:v>242.4717420199886</x:v>
      </x:c>
      <x:c r="H1369" s="23" t="n">
        <x:v>15.515447696205229</x:v>
      </x:c>
      <x:c r="I1369" s="23" t="n">
        <x:v>0.8401773408520967</x:v>
      </x:c>
      <x:c r="J1369" s="23" t="n">
        <x:v>7</x:v>
      </x:c>
      <x:c r="K1369" s="23" t="n">
        <x:v>175.5126023722375</x:v>
      </x:c>
      <x:c r="L1369" s="23" t="n">
        <x:v>12285</x:v>
      </x:c>
      <x:c r="M1369" s="23" t="n">
        <x:v>1200</x:v>
      </x:c>
      <x:c r="N1369" s="23" t="n">
        <x:v>250.0078188800573</x:v>
      </x:c>
      <x:c r="O1369" s="23" t="n">
        <x:v>2504.933880662287</x:v>
      </x:c>
      <x:c r="P1369" s="23" t="n">
        <x:v>1032.2319808299653</x:v>
      </x:c>
      <x:c r="Q1369" s="23" t="n">
        <x:v>252.39417143720073</x:v>
      </x:c>
      <x:c r="R1369" s="23" t="n">
        <x:v>2487.7471808906553</x:v>
      </x:c>
      <x:c r="S1369" s="23" t="n">
        <x:v>1036.1992046733565</x:v>
      </x:c>
      <x:c r="T1369" s="23" t="n">
        <x:v>2.386352557143425</x:v>
      </x:c>
      <x:c r="U1369" s="23" t="n">
        <x:v>-17.186699771631538</x:v>
      </x:c>
      <x:c r="V1369" s="23" t="n">
        <x:v>3.967223843391139</x:v>
      </x:c>
    </x:row>
    <x:row r="1370">
      <x:c r="A1370" s="23" t="n">
        <x:v>1369</x:v>
      </x:c>
      <x:c r="B1370" s="23" t="str">
        <x:v>Train</x:v>
      </x:c>
      <x:c r="C1370" s="23" t="str">
        <x:v>Switching</x:v>
      </x:c>
      <x:c r="D1370" s="23" t="n">
        <x:v>991.0250641405582</x:v>
      </x:c>
      <x:c r="E1370" s="23" t="n">
        <x:v>947.96128742164</x:v>
      </x:c>
      <x:c r="F1370" s="23" t="n">
        <x:v>421.0090385749936</x:v>
      </x:c>
      <x:c r="G1370" s="23" t="n">
        <x:v>88.97576898569241</x:v>
      </x:c>
      <x:c r="H1370" s="23" t="n">
        <x:v>25.67813545279205</x:v>
      </x:c>
      <x:c r="I1370" s="23" t="n">
        <x:v>0.858752899367828</x:v>
      </x:c>
      <x:c r="J1370" s="23" t="n">
        <x:v>6</x:v>
      </x:c>
      <x:c r="K1370" s="23" t="n">
        <x:v>192.33803361248283</x:v>
      </x:c>
      <x:c r="L1370" s="23" t="n">
        <x:v>17115</x:v>
      </x:c>
      <x:c r="M1370" s="23" t="n">
        <x:v>1200</x:v>
      </x:c>
      <x:c r="N1370" s="23" t="n">
        <x:v>250.02705109355105</x:v>
      </x:c>
      <x:c r="O1370" s="23" t="n">
        <x:v>2502.0745678355233</x:v>
      </x:c>
      <x:c r="P1370" s="23" t="n">
        <x:v>991.0250641405582</x:v>
      </x:c>
      <x:c r="Q1370" s="23" t="n">
        <x:v>248.01984522395452</x:v>
      </x:c>
      <x:c r="R1370" s="23" t="n">
        <x:v>2480.487308315037</x:v>
      </x:c>
      <x:c r="S1370" s="23" t="n">
        <x:v>983.894557213426</x:v>
      </x:c>
      <x:c r="T1370" s="23" t="n">
        <x:v>-2.0072058695965325</x:v>
      </x:c>
      <x:c r="U1370" s="23" t="n">
        <x:v>-21.58725952048644</x:v>
      </x:c>
      <x:c r="V1370" s="23" t="n">
        <x:v>-7.130506927132274</x:v>
      </x:c>
    </x:row>
    <x:row r="1371">
      <x:c r="A1371" s="23" t="n">
        <x:v>1370</x:v>
      </x:c>
      <x:c r="B1371" s="23" t="str">
        <x:v>Train</x:v>
      </x:c>
      <x:c r="C1371" s="23" t="str">
        <x:v>Switching</x:v>
      </x:c>
      <x:c r="D1371" s="23" t="n">
        <x:v>990.3506128699519</x:v>
      </x:c>
      <x:c r="E1371" s="23" t="n">
        <x:v>770.2893944690004</x:v>
      </x:c>
      <x:c r="F1371" s="23" t="n">
        <x:v>600.93704322353</x:v>
      </x:c>
      <x:c r="G1371" s="23" t="n">
        <x:v>252.68677218817174</x:v>
      </x:c>
      <x:c r="H1371" s="23" t="n">
        <x:v>8.747428860981017</x:v>
      </x:c>
      <x:c r="I1371" s="23" t="n">
        <x:v>0.8511491994606332</x:v>
      </x:c>
      <x:c r="J1371" s="23" t="n">
        <x:v>6</x:v>
      </x:c>
      <x:c r="K1371" s="23" t="n">
        <x:v>193.92420927250078</x:v>
      </x:c>
      <x:c r="L1371" s="23" t="n">
        <x:v>15365</x:v>
      </x:c>
      <x:c r="M1371" s="23" t="n">
        <x:v>1200</x:v>
      </x:c>
      <x:c r="N1371" s="23" t="n">
        <x:v>250.0134912994885</x:v>
      </x:c>
      <x:c r="O1371" s="23" t="n">
        <x:v>2502.9026773520204</x:v>
      </x:c>
      <x:c r="P1371" s="23" t="n">
        <x:v>990.3506128699519</x:v>
      </x:c>
      <x:c r="Q1371" s="23" t="n">
        <x:v>252.7271616032615</x:v>
      </x:c>
      <x:c r="R1371" s="23" t="n">
        <x:v>2513.8436468672808</x:v>
      </x:c>
      <x:c r="S1371" s="23" t="n">
        <x:v>989.8724492335542</x:v>
      </x:c>
      <x:c r="T1371" s="23" t="n">
        <x:v>2.713670303773</x:v>
      </x:c>
      <x:c r="U1371" s="23" t="n">
        <x:v>10.940969515260349</x:v>
      </x:c>
      <x:c r="V1371" s="23" t="n">
        <x:v>-0.47816363639765314</x:v>
      </x:c>
    </x:row>
    <x:row r="1372">
      <x:c r="A1372" s="23" t="n">
        <x:v>1371</x:v>
      </x:c>
      <x:c r="B1372" s="23" t="str">
        <x:v>Train</x:v>
      </x:c>
      <x:c r="C1372" s="23" t="str">
        <x:v>Switching</x:v>
      </x:c>
      <x:c r="D1372" s="23" t="n">
        <x:v>986.182425240986</x:v>
      </x:c>
      <x:c r="E1372" s="23" t="n">
        <x:v>976.0659423307516</x:v>
      </x:c>
      <x:c r="F1372" s="23" t="n">
        <x:v>667.6014009863138</x:v>
      </x:c>
      <x:c r="G1372" s="23" t="n">
        <x:v>309.00245821801946</x:v>
      </x:c>
      <x:c r="H1372" s="23" t="n">
        <x:v>19.068846100009978</x:v>
      </x:c>
      <x:c r="I1372" s="23" t="n">
        <x:v>0.835334909807425</x:v>
      </x:c>
      <x:c r="J1372" s="23" t="n">
        <x:v>6</x:v>
      </x:c>
      <x:c r="K1372" s="23" t="n">
        <x:v>196.76387950559393</x:v>
      </x:c>
      <x:c r="L1372" s="23" t="n">
        <x:v>12775</x:v>
      </x:c>
      <x:c r="M1372" s="23" t="n">
        <x:v>1200</x:v>
      </x:c>
      <x:c r="N1372" s="23" t="n">
        <x:v>249.95299360427248</x:v>
      </x:c>
      <x:c r="O1372" s="23" t="n">
        <x:v>2504.543041241739</x:v>
      </x:c>
      <x:c r="P1372" s="23" t="n">
        <x:v>986.182425240986</x:v>
      </x:c>
      <x:c r="Q1372" s="23" t="n">
        <x:v>253.57463183338083</x:v>
      </x:c>
      <x:c r="R1372" s="23" t="n">
        <x:v>2479.906136347737</x:v>
      </x:c>
      <x:c r="S1372" s="23" t="n">
        <x:v>984.9314695511325</x:v>
      </x:c>
      <x:c r="T1372" s="23" t="n">
        <x:v>3.621638229108356</x:v>
      </x:c>
      <x:c r="U1372" s="23" t="n">
        <x:v>-24.636904894001873</x:v>
      </x:c>
      <x:c r="V1372" s="23" t="n">
        <x:v>-1.2509556898535266</x:v>
      </x:c>
    </x:row>
    <x:row r="1373">
      <x:c r="A1373" s="23" t="n">
        <x:v>1372</x:v>
      </x:c>
      <x:c r="B1373" s="23" t="str">
        <x:v>Train</x:v>
      </x:c>
      <x:c r="C1373" s="23" t="str">
        <x:v>Switching</x:v>
      </x:c>
      <x:c r="D1373" s="23" t="n">
        <x:v>992.2186404815875</x:v>
      </x:c>
      <x:c r="E1373" s="23" t="n">
        <x:v>894.4838448893279</x:v>
      </x:c>
      <x:c r="F1373" s="23" t="n">
        <x:v>642.528363596648</x:v>
      </x:c>
      <x:c r="G1373" s="23" t="n">
        <x:v>123.0268122581765</x:v>
      </x:c>
      <x:c r="H1373" s="23" t="n">
        <x:v>9.20481103239581</x:v>
      </x:c>
      <x:c r="I1373" s="23" t="n">
        <x:v>0.8258819810301066</x:v>
      </x:c>
      <x:c r="J1373" s="23" t="n">
        <x:v>7</x:v>
      </x:c>
      <x:c r="K1373" s="23" t="n">
        <x:v>171.62926825452928</x:v>
      </x:c>
      <x:c r="L1373" s="23" t="n">
        <x:v>12885</x:v>
      </x:c>
      <x:c r="M1373" s="23" t="n">
        <x:v>1200</x:v>
      </x:c>
      <x:c r="N1373" s="23" t="n">
        <x:v>250.04466956375447</x:v>
      </x:c>
      <x:c r="O1373" s="23" t="n">
        <x:v>2504.4634191475557</x:v>
      </x:c>
      <x:c r="P1373" s="23" t="n">
        <x:v>992.2186404815875</x:v>
      </x:c>
      <x:c r="Q1373" s="23" t="n">
        <x:v>250.6686962671007</x:v>
      </x:c>
      <x:c r="R1373" s="23" t="n">
        <x:v>2502.8459490310734</x:v>
      </x:c>
      <x:c r="S1373" s="23" t="n">
        <x:v>999.8668020763774</x:v>
      </x:c>
      <x:c r="T1373" s="23" t="n">
        <x:v>0.6240267033462317</x:v>
      </x:c>
      <x:c r="U1373" s="23" t="n">
        <x:v>-1.617470116482309</x:v>
      </x:c>
      <x:c r="V1373" s="23" t="n">
        <x:v>7.64816159478994</x:v>
      </x:c>
    </x:row>
    <x:row r="1374">
      <x:c r="A1374" s="23" t="n">
        <x:v>1373</x:v>
      </x:c>
      <x:c r="B1374" s="23" t="str">
        <x:v>Train</x:v>
      </x:c>
      <x:c r="C1374" s="23" t="str">
        <x:v>Switching</x:v>
      </x:c>
      <x:c r="D1374" s="23" t="n">
        <x:v>1025.603439612314</x:v>
      </x:c>
      <x:c r="E1374" s="23" t="n">
        <x:v>603.1671599368565</x:v>
      </x:c>
      <x:c r="F1374" s="23" t="n">
        <x:v>639.4388174638152</x:v>
      </x:c>
      <x:c r="G1374" s="23" t="n">
        <x:v>231.2913413462229</x:v>
      </x:c>
      <x:c r="H1374" s="23" t="n">
        <x:v>10.549475710839033</x:v>
      </x:c>
      <x:c r="I1374" s="23" t="n">
        <x:v>0.8003443446406163</x:v>
      </x:c>
      <x:c r="J1374" s="23" t="n">
        <x:v>7</x:v>
      </x:c>
      <x:c r="K1374" s="23" t="n">
        <x:v>183.06467468482444</x:v>
      </x:c>
      <x:c r="L1374" s="23" t="n">
        <x:v>14510</x:v>
      </x:c>
      <x:c r="M1374" s="23" t="n">
        <x:v>1200</x:v>
      </x:c>
      <x:c r="N1374" s="23" t="n">
        <x:v>250.00548042694956</x:v>
      </x:c>
      <x:c r="O1374" s="23" t="n">
        <x:v>2503.3798510718893</x:v>
      </x:c>
      <x:c r="P1374" s="23" t="n">
        <x:v>1025.603439612314</x:v>
      </x:c>
      <x:c r="Q1374" s="23" t="n">
        <x:v>251.81233003039236</x:v>
      </x:c>
      <x:c r="R1374" s="23" t="n">
        <x:v>2441.3860520503094</x:v>
      </x:c>
      <x:c r="S1374" s="23" t="n">
        <x:v>1030.2611065012095</x:v>
      </x:c>
      <x:c r="T1374" s="23" t="n">
        <x:v>1.8068496034427994</x:v>
      </x:c>
      <x:c r="U1374" s="23" t="n">
        <x:v>-61.99379902157989</x:v>
      </x:c>
      <x:c r="V1374" s="23" t="n">
        <x:v>4.657666888895392</x:v>
      </x:c>
    </x:row>
    <x:row r="1375">
      <x:c r="A1375" s="23" t="n">
        <x:v>1374</x:v>
      </x:c>
      <x:c r="B1375" s="23" t="str">
        <x:v>Train</x:v>
      </x:c>
      <x:c r="C1375" s="23" t="str">
        <x:v>Switching</x:v>
      </x:c>
      <x:c r="D1375" s="23" t="n">
        <x:v>977.8278820333071</x:v>
      </x:c>
      <x:c r="E1375" s="23" t="n">
        <x:v>993.2573078898713</x:v>
      </x:c>
      <x:c r="F1375" s="23" t="n">
        <x:v>580.0674279220402</x:v>
      </x:c>
      <x:c r="G1375" s="23" t="n">
        <x:v>254.9307019636035</x:v>
      </x:c>
      <x:c r="H1375" s="23" t="n">
        <x:v>15.541860508266836</x:v>
      </x:c>
      <x:c r="I1375" s="23" t="n">
        <x:v>0.7981327853677794</x:v>
      </x:c>
      <x:c r="J1375" s="23" t="n">
        <x:v>7</x:v>
      </x:c>
      <x:c r="K1375" s="23" t="n">
        <x:v>175.02062312721637</x:v>
      </x:c>
      <x:c r="L1375" s="23" t="n">
        <x:v>11695</x:v>
      </x:c>
      <x:c r="M1375" s="23" t="n">
        <x:v>1195</x:v>
      </x:c>
      <x:c r="N1375" s="23" t="n">
        <x:v>249.9495157667451</x:v>
      </x:c>
      <x:c r="O1375" s="23" t="n">
        <x:v>2495.003296218735</x:v>
      </x:c>
      <x:c r="P1375" s="23" t="n">
        <x:v>977.8278820333071</x:v>
      </x:c>
      <x:c r="Q1375" s="23" t="n">
        <x:v>249.88265187317472</x:v>
      </x:c>
      <x:c r="R1375" s="23" t="n">
        <x:v>2480.784921933729</x:v>
      </x:c>
      <x:c r="S1375" s="23" t="n">
        <x:v>973.8181441947601</x:v>
      </x:c>
      <x:c r="T1375" s="23" t="n">
        <x:v>-0.06686389357037115</x:v>
      </x:c>
      <x:c r="U1375" s="23" t="n">
        <x:v>-14.21837428500612</x:v>
      </x:c>
      <x:c r="V1375" s="23" t="n">
        <x:v>-4.009737838547039</x:v>
      </x:c>
    </x:row>
    <x:row r="1376">
      <x:c r="A1376" s="23" t="n">
        <x:v>1375</x:v>
      </x:c>
      <x:c r="B1376" s="23" t="str">
        <x:v>Validation</x:v>
      </x:c>
      <x:c r="C1376" s="23" t="str">
        <x:v>Switching</x:v>
      </x:c>
      <x:c r="D1376" s="23" t="n">
        <x:v>980.8943066978827</x:v>
      </x:c>
      <x:c r="E1376" s="23" t="n">
        <x:v>735.4881196399219</x:v>
      </x:c>
      <x:c r="F1376" s="23" t="n">
        <x:v>452.02327594161034</x:v>
      </x:c>
      <x:c r="G1376" s="23" t="n">
        <x:v>322.3836863017641</x:v>
      </x:c>
      <x:c r="H1376" s="23" t="n">
        <x:v>9.272342464886606</x:v>
      </x:c>
      <x:c r="I1376" s="23" t="n">
        <x:v>0.8569291024818085</x:v>
      </x:c>
      <x:c r="J1376" s="23" t="n">
        <x:v>6</x:v>
      </x:c>
      <x:c r="K1376" s="23" t="n">
        <x:v>190.77702458251804</x:v>
      </x:c>
      <x:c r="L1376" s="23" t="n">
        <x:v>16525</x:v>
      </x:c>
      <x:c r="M1376" s="23" t="n">
        <x:v>1200</x:v>
      </x:c>
      <x:c r="N1376" s="23" t="n">
        <x:v>250.0093778252158</x:v>
      </x:c>
      <x:c r="O1376" s="23" t="n">
        <x:v>2502.3337725005645</x:v>
      </x:c>
      <x:c r="P1376" s="23" t="n">
        <x:v>980.8943066978827</x:v>
      </x:c>
      <x:c r="Q1376" s="23" t="n">
        <x:v>251.52243286167183</x:v>
      </x:c>
      <x:c r="R1376" s="23" t="n">
        <x:v>2451.759582783783</x:v>
      </x:c>
      <x:c r="S1376" s="23" t="n">
        <x:v>982.5029802951933</x:v>
      </x:c>
      <x:c r="T1376" s="23" t="n">
        <x:v>1.5130550364560236</x:v>
      </x:c>
      <x:c r="U1376" s="23" t="n">
        <x:v>-50.57418971678135</x:v>
      </x:c>
      <x:c r="V1376" s="23" t="n">
        <x:v>1.6086735973105988</x:v>
      </x:c>
    </x:row>
    <x:row r="1377">
      <x:c r="A1377" s="23" t="n">
        <x:v>1376</x:v>
      </x:c>
      <x:c r="B1377" s="23" t="str">
        <x:v>Validation</x:v>
      </x:c>
      <x:c r="C1377" s="23" t="str">
        <x:v>Switching</x:v>
      </x:c>
      <x:c r="D1377" s="23" t="n">
        <x:v>1050.6624897825532</x:v>
      </x:c>
      <x:c r="E1377" s="23" t="n">
        <x:v>670.2671676874161</x:v>
      </x:c>
      <x:c r="F1377" s="23" t="n">
        <x:v>725.8394329808652</x:v>
      </x:c>
      <x:c r="G1377" s="23" t="n">
        <x:v>221.63103990722448</x:v>
      </x:c>
      <x:c r="H1377" s="23" t="n">
        <x:v>26.983233810868114</x:v>
      </x:c>
      <x:c r="I1377" s="23" t="n">
        <x:v>0.7914398702513427</x:v>
      </x:c>
      <x:c r="J1377" s="23" t="n">
        <x:v>7</x:v>
      </x:c>
      <x:c r="K1377" s="23" t="n">
        <x:v>189.64756141213996</x:v>
      </x:c>
      <x:c r="L1377" s="23" t="n">
        <x:v>13220</x:v>
      </x:c>
      <x:c r="M1377" s="23" t="n">
        <x:v>1200</x:v>
      </x:c>
      <x:c r="N1377" s="23" t="n">
        <x:v>250.0086955842888</x:v>
      </x:c>
      <x:c r="O1377" s="23" t="n">
        <x:v>2504.217174353318</x:v>
      </x:c>
      <x:c r="P1377" s="23" t="n">
        <x:v>1050.6624897825532</x:v>
      </x:c>
      <x:c r="Q1377" s="23" t="n">
        <x:v>250.48711978548783</x:v>
      </x:c>
      <x:c r="R1377" s="23" t="n">
        <x:v>2485.1553085295945</x:v>
      </x:c>
      <x:c r="S1377" s="23" t="n">
        <x:v>1043.2724426334714</x:v>
      </x:c>
      <x:c r="T1377" s="23" t="n">
        <x:v>0.47842420119903295</x:v>
      </x:c>
      <x:c r="U1377" s="23" t="n">
        <x:v>-19.061865823723565</x:v>
      </x:c>
      <x:c r="V1377" s="23" t="n">
        <x:v>-7.390047149081738</x:v>
      </x:c>
    </x:row>
    <x:row r="1378">
      <x:c r="A1378" s="23" t="n">
        <x:v>1377</x:v>
      </x:c>
      <x:c r="B1378" s="23" t="str">
        <x:v>Validation</x:v>
      </x:c>
      <x:c r="C1378" s="23" t="str">
        <x:v>Switching</x:v>
      </x:c>
      <x:c r="D1378" s="23" t="n">
        <x:v>1047.327786590904</x:v>
      </x:c>
      <x:c r="E1378" s="23" t="n">
        <x:v>900.6701550795697</x:v>
      </x:c>
      <x:c r="F1378" s="23" t="n">
        <x:v>622.8172326460481</x:v>
      </x:c>
      <x:c r="G1378" s="23" t="n">
        <x:v>329.12334518739954</x:v>
      </x:c>
      <x:c r="H1378" s="23" t="n">
        <x:v>16.374524349346757</x:v>
      </x:c>
      <x:c r="I1378" s="23" t="n">
        <x:v>0.8356148375873454</x:v>
      </x:c>
      <x:c r="J1378" s="23" t="n">
        <x:v>7</x:v>
      </x:c>
      <x:c r="K1378" s="23" t="n">
        <x:v>179.05169762095406</x:v>
      </x:c>
      <x:c r="L1378" s="23" t="n">
        <x:v>11545</x:v>
      </x:c>
      <x:c r="M1378" s="23" t="n">
        <x:v>1195</x:v>
      </x:c>
      <x:c r="N1378" s="23" t="n">
        <x:v>250.03071271865358</x:v>
      </x:c>
      <x:c r="O1378" s="23" t="n">
        <x:v>2495.144482525106</x:v>
      </x:c>
      <x:c r="P1378" s="23" t="n">
        <x:v>1047.327786590904</x:v>
      </x:c>
      <x:c r="Q1378" s="23" t="n">
        <x:v>250.1519326680117</x:v>
      </x:c>
      <x:c r="R1378" s="23" t="n">
        <x:v>2452.821436044081</x:v>
      </x:c>
      <x:c r="S1378" s="23" t="n">
        <x:v>1043.9346771286384</x:v>
      </x:c>
      <x:c r="T1378" s="23" t="n">
        <x:v>0.12121994935813518</x:v>
      </x:c>
      <x:c r="U1378" s="23" t="n">
        <x:v>-42.3230464810249</x:v>
      </x:c>
      <x:c r="V1378" s="23" t="n">
        <x:v>-3.3931094622655564</x:v>
      </x:c>
    </x:row>
    <x:row r="1379">
      <x:c r="A1379" s="23" t="n">
        <x:v>1378</x:v>
      </x:c>
      <x:c r="B1379" s="23" t="str">
        <x:v>Hidden Test</x:v>
      </x:c>
      <x:c r="C1379" s="23" t="str">
        <x:v>Switching</x:v>
      </x:c>
      <x:c r="D1379" s="23" t="n">
        <x:v>1036.8693867349066</x:v>
      </x:c>
      <x:c r="E1379" s="23" t="n">
        <x:v>822.5821706699207</x:v>
      </x:c>
      <x:c r="F1379" s="23" t="n">
        <x:v>498.35601979866624</x:v>
      </x:c>
      <x:c r="G1379" s="23" t="n">
        <x:v>328.9266025368124</x:v>
      </x:c>
      <x:c r="H1379" s="23" t="n">
        <x:v>17.865203120280057</x:v>
      </x:c>
      <x:c r="I1379" s="23" t="n">
        <x:v>0.8422367986151948</x:v>
      </x:c>
      <x:c r="J1379" s="23" t="n">
        <x:v>7</x:v>
      </x:c>
      <x:c r="K1379" s="23" t="n">
        <x:v>175.870014642595</x:v>
      </x:c>
      <x:c r="L1379" s="23" t="n">
        <x:v>12960</x:v>
      </x:c>
      <x:c r="M1379" s="23" t="n">
        <x:v>1200</x:v>
      </x:c>
      <x:c r="N1379" s="23" t="n">
        <x:v>249.95888690026618</x:v>
      </x:c>
      <x:c r="O1379" s="23" t="n">
        <x:v>2504.404192933043</x:v>
      </x:c>
      <x:c r="P1379" s="23" t="n">
        <x:v>1036.8693867349066</x:v>
      </x:c>
      <x:c r="Q1379" s="23" t="n">
        <x:v>249.5089430438662</x:v>
      </x:c>
      <x:c r="R1379" s="23" t="n">
        <x:v>2471.739921400613</x:v>
      </x:c>
      <x:c r="S1379" s="23" t="n">
        <x:v>1041.2193859826477</x:v>
      </x:c>
      <x:c r="T1379" s="23" t="n">
        <x:v>-0.44994385639998313</x:v>
      </x:c>
      <x:c r="U1379" s="23" t="n">
        <x:v>-32.664271532429666</x:v>
      </x:c>
      <x:c r="V1379" s="23" t="n">
        <x:v>4.349999247741152</x:v>
      </x:c>
    </x:row>
    <x:row r="1380">
      <x:c r="A1380" s="23" t="n">
        <x:v>1379</x:v>
      </x:c>
      <x:c r="B1380" s="23" t="str">
        <x:v>Hidden Test</x:v>
      </x:c>
      <x:c r="C1380" s="23" t="str">
        <x:v>Switching</x:v>
      </x:c>
      <x:c r="D1380" s="23" t="n">
        <x:v>969.2203782266006</x:v>
      </x:c>
      <x:c r="E1380" s="23" t="n">
        <x:v>970.4039225005545</x:v>
      </x:c>
      <x:c r="F1380" s="23" t="n">
        <x:v>530.0273340195417</x:v>
      </x:c>
      <x:c r="G1380" s="23" t="n">
        <x:v>137.8662917832844</x:v>
      </x:c>
      <x:c r="H1380" s="23" t="n">
        <x:v>25.45458569098264</x:v>
      </x:c>
      <x:c r="I1380" s="23" t="n">
        <x:v>0.8009479308943265</x:v>
      </x:c>
      <x:c r="J1380" s="23" t="n">
        <x:v>7</x:v>
      </x:c>
      <x:c r="K1380" s="23" t="n">
        <x:v>172.87023124932614</x:v>
      </x:c>
      <x:c r="L1380" s="23" t="n">
        <x:v>13055</x:v>
      </x:c>
      <x:c r="M1380" s="23" t="n">
        <x:v>1200</x:v>
      </x:c>
      <x:c r="N1380" s="23" t="n">
        <x:v>250.02600328066688</x:v>
      </x:c>
      <x:c r="O1380" s="23" t="n">
        <x:v>2504.336857688184</x:v>
      </x:c>
      <x:c r="P1380" s="23" t="n">
        <x:v>969.2203782266006</x:v>
      </x:c>
      <x:c r="Q1380" s="23" t="n">
        <x:v>247.71317071060923</x:v>
      </x:c>
      <x:c r="R1380" s="23" t="n">
        <x:v>2516.354125593754</x:v>
      </x:c>
      <x:c r="S1380" s="23" t="n">
        <x:v>966.258175183426</x:v>
      </x:c>
      <x:c r="T1380" s="23" t="n">
        <x:v>-2.312832570057651</x:v>
      </x:c>
      <x:c r="U1380" s="23" t="n">
        <x:v>12.017267905569952</x:v>
      </x:c>
      <x:c r="V1380" s="23" t="n">
        <x:v>-2.9622030431745543</x:v>
      </x:c>
    </x:row>
    <x:row r="1381">
      <x:c r="A1381" s="23" t="n">
        <x:v>1380</x:v>
      </x:c>
      <x:c r="B1381" s="23" t="str">
        <x:v>Hidden Test</x:v>
      </x:c>
      <x:c r="C1381" s="23" t="str">
        <x:v>Switching</x:v>
      </x:c>
      <x:c r="D1381" s="23" t="n">
        <x:v>1097.507164196577</x:v>
      </x:c>
      <x:c r="E1381" s="23" t="n">
        <x:v>1024.2095135618001</x:v>
      </x:c>
      <x:c r="F1381" s="23" t="n">
        <x:v>438.6188539676368</x:v>
      </x:c>
      <x:c r="G1381" s="23" t="n">
        <x:v>325.20479363854975</x:v>
      </x:c>
      <x:c r="H1381" s="23" t="n">
        <x:v>13.99704161984846</x:v>
      </x:c>
      <x:c r="I1381" s="23" t="n">
        <x:v>0.8437592798285187</x:v>
      </x:c>
      <x:c r="J1381" s="23" t="n">
        <x:v>7</x:v>
      </x:c>
      <x:c r="K1381" s="23" t="n">
        <x:v>185.81927510679665</x:v>
      </x:c>
      <x:c r="L1381" s="23" t="n">
        <x:v>11960</x:v>
      </x:c>
      <x:c r="M1381" s="23" t="n">
        <x:v>1200</x:v>
      </x:c>
      <x:c r="N1381" s="23" t="n">
        <x:v>249.98955654874177</x:v>
      </x:c>
      <x:c r="O1381" s="23" t="n">
        <x:v>2505.2084986377913</x:v>
      </x:c>
      <x:c r="P1381" s="23" t="n">
        <x:v>1097.507164196577</x:v>
      </x:c>
      <x:c r="Q1381" s="23" t="n">
        <x:v>250.93855547923366</x:v>
      </x:c>
      <x:c r="R1381" s="23" t="n">
        <x:v>2542.1362885487865</x:v>
      </x:c>
      <x:c r="S1381" s="23" t="n">
        <x:v>1100.0747940314754</x:v>
      </x:c>
      <x:c r="T1381" s="23" t="n">
        <x:v>0.9489989304918822</x:v>
      </x:c>
      <x:c r="U1381" s="23" t="n">
        <x:v>36.927789910995216</x:v>
      </x:c>
      <x:c r="V1381" s="23" t="n">
        <x:v>2.5676298348985256</x:v>
      </x:c>
    </x:row>
    <x:row r="1382">
      <x:c r="A1382" s="23" t="n">
        <x:v>1381</x:v>
      </x:c>
      <x:c r="B1382" s="23" t="str">
        <x:v>Train</x:v>
      </x:c>
      <x:c r="C1382" s="23" t="str">
        <x:v>Switching</x:v>
      </x:c>
      <x:c r="D1382" s="23" t="n">
        <x:v>983.2347600255162</x:v>
      </x:c>
      <x:c r="E1382" s="23" t="n">
        <x:v>1138.8138955342583</x:v>
      </x:c>
      <x:c r="F1382" s="23" t="n">
        <x:v>351.78974997252226</x:v>
      </x:c>
      <x:c r="G1382" s="23" t="n">
        <x:v>316.2501260940917</x:v>
      </x:c>
      <x:c r="H1382" s="23" t="n">
        <x:v>12.413530983030796</x:v>
      </x:c>
      <x:c r="I1382" s="23" t="n">
        <x:v>0.8595323514402844</x:v>
      </x:c>
      <x:c r="J1382" s="23" t="n">
        <x:v>6</x:v>
      </x:c>
      <x:c r="K1382" s="23" t="n">
        <x:v>190.65304491408392</x:v>
      </x:c>
      <x:c r="L1382" s="23" t="n">
        <x:v>13810</x:v>
      </x:c>
      <x:c r="M1382" s="23" t="n">
        <x:v>1200</x:v>
      </x:c>
      <x:c r="N1382" s="23" t="n">
        <x:v>250.0258716048886</x:v>
      </x:c>
      <x:c r="O1382" s="23" t="n">
        <x:v>2503.8154775787793</x:v>
      </x:c>
      <x:c r="P1382" s="23" t="n">
        <x:v>983.2347600255162</x:v>
      </x:c>
      <x:c r="Q1382" s="23" t="n">
        <x:v>249.7611483771283</x:v>
      </x:c>
      <x:c r="R1382" s="23" t="n">
        <x:v>2519.315479050811</x:v>
      </x:c>
      <x:c r="S1382" s="23" t="n">
        <x:v>980.7090580160374</x:v>
      </x:c>
      <x:c r="T1382" s="23" t="n">
        <x:v>-0.26472322776029955</x:v>
      </x:c>
      <x:c r="U1382" s="23" t="n">
        <x:v>15.500001472031727</x:v>
      </x:c>
      <x:c r="V1382" s="23" t="n">
        <x:v>-2.5257020094787777</x:v>
      </x:c>
    </x:row>
    <x:row r="1383">
      <x:c r="A1383" s="23" t="n">
        <x:v>1382</x:v>
      </x:c>
      <x:c r="B1383" s="23" t="str">
        <x:v>Train</x:v>
      </x:c>
      <x:c r="C1383" s="23" t="str">
        <x:v>Switching</x:v>
      </x:c>
      <x:c r="D1383" s="23" t="n">
        <x:v>1057.685695879627</x:v>
      </x:c>
      <x:c r="E1383" s="23" t="n">
        <x:v>896.1583390599117</x:v>
      </x:c>
      <x:c r="F1383" s="23" t="n">
        <x:v>665.5494657345116</x:v>
      </x:c>
      <x:c r="G1383" s="23" t="n">
        <x:v>123.0493294261396</x:v>
      </x:c>
      <x:c r="H1383" s="23" t="n">
        <x:v>29.479043363127857</x:v>
      </x:c>
      <x:c r="I1383" s="23" t="n">
        <x:v>0.8276966093620286</x:v>
      </x:c>
      <x:c r="J1383" s="23" t="n">
        <x:v>7</x:v>
      </x:c>
      <x:c r="K1383" s="23" t="n">
        <x:v>182.55234447643275</x:v>
      </x:c>
      <x:c r="L1383" s="23" t="n">
        <x:v>12695</x:v>
      </x:c>
      <x:c r="M1383" s="23" t="n">
        <x:v>1200</x:v>
      </x:c>
      <x:c r="N1383" s="23" t="n">
        <x:v>250.02631684534708</x:v>
      </x:c>
      <x:c r="O1383" s="23" t="n">
        <x:v>2504.6073082297244</x:v>
      </x:c>
      <x:c r="P1383" s="23" t="n">
        <x:v>1057.685695879627</x:v>
      </x:c>
      <x:c r="Q1383" s="23" t="n">
        <x:v>247.3191622531321</x:v>
      </x:c>
      <x:c r="R1383" s="23" t="n">
        <x:v>2546.8259364534697</x:v>
      </x:c>
      <x:c r="S1383" s="23" t="n">
        <x:v>1051.4474938904327</x:v>
      </x:c>
      <x:c r="T1383" s="23" t="n">
        <x:v>-2.7071545922149767</x:v>
      </x:c>
      <x:c r="U1383" s="23" t="n">
        <x:v>42.21862822374533</x:v>
      </x:c>
      <x:c r="V1383" s="23" t="n">
        <x:v>-6.238201989194295</x:v>
      </x:c>
    </x:row>
    <x:row r="1384">
      <x:c r="A1384" s="23" t="n">
        <x:v>1383</x:v>
      </x:c>
      <x:c r="B1384" s="23" t="str">
        <x:v>Train</x:v>
      </x:c>
      <x:c r="C1384" s="23" t="str">
        <x:v>Switching</x:v>
      </x:c>
      <x:c r="D1384" s="23" t="n">
        <x:v>1020.6902566598728</x:v>
      </x:c>
      <x:c r="E1384" s="23" t="n">
        <x:v>751.1335399118252</x:v>
      </x:c>
      <x:c r="F1384" s="23" t="n">
        <x:v>417.05594658851624</x:v>
      </x:c>
      <x:c r="G1384" s="23" t="n">
        <x:v>326.201524452772</x:v>
      </x:c>
      <x:c r="H1384" s="23" t="n">
        <x:v>21.332593428902328</x:v>
      </x:c>
      <x:c r="I1384" s="23" t="n">
        <x:v>0.8099523515230976</x:v>
      </x:c>
      <x:c r="J1384" s="23" t="n">
        <x:v>7</x:v>
      </x:c>
      <x:c r="K1384" s="23" t="n">
        <x:v>180.02650839195084</x:v>
      </x:c>
      <x:c r="L1384" s="23" t="n">
        <x:v>14310</x:v>
      </x:c>
      <x:c r="M1384" s="23" t="n">
        <x:v>1200</x:v>
      </x:c>
      <x:c r="N1384" s="23" t="n">
        <x:v>249.98800099891648</x:v>
      </x:c>
      <x:c r="O1384" s="23" t="n">
        <x:v>2503.4991489529602</x:v>
      </x:c>
      <x:c r="P1384" s="23" t="n">
        <x:v>1020.6902566598728</x:v>
      </x:c>
      <x:c r="Q1384" s="23" t="n">
        <x:v>250.482420485051</x:v>
      </x:c>
      <x:c r="R1384" s="23" t="n">
        <x:v>2450.8314330204857</x:v>
      </x:c>
      <x:c r="S1384" s="23" t="n">
        <x:v>1017.8747713798332</x:v>
      </x:c>
      <x:c r="T1384" s="23" t="n">
        <x:v>0.49441948613451814</x:v>
      </x:c>
      <x:c r="U1384" s="23" t="n">
        <x:v>-52.66771593247449</x:v>
      </x:c>
      <x:c r="V1384" s="23" t="n">
        <x:v>-2.8154852800396384</x:v>
      </x:c>
    </x:row>
    <x:row r="1385">
      <x:c r="A1385" s="23" t="n">
        <x:v>1384</x:v>
      </x:c>
      <x:c r="B1385" s="23" t="str">
        <x:v>Train</x:v>
      </x:c>
      <x:c r="C1385" s="23" t="str">
        <x:v>Switching</x:v>
      </x:c>
      <x:c r="D1385" s="23" t="n">
        <x:v>1030.227083794307</x:v>
      </x:c>
      <x:c r="E1385" s="23" t="n">
        <x:v>1128.93929714337</x:v>
      </x:c>
      <x:c r="F1385" s="23" t="n">
        <x:v>372.78261547908187</x:v>
      </x:c>
      <x:c r="G1385" s="23" t="n">
        <x:v>284.66094242874533</x:v>
      </x:c>
      <x:c r="H1385" s="23" t="n">
        <x:v>13.65076164668426</x:v>
      </x:c>
      <x:c r="I1385" s="23" t="n">
        <x:v>0.8002564080152661</x:v>
      </x:c>
      <x:c r="J1385" s="23" t="n">
        <x:v>7</x:v>
      </x:c>
      <x:c r="K1385" s="23" t="n">
        <x:v>183.9101770517699</x:v>
      </x:c>
      <x:c r="L1385" s="23" t="n">
        <x:v>11970</x:v>
      </x:c>
      <x:c r="M1385" s="23" t="n">
        <x:v>1200</x:v>
      </x:c>
      <x:c r="N1385" s="23" t="n">
        <x:v>249.96764252698168</x:v>
      </x:c>
      <x:c r="O1385" s="23" t="n">
        <x:v>2505.198891875824</x:v>
      </x:c>
      <x:c r="P1385" s="23" t="n">
        <x:v>1030.227083794307</x:v>
      </x:c>
      <x:c r="Q1385" s="23" t="n">
        <x:v>252.87722616644461</x:v>
      </x:c>
      <x:c r="R1385" s="23" t="n">
        <x:v>2489.37243667738</x:v>
      </x:c>
      <x:c r="S1385" s="23" t="n">
        <x:v>1029.8517640643286</x:v>
      </x:c>
      <x:c r="T1385" s="23" t="n">
        <x:v>2.9095836394629373</x:v>
      </x:c>
      <x:c r="U1385" s="23" t="n">
        <x:v>-15.82645519844391</x:v>
      </x:c>
      <x:c r="V1385" s="23" t="n">
        <x:v>-0.3753197299784006</x:v>
      </x:c>
    </x:row>
    <x:row r="1386">
      <x:c r="A1386" s="23" t="n">
        <x:v>1385</x:v>
      </x:c>
      <x:c r="B1386" s="23" t="str">
        <x:v>Train</x:v>
      </x:c>
      <x:c r="C1386" s="23" t="str">
        <x:v>Switching</x:v>
      </x:c>
      <x:c r="D1386" s="23" t="n">
        <x:v>1013.0402674898505</x:v>
      </x:c>
      <x:c r="E1386" s="23" t="n">
        <x:v>975.4995372495614</x:v>
      </x:c>
      <x:c r="F1386" s="23" t="n">
        <x:v>485.8058514073491</x:v>
      </x:c>
      <x:c r="G1386" s="23" t="n">
        <x:v>285.7756293215789</x:v>
      </x:c>
      <x:c r="H1386" s="23" t="n">
        <x:v>28.980387499555945</x:v>
      </x:c>
      <x:c r="I1386" s="23" t="n">
        <x:v>0.7985787983355113</x:v>
      </x:c>
      <x:c r="J1386" s="23" t="n">
        <x:v>7</x:v>
      </x:c>
      <x:c r="K1386" s="23" t="n">
        <x:v>181.22198900656736</x:v>
      </x:c>
      <x:c r="L1386" s="23" t="n">
        <x:v>12240</x:v>
      </x:c>
      <x:c r="M1386" s="23" t="n">
        <x:v>1200</x:v>
      </x:c>
      <x:c r="N1386" s="23" t="n">
        <x:v>249.98284178068323</x:v>
      </x:c>
      <x:c r="O1386" s="23" t="n">
        <x:v>2504.970108021856</x:v>
      </x:c>
      <x:c r="P1386" s="23" t="n">
        <x:v>1013.0402674898505</x:v>
      </x:c>
      <x:c r="Q1386" s="23" t="n">
        <x:v>251.49360983282924</x:v>
      </x:c>
      <x:c r="R1386" s="23" t="n">
        <x:v>2553.480163107023</x:v>
      </x:c>
      <x:c r="S1386" s="23" t="n">
        <x:v>1004.8205829032848</x:v>
      </x:c>
      <x:c r="T1386" s="23" t="n">
        <x:v>1.5107680521460054</x:v>
      </x:c>
      <x:c r="U1386" s="23" t="n">
        <x:v>48.510055085167096</x:v>
      </x:c>
      <x:c r="V1386" s="23" t="n">
        <x:v>-8.219684586565677</x:v>
      </x:c>
    </x:row>
    <x:row r="1387">
      <x:c r="A1387" s="23" t="n">
        <x:v>1386</x:v>
      </x:c>
      <x:c r="B1387" s="23" t="str">
        <x:v>Train</x:v>
      </x:c>
      <x:c r="C1387" s="23" t="str">
        <x:v>Switching</x:v>
      </x:c>
      <x:c r="D1387" s="23" t="n">
        <x:v>1006.1562855378725</x:v>
      </x:c>
      <x:c r="E1387" s="23" t="n">
        <x:v>715.245533385314</x:v>
      </x:c>
      <x:c r="F1387" s="23" t="n">
        <x:v>703.7860752083361</x:v>
      </x:c>
      <x:c r="G1387" s="23" t="n">
        <x:v>243.2895905058831</x:v>
      </x:c>
      <x:c r="H1387" s="23" t="n">
        <x:v>22.48953424813226</x:v>
      </x:c>
      <x:c r="I1387" s="23" t="n">
        <x:v>0.8383250337513164</x:v>
      </x:c>
      <x:c r="J1387" s="23" t="n">
        <x:v>7</x:v>
      </x:c>
      <x:c r="K1387" s="23" t="n">
        <x:v>171.45690088307038</x:v>
      </x:c>
      <x:c r="L1387" s="23" t="n">
        <x:v>12865</x:v>
      </x:c>
      <x:c r="M1387" s="23" t="n">
        <x:v>1200</x:v>
      </x:c>
      <x:c r="N1387" s="23" t="n">
        <x:v>250.00008173992572</x:v>
      </x:c>
      <x:c r="O1387" s="23" t="n">
        <x:v>2504.476704164198</x:v>
      </x:c>
      <x:c r="P1387" s="23" t="n">
        <x:v>1006.1562855378725</x:v>
      </x:c>
      <x:c r="Q1387" s="23" t="n">
        <x:v>251.0534264389456</x:v>
      </x:c>
      <x:c r="R1387" s="23" t="n">
        <x:v>2494.1787028690756</x:v>
      </x:c>
      <x:c r="S1387" s="23" t="n">
        <x:v>1006.4865050585158</x:v>
      </x:c>
      <x:c r="T1387" s="23" t="n">
        <x:v>1.053344699019874</x:v>
      </x:c>
      <x:c r="U1387" s="23" t="n">
        <x:v>-10.298001295122504</x:v>
      </x:c>
      <x:c r="V1387" s="23" t="n">
        <x:v>0.330219520643368</x:v>
      </x:c>
    </x:row>
    <x:row r="1388">
      <x:c r="A1388" s="23" t="n">
        <x:v>1387</x:v>
      </x:c>
      <x:c r="B1388" s="23" t="str">
        <x:v>Train</x:v>
      </x:c>
      <x:c r="C1388" s="23" t="str">
        <x:v>Switching</x:v>
      </x:c>
      <x:c r="D1388" s="23" t="n">
        <x:v>986.4236390916631</x:v>
      </x:c>
      <x:c r="E1388" s="23" t="n">
        <x:v>787.5000676722266</x:v>
      </x:c>
      <x:c r="F1388" s="23" t="n">
        <x:v>690.6684894114733</x:v>
      </x:c>
      <x:c r="G1388" s="23" t="n">
        <x:v>149.85301355598494</x:v>
      </x:c>
      <x:c r="H1388" s="23" t="n">
        <x:v>20.883751676417887</x:v>
      </x:c>
      <x:c r="I1388" s="23" t="n">
        <x:v>0.8471221791836434</x:v>
      </x:c>
      <x:c r="J1388" s="23" t="n">
        <x:v>6</x:v>
      </x:c>
      <x:c r="K1388" s="23" t="n">
        <x:v>194.07346884370762</x:v>
      </x:c>
      <x:c r="L1388" s="23" t="n">
        <x:v>15325</x:v>
      </x:c>
      <x:c r="M1388" s="23" t="n">
        <x:v>1200</x:v>
      </x:c>
      <x:c r="N1388" s="23" t="n">
        <x:v>249.99376842601959</x:v>
      </x:c>
      <x:c r="O1388" s="23" t="n">
        <x:v>2502.923176428863</x:v>
      </x:c>
      <x:c r="P1388" s="23" t="n">
        <x:v>986.4236390916631</x:v>
      </x:c>
      <x:c r="Q1388" s="23" t="n">
        <x:v>249.37526293909858</x:v>
      </x:c>
      <x:c r="R1388" s="23" t="n">
        <x:v>2475.361259592963</x:v>
      </x:c>
      <x:c r="S1388" s="23" t="n">
        <x:v>981.513888463714</x:v>
      </x:c>
      <x:c r="T1388" s="23" t="n">
        <x:v>-0.6185054869210092</x:v>
      </x:c>
      <x:c r="U1388" s="23" t="n">
        <x:v>-27.561916835899865</x:v>
      </x:c>
      <x:c r="V1388" s="23" t="n">
        <x:v>-4.909750627949052</x:v>
      </x:c>
    </x:row>
    <x:row r="1389">
      <x:c r="A1389" s="23" t="n">
        <x:v>1388</x:v>
      </x:c>
      <x:c r="B1389" s="23" t="str">
        <x:v>Train</x:v>
      </x:c>
      <x:c r="C1389" s="23" t="str">
        <x:v>Switching</x:v>
      </x:c>
      <x:c r="D1389" s="23" t="n">
        <x:v>969.2418819642626</x:v>
      </x:c>
      <x:c r="E1389" s="23" t="n">
        <x:v>725.6092937197536</x:v>
      </x:c>
      <x:c r="F1389" s="23" t="n">
        <x:v>542.6603416912258</x:v>
      </x:c>
      <x:c r="G1389" s="23" t="n">
        <x:v>111.05048544239253</x:v>
      </x:c>
      <x:c r="H1389" s="23" t="n">
        <x:v>18.410223263781518</x:v>
      </x:c>
      <x:c r="I1389" s="23" t="n">
        <x:v>0.796591586060822</x:v>
      </x:c>
      <x:c r="J1389" s="23" t="n">
        <x:v>7</x:v>
      </x:c>
      <x:c r="K1389" s="23" t="n">
        <x:v>173.8194683672225</x:v>
      </x:c>
      <x:c r="L1389" s="23" t="n">
        <x:v>15505</x:v>
      </x:c>
      <x:c r="M1389" s="23" t="n">
        <x:v>1200</x:v>
      </x:c>
      <x:c r="N1389" s="23" t="n">
        <x:v>250.00688465052514</x:v>
      </x:c>
      <x:c r="O1389" s="23" t="n">
        <x:v>2502.829298287512</x:v>
      </x:c>
      <x:c r="P1389" s="23" t="n">
        <x:v>969.2418819642626</x:v>
      </x:c>
      <x:c r="Q1389" s="23" t="n">
        <x:v>246.4978982935838</x:v>
      </x:c>
      <x:c r="R1389" s="23" t="n">
        <x:v>2460.85468295311</x:v>
      </x:c>
      <x:c r="S1389" s="23" t="n">
        <x:v>976.8605065786459</x:v>
      </x:c>
      <x:c r="T1389" s="23" t="n">
        <x:v>-3.5089863569413353</x:v>
      </x:c>
      <x:c r="U1389" s="23" t="n">
        <x:v>-41.97461533440173</x:v>
      </x:c>
      <x:c r="V1389" s="23" t="n">
        <x:v>7.618624614383293</x:v>
      </x:c>
    </x:row>
    <x:row r="1390">
      <x:c r="A1390" s="23" t="n">
        <x:v>1389</x:v>
      </x:c>
      <x:c r="B1390" s="23" t="str">
        <x:v>Train</x:v>
      </x:c>
      <x:c r="C1390" s="23" t="str">
        <x:v>Switching</x:v>
      </x:c>
      <x:c r="D1390" s="23" t="n">
        <x:v>1033.4918861743063</x:v>
      </x:c>
      <x:c r="E1390" s="23" t="n">
        <x:v>1108.0594266648404</x:v>
      </x:c>
      <x:c r="F1390" s="23" t="n">
        <x:v>639.6082928404212</x:v>
      </x:c>
      <x:c r="G1390" s="23" t="n">
        <x:v>291.29211952211335</x:v>
      </x:c>
      <x:c r="H1390" s="23" t="n">
        <x:v>14.535279426723719</x:v>
      </x:c>
      <x:c r="I1390" s="23" t="n">
        <x:v>0.8573949267738499</x:v>
      </x:c>
      <x:c r="J1390" s="23" t="n">
        <x:v>7</x:v>
      </x:c>
      <x:c r="K1390" s="23" t="n">
        <x:v>172.19800749281026</x:v>
      </x:c>
      <x:c r="L1390" s="23" t="n">
        <x:v>10490</x:v>
      </x:c>
      <x:c r="M1390" s="23" t="n">
        <x:v>1195</x:v>
      </x:c>
      <x:c r="N1390" s="23" t="n">
        <x:v>250.0341842511413</x:v>
      </x:c>
      <x:c r="O1390" s="23" t="n">
        <x:v>2496.2247380440504</x:v>
      </x:c>
      <x:c r="P1390" s="23" t="n">
        <x:v>1033.4918861743063</x:v>
      </x:c>
      <x:c r="Q1390" s="23" t="n">
        <x:v>252.45054502532452</x:v>
      </x:c>
      <x:c r="R1390" s="23" t="n">
        <x:v>2513.0993511058678</x:v>
      </x:c>
      <x:c r="S1390" s="23" t="n">
        <x:v>1030.6031412512193</x:v>
      </x:c>
      <x:c r="T1390" s="23" t="n">
        <x:v>2.416360774183204</x:v>
      </x:c>
      <x:c r="U1390" s="23" t="n">
        <x:v>16.8746130618174</x:v>
      </x:c>
      <x:c r="V1390" s="23" t="n">
        <x:v>-2.8887449230869606</x:v>
      </x:c>
    </x:row>
    <x:row r="1391">
      <x:c r="A1391" s="23" t="n">
        <x:v>1390</x:v>
      </x:c>
      <x:c r="B1391" s="23" t="str">
        <x:v>Train</x:v>
      </x:c>
      <x:c r="C1391" s="23" t="str">
        <x:v>Switching</x:v>
      </x:c>
      <x:c r="D1391" s="23" t="n">
        <x:v>1001.3289285940118</x:v>
      </x:c>
      <x:c r="E1391" s="23" t="n">
        <x:v>1121.2052882416174</x:v>
      </x:c>
      <x:c r="F1391" s="23" t="n">
        <x:v>648.9874218590558</x:v>
      </x:c>
      <x:c r="G1391" s="23" t="n">
        <x:v>162.99820870161057</x:v>
      </x:c>
      <x:c r="H1391" s="23" t="n">
        <x:v>21.407331655267626</x:v>
      </x:c>
      <x:c r="I1391" s="23" t="n">
        <x:v>0.8597358446521685</x:v>
      </x:c>
      <x:c r="J1391" s="23" t="n">
        <x:v>6</x:v>
      </x:c>
      <x:c r="K1391" s="23" t="n">
        <x:v>194.1156179584302</x:v>
      </x:c>
      <x:c r="L1391" s="23" t="n">
        <x:v>12905</x:v>
      </x:c>
      <x:c r="M1391" s="23" t="n">
        <x:v>1200</x:v>
      </x:c>
      <x:c r="N1391" s="23" t="n">
        <x:v>249.97782178503388</x:v>
      </x:c>
      <x:c r="O1391" s="23" t="n">
        <x:v>2504.4458494084556</x:v>
      </x:c>
      <x:c r="P1391" s="23" t="n">
        <x:v>1001.3289285940118</x:v>
      </x:c>
      <x:c r="Q1391" s="23" t="n">
        <x:v>253.47058210883745</x:v>
      </x:c>
      <x:c r="R1391" s="23" t="n">
        <x:v>2519.039934805548</x:v>
      </x:c>
      <x:c r="S1391" s="23" t="n">
        <x:v>995.0391593211334</x:v>
      </x:c>
      <x:c r="T1391" s="23" t="n">
        <x:v>3.492760323803566</x:v>
      </x:c>
      <x:c r="U1391" s="23" t="n">
        <x:v>14.594085397092385</x:v>
      </x:c>
      <x:c r="V1391" s="23" t="n">
        <x:v>-6.289769272878402</x:v>
      </x:c>
    </x:row>
    <x:row r="1392">
      <x:c r="A1392" s="23" t="n">
        <x:v>1391</x:v>
      </x:c>
      <x:c r="B1392" s="23" t="str">
        <x:v>Train</x:v>
      </x:c>
      <x:c r="C1392" s="23" t="str">
        <x:v>Switching</x:v>
      </x:c>
      <x:c r="D1392" s="23" t="n">
        <x:v>1060.4309620568529</x:v>
      </x:c>
      <x:c r="E1392" s="23" t="n">
        <x:v>740.9541421686299</x:v>
      </x:c>
      <x:c r="F1392" s="23" t="n">
        <x:v>625.0384129583836</x:v>
      </x:c>
      <x:c r="G1392" s="23" t="n">
        <x:v>85.47296408331022</x:v>
      </x:c>
      <x:c r="H1392" s="23" t="n">
        <x:v>25.121083333157003</x:v>
      </x:c>
      <x:c r="I1392" s="23" t="n">
        <x:v>0.8104546954273246</x:v>
      </x:c>
      <x:c r="J1392" s="23" t="n">
        <x:v>7</x:v>
      </x:c>
      <x:c r="K1392" s="23" t="n">
        <x:v>186.91993308375834</x:v>
      </x:c>
      <x:c r="L1392" s="23" t="n">
        <x:v>14735</x:v>
      </x:c>
      <x:c r="M1392" s="23" t="n">
        <x:v>1200</x:v>
      </x:c>
      <x:c r="N1392" s="23" t="n">
        <x:v>250.0185647473525</x:v>
      </x:c>
      <x:c r="O1392" s="23" t="n">
        <x:v>2503.249271080427</x:v>
      </x:c>
      <x:c r="P1392" s="23" t="n">
        <x:v>1060.4309620568529</x:v>
      </x:c>
      <x:c r="Q1392" s="23" t="n">
        <x:v>250.79205194906632</x:v>
      </x:c>
      <x:c r="R1392" s="23" t="n">
        <x:v>2470.8765582485776</x:v>
      </x:c>
      <x:c r="S1392" s="23" t="n">
        <x:v>1059.735379390878</x:v>
      </x:c>
      <x:c r="T1392" s="23" t="n">
        <x:v>0.7734872017138059</x:v>
      </x:c>
      <x:c r="U1392" s="23" t="n">
        <x:v>-32.37271283184964</x:v>
      </x:c>
      <x:c r="V1392" s="23" t="n">
        <x:v>-0.6955826659748254</x:v>
      </x:c>
    </x:row>
    <x:row r="1393">
      <x:c r="A1393" s="23" t="n">
        <x:v>1392</x:v>
      </x:c>
      <x:c r="B1393" s="23" t="str">
        <x:v>Train</x:v>
      </x:c>
      <x:c r="C1393" s="23" t="str">
        <x:v>Switching</x:v>
      </x:c>
      <x:c r="D1393" s="23" t="n">
        <x:v>1038.7116934987716</x:v>
      </x:c>
      <x:c r="E1393" s="23" t="n">
        <x:v>673.8020347431302</x:v>
      </x:c>
      <x:c r="F1393" s="23" t="n">
        <x:v>371.73845609650016</x:v>
      </x:c>
      <x:c r="G1393" s="23" t="n">
        <x:v>266.2882600398734</x:v>
      </x:c>
      <x:c r="H1393" s="23" t="n">
        <x:v>10.205267989542335</x:v>
      </x:c>
      <x:c r="I1393" s="23" t="n">
        <x:v>0.8119347811397165</x:v>
      </x:c>
      <x:c r="J1393" s="23" t="n">
        <x:v>7</x:v>
      </x:c>
      <x:c r="K1393" s="23" t="n">
        <x:v>182.75776359432066</x:v>
      </x:c>
      <x:c r="L1393" s="23" t="n">
        <x:v>16300</x:v>
      </x:c>
      <x:c r="M1393" s="23" t="n">
        <x:v>1200</x:v>
      </x:c>
      <x:c r="N1393" s="23" t="n">
        <x:v>249.9652197027673</x:v>
      </x:c>
      <x:c r="O1393" s="23" t="n">
        <x:v>2502.4364175246196</x:v>
      </x:c>
      <x:c r="P1393" s="23" t="n">
        <x:v>1038.7116934987716</x:v>
      </x:c>
      <x:c r="Q1393" s="23" t="n">
        <x:v>251.95107056011443</x:v>
      </x:c>
      <x:c r="R1393" s="23" t="n">
        <x:v>2520.7019701661475</x:v>
      </x:c>
      <x:c r="S1393" s="23" t="n">
        <x:v>1046.963493252871</x:v>
      </x:c>
      <x:c r="T1393" s="23" t="n">
        <x:v>1.985850857347117</x:v>
      </x:c>
      <x:c r="U1393" s="23" t="n">
        <x:v>18.265552641527847</x:v>
      </x:c>
      <x:c r="V1393" s="23" t="n">
        <x:v>8.251799754099466</x:v>
      </x:c>
    </x:row>
    <x:row r="1394">
      <x:c r="A1394" s="23" t="n">
        <x:v>1393</x:v>
      </x:c>
      <x:c r="B1394" s="23" t="str">
        <x:v>Train</x:v>
      </x:c>
      <x:c r="C1394" s="23" t="str">
        <x:v>Switching</x:v>
      </x:c>
      <x:c r="D1394" s="23" t="n">
        <x:v>1096.1099517531693</x:v>
      </x:c>
      <x:c r="E1394" s="23" t="n">
        <x:v>612.3592735617422</x:v>
      </x:c>
      <x:c r="F1394" s="23" t="n">
        <x:v>733.5504868999124</x:v>
      </x:c>
      <x:c r="G1394" s="23" t="n">
        <x:v>247.89641609648243</x:v>
      </x:c>
      <x:c r="H1394" s="23" t="n">
        <x:v>16.009759174659848</x:v>
      </x:c>
      <x:c r="I1394" s="23" t="n">
        <x:v>0.8204935784568079</x:v>
      </x:c>
      <x:c r="J1394" s="23" t="n">
        <x:v>7</x:v>
      </x:c>
      <x:c r="K1394" s="23" t="n">
        <x:v>190.84504751304578</x:v>
      </x:c>
      <x:c r="L1394" s="23" t="n">
        <x:v>13420</x:v>
      </x:c>
      <x:c r="M1394" s="23" t="n">
        <x:v>1200</x:v>
      </x:c>
      <x:c r="N1394" s="23" t="n">
        <x:v>250.0363499799101</x:v>
      </x:c>
      <x:c r="O1394" s="23" t="n">
        <x:v>2504.07786451498</x:v>
      </x:c>
      <x:c r="P1394" s="23" t="n">
        <x:v>1096.1099517531693</x:v>
      </x:c>
      <x:c r="Q1394" s="23" t="n">
        <x:v>252.84694346794794</x:v>
      </x:c>
      <x:c r="R1394" s="23" t="n">
        <x:v>2460.4938079229814</x:v>
      </x:c>
      <x:c r="S1394" s="23" t="n">
        <x:v>1105.8660636086256</x:v>
      </x:c>
      <x:c r="T1394" s="23" t="n">
        <x:v>2.8105934880378243</x:v>
      </x:c>
      <x:c r="U1394" s="23" t="n">
        <x:v>-43.58405659199843</x:v>
      </x:c>
      <x:c r="V1394" s="23" t="n">
        <x:v>9.75611185545631</x:v>
      </x:c>
    </x:row>
    <x:row r="1395">
      <x:c r="A1395" s="23" t="n">
        <x:v>1394</x:v>
      </x:c>
      <x:c r="B1395" s="23" t="str">
        <x:v>Train</x:v>
      </x:c>
      <x:c r="C1395" s="23" t="str">
        <x:v>Switching</x:v>
      </x:c>
      <x:c r="D1395" s="23" t="n">
        <x:v>1001.6593187698163</x:v>
      </x:c>
      <x:c r="E1395" s="23" t="n">
        <x:v>656.2706058146432</x:v>
      </x:c>
      <x:c r="F1395" s="23" t="n">
        <x:v>524.5155700482428</x:v>
      </x:c>
      <x:c r="G1395" s="23" t="n">
        <x:v>94.78858781047165</x:v>
      </x:c>
      <x:c r="H1395" s="23" t="n">
        <x:v>10.916515231598169</x:v>
      </x:c>
      <x:c r="I1395" s="23" t="n">
        <x:v>0.8208934542769567</x:v>
      </x:c>
      <x:c r="J1395" s="23" t="n">
        <x:v>7</x:v>
      </x:c>
      <x:c r="K1395" s="23" t="n">
        <x:v>174.31517774949913</x:v>
      </x:c>
      <x:c r="L1395" s="23" t="n">
        <x:v>16765</x:v>
      </x:c>
      <x:c r="M1395" s="23" t="n">
        <x:v>1200</x:v>
      </x:c>
      <x:c r="N1395" s="23" t="n">
        <x:v>249.99097175467955</x:v>
      </x:c>
      <x:c r="O1395" s="23" t="n">
        <x:v>2502.225375814295</x:v>
      </x:c>
      <x:c r="P1395" s="23" t="n">
        <x:v>1001.6593187698163</x:v>
      </x:c>
      <x:c r="Q1395" s="23" t="n">
        <x:v>249.67168228278118</x:v>
      </x:c>
      <x:c r="R1395" s="23" t="n">
        <x:v>2507.7033815012514</x:v>
      </x:c>
      <x:c r="S1395" s="23" t="n">
        <x:v>1012.1488990745274</x:v>
      </x:c>
      <x:c r="T1395" s="23" t="n">
        <x:v>-0.3192894718983723</x:v>
      </x:c>
      <x:c r="U1395" s="23" t="n">
        <x:v>5.478005686956294</x:v>
      </x:c>
      <x:c r="V1395" s="23" t="n">
        <x:v>10.489580304711126</x:v>
      </x:c>
    </x:row>
    <x:row r="1396">
      <x:c r="A1396" s="23" t="n">
        <x:v>1395</x:v>
      </x:c>
      <x:c r="B1396" s="23" t="str">
        <x:v>Validation</x:v>
      </x:c>
      <x:c r="C1396" s="23" t="str">
        <x:v>Switching</x:v>
      </x:c>
      <x:c r="D1396" s="23" t="n">
        <x:v>1065.4746075859293</x:v>
      </x:c>
      <x:c r="E1396" s="23" t="n">
        <x:v>1061.942714790348</x:v>
      </x:c>
      <x:c r="F1396" s="23" t="n">
        <x:v>627.403437718749</x:v>
      </x:c>
      <x:c r="G1396" s="23" t="n">
        <x:v>237.24749368382618</x:v>
      </x:c>
      <x:c r="H1396" s="23" t="n">
        <x:v>25.02281363029033</x:v>
      </x:c>
      <x:c r="I1396" s="23" t="n">
        <x:v>0.80289099131478</x:v>
      </x:c>
      <x:c r="J1396" s="23" t="n">
        <x:v>7</x:v>
      </x:c>
      <x:c r="K1396" s="23" t="n">
        <x:v>189.5782364892495</x:v>
      </x:c>
      <x:c r="L1396" s="23" t="n">
        <x:v>11100</x:v>
      </x:c>
      <x:c r="M1396" s="23" t="n">
        <x:v>1195</x:v>
      </x:c>
      <x:c r="N1396" s="23" t="n">
        <x:v>249.99353720215467</x:v>
      </x:c>
      <x:c r="O1396" s="23" t="n">
        <x:v>2495.5733574043297</x:v>
      </x:c>
      <x:c r="P1396" s="23" t="n">
        <x:v>1065.4746075859293</x:v>
      </x:c>
      <x:c r="Q1396" s="23" t="n">
        <x:v>248.54958628824147</x:v>
      </x:c>
      <x:c r="R1396" s="23" t="n">
        <x:v>2536.13276070498</x:v>
      </x:c>
      <x:c r="S1396" s="23" t="n">
        <x:v>1056.4574886460127</x:v>
      </x:c>
      <x:c r="T1396" s="23" t="n">
        <x:v>-1.4439509139131985</x:v>
      </x:c>
      <x:c r="U1396" s="23" t="n">
        <x:v>40.55940330065005</x:v>
      </x:c>
      <x:c r="V1396" s="23" t="n">
        <x:v>-9.0171189399166</x:v>
      </x:c>
    </x:row>
    <x:row r="1397">
      <x:c r="A1397" s="23" t="n">
        <x:v>1396</x:v>
      </x:c>
      <x:c r="B1397" s="23" t="str">
        <x:v>Validation</x:v>
      </x:c>
      <x:c r="C1397" s="23" t="str">
        <x:v>Switching</x:v>
      </x:c>
      <x:c r="D1397" s="23" t="n">
        <x:v>958.8070520549081</x:v>
      </x:c>
      <x:c r="E1397" s="23" t="n">
        <x:v>1006.1715314630419</x:v>
      </x:c>
      <x:c r="F1397" s="23" t="n">
        <x:v>517.2939705662429</x:v>
      </x:c>
      <x:c r="G1397" s="23" t="n">
        <x:v>261.73997791018337</x:v>
      </x:c>
      <x:c r="H1397" s="23" t="n">
        <x:v>12.025818824302405</x:v>
      </x:c>
      <x:c r="I1397" s="23" t="n">
        <x:v>0.83222914615646</x:v>
      </x:c>
      <x:c r="J1397" s="23" t="n">
        <x:v>6</x:v>
      </x:c>
      <x:c r="K1397" s="23" t="n">
        <x:v>192.0158361197817</x:v>
      </x:c>
      <x:c r="L1397" s="23" t="n">
        <x:v>13975</x:v>
      </x:c>
      <x:c r="M1397" s="23" t="n">
        <x:v>1200</x:v>
      </x:c>
      <x:c r="N1397" s="23" t="n">
        <x:v>249.98173014354467</x:v>
      </x:c>
      <x:c r="O1397" s="23" t="n">
        <x:v>2503.7074612627057</x:v>
      </x:c>
      <x:c r="P1397" s="23" t="n">
        <x:v>958.8070520549081</x:v>
      </x:c>
      <x:c r="Q1397" s="23" t="n">
        <x:v>249.84248656864406</x:v>
      </x:c>
      <x:c r="R1397" s="23" t="n">
        <x:v>2483.165817207966</x:v>
      </x:c>
      <x:c r="S1397" s="23" t="n">
        <x:v>957.2197849327698</x:v>
      </x:c>
      <x:c r="T1397" s="23" t="n">
        <x:v>-0.13924357490060402</x:v>
      </x:c>
      <x:c r="U1397" s="23" t="n">
        <x:v>-20.541644054739663</x:v>
      </x:c>
      <x:c r="V1397" s="23" t="n">
        <x:v>-1.5872671221383143</x:v>
      </x:c>
    </x:row>
    <x:row r="1398">
      <x:c r="A1398" s="23" t="n">
        <x:v>1397</x:v>
      </x:c>
      <x:c r="B1398" s="23" t="str">
        <x:v>Validation</x:v>
      </x:c>
      <x:c r="C1398" s="23" t="str">
        <x:v>Switching</x:v>
      </x:c>
      <x:c r="D1398" s="23" t="n">
        <x:v>992.5360691267997</x:v>
      </x:c>
      <x:c r="E1398" s="23" t="n">
        <x:v>1188.785089540761</x:v>
      </x:c>
      <x:c r="F1398" s="23" t="n">
        <x:v>598.9920107647777</x:v>
      </x:c>
      <x:c r="G1398" s="23" t="n">
        <x:v>280.7158941705711</x:v>
      </x:c>
      <x:c r="H1398" s="23" t="n">
        <x:v>24.082991153001785</x:v>
      </x:c>
      <x:c r="I1398" s="23" t="n">
        <x:v>0.790135054497514</x:v>
      </x:c>
      <x:c r="J1398" s="23" t="n">
        <x:v>7</x:v>
      </x:c>
      <x:c r="K1398" s="23" t="n">
        <x:v>179.4514320191579</x:v>
      </x:c>
      <x:c r="L1398" s="23" t="n">
        <x:v>10340</x:v>
      </x:c>
      <x:c r="M1398" s="23" t="n">
        <x:v>1195</x:v>
      </x:c>
      <x:c r="N1398" s="23" t="n">
        <x:v>250.02895788283203</x:v>
      </x:c>
      <x:c r="O1398" s="23" t="n">
        <x:v>2496.3959401218635</x:v>
      </x:c>
      <x:c r="P1398" s="23" t="n">
        <x:v>992.5360691267997</x:v>
      </x:c>
      <x:c r="Q1398" s="23" t="n">
        <x:v>252.22531946267694</x:v>
      </x:c>
      <x:c r="R1398" s="23" t="n">
        <x:v>2531.801846136886</x:v>
      </x:c>
      <x:c r="S1398" s="23" t="n">
        <x:v>979.218658514657</x:v>
      </x:c>
      <x:c r="T1398" s="23" t="n">
        <x:v>2.196361579844904</x:v>
      </x:c>
      <x:c r="U1398" s="23" t="n">
        <x:v>35.40590601502254</x:v>
      </x:c>
      <x:c r="V1398" s="23" t="n">
        <x:v>-13.31741061214268</x:v>
      </x:c>
    </x:row>
    <x:row r="1399">
      <x:c r="A1399" s="23" t="n">
        <x:v>1398</x:v>
      </x:c>
      <x:c r="B1399" s="23" t="str">
        <x:v>Hidden Test</x:v>
      </x:c>
      <x:c r="C1399" s="23" t="str">
        <x:v>Switching</x:v>
      </x:c>
      <x:c r="D1399" s="23" t="n">
        <x:v>1039.834679022897</x:v>
      </x:c>
      <x:c r="E1399" s="23" t="n">
        <x:v>1052.8800623258576</x:v>
      </x:c>
      <x:c r="F1399" s="23" t="n">
        <x:v>743.3459264226258</x:v>
      </x:c>
      <x:c r="G1399" s="23" t="n">
        <x:v>219.12863144651055</x:v>
      </x:c>
      <x:c r="H1399" s="23" t="n">
        <x:v>20.69624366471544</x:v>
      </x:c>
      <x:c r="I1399" s="23" t="n">
        <x:v>0.854207518673502</x:v>
      </x:c>
      <x:c r="J1399" s="23" t="n">
        <x:v>7</x:v>
      </x:c>
      <x:c r="K1399" s="23" t="n">
        <x:v>173.901315595612</x:v>
      </x:c>
      <x:c r="L1399" s="23" t="n">
        <x:v>10610</x:v>
      </x:c>
      <x:c r="M1399" s="23" t="n">
        <x:v>1195</x:v>
      </x:c>
      <x:c r="N1399" s="23" t="n">
        <x:v>249.9668290686671</x:v>
      </x:c>
      <x:c r="O1399" s="23" t="n">
        <x:v>2496.087899888766</x:v>
      </x:c>
      <x:c r="P1399" s="23" t="n">
        <x:v>1039.834679022897</x:v>
      </x:c>
      <x:c r="Q1399" s="23" t="n">
        <x:v>249.95331473903167</x:v>
      </x:c>
      <x:c r="R1399" s="23" t="n">
        <x:v>2477.5795723217902</x:v>
      </x:c>
      <x:c r="S1399" s="23" t="n">
        <x:v>1028.968557423366</x:v>
      </x:c>
      <x:c r="T1399" s="23" t="n">
        <x:v>-0.013514329635427202</x:v>
      </x:c>
      <x:c r="U1399" s="23" t="n">
        <x:v>-18.508327566975822</x:v>
      </x:c>
      <x:c r="V1399" s="23" t="n">
        <x:v>-10.86612159953097</x:v>
      </x:c>
    </x:row>
    <x:row r="1400">
      <x:c r="A1400" s="23" t="n">
        <x:v>1399</x:v>
      </x:c>
      <x:c r="B1400" s="23" t="str">
        <x:v>Hidden Test</x:v>
      </x:c>
      <x:c r="C1400" s="23" t="str">
        <x:v>Switching</x:v>
      </x:c>
      <x:c r="D1400" s="23" t="n">
        <x:v>1006.4594061346725</x:v>
      </x:c>
      <x:c r="E1400" s="23" t="n">
        <x:v>1156.4282169681974</x:v>
      </x:c>
      <x:c r="F1400" s="23" t="n">
        <x:v>707.7188745141029</x:v>
      </x:c>
      <x:c r="G1400" s="23" t="n">
        <x:v>145.0173602043651</x:v>
      </x:c>
      <x:c r="H1400" s="23" t="n">
        <x:v>15.08498243521899</x:v>
      </x:c>
      <x:c r="I1400" s="23" t="n">
        <x:v>0.8332137945643626</x:v>
      </x:c>
      <x:c r="J1400" s="23" t="n">
        <x:v>7</x:v>
      </x:c>
      <x:c r="K1400" s="23" t="n">
        <x:v>172.5606514199275</x:v>
      </x:c>
      <x:c r="L1400" s="23" t="n">
        <x:v>10645</x:v>
      </x:c>
      <x:c r="M1400" s="23" t="n">
        <x:v>1195</x:v>
      </x:c>
      <x:c r="N1400" s="23" t="n">
        <x:v>250.02094742389986</x:v>
      </x:c>
      <x:c r="O1400" s="23" t="n">
        <x:v>2496.0520158223826</x:v>
      </x:c>
      <x:c r="P1400" s="23" t="n">
        <x:v>1006.4594061346725</x:v>
      </x:c>
      <x:c r="Q1400" s="23" t="n">
        <x:v>255.72201619374636</x:v>
      </x:c>
      <x:c r="R1400" s="23" t="n">
        <x:v>2541.1385708441226</x:v>
      </x:c>
      <x:c r="S1400" s="23" t="n">
        <x:v>1001.3703062988013</x:v>
      </x:c>
      <x:c r="T1400" s="23" t="n">
        <x:v>5.701068769846501</x:v>
      </x:c>
      <x:c r="U1400" s="23" t="n">
        <x:v>45.08655502173997</x:v>
      </x:c>
      <x:c r="V1400" s="23" t="n">
        <x:v>-5.089099835871139</x:v>
      </x:c>
    </x:row>
    <x:row r="1401">
      <x:c r="A1401" s="23" t="n">
        <x:v>1400</x:v>
      </x:c>
      <x:c r="B1401" s="23" t="str">
        <x:v>Hidden Test</x:v>
      </x:c>
      <x:c r="C1401" s="23" t="str">
        <x:v>Switching</x:v>
      </x:c>
      <x:c r="D1401" s="23" t="n">
        <x:v>1083.0471469904296</x:v>
      </x:c>
      <x:c r="E1401" s="23" t="n">
        <x:v>763.6025766842067</x:v>
      </x:c>
      <x:c r="F1401" s="23" t="n">
        <x:v>739.1688994131982</x:v>
      </x:c>
      <x:c r="G1401" s="23" t="n">
        <x:v>240.45183932874352</x:v>
      </x:c>
      <x:c r="H1401" s="23" t="n">
        <x:v>21.805058961268514</x:v>
      </x:c>
      <x:c r="I1401" s="23" t="n">
        <x:v>0.7994213664252311</x:v>
      </x:c>
      <x:c r="J1401" s="23" t="n">
        <x:v>7</x:v>
      </x:c>
      <x:c r="K1401" s="23" t="n">
        <x:v>193.54126308944942</x:v>
      </x:c>
      <x:c r="L1401" s="23" t="n">
        <x:v>12270</x:v>
      </x:c>
      <x:c r="M1401" s="23" t="n">
        <x:v>1200</x:v>
      </x:c>
      <x:c r="N1401" s="23" t="n">
        <x:v>250.042032395525</x:v>
      </x:c>
      <x:c r="O1401" s="23" t="n">
        <x:v>2504.947651563759</x:v>
      </x:c>
      <x:c r="P1401" s="23" t="n">
        <x:v>1083.0471469904296</x:v>
      </x:c>
      <x:c r="Q1401" s="23" t="n">
        <x:v>248.51153616078835</x:v>
      </x:c>
      <x:c r="R1401" s="23" t="n">
        <x:v>2494.7717587289126</x:v>
      </x:c>
      <x:c r="S1401" s="23" t="n">
        <x:v>1078.5906045667107</x:v>
      </x:c>
      <x:c r="T1401" s="23" t="n">
        <x:v>-1.5304962347366597</x:v>
      </x:c>
      <x:c r="U1401" s="23" t="n">
        <x:v>-10.175892834846309</x:v>
      </x:c>
      <x:c r="V1401" s="23" t="n">
        <x:v>-4.456542423718929</x:v>
      </x:c>
    </x:row>
    <x:row r="1402">
      <x:c r="A1402" s="23" t="n">
        <x:v>1401</x:v>
      </x:c>
      <x:c r="B1402" s="23" t="str">
        <x:v>Train</x:v>
      </x:c>
      <x:c r="C1402" s="23" t="str">
        <x:v>Switching</x:v>
      </x:c>
      <x:c r="D1402" s="23" t="n">
        <x:v>1099.2077950388193</x:v>
      </x:c>
      <x:c r="E1402" s="23" t="n">
        <x:v>775.2711421228014</x:v>
      </x:c>
      <x:c r="F1402" s="23" t="n">
        <x:v>720.0222389772534</x:v>
      </x:c>
      <x:c r="G1402" s="23" t="n">
        <x:v>181.1005011969246</x:v>
      </x:c>
      <x:c r="H1402" s="23" t="n">
        <x:v>18.6279187630862</x:v>
      </x:c>
      <x:c r="I1402" s="23" t="n">
        <x:v>0.8589583410066552</x:v>
      </x:c>
      <x:c r="J1402" s="23" t="n">
        <x:v>7</x:v>
      </x:c>
      <x:c r="K1402" s="23" t="n">
        <x:v>182.81408714363826</x:v>
      </x:c>
      <x:c r="L1402" s="23" t="n">
        <x:v>12755</x:v>
      </x:c>
      <x:c r="M1402" s="23" t="n">
        <x:v>1200</x:v>
      </x:c>
      <x:c r="N1402" s="23" t="n">
        <x:v>249.96073791792477</x:v>
      </x:c>
      <x:c r="O1402" s="23" t="n">
        <x:v>2504.558624067627</x:v>
      </x:c>
      <x:c r="P1402" s="23" t="n">
        <x:v>1099.2077950388193</x:v>
      </x:c>
      <x:c r="Q1402" s="23" t="n">
        <x:v>251.63682227790028</x:v>
      </x:c>
      <x:c r="R1402" s="23" t="n">
        <x:v>2513.9398432448124</x:v>
      </x:c>
      <x:c r="S1402" s="23" t="n">
        <x:v>1103.2867576846256</x:v>
      </x:c>
      <x:c r="T1402" s="23" t="n">
        <x:v>1.6760843599755049</x:v>
      </x:c>
      <x:c r="U1402" s="23" t="n">
        <x:v>9.381219177185358</x:v>
      </x:c>
      <x:c r="V1402" s="23" t="n">
        <x:v>4.078962645806314</x:v>
      </x:c>
    </x:row>
    <x:row r="1403">
      <x:c r="A1403" s="23" t="n">
        <x:v>1402</x:v>
      </x:c>
      <x:c r="B1403" s="23" t="str">
        <x:v>Train</x:v>
      </x:c>
      <x:c r="C1403" s="23" t="str">
        <x:v>Switching</x:v>
      </x:c>
      <x:c r="D1403" s="23" t="n">
        <x:v>1033.5251043201424</x:v>
      </x:c>
      <x:c r="E1403" s="23" t="n">
        <x:v>858.6076176026836</x:v>
      </x:c>
      <x:c r="F1403" s="23" t="n">
        <x:v>595.0057164765894</x:v>
      </x:c>
      <x:c r="G1403" s="23" t="n">
        <x:v>226.65336511097848</x:v>
      </x:c>
      <x:c r="H1403" s="23" t="n">
        <x:v>8.138894331175834</x:v>
      </x:c>
      <x:c r="I1403" s="23" t="n">
        <x:v>0.7908912140922622</x:v>
      </x:c>
      <x:c r="J1403" s="23" t="n">
        <x:v>7</x:v>
      </x:c>
      <x:c r="K1403" s="23" t="n">
        <x:v>186.6836308755381</x:v>
      </x:c>
      <x:c r="L1403" s="23" t="n">
        <x:v>12730</x:v>
      </x:c>
      <x:c r="M1403" s="23" t="n">
        <x:v>1200</x:v>
      </x:c>
      <x:c r="N1403" s="23" t="n">
        <x:v>250.04689515578897</x:v>
      </x:c>
      <x:c r="O1403" s="23" t="n">
        <x:v>2504.581168509326</x:v>
      </x:c>
      <x:c r="P1403" s="23" t="n">
        <x:v>1033.5251043201424</x:v>
      </x:c>
      <x:c r="Q1403" s="23" t="n">
        <x:v>251.06027105810958</x:v>
      </x:c>
      <x:c r="R1403" s="23" t="n">
        <x:v>2507.12789606448</x:v>
      </x:c>
      <x:c r="S1403" s="23" t="n">
        <x:v>1035.4647823590908</x:v>
      </x:c>
      <x:c r="T1403" s="23" t="n">
        <x:v>1.013375902320604</x:v>
      </x:c>
      <x:c r="U1403" s="23" t="n">
        <x:v>2.5467275551541206</x:v>
      </x:c>
      <x:c r="V1403" s="23" t="n">
        <x:v>1.9396780389483865</x:v>
      </x:c>
    </x:row>
    <x:row r="1404">
      <x:c r="A1404" s="23" t="n">
        <x:v>1403</x:v>
      </x:c>
      <x:c r="B1404" s="23" t="str">
        <x:v>Train</x:v>
      </x:c>
      <x:c r="C1404" s="23" t="str">
        <x:v>Switching</x:v>
      </x:c>
      <x:c r="D1404" s="23" t="n">
        <x:v>971.8211863888428</x:v>
      </x:c>
      <x:c r="E1404" s="23" t="n">
        <x:v>797.9643658385612</x:v>
      </x:c>
      <x:c r="F1404" s="23" t="n">
        <x:v>712.7640698105097</x:v>
      </x:c>
      <x:c r="G1404" s="23" t="n">
        <x:v>303.5803298535757</x:v>
      </x:c>
      <x:c r="H1404" s="23" t="n">
        <x:v>17.465853431262076</x:v>
      </x:c>
      <x:c r="I1404" s="23" t="n">
        <x:v>0.8500605310755782</x:v>
      </x:c>
      <x:c r="J1404" s="23" t="n">
        <x:v>6</x:v>
      </x:c>
      <x:c r="K1404" s="23" t="n">
        <x:v>190.53960489911648</x:v>
      </x:c>
      <x:c r="L1404" s="23" t="n">
        <x:v>13750</x:v>
      </x:c>
      <x:c r="M1404" s="23" t="n">
        <x:v>1200</x:v>
      </x:c>
      <x:c r="N1404" s="23" t="n">
        <x:v>249.9668321057551</x:v>
      </x:c>
      <x:c r="O1404" s="23" t="n">
        <x:v>2503.852675016352</x:v>
      </x:c>
      <x:c r="P1404" s="23" t="n">
        <x:v>971.8211863888428</x:v>
      </x:c>
      <x:c r="Q1404" s="23" t="n">
        <x:v>250.3249116494635</x:v>
      </x:c>
      <x:c r="R1404" s="23" t="n">
        <x:v>2515.6111643320073</x:v>
      </x:c>
      <x:c r="S1404" s="23" t="n">
        <x:v>971.2067509971577</x:v>
      </x:c>
      <x:c r="T1404" s="23" t="n">
        <x:v>0.35807954370841344</x:v>
      </x:c>
      <x:c r="U1404" s="23" t="n">
        <x:v>11.758489315655424</x:v>
      </x:c>
      <x:c r="V1404" s="23" t="n">
        <x:v>-0.614435391685106</x:v>
      </x:c>
    </x:row>
    <x:row r="1405">
      <x:c r="A1405" s="23" t="n">
        <x:v>1404</x:v>
      </x:c>
      <x:c r="B1405" s="23" t="str">
        <x:v>Train</x:v>
      </x:c>
      <x:c r="C1405" s="23" t="str">
        <x:v>Switching</x:v>
      </x:c>
      <x:c r="D1405" s="23" t="n">
        <x:v>1001.8001895747148</x:v>
      </x:c>
      <x:c r="E1405" s="23" t="n">
        <x:v>799.168874649331</x:v>
      </x:c>
      <x:c r="F1405" s="23" t="n">
        <x:v>518.9352984540164</x:v>
      </x:c>
      <x:c r="G1405" s="23" t="n">
        <x:v>281.3039755402133</x:v>
      </x:c>
      <x:c r="H1405" s="23" t="n">
        <x:v>13.183469872456044</x:v>
      </x:c>
      <x:c r="I1405" s="23" t="n">
        <x:v>0.8421275532245637</x:v>
      </x:c>
      <x:c r="J1405" s="23" t="n">
        <x:v>6</x:v>
      </x:c>
      <x:c r="K1405" s="23" t="n">
        <x:v>198.2677061487011</x:v>
      </x:c>
      <x:c r="L1405" s="23" t="n">
        <x:v>15600</x:v>
      </x:c>
      <x:c r="M1405" s="23" t="n">
        <x:v>1200</x:v>
      </x:c>
      <x:c r="N1405" s="23" t="n">
        <x:v>250.00698055296428</x:v>
      </x:c>
      <x:c r="O1405" s="23" t="n">
        <x:v>2502.7804068984715</x:v>
      </x:c>
      <x:c r="P1405" s="23" t="n">
        <x:v>1001.8001895747148</x:v>
      </x:c>
      <x:c r="Q1405" s="23" t="n">
        <x:v>251.8237289167559</x:v>
      </x:c>
      <x:c r="R1405" s="23" t="n">
        <x:v>2525.991575457641</x:v>
      </x:c>
      <x:c r="S1405" s="23" t="n">
        <x:v>1005.9712198173963</x:v>
      </x:c>
      <x:c r="T1405" s="23" t="n">
        <x:v>1.8167483637916177</x:v>
      </x:c>
      <x:c r="U1405" s="23" t="n">
        <x:v>23.211168559169437</x:v>
      </x:c>
      <x:c r="V1405" s="23" t="n">
        <x:v>4.1710302426815815</x:v>
      </x:c>
    </x:row>
    <x:row r="1406">
      <x:c r="A1406" s="23" t="n">
        <x:v>1405</x:v>
      </x:c>
      <x:c r="B1406" s="23" t="str">
        <x:v>Train</x:v>
      </x:c>
      <x:c r="C1406" s="23" t="str">
        <x:v>Switching</x:v>
      </x:c>
      <x:c r="D1406" s="23" t="n">
        <x:v>1080.5782425682992</x:v>
      </x:c>
      <x:c r="E1406" s="23" t="n">
        <x:v>750.0251744757406</x:v>
      </x:c>
      <x:c r="F1406" s="23" t="n">
        <x:v>692.7621012553573</x:v>
      </x:c>
      <x:c r="G1406" s="23" t="n">
        <x:v>193.13703918131068</x:v>
      </x:c>
      <x:c r="H1406" s="23" t="n">
        <x:v>29.04610326513648</x:v>
      </x:c>
      <x:c r="I1406" s="23" t="n">
        <x:v>0.8034619440534152</x:v>
      </x:c>
      <x:c r="J1406" s="23" t="n">
        <x:v>7</x:v>
      </x:c>
      <x:c r="K1406" s="23" t="n">
        <x:v>192.12897575225702</x:v>
      </x:c>
      <x:c r="L1406" s="23" t="n">
        <x:v>13075</x:v>
      </x:c>
      <x:c r="M1406" s="23" t="n">
        <x:v>1200</x:v>
      </x:c>
      <x:c r="N1406" s="23" t="n">
        <x:v>250.04637726228563</x:v>
      </x:c>
      <x:c r="O1406" s="23" t="n">
        <x:v>2504.323042621968</x:v>
      </x:c>
      <x:c r="P1406" s="23" t="n">
        <x:v>1080.5782425682992</x:v>
      </x:c>
      <x:c r="Q1406" s="23" t="n">
        <x:v>250.80649596113602</x:v>
      </x:c>
      <x:c r="R1406" s="23" t="n">
        <x:v>2485.880005664174</x:v>
      </x:c>
      <x:c r="S1406" s="23" t="n">
        <x:v>1064.0600998757218</x:v>
      </x:c>
      <x:c r="T1406" s="23" t="n">
        <x:v>0.7601186988503912</x:v>
      </x:c>
      <x:c r="U1406" s="23" t="n">
        <x:v>-18.443036957793993</x:v>
      </x:c>
      <x:c r="V1406" s="23" t="n">
        <x:v>-16.518142692577385</x:v>
      </x:c>
    </x:row>
    <x:row r="1407">
      <x:c r="A1407" s="23" t="n">
        <x:v>1406</x:v>
      </x:c>
      <x:c r="B1407" s="23" t="str">
        <x:v>Train</x:v>
      </x:c>
      <x:c r="C1407" s="23" t="str">
        <x:v>Switching</x:v>
      </x:c>
      <x:c r="D1407" s="23" t="n">
        <x:v>1036.9063887861557</x:v>
      </x:c>
      <x:c r="E1407" s="23" t="n">
        <x:v>1216.219377773814</x:v>
      </x:c>
      <x:c r="F1407" s="23" t="n">
        <x:v>573.5280861146748</x:v>
      </x:c>
      <x:c r="G1407" s="23" t="n">
        <x:v>193.7295113876462</x:v>
      </x:c>
      <x:c r="H1407" s="23" t="n">
        <x:v>23.308437319938093</x:v>
      </x:c>
      <x:c r="I1407" s="23" t="n">
        <x:v>0.7958019352285192</x:v>
      </x:c>
      <x:c r="J1407" s="23" t="n">
        <x:v>7</x:v>
      </x:c>
      <x:c r="K1407" s="23" t="n">
        <x:v>186.13863268599835</x:v>
      </x:c>
      <x:c r="L1407" s="23" t="n">
        <x:v>10780</x:v>
      </x:c>
      <x:c r="M1407" s="23" t="n">
        <x:v>1195</x:v>
      </x:c>
      <x:c r="N1407" s="23" t="n">
        <x:v>249.95484296166336</x:v>
      </x:c>
      <x:c r="O1407" s="23" t="n">
        <x:v>2495.903106934442</x:v>
      </x:c>
      <x:c r="P1407" s="23" t="n">
        <x:v>1036.9063887861557</x:v>
      </x:c>
      <x:c r="Q1407" s="23" t="n">
        <x:v>248.07236165975326</x:v>
      </x:c>
      <x:c r="R1407" s="23" t="n">
        <x:v>2487.992061491897</x:v>
      </x:c>
      <x:c r="S1407" s="23" t="n">
        <x:v>1021.0594265803671</x:v>
      </x:c>
      <x:c r="T1407" s="23" t="n">
        <x:v>-1.8824813019101043</x:v>
      </x:c>
      <x:c r="U1407" s="23" t="n">
        <x:v>-7.911045442544946</x:v>
      </x:c>
      <x:c r="V1407" s="23" t="n">
        <x:v>-15.8469622057886</x:v>
      </x:c>
    </x:row>
    <x:row r="1408">
      <x:c r="A1408" s="23" t="n">
        <x:v>1407</x:v>
      </x:c>
      <x:c r="B1408" s="23" t="str">
        <x:v>Train</x:v>
      </x:c>
      <x:c r="C1408" s="23" t="str">
        <x:v>Switching</x:v>
      </x:c>
      <x:c r="D1408" s="23" t="n">
        <x:v>1050.8821219438687</x:v>
      </x:c>
      <x:c r="E1408" s="23" t="n">
        <x:v>814.2348605324514</x:v>
      </x:c>
      <x:c r="F1408" s="23" t="n">
        <x:v>555.951976031065</x:v>
      </x:c>
      <x:c r="G1408" s="23" t="n">
        <x:v>272.0814359909855</x:v>
      </x:c>
      <x:c r="H1408" s="23" t="n">
        <x:v>22.190870172344148</x:v>
      </x:c>
      <x:c r="I1408" s="23" t="n">
        <x:v>0.8388953708275222</x:v>
      </x:c>
      <x:c r="J1408" s="23" t="n">
        <x:v>7</x:v>
      </x:c>
      <x:c r="K1408" s="23" t="n">
        <x:v>178.9567836957569</x:v>
      </x:c>
      <x:c r="L1408" s="23" t="n">
        <x:v>13020</x:v>
      </x:c>
      <x:c r="M1408" s="23" t="n">
        <x:v>1200</x:v>
      </x:c>
      <x:c r="N1408" s="23" t="n">
        <x:v>249.95997996857267</x:v>
      </x:c>
      <x:c r="O1408" s="23" t="n">
        <x:v>2504.359972068194</x:v>
      </x:c>
      <x:c r="P1408" s="23" t="n">
        <x:v>1050.8821219438687</x:v>
      </x:c>
      <x:c r="Q1408" s="23" t="n">
        <x:v>250.9950350979988</x:v>
      </x:c>
      <x:c r="R1408" s="23" t="n">
        <x:v>2538.272651867846</x:v>
      </x:c>
      <x:c r="S1408" s="23" t="n">
        <x:v>1044.2372814870128</x:v>
      </x:c>
      <x:c r="T1408" s="23" t="n">
        <x:v>1.0350551294261265</x:v>
      </x:c>
      <x:c r="U1408" s="23" t="n">
        <x:v>33.91267979965187</x:v>
      </x:c>
      <x:c r="V1408" s="23" t="n">
        <x:v>-6.644840456855945</x:v>
      </x:c>
    </x:row>
    <x:row r="1409">
      <x:c r="A1409" s="23" t="n">
        <x:v>1408</x:v>
      </x:c>
      <x:c r="B1409" s="23" t="str">
        <x:v>Train</x:v>
      </x:c>
      <x:c r="C1409" s="23" t="str">
        <x:v>Switching</x:v>
      </x:c>
      <x:c r="D1409" s="23" t="n">
        <x:v>1020.5396385747008</x:v>
      </x:c>
      <x:c r="E1409" s="23" t="n">
        <x:v>1151.6712490469217</x:v>
      </x:c>
      <x:c r="F1409" s="23" t="n">
        <x:v>435.7009290717542</x:v>
      </x:c>
      <x:c r="G1409" s="23" t="n">
        <x:v>225.86896926630288</x:v>
      </x:c>
      <x:c r="H1409" s="23" t="n">
        <x:v>17.24747876962647</x:v>
      </x:c>
      <x:c r="I1409" s="23" t="n">
        <x:v>0.8307034342270345</x:v>
      </x:c>
      <x:c r="J1409" s="23" t="n">
        <x:v>7</x:v>
      </x:c>
      <x:c r="K1409" s="23" t="n">
        <x:v>175.50352018816574</x:v>
      </x:c>
      <x:c r="L1409" s="23" t="n">
        <x:v>11795</x:v>
      </x:c>
      <x:c r="M1409" s="23" t="n">
        <x:v>1195</x:v>
      </x:c>
      <x:c r="N1409" s="23" t="n">
        <x:v>250.0165624770415</x:v>
      </x:c>
      <x:c r="O1409" s="23" t="n">
        <x:v>2494.9162592031275</x:v>
      </x:c>
      <x:c r="P1409" s="23" t="n">
        <x:v>1020.5396385747008</x:v>
      </x:c>
      <x:c r="Q1409" s="23" t="n">
        <x:v>250.28239404448448</x:v>
      </x:c>
      <x:c r="R1409" s="23" t="n">
        <x:v>2544.664425601778</x:v>
      </x:c>
      <x:c r="S1409" s="23" t="n">
        <x:v>1017.3921914314359</x:v>
      </x:c>
      <x:c r="T1409" s="23" t="n">
        <x:v>0.265831567442973</x:v>
      </x:c>
      <x:c r="U1409" s="23" t="n">
        <x:v>49.74816639865048</x:v>
      </x:c>
      <x:c r="V1409" s="23" t="n">
        <x:v>-3.1474471432649125</x:v>
      </x:c>
    </x:row>
    <x:row r="1410">
      <x:c r="A1410" s="23" t="n">
        <x:v>1409</x:v>
      </x:c>
      <x:c r="B1410" s="23" t="str">
        <x:v>Train</x:v>
      </x:c>
      <x:c r="C1410" s="23" t="str">
        <x:v>Switching</x:v>
      </x:c>
      <x:c r="D1410" s="23" t="n">
        <x:v>1037.599357496947</x:v>
      </x:c>
      <x:c r="E1410" s="23" t="n">
        <x:v>1059.107140765991</x:v>
      </x:c>
      <x:c r="F1410" s="23" t="n">
        <x:v>483.493965305388</x:v>
      </x:c>
      <x:c r="G1410" s="23" t="n">
        <x:v>165.64196253428236</x:v>
      </x:c>
      <x:c r="H1410" s="23" t="n">
        <x:v>29.709984520450234</x:v>
      </x:c>
      <x:c r="I1410" s="23" t="n">
        <x:v>0.8319280840014108</x:v>
      </x:c>
      <x:c r="J1410" s="23" t="n">
        <x:v>7</x:v>
      </x:c>
      <x:c r="K1410" s="23" t="n">
        <x:v>178.17463130883993</x:v>
      </x:c>
      <x:c r="L1410" s="23" t="n">
        <x:v>12520</x:v>
      </x:c>
      <x:c r="M1410" s="23" t="n">
        <x:v>1200</x:v>
      </x:c>
      <x:c r="N1410" s="23" t="n">
        <x:v>250.01711329152482</x:v>
      </x:c>
      <x:c r="O1410" s="23" t="n">
        <x:v>2504.7440245509674</x:v>
      </x:c>
      <x:c r="P1410" s="23" t="n">
        <x:v>1037.599357496947</x:v>
      </x:c>
      <x:c r="Q1410" s="23" t="n">
        <x:v>247.04686062266026</x:v>
      </x:c>
      <x:c r="R1410" s="23" t="n">
        <x:v>2521.863823019261</x:v>
      </x:c>
      <x:c r="S1410" s="23" t="n">
        <x:v>1026.1165580781194</x:v>
      </x:c>
      <x:c r="T1410" s="23" t="n">
        <x:v>-2.9702526688645605</x:v>
      </x:c>
      <x:c r="U1410" s="23" t="n">
        <x:v>17.11979846829354</x:v>
      </x:c>
      <x:c r="V1410" s="23" t="n">
        <x:v>-11.482799418827653</x:v>
      </x:c>
    </x:row>
    <x:row r="1411">
      <x:c r="A1411" s="23" t="n">
        <x:v>1410</x:v>
      </x:c>
      <x:c r="B1411" s="23" t="str">
        <x:v>Train</x:v>
      </x:c>
      <x:c r="C1411" s="23" t="str">
        <x:v>Switching</x:v>
      </x:c>
      <x:c r="D1411" s="23" t="n">
        <x:v>1035.2980872266926</x:v>
      </x:c>
      <x:c r="E1411" s="23" t="n">
        <x:v>1180.8885610895231</x:v>
      </x:c>
      <x:c r="F1411" s="23" t="n">
        <x:v>402.67182821407914</x:v>
      </x:c>
      <x:c r="G1411" s="23" t="n">
        <x:v>123.30326826311648</x:v>
      </x:c>
      <x:c r="H1411" s="23" t="n">
        <x:v>23.9827938308008</x:v>
      </x:c>
      <x:c r="I1411" s="23" t="n">
        <x:v>0.7934831653395668</x:v>
      </x:c>
      <x:c r="J1411" s="23" t="n">
        <x:v>7</x:v>
      </x:c>
      <x:c r="K1411" s="23" t="n">
        <x:v>186.3930240830976</x:v>
      </x:c>
      <x:c r="L1411" s="23" t="n">
        <x:v>12530</x:v>
      </x:c>
      <x:c r="M1411" s="23" t="n">
        <x:v>1200</x:v>
      </x:c>
      <x:c r="N1411" s="23" t="n">
        <x:v>250.01461983703393</x:v>
      </x:c>
      <x:c r="O1411" s="23" t="n">
        <x:v>2504.735994723427</x:v>
      </x:c>
      <x:c r="P1411" s="23" t="n">
        <x:v>1035.2980872266926</x:v>
      </x:c>
      <x:c r="Q1411" s="23" t="n">
        <x:v>247.51316439598932</x:v>
      </x:c>
      <x:c r="R1411" s="23" t="n">
        <x:v>2569.134123444605</x:v>
      </x:c>
      <x:c r="S1411" s="23" t="n">
        <x:v>1029.7812375566302</x:v>
      </x:c>
      <x:c r="T1411" s="23" t="n">
        <x:v>-2.5014554410446124</x:v>
      </x:c>
      <x:c r="U1411" s="23" t="n">
        <x:v>64.39812872117773</x:v>
      </x:c>
      <x:c r="V1411" s="23" t="n">
        <x:v>-5.516849670062356</x:v>
      </x:c>
    </x:row>
    <x:row r="1412">
      <x:c r="A1412" s="23" t="n">
        <x:v>1411</x:v>
      </x:c>
      <x:c r="B1412" s="23" t="str">
        <x:v>Train</x:v>
      </x:c>
      <x:c r="C1412" s="23" t="str">
        <x:v>Switching</x:v>
      </x:c>
      <x:c r="D1412" s="23" t="n">
        <x:v>1072.6416248595342</x:v>
      </x:c>
      <x:c r="E1412" s="23" t="n">
        <x:v>1189.4612190895714</x:v>
      </x:c>
      <x:c r="F1412" s="23" t="n">
        <x:v>374.0918468683958</x:v>
      </x:c>
      <x:c r="G1412" s="23" t="n">
        <x:v>314.8973785410635</x:v>
      </x:c>
      <x:c r="H1412" s="23" t="n">
        <x:v>18.386909012682736</x:v>
      </x:c>
      <x:c r="I1412" s="23" t="n">
        <x:v>0.7992840081523173</x:v>
      </x:c>
      <x:c r="J1412" s="23" t="n">
        <x:v>7</x:v>
      </x:c>
      <x:c r="K1412" s="23" t="n">
        <x:v>191.7147300260696</x:v>
      </x:c>
      <x:c r="L1412" s="23" t="n">
        <x:v>11385</x:v>
      </x:c>
      <x:c r="M1412" s="23" t="n">
        <x:v>1195</x:v>
      </x:c>
      <x:c r="N1412" s="23" t="n">
        <x:v>250.0046722702827</x:v>
      </x:c>
      <x:c r="O1412" s="23" t="n">
        <x:v>2495.2942739119862</x:v>
      </x:c>
      <x:c r="P1412" s="23" t="n">
        <x:v>1072.6416248595342</x:v>
      </x:c>
      <x:c r="Q1412" s="23" t="n">
        <x:v>248.57349281574147</x:v>
      </x:c>
      <x:c r="R1412" s="23" t="n">
        <x:v>2487.503430858347</x:v>
      </x:c>
      <x:c r="S1412" s="23" t="n">
        <x:v>1062.218691622224</x:v>
      </x:c>
      <x:c r="T1412" s="23" t="n">
        <x:v>-1.4311794545412226</x:v>
      </x:c>
      <x:c r="U1412" s="23" t="n">
        <x:v>-7.790843053639037</x:v>
      </x:c>
      <x:c r="V1412" s="23" t="n">
        <x:v>-10.42293323731019</x:v>
      </x:c>
    </x:row>
    <x:row r="1413">
      <x:c r="A1413" s="23" t="n">
        <x:v>1412</x:v>
      </x:c>
      <x:c r="B1413" s="23" t="str">
        <x:v>Train</x:v>
      </x:c>
      <x:c r="C1413" s="23" t="str">
        <x:v>Switching</x:v>
      </x:c>
      <x:c r="D1413" s="23" t="n">
        <x:v>1058.9500352158211</x:v>
      </x:c>
      <x:c r="E1413" s="23" t="n">
        <x:v>1002.0371791440994</x:v>
      </x:c>
      <x:c r="F1413" s="23" t="n">
        <x:v>404.80554727837443</x:v>
      </x:c>
      <x:c r="G1413" s="23" t="n">
        <x:v>141.2567033385858</x:v>
      </x:c>
      <x:c r="H1413" s="23" t="n">
        <x:v>18.836465440224856</x:v>
      </x:c>
      <x:c r="I1413" s="23" t="n">
        <x:v>0.8371875908039511</x:v>
      </x:c>
      <x:c r="J1413" s="23" t="n">
        <x:v>7</x:v>
      </x:c>
      <x:c r="K1413" s="23" t="n">
        <x:v>180.69854130796446</x:v>
      </x:c>
      <x:c r="L1413" s="23" t="n">
        <x:v>13815</x:v>
      </x:c>
      <x:c r="M1413" s="23" t="n">
        <x:v>1200</x:v>
      </x:c>
      <x:c r="N1413" s="23" t="n">
        <x:v>250.0143620515736</x:v>
      </x:c>
      <x:c r="O1413" s="23" t="n">
        <x:v>2503.811796400525</x:v>
      </x:c>
      <x:c r="P1413" s="23" t="n">
        <x:v>1058.9500352158211</x:v>
      </x:c>
      <x:c r="Q1413" s="23" t="n">
        <x:v>250.25992140694152</x:v>
      </x:c>
      <x:c r="R1413" s="23" t="n">
        <x:v>2506.725535359241</x:v>
      </x:c>
      <x:c r="S1413" s="23" t="n">
        <x:v>1063.2255529049735</x:v>
      </x:c>
      <x:c r="T1413" s="23" t="n">
        <x:v>0.2455593553679023</x:v>
      </x:c>
      <x:c r="U1413" s="23" t="n">
        <x:v>2.9137389587158395</x:v>
      </x:c>
      <x:c r="V1413" s="23" t="n">
        <x:v>4.275517689152366</x:v>
      </x:c>
    </x:row>
    <x:row r="1414">
      <x:c r="A1414" s="23" t="n">
        <x:v>1413</x:v>
      </x:c>
      <x:c r="B1414" s="23" t="str">
        <x:v>Train</x:v>
      </x:c>
      <x:c r="C1414" s="23" t="str">
        <x:v>Switching</x:v>
      </x:c>
      <x:c r="D1414" s="23" t="n">
        <x:v>1025.687616551295</x:v>
      </x:c>
      <x:c r="E1414" s="23" t="n">
        <x:v>666.5177071350627</x:v>
      </x:c>
      <x:c r="F1414" s="23" t="n">
        <x:v>466.86964463442564</x:v>
      </x:c>
      <x:c r="G1414" s="23" t="n">
        <x:v>167.28894154774025</x:v>
      </x:c>
      <x:c r="H1414" s="23" t="n">
        <x:v>24.231313608586788</x:v>
      </x:c>
      <x:c r="I1414" s="23" t="n">
        <x:v>0.7978839992196299</x:v>
      </x:c>
      <x:c r="J1414" s="23" t="n">
        <x:v>7</x:v>
      </x:c>
      <x:c r="K1414" s="23" t="n">
        <x:v>183.64424215522706</x:v>
      </x:c>
      <x:c r="L1414" s="23" t="n">
        <x:v>16440</x:v>
      </x:c>
      <x:c r="M1414" s="23" t="n">
        <x:v>1200</x:v>
      </x:c>
      <x:c r="N1414" s="23" t="n">
        <x:v>249.96909202922257</x:v>
      </x:c>
      <x:c r="O1414" s="23" t="n">
        <x:v>2502.371496838658</x:v>
      </x:c>
      <x:c r="P1414" s="23" t="n">
        <x:v>1025.687616551295</x:v>
      </x:c>
      <x:c r="Q1414" s="23" t="n">
        <x:v>246.00654580135446</x:v>
      </x:c>
      <x:c r="R1414" s="23" t="n">
        <x:v>2458.7484977698823</x:v>
      </x:c>
      <x:c r="S1414" s="23" t="n">
        <x:v>1021.5582830259292</x:v>
      </x:c>
      <x:c r="T1414" s="23" t="n">
        <x:v>-3.9625462278681027</x:v>
      </x:c>
      <x:c r="U1414" s="23" t="n">
        <x:v>-43.6229990687757</x:v>
      </x:c>
      <x:c r="V1414" s="23" t="n">
        <x:v>-4.129333525365723</x:v>
      </x:c>
    </x:row>
    <x:row r="1415">
      <x:c r="A1415" s="23" t="n">
        <x:v>1414</x:v>
      </x:c>
      <x:c r="B1415" s="23" t="str">
        <x:v>Train</x:v>
      </x:c>
      <x:c r="C1415" s="23" t="str">
        <x:v>Switching</x:v>
      </x:c>
      <x:c r="D1415" s="23" t="n">
        <x:v>1072.7605610270984</x:v>
      </x:c>
      <x:c r="E1415" s="23" t="n">
        <x:v>1069.0999168669805</x:v>
      </x:c>
      <x:c r="F1415" s="23" t="n">
        <x:v>714.656734187156</x:v>
      </x:c>
      <x:c r="G1415" s="23" t="n">
        <x:v>295.56254057213664</x:v>
      </x:c>
      <x:c r="H1415" s="23" t="n">
        <x:v>12.123928947839886</x:v>
      </x:c>
      <x:c r="I1415" s="23" t="n">
        <x:v>0.8346262682368979</x:v>
      </x:c>
      <x:c r="J1415" s="23" t="n">
        <x:v>7</x:v>
      </x:c>
      <x:c r="K1415" s="23" t="n">
        <x:v>183.61692478466117</x:v>
      </x:c>
      <x:c r="L1415" s="23" t="n">
        <x:v>10285</x:v>
      </x:c>
      <x:c r="M1415" s="23" t="n">
        <x:v>1195</x:v>
      </x:c>
      <x:c r="N1415" s="23" t="n">
        <x:v>250.00032881980354</x:v>
      </x:c>
      <x:c r="O1415" s="23" t="n">
        <x:v>2496.458698991302</x:v>
      </x:c>
      <x:c r="P1415" s="23" t="n">
        <x:v>1072.7605610270984</x:v>
      </x:c>
      <x:c r="Q1415" s="23" t="n">
        <x:v>251.09584200374246</x:v>
      </x:c>
      <x:c r="R1415" s="23" t="n">
        <x:v>2497.408622082488</x:v>
      </x:c>
      <x:c r="S1415" s="23" t="n">
        <x:v>1073.7018370094506</x:v>
      </x:c>
      <x:c r="T1415" s="23" t="n">
        <x:v>1.0955131839389196</x:v>
      </x:c>
      <x:c r="U1415" s="23" t="n">
        <x:v>0.949923091186065</x:v>
      </x:c>
      <x:c r="V1415" s="23" t="n">
        <x:v>0.941275982352181</x:v>
      </x:c>
    </x:row>
    <x:row r="1416">
      <x:c r="A1416" s="23" t="n">
        <x:v>1415</x:v>
      </x:c>
      <x:c r="B1416" s="23" t="str">
        <x:v>Validation</x:v>
      </x:c>
      <x:c r="C1416" s="23" t="str">
        <x:v>Switching</x:v>
      </x:c>
      <x:c r="D1416" s="23" t="n">
        <x:v>1058.9715360896662</x:v>
      </x:c>
      <x:c r="E1416" s="23" t="n">
        <x:v>736.5860059973784</x:v>
      </x:c>
      <x:c r="F1416" s="23" t="n">
        <x:v>642.3550575971603</x:v>
      </x:c>
      <x:c r="G1416" s="23" t="n">
        <x:v>327.9213140322827</x:v>
      </x:c>
      <x:c r="H1416" s="23" t="n">
        <x:v>11.014578911475837</x:v>
      </x:c>
      <x:c r="I1416" s="23" t="n">
        <x:v>0.8573149263835512</x:v>
      </x:c>
      <x:c r="J1416" s="23" t="n">
        <x:v>7</x:v>
      </x:c>
      <x:c r="K1416" s="23" t="n">
        <x:v>176.4598321540573</x:v>
      </x:c>
      <x:c r="L1416" s="23" t="n">
        <x:v>12530</x:v>
      </x:c>
      <x:c r="M1416" s="23" t="n">
        <x:v>1200</x:v>
      </x:c>
      <x:c r="N1416" s="23" t="n">
        <x:v>250.0141237136448</x:v>
      </x:c>
      <x:c r="O1416" s="23" t="n">
        <x:v>2504.735987272641</x:v>
      </x:c>
      <x:c r="P1416" s="23" t="n">
        <x:v>1058.9715360896662</x:v>
      </x:c>
      <x:c r="Q1416" s="23" t="n">
        <x:v>249.41142108846833</x:v>
      </x:c>
      <x:c r="R1416" s="23" t="n">
        <x:v>2510.3068358797664</x:v>
      </x:c>
      <x:c r="S1416" s="23" t="n">
        <x:v>1060.0429108632686</x:v>
      </x:c>
      <x:c r="T1416" s="23" t="n">
        <x:v>-0.6027026251764767</x:v>
      </x:c>
      <x:c r="U1416" s="23" t="n">
        <x:v>5.570848607125299</x:v>
      </x:c>
      <x:c r="V1416" s="23" t="n">
        <x:v>1.0713747736024288</x:v>
      </x:c>
    </x:row>
    <x:row r="1417">
      <x:c r="A1417" s="23" t="n">
        <x:v>1416</x:v>
      </x:c>
      <x:c r="B1417" s="23" t="str">
        <x:v>Validation</x:v>
      </x:c>
      <x:c r="C1417" s="23" t="str">
        <x:v>Switching</x:v>
      </x:c>
      <x:c r="D1417" s="23" t="n">
        <x:v>1004.4761975179426</x:v>
      </x:c>
      <x:c r="E1417" s="23" t="n">
        <x:v>938.36291404441</x:v>
      </x:c>
      <x:c r="F1417" s="23" t="n">
        <x:v>585.6578177772462</x:v>
      </x:c>
      <x:c r="G1417" s="23" t="n">
        <x:v>94.72678745631129</x:v>
      </x:c>
      <x:c r="H1417" s="23" t="n">
        <x:v>22.51187845831737</x:v>
      </x:c>
      <x:c r="I1417" s="23" t="n">
        <x:v>0.8080864922050387</x:v>
      </x:c>
      <x:c r="J1417" s="23" t="n">
        <x:v>7</x:v>
      </x:c>
      <x:c r="K1417" s="23" t="n">
        <x:v>177.57579297465904</x:v>
      </x:c>
      <x:c r="L1417" s="23" t="n">
        <x:v>13210</x:v>
      </x:c>
      <x:c r="M1417" s="23" t="n">
        <x:v>1200</x:v>
      </x:c>
      <x:c r="N1417" s="23" t="n">
        <x:v>249.97543199239243</x:v>
      </x:c>
      <x:c r="O1417" s="23" t="n">
        <x:v>2504.223053059221</x:v>
      </x:c>
      <x:c r="P1417" s="23" t="n">
        <x:v>1004.4761975179426</x:v>
      </x:c>
      <x:c r="Q1417" s="23" t="n">
        <x:v>250.07131859387346</x:v>
      </x:c>
      <x:c r="R1417" s="23" t="n">
        <x:v>2530.6793650271197</x:v>
      </x:c>
      <x:c r="S1417" s="23" t="n">
        <x:v>1000.1037858526455</x:v>
      </x:c>
      <x:c r="T1417" s="23" t="n">
        <x:v>0.0958866014810269</x:v>
      </x:c>
      <x:c r="U1417" s="23" t="n">
        <x:v>26.456311967898728</x:v>
      </x:c>
      <x:c r="V1417" s="23" t="n">
        <x:v>-4.372411665297136</x:v>
      </x:c>
    </x:row>
    <x:row r="1418">
      <x:c r="A1418" s="23" t="n">
        <x:v>1417</x:v>
      </x:c>
      <x:c r="B1418" s="23" t="str">
        <x:v>Validation</x:v>
      </x:c>
      <x:c r="C1418" s="23" t="str">
        <x:v>Switching</x:v>
      </x:c>
      <x:c r="D1418" s="23" t="n">
        <x:v>1053.8908975198865</x:v>
      </x:c>
      <x:c r="E1418" s="23" t="n">
        <x:v>736.9527683011256</x:v>
      </x:c>
      <x:c r="F1418" s="23" t="n">
        <x:v>725.4465313628316</x:v>
      </x:c>
      <x:c r="G1418" s="23" t="n">
        <x:v>225.02744149649516</x:v>
      </x:c>
      <x:c r="H1418" s="23" t="n">
        <x:v>17.774507319554687</x:v>
      </x:c>
      <x:c r="I1418" s="23" t="n">
        <x:v>0.8376941091683694</x:v>
      </x:c>
      <x:c r="J1418" s="23" t="n">
        <x:v>7</x:v>
      </x:c>
      <x:c r="K1418" s="23" t="n">
        <x:v>179.72651455351286</x:v>
      </x:c>
      <x:c r="L1418" s="23" t="n">
        <x:v>12675</x:v>
      </x:c>
      <x:c r="M1418" s="23" t="n">
        <x:v>1200</x:v>
      </x:c>
      <x:c r="N1418" s="23" t="n">
        <x:v>250.02770400169135</x:v>
      </x:c>
      <x:c r="O1418" s="23" t="n">
        <x:v>2504.622848545643</x:v>
      </x:c>
      <x:c r="P1418" s="23" t="n">
        <x:v>1053.8908975198865</x:v>
      </x:c>
      <x:c r="Q1418" s="23" t="n">
        <x:v>248.07474354178368</x:v>
      </x:c>
      <x:c r="R1418" s="23" t="n">
        <x:v>2504.6020344925064</x:v>
      </x:c>
      <x:c r="S1418" s="23" t="n">
        <x:v>1049.1986804353373</x:v>
      </x:c>
      <x:c r="T1418" s="23" t="n">
        <x:v>-1.952960459907672</x:v>
      </x:c>
      <x:c r="U1418" s="23" t="n">
        <x:v>-0.020814053136746224</x:v>
      </x:c>
      <x:c r="V1418" s="23" t="n">
        <x:v>-4.692217084549156</x:v>
      </x:c>
    </x:row>
    <x:row r="1419">
      <x:c r="A1419" s="23" t="n">
        <x:v>1418</x:v>
      </x:c>
      <x:c r="B1419" s="23" t="str">
        <x:v>Hidden Test</x:v>
      </x:c>
      <x:c r="C1419" s="23" t="str">
        <x:v>Switching</x:v>
      </x:c>
      <x:c r="D1419" s="23" t="n">
        <x:v>1039.994758425746</x:v>
      </x:c>
      <x:c r="E1419" s="23" t="n">
        <x:v>646.2748475605622</x:v>
      </x:c>
      <x:c r="F1419" s="23" t="n">
        <x:v>438.66457054391503</x:v>
      </x:c>
      <x:c r="G1419" s="23" t="n">
        <x:v>135.44487456791103</x:v>
      </x:c>
      <x:c r="H1419" s="23" t="n">
        <x:v>24.619428787846118</x:v>
      </x:c>
      <x:c r="I1419" s="23" t="n">
        <x:v>0.8596709521533922</x:v>
      </x:c>
      <x:c r="J1419" s="23" t="n">
        <x:v>7</x:v>
      </x:c>
      <x:c r="K1419" s="23" t="n">
        <x:v>172.82272874633193</x:v>
      </x:c>
      <x:c r="L1419" s="23" t="n">
        <x:v>17525</x:v>
      </x:c>
      <x:c r="M1419" s="23" t="n">
        <x:v>1200</x:v>
      </x:c>
      <x:c r="N1419" s="23" t="n">
        <x:v>250.01719291931934</x:v>
      </x:c>
      <x:c r="O1419" s="23" t="n">
        <x:v>2501.9041010445044</x:v>
      </x:c>
      <x:c r="P1419" s="23" t="n">
        <x:v>1039.994758425746</x:v>
      </x:c>
      <x:c r="Q1419" s="23" t="n">
        <x:v>248.8919670483641</x:v>
      </x:c>
      <x:c r="R1419" s="23" t="n">
        <x:v>2465.836788201868</x:v>
      </x:c>
      <x:c r="S1419" s="23" t="n">
        <x:v>1042.253440614198</x:v>
      </x:c>
      <x:c r="T1419" s="23" t="n">
        <x:v>-1.1252258709552336</x:v>
      </x:c>
      <x:c r="U1419" s="23" t="n">
        <x:v>-36.06731284263651</x:v>
      </x:c>
      <x:c r="V1419" s="23" t="n">
        <x:v>2.258682188451985</x:v>
      </x:c>
    </x:row>
    <x:row r="1420">
      <x:c r="A1420" s="23" t="n">
        <x:v>1419</x:v>
      </x:c>
      <x:c r="B1420" s="23" t="str">
        <x:v>Hidden Test</x:v>
      </x:c>
      <x:c r="C1420" s="23" t="str">
        <x:v>Switching</x:v>
      </x:c>
      <x:c r="D1420" s="23" t="n">
        <x:v>1072.684362786822</x:v>
      </x:c>
      <x:c r="E1420" s="23" t="n">
        <x:v>705.6377003551461</x:v>
      </x:c>
      <x:c r="F1420" s="23" t="n">
        <x:v>378.69405038654804</x:v>
      </x:c>
      <x:c r="G1420" s="23" t="n">
        <x:v>116.65428626118228</x:v>
      </x:c>
      <x:c r="H1420" s="23" t="n">
        <x:v>11.067318112589419</x:v>
      </x:c>
      <x:c r="I1420" s="23" t="n">
        <x:v>0.805510896879714</x:v>
      </x:c>
      <x:c r="J1420" s="23" t="n">
        <x:v>7</x:v>
      </x:c>
      <x:c r="K1420" s="23" t="n">
        <x:v>190.2402858221588</x:v>
      </x:c>
      <x:c r="L1420" s="23" t="n">
        <x:v>17805</x:v>
      </x:c>
      <x:c r="M1420" s="23" t="n">
        <x:v>1200</x:v>
      </x:c>
      <x:c r="N1420" s="23" t="n">
        <x:v>249.97395955090636</x:v>
      </x:c>
      <x:c r="O1420" s="23" t="n">
        <x:v>2501.791179918601</x:v>
      </x:c>
      <x:c r="P1420" s="23" t="n">
        <x:v>1072.684362786822</x:v>
      </x:c>
      <x:c r="Q1420" s="23" t="n">
        <x:v>250.92997864867155</x:v>
      </x:c>
      <x:c r="R1420" s="23" t="n">
        <x:v>2502.275086560761</x:v>
      </x:c>
      <x:c r="S1420" s="23" t="n">
        <x:v>1091.0646996693793</x:v>
      </x:c>
      <x:c r="T1420" s="23" t="n">
        <x:v>0.9560190977651928</x:v>
      </x:c>
      <x:c r="U1420" s="23" t="n">
        <x:v>0.4839066421600364</x:v>
      </x:c>
      <x:c r="V1420" s="23" t="n">
        <x:v>18.38033688255723</x:v>
      </x:c>
    </x:row>
    <x:row r="1421">
      <x:c r="A1421" s="23" t="n">
        <x:v>1420</x:v>
      </x:c>
      <x:c r="B1421" s="23" t="str">
        <x:v>Hidden Test</x:v>
      </x:c>
      <x:c r="C1421" s="23" t="str">
        <x:v>Switching</x:v>
      </x:c>
      <x:c r="D1421" s="23" t="n">
        <x:v>1041.4095240063034</x:v>
      </x:c>
      <x:c r="E1421" s="23" t="n">
        <x:v>917.8794150706381</x:v>
      </x:c>
      <x:c r="F1421" s="23" t="n">
        <x:v>464.962853025645</x:v>
      </x:c>
      <x:c r="G1421" s="23" t="n">
        <x:v>228.3498130692169</x:v>
      </x:c>
      <x:c r="H1421" s="23" t="n">
        <x:v>10.782210770528764</x:v>
      </x:c>
      <x:c r="I1421" s="23" t="n">
        <x:v>0.8554700766131282</x:v>
      </x:c>
      <x:c r="J1421" s="23" t="n">
        <x:v>7</x:v>
      </x:c>
      <x:c r="K1421" s="23" t="n">
        <x:v>173.90764821694353</x:v>
      </x:c>
      <x:c r="L1421" s="23" t="n">
        <x:v>13275</x:v>
      </x:c>
      <x:c r="M1421" s="23" t="n">
        <x:v>1200</x:v>
      </x:c>
      <x:c r="N1421" s="23" t="n">
        <x:v>250.0326825329191</x:v>
      </x:c>
      <x:c r="O1421" s="23" t="n">
        <x:v>2504.1790713428804</x:v>
      </x:c>
      <x:c r="P1421" s="23" t="n">
        <x:v>1041.4095240063034</x:v>
      </x:c>
      <x:c r="Q1421" s="23" t="n">
        <x:v>251.62371485518563</x:v>
      </x:c>
      <x:c r="R1421" s="23" t="n">
        <x:v>2502.2922361111655</x:v>
      </x:c>
      <x:c r="S1421" s="23" t="n">
        <x:v>1047.2582951106513</x:v>
      </x:c>
      <x:c r="T1421" s="23" t="n">
        <x:v>1.5910323222665284</x:v>
      </x:c>
      <x:c r="U1421" s="23" t="n">
        <x:v>-1.8868352317149402</x:v>
      </x:c>
      <x:c r="V1421" s="23" t="n">
        <x:v>5.848771104347861</x:v>
      </x:c>
    </x:row>
    <x:row r="1422">
      <x:c r="A1422" s="23" t="n">
        <x:v>1421</x:v>
      </x:c>
      <x:c r="B1422" s="23" t="str">
        <x:v>Train</x:v>
      </x:c>
      <x:c r="C1422" s="23" t="str">
        <x:v>Switching</x:v>
      </x:c>
      <x:c r="D1422" s="23" t="n">
        <x:v>1014.4752712454647</x:v>
      </x:c>
      <x:c r="E1422" s="23" t="n">
        <x:v>973.8802297855727</x:v>
      </x:c>
      <x:c r="F1422" s="23" t="n">
        <x:v>591.8018540367484</x:v>
      </x:c>
      <x:c r="G1422" s="23" t="n">
        <x:v>158.44856736483052</x:v>
      </x:c>
      <x:c r="H1422" s="23" t="n">
        <x:v>22.133674520999193</x:v>
      </x:c>
      <x:c r="I1422" s="23" t="n">
        <x:v>0.8083767868601718</x:v>
      </x:c>
      <x:c r="J1422" s="23" t="n">
        <x:v>7</x:v>
      </x:c>
      <x:c r="K1422" s="23" t="n">
        <x:v>179.27907023686018</x:v>
      </x:c>
      <x:c r="L1422" s="23" t="n">
        <x:v>12405</x:v>
      </x:c>
      <x:c r="M1422" s="23" t="n">
        <x:v>1200</x:v>
      </x:c>
      <x:c r="N1422" s="23" t="n">
        <x:v>250.02439019960033</x:v>
      </x:c>
      <x:c r="O1422" s="23" t="n">
        <x:v>2504.8365093466905</x:v>
      </x:c>
      <x:c r="P1422" s="23" t="n">
        <x:v>1014.4752712454647</x:v>
      </x:c>
      <x:c r="Q1422" s="23" t="n">
        <x:v>250.139753668939</x:v>
      </x:c>
      <x:c r="R1422" s="23" t="n">
        <x:v>2487.7878247960903</x:v>
      </x:c>
      <x:c r="S1422" s="23" t="n">
        <x:v>1004.1042627566859</x:v>
      </x:c>
      <x:c r="T1422" s="23" t="n">
        <x:v>0.1153634693386607</x:v>
      </x:c>
      <x:c r="U1422" s="23" t="n">
        <x:v>-17.04868455060023</x:v>
      </x:c>
      <x:c r="V1422" s="23" t="n">
        <x:v>-10.371008488778784</x:v>
      </x:c>
    </x:row>
    <x:row r="1423">
      <x:c r="A1423" s="23" t="n">
        <x:v>1422</x:v>
      </x:c>
      <x:c r="B1423" s="23" t="str">
        <x:v>Train</x:v>
      </x:c>
      <x:c r="C1423" s="23" t="str">
        <x:v>Switching</x:v>
      </x:c>
      <x:c r="D1423" s="23" t="n">
        <x:v>987.3884791624732</x:v>
      </x:c>
      <x:c r="E1423" s="23" t="n">
        <x:v>1222.648483957164</x:v>
      </x:c>
      <x:c r="F1423" s="23" t="n">
        <x:v>455.35568045452237</x:v>
      </x:c>
      <x:c r="G1423" s="23" t="n">
        <x:v>116.52234561741352</x:v>
      </x:c>
      <x:c r="H1423" s="23" t="n">
        <x:v>22.639312023762614</x:v>
      </x:c>
      <x:c r="I1423" s="23" t="n">
        <x:v>0.8537631554855034</x:v>
      </x:c>
      <x:c r="J1423" s="23" t="n">
        <x:v>6</x:v>
      </x:c>
      <x:c r="K1423" s="23" t="n">
        <x:v>192.75222345885496</x:v>
      </x:c>
      <x:c r="L1423" s="23" t="n">
        <x:v>13905</x:v>
      </x:c>
      <x:c r="M1423" s="23" t="n">
        <x:v>1200</x:v>
      </x:c>
      <x:c r="N1423" s="23" t="n">
        <x:v>250.02853549901906</x:v>
      </x:c>
      <x:c r="O1423" s="23" t="n">
        <x:v>2503.753969474441</x:v>
      </x:c>
      <x:c r="P1423" s="23" t="n">
        <x:v>987.3884791624732</x:v>
      </x:c>
      <x:c r="Q1423" s="23" t="n">
        <x:v>251.70756049566026</x:v>
      </x:c>
      <x:c r="R1423" s="23" t="n">
        <x:v>2569.550829328282</x:v>
      </x:c>
      <x:c r="S1423" s="23" t="n">
        <x:v>978.3827298953515</x:v>
      </x:c>
      <x:c r="T1423" s="23" t="n">
        <x:v>1.6790249966412034</x:v>
      </x:c>
      <x:c r="U1423" s="23" t="n">
        <x:v>65.79685985384094</x:v>
      </x:c>
      <x:c r="V1423" s="23" t="n">
        <x:v>-9.0057492671217</x:v>
      </x:c>
    </x:row>
    <x:row r="1424">
      <x:c r="A1424" s="23" t="n">
        <x:v>1423</x:v>
      </x:c>
      <x:c r="B1424" s="23" t="str">
        <x:v>Train</x:v>
      </x:c>
      <x:c r="C1424" s="23" t="str">
        <x:v>Switching</x:v>
      </x:c>
      <x:c r="D1424" s="23" t="n">
        <x:v>978.443312481977</x:v>
      </x:c>
      <x:c r="E1424" s="23" t="n">
        <x:v>1207.183454663027</x:v>
      </x:c>
      <x:c r="F1424" s="23" t="n">
        <x:v>468.9644046127796</x:v>
      </x:c>
      <x:c r="G1424" s="23" t="n">
        <x:v>155.00954758143052</x:v>
      </x:c>
      <x:c r="H1424" s="23" t="n">
        <x:v>14.706037699244916</x:v>
      </x:c>
      <x:c r="I1424" s="23" t="n">
        <x:v>0.8300744624226355</x:v>
      </x:c>
      <x:c r="J1424" s="23" t="n">
        <x:v>6</x:v>
      </x:c>
      <x:c r="K1424" s="23" t="n">
        <x:v>196.45693584852532</x:v>
      </x:c>
      <x:c r="L1424" s="23" t="n">
        <x:v>13625</x:v>
      </x:c>
      <x:c r="M1424" s="23" t="n">
        <x:v>1200</x:v>
      </x:c>
      <x:c r="N1424" s="23" t="n">
        <x:v>249.99456259853125</x:v>
      </x:c>
      <x:c r="O1424" s="23" t="n">
        <x:v>2503.9367429972544</x:v>
      </x:c>
      <x:c r="P1424" s="23" t="n">
        <x:v>978.443312481977</x:v>
      </x:c>
      <x:c r="Q1424" s="23" t="n">
        <x:v>249.2545185711838</x:v>
      </x:c>
      <x:c r="R1424" s="23" t="n">
        <x:v>2544.9858429283763</x:v>
      </x:c>
      <x:c r="S1424" s="23" t="n">
        <x:v>979.6083051753977</x:v>
      </x:c>
      <x:c r="T1424" s="23" t="n">
        <x:v>-0.7400440273474373</x:v>
      </x:c>
      <x:c r="U1424" s="23" t="n">
        <x:v>41.04909993112187</x:v>
      </x:c>
      <x:c r="V1424" s="23" t="n">
        <x:v>1.164992693420686</x:v>
      </x:c>
    </x:row>
    <x:row r="1425">
      <x:c r="A1425" s="23" t="n">
        <x:v>1424</x:v>
      </x:c>
      <x:c r="B1425" s="23" t="str">
        <x:v>Train</x:v>
      </x:c>
      <x:c r="C1425" s="23" t="str">
        <x:v>Switching</x:v>
      </x:c>
      <x:c r="D1425" s="23" t="n">
        <x:v>964.10515679745</x:v>
      </x:c>
      <x:c r="E1425" s="23" t="n">
        <x:v>1126.6233762726188</x:v>
      </x:c>
      <x:c r="F1425" s="23" t="n">
        <x:v>521.5903772972524</x:v>
      </x:c>
      <x:c r="G1425" s="23" t="n">
        <x:v>184.498686385341</x:v>
      </x:c>
      <x:c r="H1425" s="23" t="n">
        <x:v>28.67758465697989</x:v>
      </x:c>
      <x:c r="I1425" s="23" t="n">
        <x:v>0.8593466290738434</x:v>
      </x:c>
      <x:c r="J1425" s="23" t="n">
        <x:v>6</x:v>
      </x:c>
      <x:c r="K1425" s="23" t="n">
        <x:v>186.9841427931725</x:v>
      </x:c>
      <x:c r="L1425" s="23" t="n">
        <x:v>13615</x:v>
      </x:c>
      <x:c r="M1425" s="23" t="n">
        <x:v>1200</x:v>
      </x:c>
      <x:c r="N1425" s="23" t="n">
        <x:v>250.0235791210287</x:v>
      </x:c>
      <x:c r="O1425" s="23" t="n">
        <x:v>2503.9445019904</x:v>
      </x:c>
      <x:c r="P1425" s="23" t="n">
        <x:v>964.10515679745</x:v>
      </x:c>
      <x:c r="Q1425" s="23" t="n">
        <x:v>251.39859644886295</x:v>
      </x:c>
      <x:c r="R1425" s="23" t="n">
        <x:v>2495.8485862955677</x:v>
      </x:c>
      <x:c r="S1425" s="23" t="n">
        <x:v>947.6579300836464</x:v>
      </x:c>
      <x:c r="T1425" s="23" t="n">
        <x:v>1.3750173278342572</x:v>
      </x:c>
      <x:c r="U1425" s="23" t="n">
        <x:v>-8.095915694832456</x:v>
      </x:c>
      <x:c r="V1425" s="23" t="n">
        <x:v>-16.447226713803616</x:v>
      </x:c>
    </x:row>
    <x:row r="1426">
      <x:c r="A1426" s="23" t="n">
        <x:v>1425</x:v>
      </x:c>
      <x:c r="B1426" s="23" t="str">
        <x:v>Train</x:v>
      </x:c>
      <x:c r="C1426" s="23" t="str">
        <x:v>Switching</x:v>
      </x:c>
      <x:c r="D1426" s="23" t="n">
        <x:v>1079.6504654921591</x:v>
      </x:c>
      <x:c r="E1426" s="23" t="n">
        <x:v>1148.095305764582</x:v>
      </x:c>
      <x:c r="F1426" s="23" t="n">
        <x:v>714.4750604405999</x:v>
      </x:c>
      <x:c r="G1426" s="23" t="n">
        <x:v>295.25442419806495</x:v>
      </x:c>
      <x:c r="H1426" s="23" t="n">
        <x:v>23.79206440038979</x:v>
      </x:c>
      <x:c r="I1426" s="23" t="n">
        <x:v>0.8192394906957634</x:v>
      </x:c>
      <x:c r="J1426" s="23" t="n">
        <x:v>7</x:v>
      </x:c>
      <x:c r="K1426" s="23" t="n">
        <x:v>188.2670239121467</x:v>
      </x:c>
      <x:c r="L1426" s="23" t="n">
        <x:v>9910</x:v>
      </x:c>
      <x:c r="M1426" s="23" t="n">
        <x:v>1195</x:v>
      </x:c>
      <x:c r="N1426" s="23" t="n">
        <x:v>249.98018649209277</x:v>
      </x:c>
      <x:c r="O1426" s="23" t="n">
        <x:v>2496.913791629604</x:v>
      </x:c>
      <x:c r="P1426" s="23" t="n">
        <x:v>1079.6504654921591</x:v>
      </x:c>
      <x:c r="Q1426" s="23" t="n">
        <x:v>254.37708603447064</x:v>
      </x:c>
      <x:c r="R1426" s="23" t="n">
        <x:v>2559.706059306827</x:v>
      </x:c>
      <x:c r="S1426" s="23" t="n">
        <x:v>1058.1154359101859</x:v>
      </x:c>
      <x:c r="T1426" s="23" t="n">
        <x:v>4.3968995423778665</x:v>
      </x:c>
      <x:c r="U1426" s="23" t="n">
        <x:v>62.79226767722275</x:v>
      </x:c>
      <x:c r="V1426" s="23" t="n">
        <x:v>-21.535029581973276</x:v>
      </x:c>
    </x:row>
    <x:row r="1427">
      <x:c r="A1427" s="23" t="n">
        <x:v>1426</x:v>
      </x:c>
      <x:c r="B1427" s="23" t="str">
        <x:v>Train</x:v>
      </x:c>
      <x:c r="C1427" s="23" t="str">
        <x:v>Switching</x:v>
      </x:c>
      <x:c r="D1427" s="23" t="n">
        <x:v>1065.5528735020198</x:v>
      </x:c>
      <x:c r="E1427" s="23" t="n">
        <x:v>739.4299634965137</x:v>
      </x:c>
      <x:c r="F1427" s="23" t="n">
        <x:v>573.6512103118002</x:v>
      </x:c>
      <x:c r="G1427" s="23" t="n">
        <x:v>283.2946490217</x:v>
      </x:c>
      <x:c r="H1427" s="23" t="n">
        <x:v>15.451825783122331</x:v>
      </x:c>
      <x:c r="I1427" s="23" t="n">
        <x:v>0.7947891044104473</x:v>
      </x:c>
      <x:c r="J1427" s="23" t="n">
        <x:v>7</x:v>
      </x:c>
      <x:c r="K1427" s="23" t="n">
        <x:v>191.5248186305109</x:v>
      </x:c>
      <x:c r="L1427" s="23" t="n">
        <x:v>13395</x:v>
      </x:c>
      <x:c r="M1427" s="23" t="n">
        <x:v>1200</x:v>
      </x:c>
      <x:c r="N1427" s="23" t="n">
        <x:v>249.97292298156242</x:v>
      </x:c>
      <x:c r="O1427" s="23" t="n">
        <x:v>2504.0928229398583</x:v>
      </x:c>
      <x:c r="P1427" s="23" t="n">
        <x:v>1065.5528735020198</x:v>
      </x:c>
      <x:c r="Q1427" s="23" t="n">
        <x:v>247.80459496574065</x:v>
      </x:c>
      <x:c r="R1427" s="23" t="n">
        <x:v>2483.0169956717064</x:v>
      </x:c>
      <x:c r="S1427" s="23" t="n">
        <x:v>1074.522243279709</x:v>
      </x:c>
      <x:c r="T1427" s="23" t="n">
        <x:v>-2.1683280158217713</x:v>
      </x:c>
      <x:c r="U1427" s="23" t="n">
        <x:v>-21.075827268151897</x:v>
      </x:c>
      <x:c r="V1427" s="23" t="n">
        <x:v>8.96936977768928</x:v>
      </x:c>
    </x:row>
    <x:row r="1428">
      <x:c r="A1428" s="23" t="n">
        <x:v>1427</x:v>
      </x:c>
      <x:c r="B1428" s="23" t="str">
        <x:v>Train</x:v>
      </x:c>
      <x:c r="C1428" s="23" t="str">
        <x:v>Switching</x:v>
      </x:c>
      <x:c r="D1428" s="23" t="n">
        <x:v>971.9828741392121</x:v>
      </x:c>
      <x:c r="E1428" s="23" t="n">
        <x:v>942.2759942361154</x:v>
      </x:c>
      <x:c r="F1428" s="23" t="n">
        <x:v>444.000032171607</x:v>
      </x:c>
      <x:c r="G1428" s="23" t="n">
        <x:v>266.23602081788704</x:v>
      </x:c>
      <x:c r="H1428" s="23" t="n">
        <x:v>14.298062023706734</x:v>
      </x:c>
      <x:c r="I1428" s="23" t="n">
        <x:v>0.7928111549909227</x:v>
      </x:c>
      <x:c r="J1428" s="23" t="n">
        <x:v>7</x:v>
      </x:c>
      <x:c r="K1428" s="23" t="n">
        <x:v>175.14220811788596</x:v>
      </x:c>
      <x:c r="L1428" s="23" t="n">
        <x:v>12940</x:v>
      </x:c>
      <x:c r="M1428" s="23" t="n">
        <x:v>1200</x:v>
      </x:c>
      <x:c r="N1428" s="23" t="n">
        <x:v>249.97351337881756</x:v>
      </x:c>
      <x:c r="O1428" s="23" t="n">
        <x:v>2504.4196031293095</x:v>
      </x:c>
      <x:c r="P1428" s="23" t="n">
        <x:v>971.9828741392121</x:v>
      </x:c>
      <x:c r="Q1428" s="23" t="n">
        <x:v>251.2286870097197</x:v>
      </x:c>
      <x:c r="R1428" s="23" t="n">
        <x:v>2476.945243101452</x:v>
      </x:c>
      <x:c r="S1428" s="23" t="n">
        <x:v>973.8180936036879</x:v>
      </x:c>
      <x:c r="T1428" s="23" t="n">
        <x:v>1.255173630902135</x:v>
      </x:c>
      <x:c r="U1428" s="23" t="n">
        <x:v>-27.47436002785753</x:v>
      </x:c>
      <x:c r="V1428" s="23" t="n">
        <x:v>1.8352194644758129</x:v>
      </x:c>
    </x:row>
    <x:row r="1429">
      <x:c r="A1429" s="23" t="n">
        <x:v>1428</x:v>
      </x:c>
      <x:c r="B1429" s="23" t="str">
        <x:v>Train</x:v>
      </x:c>
      <x:c r="C1429" s="23" t="str">
        <x:v>Switching</x:v>
      </x:c>
      <x:c r="D1429" s="23" t="n">
        <x:v>970.4237540601753</x:v>
      </x:c>
      <x:c r="E1429" s="23" t="n">
        <x:v>750.0945730600506</x:v>
      </x:c>
      <x:c r="F1429" s="23" t="n">
        <x:v>579.3335157446563</x:v>
      </x:c>
      <x:c r="G1429" s="23" t="n">
        <x:v>245.45128950383514</x:v>
      </x:c>
      <x:c r="H1429" s="23" t="n">
        <x:v>18.267696067225188</x:v>
      </x:c>
      <x:c r="I1429" s="23" t="n">
        <x:v>0.8217857063002885</x:v>
      </x:c>
      <x:c r="J1429" s="23" t="n">
        <x:v>6</x:v>
      </x:c>
      <x:c r="K1429" s="23" t="n">
        <x:v>196.81200476400375</x:v>
      </x:c>
      <x:c r="L1429" s="23" t="n">
        <x:v>15845</x:v>
      </x:c>
      <x:c r="M1429" s="23" t="n">
        <x:v>1200</x:v>
      </x:c>
      <x:c r="N1429" s="23" t="n">
        <x:v>250.03911788068035</x:v>
      </x:c>
      <x:c r="O1429" s="23" t="n">
        <x:v>2502.658018146008</x:v>
      </x:c>
      <x:c r="P1429" s="23" t="n">
        <x:v>970.4237540601753</x:v>
      </x:c>
      <x:c r="Q1429" s="23" t="n">
        <x:v>248.70269400207735</x:v>
      </x:c>
      <x:c r="R1429" s="23" t="n">
        <x:v>2488.0849493381684</x:v>
      </x:c>
      <x:c r="S1429" s="23" t="n">
        <x:v>976.3983132456311</x:v>
      </x:c>
      <x:c r="T1429" s="23" t="n">
        <x:v>-1.336423878603</x:v>
      </x:c>
      <x:c r="U1429" s="23" t="n">
        <x:v>-14.573068807839718</x:v>
      </x:c>
      <x:c r="V1429" s="23" t="n">
        <x:v>5.97455918545586</x:v>
      </x:c>
    </x:row>
    <x:row r="1430">
      <x:c r="A1430" s="23" t="n">
        <x:v>1429</x:v>
      </x:c>
      <x:c r="B1430" s="23" t="str">
        <x:v>Train</x:v>
      </x:c>
      <x:c r="C1430" s="23" t="str">
        <x:v>Switching</x:v>
      </x:c>
      <x:c r="D1430" s="23" t="n">
        <x:v>1039.6527506876737</x:v>
      </x:c>
      <x:c r="E1430" s="23" t="n">
        <x:v>1164.410582545679</x:v>
      </x:c>
      <x:c r="F1430" s="23" t="n">
        <x:v>428.9883254095912</x:v>
      </x:c>
      <x:c r="G1430" s="23" t="n">
        <x:v>165.4872430791147</x:v>
      </x:c>
      <x:c r="H1430" s="23" t="n">
        <x:v>26.68268658220768</x:v>
      </x:c>
      <x:c r="I1430" s="23" t="n">
        <x:v>0.8284260056749918</x:v>
      </x:c>
      <x:c r="J1430" s="23" t="n">
        <x:v>7</x:v>
      </x:c>
      <x:c r="K1430" s="23" t="n">
        <x:v>179.281940100126</x:v>
      </x:c>
      <x:c r="L1430" s="23" t="n">
        <x:v>12160</x:v>
      </x:c>
      <x:c r="M1430" s="23" t="n">
        <x:v>1200</x:v>
      </x:c>
      <x:c r="N1430" s="23" t="n">
        <x:v>250.0270242947143</x:v>
      </x:c>
      <x:c r="O1430" s="23" t="n">
        <x:v>2505.0388280624015</x:v>
      </x:c>
      <x:c r="P1430" s="23" t="n">
        <x:v>1039.6527506876737</x:v>
      </x:c>
      <x:c r="Q1430" s="23" t="n">
        <x:v>249.30929833095678</x:v>
      </x:c>
      <x:c r="R1430" s="23" t="n">
        <x:v>2556.9296177985734</x:v>
      </x:c>
      <x:c r="S1430" s="23" t="n">
        <x:v>1025.5577891299351</x:v>
      </x:c>
      <x:c r="T1430" s="23" t="n">
        <x:v>-0.7177259637575162</x:v>
      </x:c>
      <x:c r="U1430" s="23" t="n">
        <x:v>51.89078973617188</x:v>
      </x:c>
      <x:c r="V1430" s="23" t="n">
        <x:v>-14.094961557738543</x:v>
      </x:c>
    </x:row>
    <x:row r="1431">
      <x:c r="A1431" s="23" t="n">
        <x:v>1430</x:v>
      </x:c>
      <x:c r="B1431" s="23" t="str">
        <x:v>Train</x:v>
      </x:c>
      <x:c r="C1431" s="23" t="str">
        <x:v>Switching</x:v>
      </x:c>
      <x:c r="D1431" s="23" t="n">
        <x:v>983.1929256324656</x:v>
      </x:c>
      <x:c r="E1431" s="23" t="n">
        <x:v>989.7771617164835</x:v>
      </x:c>
      <x:c r="F1431" s="23" t="n">
        <x:v>586.0309612937272</x:v>
      </x:c>
      <x:c r="G1431" s="23" t="n">
        <x:v>286.421643961221</x:v>
      </x:c>
      <x:c r="H1431" s="23" t="n">
        <x:v>12.041975921485573</x:v>
      </x:c>
      <x:c r="I1431" s="23" t="n">
        <x:v>0.7937042923783884</x:v>
      </x:c>
      <x:c r="J1431" s="23" t="n">
        <x:v>7</x:v>
      </x:c>
      <x:c r="K1431" s="23" t="n">
        <x:v>176.9627978353539</x:v>
      </x:c>
      <x:c r="L1431" s="23" t="n">
        <x:v>11485</x:v>
      </x:c>
      <x:c r="M1431" s="23" t="n">
        <x:v>1195</x:v>
      </x:c>
      <x:c r="N1431" s="23" t="n">
        <x:v>250.0226294094396</x:v>
      </x:c>
      <x:c r="O1431" s="23" t="n">
        <x:v>2495.200243536496</x:v>
      </x:c>
      <x:c r="P1431" s="23" t="n">
        <x:v>983.1929256324656</x:v>
      </x:c>
      <x:c r="Q1431" s="23" t="n">
        <x:v>251.7823026568191</x:v>
      </x:c>
      <x:c r="R1431" s="23" t="n">
        <x:v>2471.005185493258</x:v>
      </x:c>
      <x:c r="S1431" s="23" t="n">
        <x:v>980.7793658683769</x:v>
      </x:c>
      <x:c r="T1431" s="23" t="n">
        <x:v>1.75967324737951</x:v>
      </x:c>
      <x:c r="U1431" s="23" t="n">
        <x:v>-24.195058043238078</x:v>
      </x:c>
      <x:c r="V1431" s="23" t="n">
        <x:v>-2.4135597640887454</x:v>
      </x:c>
    </x:row>
    <x:row r="1432">
      <x:c r="A1432" s="23" t="n">
        <x:v>1431</x:v>
      </x:c>
      <x:c r="B1432" s="23" t="str">
        <x:v>Train</x:v>
      </x:c>
      <x:c r="C1432" s="23" t="str">
        <x:v>Switching</x:v>
      </x:c>
      <x:c r="D1432" s="23" t="n">
        <x:v>1070.6086960854009</x:v>
      </x:c>
      <x:c r="E1432" s="23" t="n">
        <x:v>1142.8009072435088</x:v>
      </x:c>
      <x:c r="F1432" s="23" t="n">
        <x:v>739.8914977908134</x:v>
      </x:c>
      <x:c r="G1432" s="23" t="n">
        <x:v>229.86715180566534</x:v>
      </x:c>
      <x:c r="H1432" s="23" t="n">
        <x:v>23.829116011969745</x:v>
      </x:c>
      <x:c r="I1432" s="23" t="n">
        <x:v>0.8425741979083978</x:v>
      </x:c>
      <x:c r="J1432" s="23" t="n">
        <x:v>7</x:v>
      </x:c>
      <x:c r="K1432" s="23" t="n">
        <x:v>181.52003683525945</x:v>
      </x:c>
      <x:c r="L1432" s="23" t="n">
        <x:v>10125</x:v>
      </x:c>
      <x:c r="M1432" s="23" t="n">
        <x:v>1195</x:v>
      </x:c>
      <x:c r="N1432" s="23" t="n">
        <x:v>250.0458916912579</x:v>
      </x:c>
      <x:c r="O1432" s="23" t="n">
        <x:v>2496.6513915602254</x:v>
      </x:c>
      <x:c r="P1432" s="23" t="n">
        <x:v>1070.6086960854009</x:v>
      </x:c>
      <x:c r="Q1432" s="23" t="n">
        <x:v>250.3088809864147</x:v>
      </x:c>
      <x:c r="R1432" s="23" t="n">
        <x:v>2501.2369702422425</x:v>
      </x:c>
      <x:c r="S1432" s="23" t="n">
        <x:v>1053.571806616184</x:v>
      </x:c>
      <x:c r="T1432" s="23" t="n">
        <x:v>0.2629892951567854</x:v>
      </x:c>
      <x:c r="U1432" s="23" t="n">
        <x:v>4.585578682017058</x:v>
      </x:c>
      <x:c r="V1432" s="23" t="n">
        <x:v>-17.03688946921693</x:v>
      </x:c>
    </x:row>
    <x:row r="1433">
      <x:c r="A1433" s="23" t="n">
        <x:v>1432</x:v>
      </x:c>
      <x:c r="B1433" s="23" t="str">
        <x:v>Train</x:v>
      </x:c>
      <x:c r="C1433" s="23" t="str">
        <x:v>Switching</x:v>
      </x:c>
      <x:c r="D1433" s="23" t="n">
        <x:v>1068.9916218514554</x:v>
      </x:c>
      <x:c r="E1433" s="23" t="n">
        <x:v>880.6807889603078</x:v>
      </x:c>
      <x:c r="F1433" s="23" t="n">
        <x:v>653.8082084618509</x:v>
      </x:c>
      <x:c r="G1433" s="23" t="n">
        <x:v>112.88571967277676</x:v>
      </x:c>
      <x:c r="H1433" s="23" t="n">
        <x:v>22.2168683311902</x:v>
      </x:c>
      <x:c r="I1433" s="23" t="n">
        <x:v>0.8407578583527356</x:v>
      </x:c>
      <x:c r="J1433" s="23" t="n">
        <x:v>7</x:v>
      </x:c>
      <x:c r="K1433" s="23" t="n">
        <x:v>181.63742071364882</x:v>
      </x:c>
      <x:c r="L1433" s="23" t="n">
        <x:v>12980</x:v>
      </x:c>
      <x:c r="M1433" s="23" t="n">
        <x:v>1200</x:v>
      </x:c>
      <x:c r="N1433" s="23" t="n">
        <x:v>249.9668899780109</x:v>
      </x:c>
      <x:c r="O1433" s="23" t="n">
        <x:v>2504.389697703153</x:v>
      </x:c>
      <x:c r="P1433" s="23" t="n">
        <x:v>1068.9916218514554</x:v>
      </x:c>
      <x:c r="Q1433" s="23" t="n">
        <x:v>250.7710056816975</x:v>
      </x:c>
      <x:c r="R1433" s="23" t="n">
        <x:v>2488.6456743339904</x:v>
      </x:c>
      <x:c r="S1433" s="23" t="n">
        <x:v>1061.7270280674584</x:v>
      </x:c>
      <x:c r="T1433" s="23" t="n">
        <x:v>0.8041157036865911</x:v>
      </x:c>
      <x:c r="U1433" s="23" t="n">
        <x:v>-15.744023369162733</x:v>
      </x:c>
      <x:c r="V1433" s="23" t="n">
        <x:v>-7.264593783997043</x:v>
      </x:c>
    </x:row>
    <x:row r="1434">
      <x:c r="A1434" s="23" t="n">
        <x:v>1433</x:v>
      </x:c>
      <x:c r="B1434" s="23" t="str">
        <x:v>Train</x:v>
      </x:c>
      <x:c r="C1434" s="23" t="str">
        <x:v>Switching</x:v>
      </x:c>
      <x:c r="D1434" s="23" t="n">
        <x:v>993.9039975404739</x:v>
      </x:c>
      <x:c r="E1434" s="23" t="n">
        <x:v>976.6370976692997</x:v>
      </x:c>
      <x:c r="F1434" s="23" t="n">
        <x:v>515.1951836422086</x:v>
      </x:c>
      <x:c r="G1434" s="23" t="n">
        <x:v>84.6745227300562</x:v>
      </x:c>
      <x:c r="H1434" s="23" t="n">
        <x:v>22.86885312013328</x:v>
      </x:c>
      <x:c r="I1434" s="23" t="n">
        <x:v>0.7929695439827629</x:v>
      </x:c>
      <x:c r="J1434" s="23" t="n">
        <x:v>7</x:v>
      </x:c>
      <x:c r="K1434" s="23" t="n">
        <x:v>179.05641703436126</x:v>
      </x:c>
      <x:c r="L1434" s="23" t="n">
        <x:v>13565</x:v>
      </x:c>
      <x:c r="M1434" s="23" t="n">
        <x:v>1200</x:v>
      </x:c>
      <x:c r="N1434" s="23" t="n">
        <x:v>249.9948327254669</x:v>
      </x:c>
      <x:c r="O1434" s="23" t="n">
        <x:v>2503.9771614076863</x:v>
      </x:c>
      <x:c r="P1434" s="23" t="n">
        <x:v>993.9039975404739</x:v>
      </x:c>
      <x:c r="Q1434" s="23" t="n">
        <x:v>250.79794767566926</x:v>
      </x:c>
      <x:c r="R1434" s="23" t="n">
        <x:v>2509.576435937624</x:v>
      </x:c>
      <x:c r="S1434" s="23" t="n">
        <x:v>989.3180915575723</x:v>
      </x:c>
      <x:c r="T1434" s="23" t="n">
        <x:v>0.8031149502023709</x:v>
      </x:c>
      <x:c r="U1434" s="23" t="n">
        <x:v>5.599274529937702</x:v>
      </x:c>
      <x:c r="V1434" s="23" t="n">
        <x:v>-4.585905982901636</x:v>
      </x:c>
    </x:row>
    <x:row r="1435">
      <x:c r="A1435" s="23" t="n">
        <x:v>1434</x:v>
      </x:c>
      <x:c r="B1435" s="23" t="str">
        <x:v>Train</x:v>
      </x:c>
      <x:c r="C1435" s="23" t="str">
        <x:v>Switching</x:v>
      </x:c>
      <x:c r="D1435" s="23" t="n">
        <x:v>1009.6556714386679</x:v>
      </x:c>
      <x:c r="E1435" s="23" t="n">
        <x:v>781.6171268234029</x:v>
      </x:c>
      <x:c r="F1435" s="23" t="n">
        <x:v>658.5968659259379</x:v>
      </x:c>
      <x:c r="G1435" s="23" t="n">
        <x:v>137.92660056613386</x:v>
      </x:c>
      <x:c r="H1435" s="23" t="n">
        <x:v>15.376541670877486</x:v>
      </x:c>
      <x:c r="I1435" s="23" t="n">
        <x:v>0.7938761314796284</x:v>
      </x:c>
      <x:c r="J1435" s="23" t="n">
        <x:v>7</x:v>
      </x:c>
      <x:c r="K1435" s="23" t="n">
        <x:v>181.68643541708434</x:v>
      </x:c>
      <x:c r="L1435" s="23" t="n">
        <x:v>13550</x:v>
      </x:c>
      <x:c r="M1435" s="23" t="n">
        <x:v>1200</x:v>
      </x:c>
      <x:c r="N1435" s="23" t="n">
        <x:v>249.97701932425363</x:v>
      </x:c>
      <x:c r="O1435" s="23" t="n">
        <x:v>2503.986672021808</x:v>
      </x:c>
      <x:c r="P1435" s="23" t="n">
        <x:v>1009.6556714386679</x:v>
      </x:c>
      <x:c r="Q1435" s="23" t="n">
        <x:v>250.61690018197095</x:v>
      </x:c>
      <x:c r="R1435" s="23" t="n">
        <x:v>2454.636486436741</x:v>
      </x:c>
      <x:c r="S1435" s="23" t="n">
        <x:v>1014.5402671078924</x:v>
      </x:c>
      <x:c r="T1435" s="23" t="n">
        <x:v>0.6398808577173156</x:v>
      </x:c>
      <x:c r="U1435" s="23" t="n">
        <x:v>-49.35018558506681</x:v>
      </x:c>
      <x:c r="V1435" s="23" t="n">
        <x:v>4.884595669224495</x:v>
      </x:c>
    </x:row>
    <x:row r="1436">
      <x:c r="A1436" s="23" t="n">
        <x:v>1435</x:v>
      </x:c>
      <x:c r="B1436" s="23" t="str">
        <x:v>Validation</x:v>
      </x:c>
      <x:c r="C1436" s="23" t="str">
        <x:v>Switching</x:v>
      </x:c>
      <x:c r="D1436" s="23" t="n">
        <x:v>1095.4455108148977</x:v>
      </x:c>
      <x:c r="E1436" s="23" t="n">
        <x:v>1138.6305753723718</x:v>
      </x:c>
      <x:c r="F1436" s="23" t="n">
        <x:v>572.7174643427134</x:v>
      </x:c>
      <x:c r="G1436" s="23" t="n">
        <x:v>131.10140255419537</x:v>
      </x:c>
      <x:c r="H1436" s="23" t="n">
        <x:v>18.65710934344679</x:v>
      </x:c>
      <x:c r="I1436" s="23" t="n">
        <x:v>0.8285744423675351</x:v>
      </x:c>
      <x:c r="J1436" s="23" t="n">
        <x:v>7</x:v>
      </x:c>
      <x:c r="K1436" s="23" t="n">
        <x:v>188.86922867611648</x:v>
      </x:c>
      <x:c r="L1436" s="23" t="n">
        <x:v>11605</x:v>
      </x:c>
      <x:c r="M1436" s="23" t="n">
        <x:v>1195</x:v>
      </x:c>
      <x:c r="N1436" s="23" t="n">
        <x:v>249.95168477162892</x:v>
      </x:c>
      <x:c r="O1436" s="23" t="n">
        <x:v>2495.0855780821153</x:v>
      </x:c>
      <x:c r="P1436" s="23" t="n">
        <x:v>1095.4455108148977</x:v>
      </x:c>
      <x:c r="Q1436" s="23" t="n">
        <x:v>249.1405706441605</x:v>
      </x:c>
      <x:c r="R1436" s="23" t="n">
        <x:v>2542.8565397436164</x:v>
      </x:c>
      <x:c r="S1436" s="23" t="n">
        <x:v>1097.94302637701</x:v>
      </x:c>
      <x:c r="T1436" s="23" t="n">
        <x:v>-0.8111141274684144</x:v>
      </x:c>
      <x:c r="U1436" s="23" t="n">
        <x:v>47.77096166150113</x:v>
      </x:c>
      <x:c r="V1436" s="23" t="n">
        <x:v>2.497515562112312</x:v>
      </x:c>
    </x:row>
    <x:row r="1437">
      <x:c r="A1437" s="23" t="n">
        <x:v>1436</x:v>
      </x:c>
      <x:c r="B1437" s="23" t="str">
        <x:v>Validation</x:v>
      </x:c>
      <x:c r="C1437" s="23" t="str">
        <x:v>Switching</x:v>
      </x:c>
      <x:c r="D1437" s="23" t="n">
        <x:v>1071.372955327388</x:v>
      </x:c>
      <x:c r="E1437" s="23" t="n">
        <x:v>1050.131570501253</x:v>
      </x:c>
      <x:c r="F1437" s="23" t="n">
        <x:v>599.7432495467365</x:v>
      </x:c>
      <x:c r="G1437" s="23" t="n">
        <x:v>315.5493566719815</x:v>
      </x:c>
      <x:c r="H1437" s="23" t="n">
        <x:v>16.96996524510905</x:v>
      </x:c>
      <x:c r="I1437" s="23" t="n">
        <x:v>0.8491598971933126</x:v>
      </x:c>
      <x:c r="J1437" s="23" t="n">
        <x:v>7</x:v>
      </x:c>
      <x:c r="K1437" s="23" t="n">
        <x:v>180.2408237110156</x:v>
      </x:c>
      <x:c r="L1437" s="23" t="n">
        <x:v>10880</x:v>
      </x:c>
      <x:c r="M1437" s="23" t="n">
        <x:v>1195</x:v>
      </x:c>
      <x:c r="N1437" s="23" t="n">
        <x:v>249.9772629854723</x:v>
      </x:c>
      <x:c r="O1437" s="23" t="n">
        <x:v>2495.7984558541157</x:v>
      </x:c>
      <x:c r="P1437" s="23" t="n">
        <x:v>1071.372955327388</x:v>
      </x:c>
      <x:c r="Q1437" s="23" t="n">
        <x:v>250.49505881862004</x:v>
      </x:c>
      <x:c r="R1437" s="23" t="n">
        <x:v>2527.170945650063</x:v>
      </x:c>
      <x:c r="S1437" s="23" t="n">
        <x:v>1063.857384622559</x:v>
      </x:c>
      <x:c r="T1437" s="23" t="n">
        <x:v>0.5177958331477441</x:v>
      </x:c>
      <x:c r="U1437" s="23" t="n">
        <x:v>31.37248979594733</x:v>
      </x:c>
      <x:c r="V1437" s="23" t="n">
        <x:v>-7.5155707048288605</x:v>
      </x:c>
    </x:row>
    <x:row r="1438">
      <x:c r="A1438" s="23" t="n">
        <x:v>1437</x:v>
      </x:c>
      <x:c r="B1438" s="23" t="str">
        <x:v>Validation</x:v>
      </x:c>
      <x:c r="C1438" s="23" t="str">
        <x:v>Switching</x:v>
      </x:c>
      <x:c r="D1438" s="23" t="n">
        <x:v>1044.4656565319747</x:v>
      </x:c>
      <x:c r="E1438" s="23" t="n">
        <x:v>1173.5126846353523</x:v>
      </x:c>
      <x:c r="F1438" s="23" t="n">
        <x:v>722.2072875127196</x:v>
      </x:c>
      <x:c r="G1438" s="23" t="n">
        <x:v>98.5464367386885</x:v>
      </x:c>
      <x:c r="H1438" s="23" t="n">
        <x:v>13.863392364233732</x:v>
      </x:c>
      <x:c r="I1438" s="23" t="n">
        <x:v>0.8484454549499788</x:v>
      </x:c>
      <x:c r="J1438" s="23" t="n">
        <x:v>7</x:v>
      </x:c>
      <x:c r="K1438" s="23" t="n">
        <x:v>175.86207650009115</x:v>
      </x:c>
      <x:c r="L1438" s="23" t="n">
        <x:v>10725</x:v>
      </x:c>
      <x:c r="M1438" s="23" t="n">
        <x:v>1195</x:v>
      </x:c>
      <x:c r="N1438" s="23" t="n">
        <x:v>250.03203505942452</x:v>
      </x:c>
      <x:c r="O1438" s="23" t="n">
        <x:v>2495.9656526876643</x:v>
      </x:c>
      <x:c r="P1438" s="23" t="n">
        <x:v>1044.4656565319747</x:v>
      </x:c>
      <x:c r="Q1438" s="23" t="n">
        <x:v>253.287288236806</x:v>
      </x:c>
      <x:c r="R1438" s="23" t="n">
        <x:v>2520.740494388665</x:v>
      </x:c>
      <x:c r="S1438" s="23" t="n">
        <x:v>1044.2256613091251</x:v>
      </x:c>
      <x:c r="T1438" s="23" t="n">
        <x:v>3.2552531773814906</x:v>
      </x:c>
      <x:c r="U1438" s="23" t="n">
        <x:v>24.774841701000696</x:v>
      </x:c>
      <x:c r="V1438" s="23" t="n">
        <x:v>-0.23999522284952945</x:v>
      </x:c>
    </x:row>
    <x:row r="1439">
      <x:c r="A1439" s="23" t="n">
        <x:v>1438</x:v>
      </x:c>
      <x:c r="B1439" s="23" t="str">
        <x:v>Hidden Test</x:v>
      </x:c>
      <x:c r="C1439" s="23" t="str">
        <x:v>Switching</x:v>
      </x:c>
      <x:c r="D1439" s="23" t="n">
        <x:v>1036.9999006506987</x:v>
      </x:c>
      <x:c r="E1439" s="23" t="n">
        <x:v>1011.8434673873708</x:v>
      </x:c>
      <x:c r="F1439" s="23" t="n">
        <x:v>412.15208964422345</x:v>
      </x:c>
      <x:c r="G1439" s="23" t="n">
        <x:v>205.90140011161566</x:v>
      </x:c>
      <x:c r="H1439" s="23" t="n">
        <x:v>15.659324663225561</x:v>
      </x:c>
      <x:c r="I1439" s="23" t="n">
        <x:v>0.8236590256867931</x:v>
      </x:c>
      <x:c r="J1439" s="23" t="n">
        <x:v>7</x:v>
      </x:c>
      <x:c r="K1439" s="23" t="n">
        <x:v>179.85943009192866</x:v>
      </x:c>
      <x:c r="L1439" s="23" t="n">
        <x:v>13120</x:v>
      </x:c>
      <x:c r="M1439" s="23" t="n">
        <x:v>1200</x:v>
      </x:c>
      <x:c r="N1439" s="23" t="n">
        <x:v>249.98221596077454</x:v>
      </x:c>
      <x:c r="O1439" s="23" t="n">
        <x:v>2504.2879561669215</x:v>
      </x:c>
      <x:c r="P1439" s="23" t="n">
        <x:v>1036.9999006506987</x:v>
      </x:c>
      <x:c r="Q1439" s="23" t="n">
        <x:v>252.72686954711125</x:v>
      </x:c>
      <x:c r="R1439" s="23" t="n">
        <x:v>2493.106654914832</x:v>
      </x:c>
      <x:c r="S1439" s="23" t="n">
        <x:v>1042.98155793182</x:v>
      </x:c>
      <x:c r="T1439" s="23" t="n">
        <x:v>2.7446535863367103</x:v>
      </x:c>
      <x:c r="U1439" s="23" t="n">
        <x:v>-11.181301252089725</x:v>
      </x:c>
      <x:c r="V1439" s="23" t="n">
        <x:v>5.981657281121215</x:v>
      </x:c>
    </x:row>
    <x:row r="1440">
      <x:c r="A1440" s="23" t="n">
        <x:v>1439</x:v>
      </x:c>
      <x:c r="B1440" s="23" t="str">
        <x:v>Hidden Test</x:v>
      </x:c>
      <x:c r="C1440" s="23" t="str">
        <x:v>Switching</x:v>
      </x:c>
      <x:c r="D1440" s="23" t="n">
        <x:v>1063.4018566692248</x:v>
      </x:c>
      <x:c r="E1440" s="23" t="n">
        <x:v>1080.4909951169975</x:v>
      </x:c>
      <x:c r="F1440" s="23" t="n">
        <x:v>458.97926315665245</x:v>
      </x:c>
      <x:c r="G1440" s="23" t="n">
        <x:v>81.52063503628597</x:v>
      </x:c>
      <x:c r="H1440" s="23" t="n">
        <x:v>25.076467505656183</x:v>
      </x:c>
      <x:c r="I1440" s="23" t="n">
        <x:v>0.8353992883278989</x:v>
      </x:c>
      <x:c r="J1440" s="23" t="n">
        <x:v>7</x:v>
      </x:c>
      <x:c r="K1440" s="23" t="n">
        <x:v>181.8466367822893</x:v>
      </x:c>
      <x:c r="L1440" s="23" t="n">
        <x:v>13195</x:v>
      </x:c>
      <x:c r="M1440" s="23" t="n">
        <x:v>1200</x:v>
      </x:c>
      <x:c r="N1440" s="23" t="n">
        <x:v>250.03768258852514</x:v>
      </x:c>
      <x:c r="O1440" s="23" t="n">
        <x:v>2504.2361121881354</x:v>
      </x:c>
      <x:c r="P1440" s="23" t="n">
        <x:v>1063.4018566692248</x:v>
      </x:c>
      <x:c r="Q1440" s="23" t="n">
        <x:v>249.88211676986938</x:v>
      </x:c>
      <x:c r="R1440" s="23" t="n">
        <x:v>2543.339379116782</x:v>
      </x:c>
      <x:c r="S1440" s="23" t="n">
        <x:v>1052.7267455275899</x:v>
      </x:c>
      <x:c r="T1440" s="23" t="n">
        <x:v>-0.15556581865575936</x:v>
      </x:c>
      <x:c r="U1440" s="23" t="n">
        <x:v>39.10326692864646</x:v>
      </x:c>
      <x:c r="V1440" s="23" t="n">
        <x:v>-10.675111141634943</x:v>
      </x:c>
    </x:row>
    <x:row r="1441">
      <x:c r="A1441" s="23" t="n">
        <x:v>1440</x:v>
      </x:c>
      <x:c r="B1441" s="23" t="str">
        <x:v>Hidden Test</x:v>
      </x:c>
      <x:c r="C1441" s="23" t="str">
        <x:v>Switching</x:v>
      </x:c>
      <x:c r="D1441" s="23" t="n">
        <x:v>1077.7479393291287</x:v>
      </x:c>
      <x:c r="E1441" s="23" t="n">
        <x:v>1137.8620602190495</x:v>
      </x:c>
      <x:c r="F1441" s="23" t="n">
        <x:v>564.9109511636198</x:v>
      </x:c>
      <x:c r="G1441" s="23" t="n">
        <x:v>295.88300832081586</x:v>
      </x:c>
      <x:c r="H1441" s="23" t="n">
        <x:v>27.66291353246197</x:v>
      </x:c>
      <x:c r="I1441" s="23" t="n">
        <x:v>0.8419944621156902</x:v>
      </x:c>
      <x:c r="J1441" s="23" t="n">
        <x:v>7</x:v>
      </x:c>
      <x:c r="K1441" s="23" t="n">
        <x:v>182.8562992515003</x:v>
      </x:c>
      <x:c r="L1441" s="23" t="n">
        <x:v>10700</x:v>
      </x:c>
      <x:c r="M1441" s="23" t="n">
        <x:v>1195</x:v>
      </x:c>
      <x:c r="N1441" s="23" t="n">
        <x:v>249.99866189044752</x:v>
      </x:c>
      <x:c r="O1441" s="23" t="n">
        <x:v>2495.99109902014</x:v>
      </x:c>
      <x:c r="P1441" s="23" t="n">
        <x:v>1077.7479393291287</x:v>
      </x:c>
      <x:c r="Q1441" s="23" t="n">
        <x:v>252.48439781966587</x:v>
      </x:c>
      <x:c r="R1441" s="23" t="n">
        <x:v>2510.7579115956323</x:v>
      </x:c>
      <x:c r="S1441" s="23" t="n">
        <x:v>1060.4325701132082</x:v>
      </x:c>
      <x:c r="T1441" s="23" t="n">
        <x:v>2.4857359292183503</x:v>
      </x:c>
      <x:c r="U1441" s="23" t="n">
        <x:v>14.766812575492168</x:v>
      </x:c>
      <x:c r="V1441" s="23" t="n">
        <x:v>-17.315369215920555</x:v>
      </x:c>
    </x:row>
    <x:row r="1442">
      <x:c r="A1442" s="23" t="n">
        <x:v>1441</x:v>
      </x:c>
      <x:c r="B1442" s="23" t="str">
        <x:v>Train</x:v>
      </x:c>
      <x:c r="C1442" s="23" t="str">
        <x:v>Switching</x:v>
      </x:c>
      <x:c r="D1442" s="23" t="n">
        <x:v>978.5064092837274</x:v>
      </x:c>
      <x:c r="E1442" s="23" t="n">
        <x:v>670.7338332547806</x:v>
      </x:c>
      <x:c r="F1442" s="23" t="n">
        <x:v>742.1492898836732</x:v>
      </x:c>
      <x:c r="G1442" s="23" t="n">
        <x:v>324.48175641009584</x:v>
      </x:c>
      <x:c r="H1442" s="23" t="n">
        <x:v>12.805284703150392</x:v>
      </x:c>
      <x:c r="I1442" s="23" t="n">
        <x:v>0.8018172943894751</x:v>
      </x:c>
      <x:c r="J1442" s="23" t="n">
        <x:v>7</x:v>
      </x:c>
      <x:c r="K1442" s="23" t="n">
        <x:v>174.33725971714364</x:v>
      </x:c>
      <x:c r="L1442" s="23" t="n">
        <x:v>12310</x:v>
      </x:c>
      <x:c r="M1442" s="23" t="n">
        <x:v>1200</x:v>
      </x:c>
      <x:c r="N1442" s="23" t="n">
        <x:v>250.01389210261422</x:v>
      </x:c>
      <x:c r="O1442" s="23" t="n">
        <x:v>2504.913548436828</x:v>
      </x:c>
      <x:c r="P1442" s="23" t="n">
        <x:v>978.5064092837274</x:v>
      </x:c>
      <x:c r="Q1442" s="23" t="n">
        <x:v>254.0298895992675</x:v>
      </x:c>
      <x:c r="R1442" s="23" t="n">
        <x:v>2447.5177501805683</x:v>
      </x:c>
      <x:c r="S1442" s="23" t="n">
        <x:v>983.2204766404305</x:v>
      </x:c>
      <x:c r="T1442" s="23" t="n">
        <x:v>4.015997496653284</x:v>
      </x:c>
      <x:c r="U1442" s="23" t="n">
        <x:v>-57.395798256259695</x:v>
      </x:c>
      <x:c r="V1442" s="23" t="n">
        <x:v>4.71406735670314</x:v>
      </x:c>
    </x:row>
    <x:row r="1443">
      <x:c r="A1443" s="23" t="n">
        <x:v>1442</x:v>
      </x:c>
      <x:c r="B1443" s="23" t="str">
        <x:v>Train</x:v>
      </x:c>
      <x:c r="C1443" s="23" t="str">
        <x:v>Switching</x:v>
      </x:c>
      <x:c r="D1443" s="23" t="n">
        <x:v>1003.9310933672823</x:v>
      </x:c>
      <x:c r="E1443" s="23" t="n">
        <x:v>983.9219431625679</x:v>
      </x:c>
      <x:c r="F1443" s="23" t="n">
        <x:v>550.5457573570311</x:v>
      </x:c>
      <x:c r="G1443" s="23" t="n">
        <x:v>280.7449383381754</x:v>
      </x:c>
      <x:c r="H1443" s="23" t="n">
        <x:v>10.420382328797132</x:v>
      </x:c>
      <x:c r="I1443" s="23" t="n">
        <x:v>0.8539206159720197</x:v>
      </x:c>
      <x:c r="J1443" s="23" t="n">
        <x:v>6</x:v>
      </x:c>
      <x:c r="K1443" s="23" t="n">
        <x:v>195.94543774316094</x:v>
      </x:c>
      <x:c r="L1443" s="23" t="n">
        <x:v>13745</x:v>
      </x:c>
      <x:c r="M1443" s="23" t="n">
        <x:v>1200</x:v>
      </x:c>
      <x:c r="N1443" s="23" t="n">
        <x:v>250.00024292844765</x:v>
      </x:c>
      <x:c r="O1443" s="23" t="n">
        <x:v>2503.8571849828445</x:v>
      </x:c>
      <x:c r="P1443" s="23" t="n">
        <x:v>1003.9310933672823</x:v>
      </x:c>
      <x:c r="Q1443" s="23" t="n">
        <x:v>255.59751695560107</x:v>
      </x:c>
      <x:c r="R1443" s="23" t="n">
        <x:v>2541.4656324249845</x:v>
      </x:c>
      <x:c r="S1443" s="23" t="n">
        <x:v>1005.1104795470967</x:v>
      </x:c>
      <x:c r="T1443" s="23" t="n">
        <x:v>5.597274027153418</x:v>
      </x:c>
      <x:c r="U1443" s="23" t="n">
        <x:v>37.608447442140005</x:v>
      </x:c>
      <x:c r="V1443" s="23" t="n">
        <x:v>1.1793861798144007</x:v>
      </x:c>
    </x:row>
    <x:row r="1444">
      <x:c r="A1444" s="23" t="n">
        <x:v>1443</x:v>
      </x:c>
      <x:c r="B1444" s="23" t="str">
        <x:v>Train</x:v>
      </x:c>
      <x:c r="C1444" s="23" t="str">
        <x:v>Switching</x:v>
      </x:c>
      <x:c r="D1444" s="23" t="n">
        <x:v>1044.3203463917598</x:v>
      </x:c>
      <x:c r="E1444" s="23" t="n">
        <x:v>859.9477396928705</x:v>
      </x:c>
      <x:c r="F1444" s="23" t="n">
        <x:v>512.9885893315077</x:v>
      </x:c>
      <x:c r="G1444" s="23" t="n">
        <x:v>252.55263560218737</x:v>
      </x:c>
      <x:c r="H1444" s="23" t="n">
        <x:v>28.6617597239092</x:v>
      </x:c>
      <x:c r="I1444" s="23" t="n">
        <x:v>0.8370843397895806</x:v>
      </x:c>
      <x:c r="J1444" s="23" t="n">
        <x:v>7</x:v>
      </x:c>
      <x:c r="K1444" s="23" t="n">
        <x:v>178.22412130014325</x:v>
      </x:c>
      <x:c r="L1444" s="23" t="n">
        <x:v>13155</x:v>
      </x:c>
      <x:c r="M1444" s="23" t="n">
        <x:v>1200</x:v>
      </x:c>
      <x:c r="N1444" s="23" t="n">
        <x:v>249.9715124241644</x:v>
      </x:c>
      <x:c r="O1444" s="23" t="n">
        <x:v>2504.2622963608837</x:v>
      </x:c>
      <x:c r="P1444" s="23" t="n">
        <x:v>1044.3203463917598</x:v>
      </x:c>
      <x:c r="Q1444" s="23" t="n">
        <x:v>247.94548962536297</x:v>
      </x:c>
      <x:c r="R1444" s="23" t="n">
        <x:v>2495.2969582577093</x:v>
      </x:c>
      <x:c r="S1444" s="23" t="n">
        <x:v>1035.2928897945433</x:v>
      </x:c>
      <x:c r="T1444" s="23" t="n">
        <x:v>-2.0260227988014208</x:v>
      </x:c>
      <x:c r="U1444" s="23" t="n">
        <x:v>-8.965338103174417</x:v>
      </x:c>
      <x:c r="V1444" s="23" t="n">
        <x:v>-9.027456597216542</x:v>
      </x:c>
    </x:row>
    <x:row r="1445">
      <x:c r="A1445" s="23" t="n">
        <x:v>1444</x:v>
      </x:c>
      <x:c r="B1445" s="23" t="str">
        <x:v>Train</x:v>
      </x:c>
      <x:c r="C1445" s="23" t="str">
        <x:v>Switching</x:v>
      </x:c>
      <x:c r="D1445" s="23" t="n">
        <x:v>1052.19045834383</x:v>
      </x:c>
      <x:c r="E1445" s="23" t="n">
        <x:v>1068.3681577909738</x:v>
      </x:c>
      <x:c r="F1445" s="23" t="n">
        <x:v>356.9484326057136</x:v>
      </x:c>
      <x:c r="G1445" s="23" t="n">
        <x:v>288.88138411100954</x:v>
      </x:c>
      <x:c r="H1445" s="23" t="n">
        <x:v>16.351584679912776</x:v>
      </x:c>
      <x:c r="I1445" s="23" t="n">
        <x:v>0.7921726320497692</x:v>
      </x:c>
      <x:c r="J1445" s="23" t="n">
        <x:v>7</x:v>
      </x:c>
      <x:c r="K1445" s="23" t="n">
        <x:v>189.74768445560682</x:v>
      </x:c>
      <x:c r="L1445" s="23" t="n">
        <x:v>12475</x:v>
      </x:c>
      <x:c r="M1445" s="23" t="n">
        <x:v>1200</x:v>
      </x:c>
      <x:c r="N1445" s="23" t="n">
        <x:v>249.9865955504411</x:v>
      </x:c>
      <x:c r="O1445" s="23" t="n">
        <x:v>2504.778689249204</x:v>
      </x:c>
      <x:c r="P1445" s="23" t="n">
        <x:v>1052.19045834383</x:v>
      </x:c>
      <x:c r="Q1445" s="23" t="n">
        <x:v>248.79804217760324</x:v>
      </x:c>
      <x:c r="R1445" s="23" t="n">
        <x:v>2498.4604105815392</x:v>
      </x:c>
      <x:c r="S1445" s="23" t="n">
        <x:v>1056.1339232729993</x:v>
      </x:c>
      <x:c r="T1445" s="23" t="n">
        <x:v>-1.1885533728378732</x:v>
      </x:c>
      <x:c r="U1445" s="23" t="n">
        <x:v>-6.318278667664799</x:v>
      </x:c>
      <x:c r="V1445" s="23" t="n">
        <x:v>3.943464929169295</x:v>
      </x:c>
    </x:row>
    <x:row r="1446">
      <x:c r="A1446" s="23" t="n">
        <x:v>1445</x:v>
      </x:c>
      <x:c r="B1446" s="23" t="str">
        <x:v>Train</x:v>
      </x:c>
      <x:c r="C1446" s="23" t="str">
        <x:v>Switching</x:v>
      </x:c>
      <x:c r="D1446" s="23" t="n">
        <x:v>964.0022417996079</x:v>
      </x:c>
      <x:c r="E1446" s="23" t="n">
        <x:v>1106.7473156261258</x:v>
      </x:c>
      <x:c r="F1446" s="23" t="n">
        <x:v>613.9918519183993</x:v>
      </x:c>
      <x:c r="G1446" s="23" t="n">
        <x:v>287.3385392432101</x:v>
      </x:c>
      <x:c r="H1446" s="23" t="n">
        <x:v>29.212470181286335</x:v>
      </x:c>
      <x:c r="I1446" s="23" t="n">
        <x:v>0.8285700033069588</x:v>
      </x:c>
      <x:c r="J1446" s="23" t="n">
        <x:v>6</x:v>
      </x:c>
      <x:c r="K1446" s="23" t="n">
        <x:v>193.90883046536337</x:v>
      </x:c>
      <x:c r="L1446" s="23" t="n">
        <x:v>12425</x:v>
      </x:c>
      <x:c r="M1446" s="23" t="n">
        <x:v>1200</x:v>
      </x:c>
      <x:c r="N1446" s="23" t="n">
        <x:v>250.0034803655248</x:v>
      </x:c>
      <x:c r="O1446" s="23" t="n">
        <x:v>2504.8195045257876</x:v>
      </x:c>
      <x:c r="P1446" s="23" t="n">
        <x:v>964.0022417996079</x:v>
      </x:c>
      <x:c r="Q1446" s="23" t="n">
        <x:v>251.05431562410504</x:v>
      </x:c>
      <x:c r="R1446" s="23" t="n">
        <x:v>2493.743609700565</x:v>
      </x:c>
      <x:c r="S1446" s="23" t="n">
        <x:v>950.377026776938</x:v>
      </x:c>
      <x:c r="T1446" s="23" t="n">
        <x:v>1.0508352585802356</x:v>
      </x:c>
      <x:c r="U1446" s="23" t="n">
        <x:v>-11.075894825222804</x:v>
      </x:c>
      <x:c r="V1446" s="23" t="n">
        <x:v>-13.625215022669863</x:v>
      </x:c>
    </x:row>
    <x:row r="1447">
      <x:c r="A1447" s="23" t="n">
        <x:v>1446</x:v>
      </x:c>
      <x:c r="B1447" s="23" t="str">
        <x:v>Train</x:v>
      </x:c>
      <x:c r="C1447" s="23" t="str">
        <x:v>Switching</x:v>
      </x:c>
      <x:c r="D1447" s="23" t="n">
        <x:v>1071.445340954233</x:v>
      </x:c>
      <x:c r="E1447" s="23" t="n">
        <x:v>1213.4355090325698</x:v>
      </x:c>
      <x:c r="F1447" s="23" t="n">
        <x:v>592.5333050079644</x:v>
      </x:c>
      <x:c r="G1447" s="23" t="n">
        <x:v>107.4659818969667</x:v>
      </x:c>
      <x:c r="H1447" s="23" t="n">
        <x:v>18.782995669636875</x:v>
      </x:c>
      <x:c r="I1447" s="23" t="n">
        <x:v>0.7997379472991452</x:v>
      </x:c>
      <x:c r="J1447" s="23" t="n">
        <x:v>7</x:v>
      </x:c>
      <x:c r="K1447" s="23" t="n">
        <x:v>191.3922187301998</x:v>
      </x:c>
      <x:c r="L1447" s="23" t="n">
        <x:v>11175</x:v>
      </x:c>
      <x:c r="M1447" s="23" t="n">
        <x:v>1195</x:v>
      </x:c>
      <x:c r="N1447" s="23" t="n">
        <x:v>249.9634908829469</x:v>
      </x:c>
      <x:c r="O1447" s="23" t="n">
        <x:v>2495.4970762731355</x:v>
      </x:c>
      <x:c r="P1447" s="23" t="n">
        <x:v>1071.445340954233</x:v>
      </x:c>
      <x:c r="Q1447" s="23" t="n">
        <x:v>249.7123159315602</x:v>
      </x:c>
      <x:c r="R1447" s="23" t="n">
        <x:v>2501.8139411918532</x:v>
      </x:c>
      <x:c r="S1447" s="23" t="n">
        <x:v>1068.794361138393</x:v>
      </x:c>
      <x:c r="T1447" s="23" t="n">
        <x:v>-0.25117495138670165</x:v>
      </x:c>
      <x:c r="U1447" s="23" t="n">
        <x:v>6.316864918717783</x:v>
      </x:c>
      <x:c r="V1447" s="23" t="n">
        <x:v>-2.6509798158399462</x:v>
      </x:c>
    </x:row>
    <x:row r="1448">
      <x:c r="A1448" s="23" t="n">
        <x:v>1447</x:v>
      </x:c>
      <x:c r="B1448" s="23" t="str">
        <x:v>Train</x:v>
      </x:c>
      <x:c r="C1448" s="23" t="str">
        <x:v>Switching</x:v>
      </x:c>
      <x:c r="D1448" s="23" t="n">
        <x:v>1076.2822325574234</x:v>
      </x:c>
      <x:c r="E1448" s="23" t="n">
        <x:v>680.4173115757294</x:v>
      </x:c>
      <x:c r="F1448" s="23" t="n">
        <x:v>552.4583220481873</x:v>
      </x:c>
      <x:c r="G1448" s="23" t="n">
        <x:v>225.58403001865372</x:v>
      </x:c>
      <x:c r="H1448" s="23" t="n">
        <x:v>13.859373765997589</x:v>
      </x:c>
      <x:c r="I1448" s="23" t="n">
        <x:v>0.8450815444416366</x:v>
      </x:c>
      <x:c r="J1448" s="23" t="n">
        <x:v>7</x:v>
      </x:c>
      <x:c r="K1448" s="23" t="n">
        <x:v>181.9405543315343</x:v>
      </x:c>
      <x:c r="L1448" s="23" t="n">
        <x:v>14665</x:v>
      </x:c>
      <x:c r="M1448" s="23" t="n">
        <x:v>1200</x:v>
      </x:c>
      <x:c r="N1448" s="23" t="n">
        <x:v>250.02963703958528</x:v>
      </x:c>
      <x:c r="O1448" s="23" t="n">
        <x:v>2503.289985393996</x:v>
      </x:c>
      <x:c r="P1448" s="23" t="n">
        <x:v>1076.2822325574234</x:v>
      </x:c>
      <x:c r="Q1448" s="23" t="n">
        <x:v>249.4618893501644</x:v>
      </x:c>
      <x:c r="R1448" s="23" t="n">
        <x:v>2485.1707718445455</x:v>
      </x:c>
      <x:c r="S1448" s="23" t="n">
        <x:v>1079.9713288107484</x:v>
      </x:c>
      <x:c r="T1448" s="23" t="n">
        <x:v>-0.5677476894208837</x:v>
      </x:c>
      <x:c r="U1448" s="23" t="n">
        <x:v>-18.119213549450706</x:v>
      </x:c>
      <x:c r="V1448" s="23" t="n">
        <x:v>3.689096253325033</x:v>
      </x:c>
    </x:row>
    <x:row r="1449">
      <x:c r="A1449" s="23" t="n">
        <x:v>1448</x:v>
      </x:c>
      <x:c r="B1449" s="23" t="str">
        <x:v>Train</x:v>
      </x:c>
      <x:c r="C1449" s="23" t="str">
        <x:v>Switching</x:v>
      </x:c>
      <x:c r="D1449" s="23" t="n">
        <x:v>971.1391658405773</x:v>
      </x:c>
      <x:c r="E1449" s="23" t="n">
        <x:v>623.5342592932284</x:v>
      </x:c>
      <x:c r="F1449" s="23" t="n">
        <x:v>729.3195343576372</x:v>
      </x:c>
      <x:c r="G1449" s="23" t="n">
        <x:v>168.97114696446806</x:v>
      </x:c>
      <x:c r="H1449" s="23" t="n">
        <x:v>8.652786148246378</x:v>
      </x:c>
      <x:c r="I1449" s="23" t="n">
        <x:v>0.8029083347413689</x:v>
      </x:c>
      <x:c r="J1449" s="23" t="n">
        <x:v>7</x:v>
      </x:c>
      <x:c r="K1449" s="23" t="n">
        <x:v>172.78954588675762</x:v>
      </x:c>
      <x:c r="L1449" s="23" t="n">
        <x:v>14055</x:v>
      </x:c>
      <x:c r="M1449" s="23" t="n">
        <x:v>1200</x:v>
      </x:c>
      <x:c r="N1449" s="23" t="n">
        <x:v>250.0405107185271</x:v>
      </x:c>
      <x:c r="O1449" s="23" t="n">
        <x:v>2503.65884734431</x:v>
      </x:c>
      <x:c r="P1449" s="23" t="n">
        <x:v>971.1391658405773</x:v>
      </x:c>
      <x:c r="Q1449" s="23" t="n">
        <x:v>251.74064285971582</x:v>
      </x:c>
      <x:c r="R1449" s="23" t="n">
        <x:v>2503.9558762395</x:v>
      </x:c>
      <x:c r="S1449" s="23" t="n">
        <x:v>982.0058796573492</x:v>
      </x:c>
      <x:c r="T1449" s="23" t="n">
        <x:v>1.7001321411887318</x:v>
      </x:c>
      <x:c r="U1449" s="23" t="n">
        <x:v>0.2970288951901239</x:v>
      </x:c>
      <x:c r="V1449" s="23" t="n">
        <x:v>10.866713816771835</x:v>
      </x:c>
    </x:row>
    <x:row r="1450">
      <x:c r="A1450" s="23" t="n">
        <x:v>1449</x:v>
      </x:c>
      <x:c r="B1450" s="23" t="str">
        <x:v>Train</x:v>
      </x:c>
      <x:c r="C1450" s="23" t="str">
        <x:v>Switching</x:v>
      </x:c>
      <x:c r="D1450" s="23" t="n">
        <x:v>1020.3876895830035</x:v>
      </x:c>
      <x:c r="E1450" s="23" t="n">
        <x:v>1052.4578277370892</x:v>
      </x:c>
      <x:c r="F1450" s="23" t="n">
        <x:v>638.7127758935094</x:v>
      </x:c>
      <x:c r="G1450" s="23" t="n">
        <x:v>159.82583303237334</x:v>
      </x:c>
      <x:c r="H1450" s="23" t="n">
        <x:v>21.529577990993857</x:v>
      </x:c>
      <x:c r="I1450" s="23" t="n">
        <x:v>0.8027239459869452</x:v>
      </x:c>
      <x:c r="J1450" s="23" t="n">
        <x:v>7</x:v>
      </x:c>
      <x:c r="K1450" s="23" t="n">
        <x:v>181.59377288939098</x:v>
      </x:c>
      <x:c r="L1450" s="23" t="n">
        <x:v>11555</x:v>
      </x:c>
      <x:c r="M1450" s="23" t="n">
        <x:v>1195</x:v>
      </x:c>
      <x:c r="N1450" s="23" t="n">
        <x:v>250.02935976177264</x:v>
      </x:c>
      <x:c r="O1450" s="23" t="n">
        <x:v>2495.135124538531</x:v>
      </x:c>
      <x:c r="P1450" s="23" t="n">
        <x:v>1020.3876895830035</x:v>
      </x:c>
      <x:c r="Q1450" s="23" t="n">
        <x:v>247.92145416625507</x:v>
      </x:c>
      <x:c r="R1450" s="23" t="n">
        <x:v>2510.2084753075296</x:v>
      </x:c>
      <x:c r="S1450" s="23" t="n">
        <x:v>1017.1926819753962</x:v>
      </x:c>
      <x:c r="T1450" s="23" t="n">
        <x:v>-2.1079055955175647</x:v>
      </x:c>
      <x:c r="U1450" s="23" t="n">
        <x:v>15.073350768998807</x:v>
      </x:c>
      <x:c r="V1450" s="23" t="n">
        <x:v>-3.1950076076072946</x:v>
      </x:c>
    </x:row>
    <x:row r="1451">
      <x:c r="A1451" s="23" t="n">
        <x:v>1450</x:v>
      </x:c>
      <x:c r="B1451" s="23" t="str">
        <x:v>Train</x:v>
      </x:c>
      <x:c r="C1451" s="23" t="str">
        <x:v>Switching</x:v>
      </x:c>
      <x:c r="D1451" s="23" t="n">
        <x:v>1027.5260013178922</x:v>
      </x:c>
      <x:c r="E1451" s="23" t="n">
        <x:v>828.600062080659</x:v>
      </x:c>
      <x:c r="F1451" s="23" t="n">
        <x:v>363.402456138283</x:v>
      </x:c>
      <x:c r="G1451" s="23" t="n">
        <x:v>91.08172792010009</x:v>
      </x:c>
      <x:c r="H1451" s="23" t="n">
        <x:v>18.752121408004314</x:v>
      </x:c>
      <x:c r="I1451" s="23" t="n">
        <x:v>0.8029823074908927</x:v>
      </x:c>
      <x:c r="J1451" s="23" t="n">
        <x:v>7</x:v>
      </x:c>
      <x:c r="K1451" s="23" t="n">
        <x:v>182.8053088970005</x:v>
      </x:c>
      <x:c r="L1451" s="23" t="n">
        <x:v>16665</x:v>
      </x:c>
      <x:c r="M1451" s="23" t="n">
        <x:v>1200</x:v>
      </x:c>
      <x:c r="N1451" s="23" t="n">
        <x:v>249.96291742705495</x:v>
      </x:c>
      <x:c r="O1451" s="23" t="n">
        <x:v>2502.2690900136245</x:v>
      </x:c>
      <x:c r="P1451" s="23" t="n">
        <x:v>1027.5260013178922</x:v>
      </x:c>
      <x:c r="Q1451" s="23" t="n">
        <x:v>248.96703738745217</x:v>
      </x:c>
      <x:c r="R1451" s="23" t="n">
        <x:v>2538.1129671424887</x:v>
      </x:c>
      <x:c r="S1451" s="23" t="n">
        <x:v>1034.154530093646</x:v>
      </x:c>
      <x:c r="T1451" s="23" t="n">
        <x:v>-0.9958800396027812</x:v>
      </x:c>
      <x:c r="U1451" s="23" t="n">
        <x:v>35.84387712886428</x:v>
      </x:c>
      <x:c r="V1451" s="23" t="n">
        <x:v>6.6285287757536935</x:v>
      </x:c>
    </x:row>
    <x:row r="1452">
      <x:c r="A1452" s="23" t="n">
        <x:v>1451</x:v>
      </x:c>
      <x:c r="B1452" s="23" t="str">
        <x:v>Train</x:v>
      </x:c>
      <x:c r="C1452" s="23" t="str">
        <x:v>Switching</x:v>
      </x:c>
      <x:c r="D1452" s="23" t="n">
        <x:v>1019.5350198773667</x:v>
      </x:c>
      <x:c r="E1452" s="23" t="n">
        <x:v>1095.610135665629</x:v>
      </x:c>
      <x:c r="F1452" s="23" t="n">
        <x:v>543.5464698821306</x:v>
      </x:c>
      <x:c r="G1452" s="23" t="n">
        <x:v>225.1298391330056</x:v>
      </x:c>
      <x:c r="H1452" s="23" t="n">
        <x:v>12.795987621881068</x:v>
      </x:c>
      <x:c r="I1452" s="23" t="n">
        <x:v>0.8424675676855259</x:v>
      </x:c>
      <x:c r="J1452" s="23" t="n">
        <x:v>7</x:v>
      </x:c>
      <x:c r="K1452" s="23" t="n">
        <x:v>172.88245336566834</x:v>
      </x:c>
      <x:c r="L1452" s="23" t="n">
        <x:v>11470</x:v>
      </x:c>
      <x:c r="M1452" s="23" t="n">
        <x:v>1195</x:v>
      </x:c>
      <x:c r="N1452" s="23" t="n">
        <x:v>249.97187562359105</x:v>
      </x:c>
      <x:c r="O1452" s="23" t="n">
        <x:v>2495.21216598406</x:v>
      </x:c>
      <x:c r="P1452" s="23" t="n">
        <x:v>1019.5350198773667</x:v>
      </x:c>
      <x:c r="Q1452" s="23" t="n">
        <x:v>254.29374240392227</x:v>
      </x:c>
      <x:c r="R1452" s="23" t="n">
        <x:v>2476.888775225202</x:v>
      </x:c>
      <x:c r="S1452" s="23" t="n">
        <x:v>1024.1850685473453</x:v>
      </x:c>
      <x:c r="T1452" s="23" t="n">
        <x:v>4.32186678033122</x:v>
      </x:c>
      <x:c r="U1452" s="23" t="n">
        <x:v>-18.32339075885784</x:v>
      </x:c>
      <x:c r="V1452" s="23" t="n">
        <x:v>4.65004866997856</x:v>
      </x:c>
    </x:row>
    <x:row r="1453">
      <x:c r="A1453" s="23" t="n">
        <x:v>1452</x:v>
      </x:c>
      <x:c r="B1453" s="23" t="str">
        <x:v>Train</x:v>
      </x:c>
      <x:c r="C1453" s="23" t="str">
        <x:v>Switching</x:v>
      </x:c>
      <x:c r="D1453" s="23" t="n">
        <x:v>966.1556629813276</x:v>
      </x:c>
      <x:c r="E1453" s="23" t="n">
        <x:v>1208.114824583754</x:v>
      </x:c>
      <x:c r="F1453" s="23" t="n">
        <x:v>492.66735715791583</x:v>
      </x:c>
      <x:c r="G1453" s="23" t="n">
        <x:v>253.18779311608523</x:v>
      </x:c>
      <x:c r="H1453" s="23" t="n">
        <x:v>27.391111958306283</x:v>
      </x:c>
      <x:c r="I1453" s="23" t="n">
        <x:v>0.8021733028069139</x:v>
      </x:c>
      <x:c r="J1453" s="23" t="n">
        <x:v>7</x:v>
      </x:c>
      <x:c r="K1453" s="23" t="n">
        <x:v>172.06037284686792</x:v>
      </x:c>
      <x:c r="L1453" s="23" t="n">
        <x:v>10945</x:v>
      </x:c>
      <x:c r="M1453" s="23" t="n">
        <x:v>1195</x:v>
      </x:c>
      <x:c r="N1453" s="23" t="n">
        <x:v>250.00544038580352</x:v>
      </x:c>
      <x:c r="O1453" s="23" t="n">
        <x:v>2495.7320564759016</x:v>
      </x:c>
      <x:c r="P1453" s="23" t="n">
        <x:v>966.1556629813276</x:v>
      </x:c>
      <x:c r="Q1453" s="23" t="n">
        <x:v>249.29856411421002</x:v>
      </x:c>
      <x:c r="R1453" s="23" t="n">
        <x:v>2497.439853632309</x:v>
      </x:c>
      <x:c r="S1453" s="23" t="n">
        <x:v>946.5421419290279</x:v>
      </x:c>
      <x:c r="T1453" s="23" t="n">
        <x:v>-0.7068762715935009</x:v>
      </x:c>
      <x:c r="U1453" s="23" t="n">
        <x:v>1.7077971564076506</x:v>
      </x:c>
      <x:c r="V1453" s="23" t="n">
        <x:v>-19.61352105229969</x:v>
      </x:c>
    </x:row>
    <x:row r="1454">
      <x:c r="A1454" s="23" t="n">
        <x:v>1453</x:v>
      </x:c>
      <x:c r="B1454" s="23" t="str">
        <x:v>Train</x:v>
      </x:c>
      <x:c r="C1454" s="23" t="str">
        <x:v>Switching</x:v>
      </x:c>
      <x:c r="D1454" s="23" t="n">
        <x:v>963.377004629001</x:v>
      </x:c>
      <x:c r="E1454" s="23" t="n">
        <x:v>1007.5078966910951</x:v>
      </x:c>
      <x:c r="F1454" s="23" t="n">
        <x:v>587.0362630113959</x:v>
      </x:c>
      <x:c r="G1454" s="23" t="n">
        <x:v>130.07264559390023</x:v>
      </x:c>
      <x:c r="H1454" s="23" t="n">
        <x:v>28.189327839761972</x:v>
      </x:c>
      <x:c r="I1454" s="23" t="n">
        <x:v>0.8158235574536957</x:v>
      </x:c>
      <x:c r="J1454" s="23" t="n">
        <x:v>6</x:v>
      </x:c>
      <x:c r="K1454" s="23" t="n">
        <x:v>196.81073516186945</x:v>
      </x:c>
      <x:c r="L1454" s="23" t="n">
        <x:v>14465</x:v>
      </x:c>
      <x:c r="M1454" s="23" t="n">
        <x:v>1200</x:v>
      </x:c>
      <x:c r="N1454" s="23" t="n">
        <x:v>249.96543054543247</x:v>
      </x:c>
      <x:c r="O1454" s="23" t="n">
        <x:v>2503.4051480117064</x:v>
      </x:c>
      <x:c r="P1454" s="23" t="n">
        <x:v>963.377004629001</x:v>
      </x:c>
      <x:c r="Q1454" s="23" t="n">
        <x:v>250.72033269345619</x:v>
      </x:c>
      <x:c r="R1454" s="23" t="n">
        <x:v>2545.6346760434394</x:v>
      </x:c>
      <x:c r="S1454" s="23" t="n">
        <x:v>950.7239914505071</x:v>
      </x:c>
      <x:c r="T1454" s="23" t="n">
        <x:v>0.7549021480237172</x:v>
      </x:c>
      <x:c r="U1454" s="23" t="n">
        <x:v>42.229528031733025</x:v>
      </x:c>
      <x:c r="V1454" s="23" t="n">
        <x:v>-12.653013178493893</x:v>
      </x:c>
    </x:row>
    <x:row r="1455">
      <x:c r="A1455" s="23" t="n">
        <x:v>1454</x:v>
      </x:c>
      <x:c r="B1455" s="23" t="str">
        <x:v>Train</x:v>
      </x:c>
      <x:c r="C1455" s="23" t="str">
        <x:v>Switching</x:v>
      </x:c>
      <x:c r="D1455" s="23" t="n">
        <x:v>985.7368385535665</x:v>
      </x:c>
      <x:c r="E1455" s="23" t="n">
        <x:v>1235.2821417851374</x:v>
      </x:c>
      <x:c r="F1455" s="23" t="n">
        <x:v>602.614823449403</x:v>
      </x:c>
      <x:c r="G1455" s="23" t="n">
        <x:v>194.64331671595573</x:v>
      </x:c>
      <x:c r="H1455" s="23" t="n">
        <x:v>27.868078509811312</x:v>
      </x:c>
      <x:c r="I1455" s="23" t="n">
        <x:v>0.8300114879710601</x:v>
      </x:c>
      <x:c r="J1455" s="23" t="n">
        <x:v>6</x:v>
      </x:c>
      <x:c r="K1455" s="23" t="n">
        <x:v>197.93638458410027</x:v>
      </x:c>
      <x:c r="L1455" s="23" t="n">
        <x:v>12275</x:v>
      </x:c>
      <x:c r="M1455" s="23" t="n">
        <x:v>1200</x:v>
      </x:c>
      <x:c r="N1455" s="23" t="n">
        <x:v>249.99409812674114</x:v>
      </x:c>
      <x:c r="O1455" s="23" t="n">
        <x:v>2504.94156299082</x:v>
      </x:c>
      <x:c r="P1455" s="23" t="n">
        <x:v>985.7368385535665</x:v>
      </x:c>
      <x:c r="Q1455" s="23" t="n">
        <x:v>250.88970840023939</x:v>
      </x:c>
      <x:c r="R1455" s="23" t="n">
        <x:v>2498.5600235403667</x:v>
      </x:c>
      <x:c r="S1455" s="23" t="n">
        <x:v>966.7482740958066</x:v>
      </x:c>
      <x:c r="T1455" s="23" t="n">
        <x:v>0.8956102734982494</x:v>
      </x:c>
      <x:c r="U1455" s="23" t="n">
        <x:v>-6.381539450453147</x:v>
      </x:c>
      <x:c r="V1455" s="23" t="n">
        <x:v>-18.988564457759935</x:v>
      </x:c>
    </x:row>
    <x:row r="1456">
      <x:c r="A1456" s="23" t="n">
        <x:v>1455</x:v>
      </x:c>
      <x:c r="B1456" s="23" t="str">
        <x:v>Validation</x:v>
      </x:c>
      <x:c r="C1456" s="23" t="str">
        <x:v>Switching</x:v>
      </x:c>
      <x:c r="D1456" s="23" t="n">
        <x:v>1017.0118743786588</x:v>
      </x:c>
      <x:c r="E1456" s="23" t="n">
        <x:v>1144.3114430760033</x:v>
      </x:c>
      <x:c r="F1456" s="23" t="n">
        <x:v>416.6032411158085</x:v>
      </x:c>
      <x:c r="G1456" s="23" t="n">
        <x:v>113.96592516219243</x:v>
      </x:c>
      <x:c r="H1456" s="23" t="n">
        <x:v>24.772588058374822</x:v>
      </x:c>
      <x:c r="I1456" s="23" t="n">
        <x:v>0.7942361510335468</x:v>
      </x:c>
      <x:c r="J1456" s="23" t="n">
        <x:v>7</x:v>
      </x:c>
      <x:c r="K1456" s="23" t="n">
        <x:v>182.92721936222478</x:v>
      </x:c>
      <x:c r="L1456" s="23" t="n">
        <x:v>12770</x:v>
      </x:c>
      <x:c r="M1456" s="23" t="n">
        <x:v>1200</x:v>
      </x:c>
      <x:c r="N1456" s="23" t="n">
        <x:v>250.02893321590074</x:v>
      </x:c>
      <x:c r="O1456" s="23" t="n">
        <x:v>2504.5498150031717</x:v>
      </x:c>
      <x:c r="P1456" s="23" t="n">
        <x:v>1017.0118743786588</x:v>
      </x:c>
      <x:c r="Q1456" s="23" t="n">
        <x:v>248.39565285726525</x:v>
      </x:c>
      <x:c r="R1456" s="23" t="n">
        <x:v>2507.580925552069</x:v>
      </x:c>
      <x:c r="S1456" s="23" t="n">
        <x:v>1008.8953787996574</x:v>
      </x:c>
      <x:c r="T1456" s="23" t="n">
        <x:v>-1.6332803586354885</x:v>
      </x:c>
      <x:c r="U1456" s="23" t="n">
        <x:v>3.0311105488972316</x:v>
      </x:c>
      <x:c r="V1456" s="23" t="n">
        <x:v>-8.11649557900148</x:v>
      </x:c>
    </x:row>
    <x:row r="1457">
      <x:c r="A1457" s="23" t="n">
        <x:v>1456</x:v>
      </x:c>
      <x:c r="B1457" s="23" t="str">
        <x:v>Validation</x:v>
      </x:c>
      <x:c r="C1457" s="23" t="str">
        <x:v>Switching</x:v>
      </x:c>
      <x:c r="D1457" s="23" t="n">
        <x:v>1069.5635367068462</x:v>
      </x:c>
      <x:c r="E1457" s="23" t="n">
        <x:v>1169.171022810042</x:v>
      </x:c>
      <x:c r="F1457" s="23" t="n">
        <x:v>657.8074260614812</x:v>
      </x:c>
      <x:c r="G1457" s="23" t="n">
        <x:v>111.43261012155563</x:v>
      </x:c>
      <x:c r="H1457" s="23" t="n">
        <x:v>23.34540265193209</x:v>
      </x:c>
      <x:c r="I1457" s="23" t="n">
        <x:v>0.8521813266631216</x:v>
      </x:c>
      <x:c r="J1457" s="23" t="n">
        <x:v>7</x:v>
      </x:c>
      <x:c r="K1457" s="23" t="n">
        <x:v>179.298449963012</x:v>
      </x:c>
      <x:c r="L1457" s="23" t="n">
        <x:v>11035</x:v>
      </x:c>
      <x:c r="M1457" s="23" t="n">
        <x:v>1195</x:v>
      </x:c>
      <x:c r="N1457" s="23" t="n">
        <x:v>250.05400985547763</x:v>
      </x:c>
      <x:c r="O1457" s="23" t="n">
        <x:v>2495.6418622963743</x:v>
      </x:c>
      <x:c r="P1457" s="23" t="n">
        <x:v>1069.5635367068462</x:v>
      </x:c>
      <x:c r="Q1457" s="23" t="n">
        <x:v>251.1061055514214</x:v>
      </x:c>
      <x:c r="R1457" s="23" t="n">
        <x:v>2495.8935943563324</x:v>
      </x:c>
      <x:c r="S1457" s="23" t="n">
        <x:v>1064.0782196371536</x:v>
      </x:c>
      <x:c r="T1457" s="23" t="n">
        <x:v>1.0520956959437626</x:v>
      </x:c>
      <x:c r="U1457" s="23" t="n">
        <x:v>0.25173205995815806</x:v>
      </x:c>
      <x:c r="V1457" s="23" t="n">
        <x:v>-5.485317069692655</x:v>
      </x:c>
    </x:row>
    <x:row r="1458">
      <x:c r="A1458" s="23" t="n">
        <x:v>1457</x:v>
      </x:c>
      <x:c r="B1458" s="23" t="str">
        <x:v>Validation</x:v>
      </x:c>
      <x:c r="C1458" s="23" t="str">
        <x:v>Switching</x:v>
      </x:c>
      <x:c r="D1458" s="23" t="n">
        <x:v>1060.6739942915738</x:v>
      </x:c>
      <x:c r="E1458" s="23" t="n">
        <x:v>668.2863035588525</x:v>
      </x:c>
      <x:c r="F1458" s="23" t="n">
        <x:v>481.0002962127328</x:v>
      </x:c>
      <x:c r="G1458" s="23" t="n">
        <x:v>181.55043011764064</x:v>
      </x:c>
      <x:c r="H1458" s="23" t="n">
        <x:v>11.406353192403913</x:v>
      </x:c>
      <x:c r="I1458" s="23" t="n">
        <x:v>0.8384943503071555</x:v>
      </x:c>
      <x:c r="J1458" s="23" t="n">
        <x:v>7</x:v>
      </x:c>
      <x:c r="K1458" s="23" t="n">
        <x:v>180.71064673466364</x:v>
      </x:c>
      <x:c r="L1458" s="23" t="n">
        <x:v>16070</x:v>
      </x:c>
      <x:c r="M1458" s="23" t="n">
        <x:v>1200</x:v>
      </x:c>
      <x:c r="N1458" s="23" t="n">
        <x:v>250.00899368198503</x:v>
      </x:c>
      <x:c r="O1458" s="23" t="n">
        <x:v>2502.547068518391</x:v>
      </x:c>
      <x:c r="P1458" s="23" t="n">
        <x:v>1060.6739942915738</x:v>
      </x:c>
      <x:c r="Q1458" s="23" t="n">
        <x:v>252.60359207181125</x:v>
      </x:c>
      <x:c r="R1458" s="23" t="n">
        <x:v>2514.5138614473303</x:v>
      </x:c>
      <x:c r="S1458" s="23" t="n">
        <x:v>1071.7046427985183</x:v>
      </x:c>
      <x:c r="T1458" s="23" t="n">
        <x:v>2.594598389826217</x:v>
      </x:c>
      <x:c r="U1458" s="23" t="n">
        <x:v>11.966792928939412</x:v>
      </x:c>
      <x:c r="V1458" s="23" t="n">
        <x:v>11.030648506944544</x:v>
      </x:c>
    </x:row>
    <x:row r="1459">
      <x:c r="A1459" s="23" t="n">
        <x:v>1458</x:v>
      </x:c>
      <x:c r="B1459" s="23" t="str">
        <x:v>Hidden Test</x:v>
      </x:c>
      <x:c r="C1459" s="23" t="str">
        <x:v>Switching</x:v>
      </x:c>
      <x:c r="D1459" s="23" t="n">
        <x:v>980.0553969689645</x:v>
      </x:c>
      <x:c r="E1459" s="23" t="n">
        <x:v>1228.549833339639</x:v>
      </x:c>
      <x:c r="F1459" s="23" t="n">
        <x:v>543.7131353653967</x:v>
      </x:c>
      <x:c r="G1459" s="23" t="n">
        <x:v>111.91954758949578</x:v>
      </x:c>
      <x:c r="H1459" s="23" t="n">
        <x:v>25.06921908305958</x:v>
      </x:c>
      <x:c r="I1459" s="23" t="n">
        <x:v>0.8061882163817063</x:v>
      </x:c>
      <x:c r="J1459" s="23" t="n">
        <x:v>7</x:v>
      </x:c>
      <x:c r="K1459" s="23" t="n">
        <x:v>173.66653469717744</x:v>
      </x:c>
      <x:c r="L1459" s="23" t="n">
        <x:v>11350</x:v>
      </x:c>
      <x:c r="M1459" s="23" t="n">
        <x:v>1195</x:v>
      </x:c>
      <x:c r="N1459" s="23" t="n">
        <x:v>249.99682121321428</x:v>
      </x:c>
      <x:c r="O1459" s="23" t="n">
        <x:v>2495.3275024169207</x:v>
      </x:c>
      <x:c r="P1459" s="23" t="n">
        <x:v>980.0553969689645</x:v>
      </x:c>
      <x:c r="Q1459" s="23" t="n">
        <x:v>251.23162958533754</x:v>
      </x:c>
      <x:c r="R1459" s="23" t="n">
        <x:v>2520.341804634499</x:v>
      </x:c>
      <x:c r="S1459" s="23" t="n">
        <x:v>964.031726059328</x:v>
      </x:c>
      <x:c r="T1459" s="23" t="n">
        <x:v>1.2348083721232683</x:v>
      </x:c>
      <x:c r="U1459" s="23" t="n">
        <x:v>25.01430221757846</x:v>
      </x:c>
      <x:c r="V1459" s="23" t="n">
        <x:v>-16.023670909636508</x:v>
      </x:c>
    </x:row>
    <x:row r="1460">
      <x:c r="A1460" s="23" t="n">
        <x:v>1459</x:v>
      </x:c>
      <x:c r="B1460" s="23" t="str">
        <x:v>Hidden Test</x:v>
      </x:c>
      <x:c r="C1460" s="23" t="str">
        <x:v>Switching</x:v>
      </x:c>
      <x:c r="D1460" s="23" t="n">
        <x:v>1016.9115794589743</x:v>
      </x:c>
      <x:c r="E1460" s="23" t="n">
        <x:v>1172.9062955477275</x:v>
      </x:c>
      <x:c r="F1460" s="23" t="n">
        <x:v>383.8712390512228</x:v>
      </x:c>
      <x:c r="G1460" s="23" t="n">
        <x:v>91.63057860685512</x:v>
      </x:c>
      <x:c r="H1460" s="23" t="n">
        <x:v>25.412786048837006</x:v>
      </x:c>
      <x:c r="I1460" s="23" t="n">
        <x:v>0.8310182048822754</x:v>
      </x:c>
      <x:c r="J1460" s="23" t="n">
        <x:v>7</x:v>
      </x:c>
      <x:c r="K1460" s="23" t="n">
        <x:v>174.8133577897169</x:v>
      </x:c>
      <x:c r="L1460" s="23" t="n">
        <x:v>12975</x:v>
      </x:c>
      <x:c r="M1460" s="23" t="n">
        <x:v>1200</x:v>
      </x:c>
      <x:c r="N1460" s="23" t="n">
        <x:v>250.02741777349456</x:v>
      </x:c>
      <x:c r="O1460" s="23" t="n">
        <x:v>2504.3957133085937</x:v>
      </x:c>
      <x:c r="P1460" s="23" t="n">
        <x:v>1016.9115794589743</x:v>
      </x:c>
      <x:c r="Q1460" s="23" t="n">
        <x:v>247.1577211873459</x:v>
      </x:c>
      <x:c r="R1460" s="23" t="n">
        <x:v>2493.330657459831</x:v>
      </x:c>
      <x:c r="S1460" s="23" t="n">
        <x:v>1011.5741434802534</x:v>
      </x:c>
      <x:c r="T1460" s="23" t="n">
        <x:v>-2.869696586148649</x:v>
      </x:c>
      <x:c r="U1460" s="23" t="n">
        <x:v>-11.065055848762768</x:v>
      </x:c>
      <x:c r="V1460" s="23" t="n">
        <x:v>-5.337435978720919</x:v>
      </x:c>
    </x:row>
    <x:row r="1461">
      <x:c r="A1461" s="23" t="n">
        <x:v>1460</x:v>
      </x:c>
      <x:c r="B1461" s="23" t="str">
        <x:v>Hidden Test</x:v>
      </x:c>
      <x:c r="C1461" s="23" t="str">
        <x:v>Switching</x:v>
      </x:c>
      <x:c r="D1461" s="23" t="n">
        <x:v>959.0620071976446</x:v>
      </x:c>
      <x:c r="E1461" s="23" t="n">
        <x:v>1132.743706041947</x:v>
      </x:c>
      <x:c r="F1461" s="23" t="n">
        <x:v>516.6114795021713</x:v>
      </x:c>
      <x:c r="G1461" s="23" t="n">
        <x:v>247.0909629901871</x:v>
      </x:c>
      <x:c r="H1461" s="23" t="n">
        <x:v>20.688564627896994</x:v>
      </x:c>
      <x:c r="I1461" s="23" t="n">
        <x:v>0.8543705543316901</x:v>
      </x:c>
      <x:c r="J1461" s="23" t="n">
        <x:v>6</x:v>
      </x:c>
      <x:c r="K1461" s="23" t="n">
        <x:v>187.0893923671185</x:v>
      </x:c>
      <x:c r="L1461" s="23" t="n">
        <x:v>13155</x:v>
      </x:c>
      <x:c r="M1461" s="23" t="n">
        <x:v>1200</x:v>
      </x:c>
      <x:c r="N1461" s="23" t="n">
        <x:v>249.97699298127344</x:v>
      </x:c>
      <x:c r="O1461" s="23" t="n">
        <x:v>2504.2625077027265</x:v>
      </x:c>
      <x:c r="P1461" s="23" t="n">
        <x:v>959.0620071976446</x:v>
      </x:c>
      <x:c r="Q1461" s="23" t="n">
        <x:v>248.34165947558202</x:v>
      </x:c>
      <x:c r="R1461" s="23" t="n">
        <x:v>2523.254527485399</x:v>
      </x:c>
      <x:c r="S1461" s="23" t="n">
        <x:v>951.6585068773621</x:v>
      </x:c>
      <x:c r="T1461" s="23" t="n">
        <x:v>-1.6353335056914204</x:v>
      </x:c>
      <x:c r="U1461" s="23" t="n">
        <x:v>18.99201978267274</x:v>
      </x:c>
      <x:c r="V1461" s="23" t="n">
        <x:v>-7.403500320282433</x:v>
      </x:c>
    </x:row>
    <x:row r="1462">
      <x:c r="A1462" s="23" t="n">
        <x:v>1461</x:v>
      </x:c>
      <x:c r="B1462" s="23" t="str">
        <x:v>Train</x:v>
      </x:c>
      <x:c r="C1462" s="23" t="str">
        <x:v>Switching</x:v>
      </x:c>
      <x:c r="D1462" s="23" t="n">
        <x:v>972.7892820257694</x:v>
      </x:c>
      <x:c r="E1462" s="23" t="n">
        <x:v>665.3212718549185</x:v>
      </x:c>
      <x:c r="F1462" s="23" t="n">
        <x:v>530.602147988975</x:v>
      </x:c>
      <x:c r="G1462" s="23" t="n">
        <x:v>133.00533614354208</x:v>
      </x:c>
      <x:c r="H1462" s="23" t="n">
        <x:v>9.422196388244629</x:v>
      </x:c>
      <x:c r="I1462" s="23" t="n">
        <x:v>0.8556620309338905</x:v>
      </x:c>
      <x:c r="J1462" s="23" t="n">
        <x:v>6</x:v>
      </x:c>
      <x:c r="K1462" s="23" t="n">
        <x:v>189.48082437097338</x:v>
      </x:c>
      <x:c r="L1462" s="23" t="n">
        <x:v>18775</x:v>
      </x:c>
      <x:c r="M1462" s="23" t="n">
        <x:v>1200</x:v>
      </x:c>
      <x:c r="N1462" s="23" t="n">
        <x:v>250.00556128574013</x:v>
      </x:c>
      <x:c r="O1462" s="23" t="n">
        <x:v>2501.4308229208746</x:v>
      </x:c>
      <x:c r="P1462" s="23" t="n">
        <x:v>972.7892820257694</x:v>
      </x:c>
      <x:c r="Q1462" s="23" t="n">
        <x:v>252.9804272672935</x:v>
      </x:c>
      <x:c r="R1462" s="23" t="n">
        <x:v>2458.2222072925815</x:v>
      </x:c>
      <x:c r="S1462" s="23" t="n">
        <x:v>986.9717332033222</x:v>
      </x:c>
      <x:c r="T1462" s="23" t="n">
        <x:v>2.9748659815533642</x:v>
      </x:c>
      <x:c r="U1462" s="23" t="n">
        <x:v>-43.208615628293046</x:v>
      </x:c>
      <x:c r="V1462" s="23" t="n">
        <x:v>14.18245117755282</x:v>
      </x:c>
    </x:row>
    <x:row r="1463">
      <x:c r="A1463" s="23" t="n">
        <x:v>1462</x:v>
      </x:c>
      <x:c r="B1463" s="23" t="str">
        <x:v>Train</x:v>
      </x:c>
      <x:c r="C1463" s="23" t="str">
        <x:v>Switching</x:v>
      </x:c>
      <x:c r="D1463" s="23" t="n">
        <x:v>995.7903594826348</x:v>
      </x:c>
      <x:c r="E1463" s="23" t="n">
        <x:v>745.2881240984425</x:v>
      </x:c>
      <x:c r="F1463" s="23" t="n">
        <x:v>422.7440875954926</x:v>
      </x:c>
      <x:c r="G1463" s="23" t="n">
        <x:v>109.27004778757691</x:v>
      </x:c>
      <x:c r="H1463" s="23" t="n">
        <x:v>11.107333651278168</x:v>
      </x:c>
      <x:c r="I1463" s="23" t="n">
        <x:v>0.8464435110753402</x:v>
      </x:c>
      <x:c r="J1463" s="23" t="n">
        <x:v>6</x:v>
      </x:c>
      <x:c r="K1463" s="23" t="n">
        <x:v>196.0734032953089</x:v>
      </x:c>
      <x:c r="L1463" s="23" t="n">
        <x:v>19535</x:v>
      </x:c>
      <x:c r="M1463" s="23" t="n">
        <x:v>1200</x:v>
      </x:c>
      <x:c r="N1463" s="23" t="n">
        <x:v>250.02023620306974</x:v>
      </x:c>
      <x:c r="O1463" s="23" t="n">
        <x:v>2501.1732273539083</x:v>
      </x:c>
      <x:c r="P1463" s="23" t="n">
        <x:v>995.7903594826348</x:v>
      </x:c>
      <x:c r="Q1463" s="23" t="n">
        <x:v>249.54973162384795</x:v>
      </x:c>
      <x:c r="R1463" s="23" t="n">
        <x:v>2463.1862852942604</x:v>
      </x:c>
      <x:c r="S1463" s="23" t="n">
        <x:v>1014.3787770590602</x:v>
      </x:c>
      <x:c r="T1463" s="23" t="n">
        <x:v>-0.4705045792217959</x:v>
      </x:c>
      <x:c r="U1463" s="23" t="n">
        <x:v>-37.986942059647845</x:v>
      </x:c>
      <x:c r="V1463" s="23" t="n">
        <x:v>18.5884175764254</x:v>
      </x:c>
    </x:row>
    <x:row r="1464">
      <x:c r="A1464" s="23" t="n">
        <x:v>1463</x:v>
      </x:c>
      <x:c r="B1464" s="23" t="str">
        <x:v>Train</x:v>
      </x:c>
      <x:c r="C1464" s="23" t="str">
        <x:v>Switching</x:v>
      </x:c>
      <x:c r="D1464" s="23" t="n">
        <x:v>1000.3077888162807</x:v>
      </x:c>
      <x:c r="E1464" s="23" t="n">
        <x:v>849.5550004881807</x:v>
      </x:c>
      <x:c r="F1464" s="23" t="n">
        <x:v>590.3887823224068</x:v>
      </x:c>
      <x:c r="G1464" s="23" t="n">
        <x:v>100.20149579038844</x:v>
      </x:c>
      <x:c r="H1464" s="23" t="n">
        <x:v>25.934179077856243</x:v>
      </x:c>
      <x:c r="I1464" s="23" t="n">
        <x:v>0.8110733856610023</x:v>
      </x:c>
      <x:c r="J1464" s="23" t="n">
        <x:v>7</x:v>
      </x:c>
      <x:c r="K1464" s="23" t="n">
        <x:v>176.1876486325336</x:v>
      </x:c>
      <x:c r="L1464" s="23" t="n">
        <x:v>13885</x:v>
      </x:c>
      <x:c r="M1464" s="23" t="n">
        <x:v>1200</x:v>
      </x:c>
      <x:c r="N1464" s="23" t="n">
        <x:v>249.99023898976148</x:v>
      </x:c>
      <x:c r="O1464" s="23" t="n">
        <x:v>2503.765493695792</x:v>
      </x:c>
      <x:c r="P1464" s="23" t="n">
        <x:v>1000.3077888162807</x:v>
      </x:c>
      <x:c r="Q1464" s="23" t="n">
        <x:v>249.88950873636557</x:v>
      </x:c>
      <x:c r="R1464" s="23" t="n">
        <x:v>2510.845014047155</x:v>
      </x:c>
      <x:c r="S1464" s="23" t="n">
        <x:v>1001.0658206378155</x:v>
      </x:c>
      <x:c r="T1464" s="23" t="n">
        <x:v>-0.10073025339590913</x:v>
      </x:c>
      <x:c r="U1464" s="23" t="n">
        <x:v>7.079520351363044</x:v>
      </x:c>
      <x:c r="V1464" s="23" t="n">
        <x:v>0.7580318215348143</x:v>
      </x:c>
    </x:row>
    <x:row r="1465">
      <x:c r="A1465" s="23" t="n">
        <x:v>1464</x:v>
      </x:c>
      <x:c r="B1465" s="23" t="str">
        <x:v>Train</x:v>
      </x:c>
      <x:c r="C1465" s="23" t="str">
        <x:v>Switching</x:v>
      </x:c>
      <x:c r="D1465" s="23" t="n">
        <x:v>1034.9079347099178</x:v>
      </x:c>
      <x:c r="E1465" s="23" t="n">
        <x:v>883.5439610294998</x:v>
      </x:c>
      <x:c r="F1465" s="23" t="n">
        <x:v>667.0318833552301</x:v>
      </x:c>
      <x:c r="G1465" s="23" t="n">
        <x:v>323.7931584427133</x:v>
      </x:c>
      <x:c r="H1465" s="23" t="n">
        <x:v>18.21449885284528</x:v>
      </x:c>
      <x:c r="I1465" s="23" t="n">
        <x:v>0.8278525881189853</x:v>
      </x:c>
      <x:c r="J1465" s="23" t="n">
        <x:v>7</x:v>
      </x:c>
      <x:c r="K1465" s="23" t="n">
        <x:v>178.5873388507135</x:v>
      </x:c>
      <x:c r="L1465" s="23" t="n">
        <x:v>11410</x:v>
      </x:c>
      <x:c r="M1465" s="23" t="n">
        <x:v>1195</x:v>
      </x:c>
      <x:c r="N1465" s="23" t="n">
        <x:v>250.00924932495334</x:v>
      </x:c>
      <x:c r="O1465" s="23" t="n">
        <x:v>2495.270614019095</x:v>
      </x:c>
      <x:c r="P1465" s="23" t="n">
        <x:v>1034.9079347099178</x:v>
      </x:c>
      <x:c r="Q1465" s="23" t="n">
        <x:v>249.9364465458919</x:v>
      </x:c>
      <x:c r="R1465" s="23" t="n">
        <x:v>2508.2459044536427</x:v>
      </x:c>
      <x:c r="S1465" s="23" t="n">
        <x:v>1031.4174933525803</x:v>
      </x:c>
      <x:c r="T1465" s="23" t="n">
        <x:v>-0.07280277906144761</x:v>
      </x:c>
      <x:c r="U1465" s="23" t="n">
        <x:v>12.975290434547787</x:v>
      </x:c>
      <x:c r="V1465" s="23" t="n">
        <x:v>-3.4904413573374313</x:v>
      </x:c>
    </x:row>
    <x:row r="1466">
      <x:c r="A1466" s="23" t="n">
        <x:v>1465</x:v>
      </x:c>
      <x:c r="B1466" s="23" t="str">
        <x:v>Train</x:v>
      </x:c>
      <x:c r="C1466" s="23" t="str">
        <x:v>Switching</x:v>
      </x:c>
      <x:c r="D1466" s="23" t="n">
        <x:v>1040.6837400048971</x:v>
      </x:c>
      <x:c r="E1466" s="23" t="n">
        <x:v>980.2146716392599</x:v>
      </x:c>
      <x:c r="F1466" s="23" t="n">
        <x:v>706.772013194859</x:v>
      </x:c>
      <x:c r="G1466" s="23" t="n">
        <x:v>98.55647616321221</x:v>
      </x:c>
      <x:c r="H1466" s="23" t="n">
        <x:v>10.420225633308291</x:v>
      </x:c>
      <x:c r="I1466" s="23" t="n">
        <x:v>0.7940274750930257</x:v>
      </x:c>
      <x:c r="J1466" s="23" t="n">
        <x:v>7</x:v>
      </x:c>
      <x:c r="K1466" s="23" t="n">
        <x:v>187.2342083598149</x:v>
      </x:c>
      <x:c r="L1466" s="23" t="n">
        <x:v>11975</x:v>
      </x:c>
      <x:c r="M1466" s="23" t="n">
        <x:v>1200</x:v>
      </x:c>
      <x:c r="N1466" s="23" t="n">
        <x:v>249.95442913139735</x:v>
      </x:c>
      <x:c r="O1466" s="23" t="n">
        <x:v>2505.194003848798</x:v>
      </x:c>
      <x:c r="P1466" s="23" t="n">
        <x:v>1040.6837400048971</x:v>
      </x:c>
      <x:c r="Q1466" s="23" t="n">
        <x:v>251.0898920268656</x:v>
      </x:c>
      <x:c r="R1466" s="23" t="n">
        <x:v>2550.4371220633707</x:v>
      </x:c>
      <x:c r="S1466" s="23" t="n">
        <x:v>1037.9202621087002</x:v>
      </x:c>
      <x:c r="T1466" s="23" t="n">
        <x:v>1.1354628954682653</x:v>
      </x:c>
      <x:c r="U1466" s="23" t="n">
        <x:v>45.24311821457286</x:v>
      </x:c>
      <x:c r="V1466" s="23" t="n">
        <x:v>-2.763477896196946</x:v>
      </x:c>
    </x:row>
    <x:row r="1467">
      <x:c r="A1467" s="23" t="n">
        <x:v>1466</x:v>
      </x:c>
      <x:c r="B1467" s="23" t="str">
        <x:v>Train</x:v>
      </x:c>
      <x:c r="C1467" s="23" t="str">
        <x:v>Switching</x:v>
      </x:c>
      <x:c r="D1467" s="23" t="n">
        <x:v>1063.9266403974034</x:v>
      </x:c>
      <x:c r="E1467" s="23" t="n">
        <x:v>714.9099631467834</x:v>
      </x:c>
      <x:c r="F1467" s="23" t="n">
        <x:v>571.4468196965754</x:v>
      </x:c>
      <x:c r="G1467" s="23" t="n">
        <x:v>243.73914456926286</x:v>
      </x:c>
      <x:c r="H1467" s="23" t="n">
        <x:v>26.359540801960975</x:v>
      </x:c>
      <x:c r="I1467" s="23" t="n">
        <x:v>0.808603707482107</x:v>
      </x:c>
      <x:c r="J1467" s="23" t="n">
        <x:v>7</x:v>
      </x:c>
      <x:c r="K1467" s="23" t="n">
        <x:v>187.96540091319727</x:v>
      </x:c>
      <x:c r="L1467" s="23" t="n">
        <x:v>13975</x:v>
      </x:c>
      <x:c r="M1467" s="23" t="n">
        <x:v>1200</x:v>
      </x:c>
      <x:c r="N1467" s="23" t="n">
        <x:v>249.9688914344926</x:v>
      </x:c>
      <x:c r="O1467" s="23" t="n">
        <x:v>2503.7069944126542</x:v>
      </x:c>
      <x:c r="P1467" s="23" t="n">
        <x:v>1063.9266403974034</x:v>
      </x:c>
      <x:c r="Q1467" s="23" t="n">
        <x:v>247.971099042709</x:v>
      </x:c>
      <x:c r="R1467" s="23" t="n">
        <x:v>2471.642151520636</x:v>
      </x:c>
      <x:c r="S1467" s="23" t="n">
        <x:v>1056.8837014729258</x:v>
      </x:c>
      <x:c r="T1467" s="23" t="n">
        <x:v>-1.9977923917836051</x:v>
      </x:c>
      <x:c r="U1467" s="23" t="n">
        <x:v>-32.06484289201808</x:v>
      </x:c>
      <x:c r="V1467" s="23" t="n">
        <x:v>-7.042938924477539</x:v>
      </x:c>
    </x:row>
    <x:row r="1468">
      <x:c r="A1468" s="23" t="n">
        <x:v>1467</x:v>
      </x:c>
      <x:c r="B1468" s="23" t="str">
        <x:v>Train</x:v>
      </x:c>
      <x:c r="C1468" s="23" t="str">
        <x:v>Switching</x:v>
      </x:c>
      <x:c r="D1468" s="23" t="n">
        <x:v>1044.256326253526</x:v>
      </x:c>
      <x:c r="E1468" s="23" t="n">
        <x:v>1236.4251666353084</x:v>
      </x:c>
      <x:c r="F1468" s="23" t="n">
        <x:v>629.3463502079248</x:v>
      </x:c>
      <x:c r="G1468" s="23" t="n">
        <x:v>253.75439702300355</x:v>
      </x:c>
      <x:c r="H1468" s="23" t="n">
        <x:v>16.511510320939124</x:v>
      </x:c>
      <x:c r="I1468" s="23" t="n">
        <x:v>0.7928969073551707</x:v>
      </x:c>
      <x:c r="J1468" s="23" t="n">
        <x:v>7</x:v>
      </x:c>
      <x:c r="K1468" s="23" t="n">
        <x:v>188.14485691044771</x:v>
      </x:c>
      <x:c r="L1468" s="23" t="n">
        <x:v>10090</x:v>
      </x:c>
      <x:c r="M1468" s="23" t="n">
        <x:v>1195</x:v>
      </x:c>
      <x:c r="N1468" s="23" t="n">
        <x:v>250.00302054924802</x:v>
      </x:c>
      <x:c r="O1468" s="23" t="n">
        <x:v>2496.6917751487567</x:v>
      </x:c>
      <x:c r="P1468" s="23" t="n">
        <x:v>1044.256326253526</x:v>
      </x:c>
      <x:c r="Q1468" s="23" t="n">
        <x:v>253.50346843432035</x:v>
      </x:c>
      <x:c r="R1468" s="23" t="n">
        <x:v>2501.0247273478194</x:v>
      </x:c>
      <x:c r="S1468" s="23" t="n">
        <x:v>1034.5165847782466</x:v>
      </x:c>
      <x:c r="T1468" s="23" t="n">
        <x:v>3.500447885072333</x:v>
      </x:c>
      <x:c r="U1468" s="23" t="n">
        <x:v>4.3329521990626745</x:v>
      </x:c>
      <x:c r="V1468" s="23" t="n">
        <x:v>-9.739741475279288</x:v>
      </x:c>
    </x:row>
    <x:row r="1469">
      <x:c r="A1469" s="23" t="n">
        <x:v>1468</x:v>
      </x:c>
      <x:c r="B1469" s="23" t="str">
        <x:v>Train</x:v>
      </x:c>
      <x:c r="C1469" s="23" t="str">
        <x:v>Switching</x:v>
      </x:c>
      <x:c r="D1469" s="23" t="n">
        <x:v>950.759935786482</x:v>
      </x:c>
      <x:c r="E1469" s="23" t="n">
        <x:v>675.942489085719</x:v>
      </x:c>
      <x:c r="F1469" s="23" t="n">
        <x:v>488.5166699998081</x:v>
      </x:c>
      <x:c r="G1469" s="23" t="n">
        <x:v>176.59913729410619</x:v>
      </x:c>
      <x:c r="H1469" s="23" t="n">
        <x:v>28.945888947229832</x:v>
      </x:c>
      <x:c r="I1469" s="23" t="n">
        <x:v>0.8567971281707287</x:v>
      </x:c>
      <x:c r="J1469" s="23" t="n">
        <x:v>6</x:v>
      </x:c>
      <x:c r="K1469" s="23" t="n">
        <x:v>184.9445849988559</x:v>
      </x:c>
      <x:c r="L1469" s="23" t="n">
        <x:v>18605</x:v>
      </x:c>
      <x:c r="M1469" s="23" t="n">
        <x:v>1200</x:v>
      </x:c>
      <x:c r="N1469" s="23" t="n">
        <x:v>250.00344512597775</x:v>
      </x:c>
      <x:c r="O1469" s="23" t="n">
        <x:v>2501.4913444756153</x:v>
      </x:c>
      <x:c r="P1469" s="23" t="n">
        <x:v>950.759935786482</x:v>
      </x:c>
      <x:c r="Q1469" s="23" t="n">
        <x:v>246.42163691459746</x:v>
      </x:c>
      <x:c r="R1469" s="23" t="n">
        <x:v>2517.994875201347</x:v>
      </x:c>
      <x:c r="S1469" s="23" t="n">
        <x:v>946.0291987379163</x:v>
      </x:c>
      <x:c r="T1469" s="23" t="n">
        <x:v>-3.5818082113802916</x:v>
      </x:c>
      <x:c r="U1469" s="23" t="n">
        <x:v>16.503530725731707</x:v>
      </x:c>
      <x:c r="V1469" s="23" t="n">
        <x:v>-4.730737048565629</x:v>
      </x:c>
    </x:row>
    <x:row r="1470">
      <x:c r="A1470" s="23" t="n">
        <x:v>1469</x:v>
      </x:c>
      <x:c r="B1470" s="23" t="str">
        <x:v>Train</x:v>
      </x:c>
      <x:c r="C1470" s="23" t="str">
        <x:v>Switching</x:v>
      </x:c>
      <x:c r="D1470" s="23" t="n">
        <x:v>1019.4568436127156</x:v>
      </x:c>
      <x:c r="E1470" s="23" t="n">
        <x:v>764.7734892438166</x:v>
      </x:c>
      <x:c r="F1470" s="23" t="n">
        <x:v>531.9247668609023</x:v>
      </x:c>
      <x:c r="G1470" s="23" t="n">
        <x:v>90.61645784648135</x:v>
      </x:c>
      <x:c r="H1470" s="23" t="n">
        <x:v>22.82922386750579</x:v>
      </x:c>
      <x:c r="I1470" s="23" t="n">
        <x:v>0.837891312877182</x:v>
      </x:c>
      <x:c r="J1470" s="23" t="n">
        <x:v>7</x:v>
      </x:c>
      <x:c r="K1470" s="23" t="n">
        <x:v>173.8133451277601</x:v>
      </x:c>
      <x:c r="L1470" s="23" t="n">
        <x:v>15415</x:v>
      </x:c>
      <x:c r="M1470" s="23" t="n">
        <x:v>1200</x:v>
      </x:c>
      <x:c r="N1470" s="23" t="n">
        <x:v>249.99642597627036</x:v>
      </x:c>
      <x:c r="O1470" s="23" t="n">
        <x:v>2502.8758364128525</x:v>
      </x:c>
      <x:c r="P1470" s="23" t="n">
        <x:v>1019.4568436127156</x:v>
      </x:c>
      <x:c r="Q1470" s="23" t="n">
        <x:v>247.01755661241285</x:v>
      </x:c>
      <x:c r="R1470" s="23" t="n">
        <x:v>2519.3726171933813</x:v>
      </x:c>
      <x:c r="S1470" s="23" t="n">
        <x:v>1022.2804084236136</x:v>
      </x:c>
      <x:c r="T1470" s="23" t="n">
        <x:v>-2.9788693638575126</x:v>
      </x:c>
      <x:c r="U1470" s="23" t="n">
        <x:v>16.496780780528752</x:v>
      </x:c>
      <x:c r="V1470" s="23" t="n">
        <x:v>2.823564810898006</x:v>
      </x:c>
    </x:row>
    <x:row r="1471">
      <x:c r="A1471" s="23" t="n">
        <x:v>1470</x:v>
      </x:c>
      <x:c r="B1471" s="23" t="str">
        <x:v>Train</x:v>
      </x:c>
      <x:c r="C1471" s="23" t="str">
        <x:v>Switching</x:v>
      </x:c>
      <x:c r="D1471" s="23" t="n">
        <x:v>1083.741962548811</x:v>
      </x:c>
      <x:c r="E1471" s="23" t="n">
        <x:v>927.6942739961669</x:v>
      </x:c>
      <x:c r="F1471" s="23" t="n">
        <x:v>451.45701663568616</x:v>
      </x:c>
      <x:c r="G1471" s="23" t="n">
        <x:v>226.90169040113688</x:v>
      </x:c>
      <x:c r="H1471" s="23" t="n">
        <x:v>16.38041121000424</x:v>
      </x:c>
      <x:c r="I1471" s="23" t="n">
        <x:v>0.7936999063519762</x:v>
      </x:c>
      <x:c r="J1471" s="23" t="n">
        <x:v>7</x:v>
      </x:c>
      <x:c r="K1471" s="23" t="n">
        <x:v>195.0614824634474</x:v>
      </x:c>
      <x:c r="L1471" s="23" t="n">
        <x:v>13315</x:v>
      </x:c>
      <x:c r="M1471" s="23" t="n">
        <x:v>1200</x:v>
      </x:c>
      <x:c r="N1471" s="23" t="n">
        <x:v>249.98628759191436</x:v>
      </x:c>
      <x:c r="O1471" s="23" t="n">
        <x:v>2504.149155613189</x:v>
      </x:c>
      <x:c r="P1471" s="23" t="n">
        <x:v>1083.741962548811</x:v>
      </x:c>
      <x:c r="Q1471" s="23" t="n">
        <x:v>247.88875133472567</x:v>
      </x:c>
      <x:c r="R1471" s="23" t="n">
        <x:v>2520.778091341955</x:v>
      </x:c>
      <x:c r="S1471" s="23" t="n">
        <x:v>1081.6761575660294</x:v>
      </x:c>
      <x:c r="T1471" s="23" t="n">
        <x:v>-2.0975362571886933</x:v>
      </x:c>
      <x:c r="U1471" s="23" t="n">
        <x:v>16.62893572876601</x:v>
      </x:c>
      <x:c r="V1471" s="23" t="n">
        <x:v>-2.0658049827816285</x:v>
      </x:c>
    </x:row>
    <x:row r="1472">
      <x:c r="A1472" s="23" t="n">
        <x:v>1471</x:v>
      </x:c>
      <x:c r="B1472" s="23" t="str">
        <x:v>Train</x:v>
      </x:c>
      <x:c r="C1472" s="23" t="str">
        <x:v>Switching</x:v>
      </x:c>
      <x:c r="D1472" s="23" t="n">
        <x:v>988.369282358326</x:v>
      </x:c>
      <x:c r="E1472" s="23" t="n">
        <x:v>1098.8866503466852</x:v>
      </x:c>
      <x:c r="F1472" s="23" t="n">
        <x:v>353.1461529433727</x:v>
      </x:c>
      <x:c r="G1472" s="23" t="n">
        <x:v>170.40953539079055</x:v>
      </x:c>
      <x:c r="H1472" s="23" t="n">
        <x:v>29.20037469919771</x:v>
      </x:c>
      <x:c r="I1472" s="23" t="n">
        <x:v>0.8182853374048137</x:v>
      </x:c>
      <x:c r="J1472" s="23" t="n">
        <x:v>7</x:v>
      </x:c>
      <x:c r="K1472" s="23" t="n">
        <x:v>172.55058267727986</x:v>
      </x:c>
      <x:c r="L1472" s="23" t="n">
        <x:v>13180</x:v>
      </x:c>
      <x:c r="M1472" s="23" t="n">
        <x:v>1200</x:v>
      </x:c>
      <x:c r="N1472" s="23" t="n">
        <x:v>249.97716607317406</x:v>
      </x:c>
      <x:c r="O1472" s="23" t="n">
        <x:v>2504.2445613419286</x:v>
      </x:c>
      <x:c r="P1472" s="23" t="n">
        <x:v>988.369282358326</x:v>
      </x:c>
      <x:c r="Q1472" s="23" t="n">
        <x:v>247.13979916459823</x:v>
      </x:c>
      <x:c r="R1472" s="23" t="n">
        <x:v>2503.33194997559</x:v>
      </x:c>
      <x:c r="S1472" s="23" t="n">
        <x:v>974.6306508847225</x:v>
      </x:c>
      <x:c r="T1472" s="23" t="n">
        <x:v>-2.837366908575831</x:v>
      </x:c>
      <x:c r="U1472" s="23" t="n">
        <x:v>-0.9126113663387514</x:v>
      </x:c>
      <x:c r="V1472" s="23" t="n">
        <x:v>-13.738631473603505</x:v>
      </x:c>
    </x:row>
    <x:row r="1473">
      <x:c r="A1473" s="23" t="n">
        <x:v>1472</x:v>
      </x:c>
      <x:c r="B1473" s="23" t="str">
        <x:v>Train</x:v>
      </x:c>
      <x:c r="C1473" s="23" t="str">
        <x:v>Switching</x:v>
      </x:c>
      <x:c r="D1473" s="23" t="n">
        <x:v>1056.778358842712</x:v>
      </x:c>
      <x:c r="E1473" s="23" t="n">
        <x:v>1177.0390640944242</x:v>
      </x:c>
      <x:c r="F1473" s="23" t="n">
        <x:v>474.06520238146186</x:v>
      </x:c>
      <x:c r="G1473" s="23" t="n">
        <x:v>158.3882449613884</x:v>
      </x:c>
      <x:c r="H1473" s="23" t="n">
        <x:v>8.216598646249622</x:v>
      </x:c>
      <x:c r="I1473" s="23" t="n">
        <x:v>0.7997209129016847</x:v>
      </x:c>
      <x:c r="J1473" s="23" t="n">
        <x:v>7</x:v>
      </x:c>
      <x:c r="K1473" s="23" t="n">
        <x:v>188.7762775013111</x:v>
      </x:c>
      <x:c r="L1473" s="23" t="n">
        <x:v>11820</x:v>
      </x:c>
      <x:c r="M1473" s="23" t="n">
        <x:v>1195</x:v>
      </x:c>
      <x:c r="N1473" s="23" t="n">
        <x:v>250.02828266355337</x:v>
      </x:c>
      <x:c r="O1473" s="23" t="n">
        <x:v>2494.8945285667137</x:v>
      </x:c>
      <x:c r="P1473" s="23" t="n">
        <x:v>1056.778358842712</x:v>
      </x:c>
      <x:c r="Q1473" s="23" t="n">
        <x:v>250.3800784317534</x:v>
      </x:c>
      <x:c r="R1473" s="23" t="n">
        <x:v>2478.799041677768</x:v>
      </x:c>
      <x:c r="S1473" s="23" t="n">
        <x:v>1056.6476750476706</x:v>
      </x:c>
      <x:c r="T1473" s="23" t="n">
        <x:v>0.3517957682000201</x:v>
      </x:c>
      <x:c r="U1473" s="23" t="n">
        <x:v>-16.095486888945743</x:v>
      </x:c>
      <x:c r="V1473" s="23" t="n">
        <x:v>-0.13068379504125005</x:v>
      </x:c>
    </x:row>
    <x:row r="1474">
      <x:c r="A1474" s="23" t="n">
        <x:v>1473</x:v>
      </x:c>
      <x:c r="B1474" s="23" t="str">
        <x:v>Train</x:v>
      </x:c>
      <x:c r="C1474" s="23" t="str">
        <x:v>Switching</x:v>
      </x:c>
      <x:c r="D1474" s="23" t="n">
        <x:v>994.7986978106201</x:v>
      </x:c>
      <x:c r="E1474" s="23" t="n">
        <x:v>1197.4948126240633</x:v>
      </x:c>
      <x:c r="F1474" s="23" t="n">
        <x:v>569.3398470059037</x:v>
      </x:c>
      <x:c r="G1474" s="23" t="n">
        <x:v>300.790431892965</x:v>
      </x:c>
      <x:c r="H1474" s="23" t="n">
        <x:v>8.234399506822228</x:v>
      </x:c>
      <x:c r="I1474" s="23" t="n">
        <x:v>0.8569218730484136</x:v>
      </x:c>
      <x:c r="J1474" s="23" t="n">
        <x:v>6</x:v>
      </x:c>
      <x:c r="K1474" s="23" t="n">
        <x:v>193.48296289674647</x:v>
      </x:c>
      <x:c r="L1474" s="23" t="n">
        <x:v>12065</x:v>
      </x:c>
      <x:c r="M1474" s="23" t="n">
        <x:v>1200</x:v>
      </x:c>
      <x:c r="N1474" s="23" t="n">
        <x:v>249.95812268090557</x:v>
      </x:c>
      <x:c r="O1474" s="23" t="n">
        <x:v>2505.1166221566623</x:v>
      </x:c>
      <x:c r="P1474" s="23" t="n">
        <x:v>994.7986978106201</x:v>
      </x:c>
      <x:c r="Q1474" s="23" t="n">
        <x:v>254.69762123416373</x:v>
      </x:c>
      <x:c r="R1474" s="23" t="n">
        <x:v>2516.4803582930745</x:v>
      </x:c>
      <x:c r="S1474" s="23" t="n">
        <x:v>987.8910618224611</x:v>
      </x:c>
      <x:c r="T1474" s="23" t="n">
        <x:v>4.739498553258159</x:v>
      </x:c>
      <x:c r="U1474" s="23" t="n">
        <x:v>11.363736136412172</x:v>
      </x:c>
      <x:c r="V1474" s="23" t="n">
        <x:v>-6.907635988158972</x:v>
      </x:c>
    </x:row>
    <x:row r="1475">
      <x:c r="A1475" s="23" t="n">
        <x:v>1474</x:v>
      </x:c>
      <x:c r="B1475" s="23" t="str">
        <x:v>Train</x:v>
      </x:c>
      <x:c r="C1475" s="23" t="str">
        <x:v>Switching</x:v>
      </x:c>
      <x:c r="D1475" s="23" t="n">
        <x:v>976.0386688285507</x:v>
      </x:c>
      <x:c r="E1475" s="23" t="n">
        <x:v>602.7821704046801</x:v>
      </x:c>
      <x:c r="F1475" s="23" t="n">
        <x:v>685.7766353525221</x:v>
      </x:c>
      <x:c r="G1475" s="23" t="n">
        <x:v>266.49209127761424</x:v>
      </x:c>
      <x:c r="H1475" s="23" t="n">
        <x:v>13.038076036144048</x:v>
      </x:c>
      <x:c r="I1475" s="23" t="n">
        <x:v>0.8049785938719288</x:v>
      </x:c>
      <x:c r="J1475" s="23" t="n">
        <x:v>7</x:v>
      </x:c>
      <x:c r="K1475" s="23" t="n">
        <x:v>173.21466261141302</x:v>
      </x:c>
      <x:c r="L1475" s="23" t="n">
        <x:v>13750</x:v>
      </x:c>
      <x:c r="M1475" s="23" t="n">
        <x:v>1200</x:v>
      </x:c>
      <x:c r="N1475" s="23" t="n">
        <x:v>249.9552763358307</x:v>
      </x:c>
      <x:c r="O1475" s="23" t="n">
        <x:v>2503.8522622818186</x:v>
      </x:c>
      <x:c r="P1475" s="23" t="n">
        <x:v>976.0386688285507</x:v>
      </x:c>
      <x:c r="Q1475" s="23" t="n">
        <x:v>248.8468189877707</x:v>
      </x:c>
      <x:c r="R1475" s="23" t="n">
        <x:v>2488.035239178707</x:v>
      </x:c>
      <x:c r="S1475" s="23" t="n">
        <x:v>984.6031499106824</x:v>
      </x:c>
      <x:c r="T1475" s="23" t="n">
        <x:v>-1.10845734806</x:v>
      </x:c>
      <x:c r="U1475" s="23" t="n">
        <x:v>-15.817023103111751</x:v>
      </x:c>
      <x:c r="V1475" s="23" t="n">
        <x:v>8.564481082131692</x:v>
      </x:c>
    </x:row>
    <x:row r="1476">
      <x:c r="A1476" s="23" t="n">
        <x:v>1475</x:v>
      </x:c>
      <x:c r="B1476" s="23" t="str">
        <x:v>Validation</x:v>
      </x:c>
      <x:c r="C1476" s="23" t="str">
        <x:v>Switching</x:v>
      </x:c>
      <x:c r="D1476" s="23" t="n">
        <x:v>1010.3246580576524</x:v>
      </x:c>
      <x:c r="E1476" s="23" t="n">
        <x:v>1193.075642513577</x:v>
      </x:c>
      <x:c r="F1476" s="23" t="n">
        <x:v>711.4148270338774</x:v>
      </x:c>
      <x:c r="G1476" s="23" t="n">
        <x:v>148.37234616978094</x:v>
      </x:c>
      <x:c r="H1476" s="23" t="n">
        <x:v>11.39022180903703</x:v>
      </x:c>
      <x:c r="I1476" s="23" t="n">
        <x:v>0.8032051269779914</x:v>
      </x:c>
      <x:c r="J1476" s="23" t="n">
        <x:v>7</x:v>
      </x:c>
      <x:c r="K1476" s="23" t="n">
        <x:v>179.69518515310833</x:v>
      </x:c>
      <x:c r="L1476" s="23" t="n">
        <x:v>10420</x:v>
      </x:c>
      <x:c r="M1476" s="23" t="n">
        <x:v>1195</x:v>
      </x:c>
      <x:c r="N1476" s="23" t="n">
        <x:v>250.05913499120535</x:v>
      </x:c>
      <x:c r="O1476" s="23" t="n">
        <x:v>2496.305332835258</x:v>
      </x:c>
      <x:c r="P1476" s="23" t="n">
        <x:v>1010.3246580576524</x:v>
      </x:c>
      <x:c r="Q1476" s="23" t="n">
        <x:v>250.68742111562514</x:v>
      </x:c>
      <x:c r="R1476" s="23" t="n">
        <x:v>2494.186997028712</x:v>
      </x:c>
      <x:c r="S1476" s="23" t="n">
        <x:v>1003.3126869096466</x:v>
      </x:c>
      <x:c r="T1476" s="23" t="n">
        <x:v>0.6282861244197875</x:v>
      </x:c>
      <x:c r="U1476" s="23" t="n">
        <x:v>-2.118335806545929</x:v>
      </x:c>
      <x:c r="V1476" s="23" t="n">
        <x:v>-7.011971148005841</x:v>
      </x:c>
    </x:row>
    <x:row r="1477">
      <x:c r="A1477" s="23" t="n">
        <x:v>1476</x:v>
      </x:c>
      <x:c r="B1477" s="23" t="str">
        <x:v>Validation</x:v>
      </x:c>
      <x:c r="C1477" s="23" t="str">
        <x:v>Switching</x:v>
      </x:c>
      <x:c r="D1477" s="23" t="n">
        <x:v>1001.0748691274785</x:v>
      </x:c>
      <x:c r="E1477" s="23" t="n">
        <x:v>955.0933186430484</x:v>
      </x:c>
      <x:c r="F1477" s="23" t="n">
        <x:v>725.1744630746543</x:v>
      </x:c>
      <x:c r="G1477" s="23" t="n">
        <x:v>184.73533009644598</x:v>
      </x:c>
      <x:c r="H1477" s="23" t="n">
        <x:v>19.82242863578722</x:v>
      </x:c>
      <x:c r="I1477" s="23" t="n">
        <x:v>0.8511497063003481</x:v>
      </x:c>
      <x:c r="J1477" s="23" t="n">
        <x:v>6</x:v>
      </x:c>
      <x:c r="K1477" s="23" t="n">
        <x:v>196.0240487498576</x:v>
      </x:c>
      <x:c r="L1477" s="23" t="n">
        <x:v>13380</x:v>
      </x:c>
      <x:c r="M1477" s="23" t="n">
        <x:v>1200</x:v>
      </x:c>
      <x:c r="N1477" s="23" t="n">
        <x:v>250.03700663038933</x:v>
      </x:c>
      <x:c r="O1477" s="23" t="n">
        <x:v>2504.1056195267074</x:v>
      </x:c>
      <x:c r="P1477" s="23" t="n">
        <x:v>1001.0748691274785</x:v>
      </x:c>
      <x:c r="Q1477" s="23" t="n">
        <x:v>252.57452572220603</x:v>
      </x:c>
      <x:c r="R1477" s="23" t="n">
        <x:v>2508.5509356653615</x:v>
      </x:c>
      <x:c r="S1477" s="23" t="n">
        <x:v>991.2033046270661</x:v>
      </x:c>
      <x:c r="T1477" s="23" t="n">
        <x:v>2.537519091816705</x:v>
      </x:c>
      <x:c r="U1477" s="23" t="n">
        <x:v>4.445316138654107</x:v>
      </x:c>
      <x:c r="V1477" s="23" t="n">
        <x:v>-9.871564500412319</x:v>
      </x:c>
    </x:row>
    <x:row r="1478">
      <x:c r="A1478" s="23" t="n">
        <x:v>1477</x:v>
      </x:c>
      <x:c r="B1478" s="23" t="str">
        <x:v>Validation</x:v>
      </x:c>
      <x:c r="C1478" s="23" t="str">
        <x:v>Switching</x:v>
      </x:c>
      <x:c r="D1478" s="23" t="n">
        <x:v>1006.42448537983</x:v>
      </x:c>
      <x:c r="E1478" s="23" t="n">
        <x:v>825.0605823355727</x:v>
      </x:c>
      <x:c r="F1478" s="23" t="n">
        <x:v>392.61926244944334</x:v>
      </x:c>
      <x:c r="G1478" s="23" t="n">
        <x:v>156.40990550862625</x:v>
      </x:c>
      <x:c r="H1478" s="23" t="n">
        <x:v>8.614569060504436</x:v>
      </x:c>
      <x:c r="I1478" s="23" t="n">
        <x:v>0.8369602367491462</x:v>
      </x:c>
      <x:c r="J1478" s="23" t="n">
        <x:v>7</x:v>
      </x:c>
      <x:c r="K1478" s="23" t="n">
        <x:v>171.78226655219834</x:v>
      </x:c>
      <x:c r="L1478" s="23" t="n">
        <x:v>15565</x:v>
      </x:c>
      <x:c r="M1478" s="23" t="n">
        <x:v>1200</x:v>
      </x:c>
      <x:c r="N1478" s="23" t="n">
        <x:v>250.02245945015454</x:v>
      </x:c>
      <x:c r="O1478" s="23" t="n">
        <x:v>2502.7988512544093</x:v>
      </x:c>
      <x:c r="P1478" s="23" t="n">
        <x:v>1006.42448537983</x:v>
      </x:c>
      <x:c r="Q1478" s="23" t="n">
        <x:v>249.4318492709096</x:v>
      </x:c>
      <x:c r="R1478" s="23" t="n">
        <x:v>2458.0955932907277</x:v>
      </x:c>
      <x:c r="S1478" s="23" t="n">
        <x:v>1012.9933826769739</x:v>
      </x:c>
      <x:c r="T1478" s="23" t="n">
        <x:v>-0.5906101792449476</x:v>
      </x:c>
      <x:c r="U1478" s="23" t="n">
        <x:v>-44.70325796368161</x:v>
      </x:c>
      <x:c r="V1478" s="23" t="n">
        <x:v>6.568897297143849</x:v>
      </x:c>
    </x:row>
    <x:row r="1479">
      <x:c r="A1479" s="23" t="n">
        <x:v>1478</x:v>
      </x:c>
      <x:c r="B1479" s="23" t="str">
        <x:v>Hidden Test</x:v>
      </x:c>
      <x:c r="C1479" s="23" t="str">
        <x:v>Switching</x:v>
      </x:c>
      <x:c r="D1479" s="23" t="n">
        <x:v>1056.8345180829056</x:v>
      </x:c>
      <x:c r="E1479" s="23" t="n">
        <x:v>650.3626253223047</x:v>
      </x:c>
      <x:c r="F1479" s="23" t="n">
        <x:v>443.75925632193685</x:v>
      </x:c>
      <x:c r="G1479" s="23" t="n">
        <x:v>280.34778816625476</x:v>
      </x:c>
      <x:c r="H1479" s="23" t="n">
        <x:v>26.578069700393826</x:v>
      </x:c>
      <x:c r="I1479" s="23" t="n">
        <x:v>0.8048321836581454</x:v>
      </x:c>
      <x:c r="J1479" s="23" t="n">
        <x:v>7</x:v>
      </x:c>
      <x:c r="K1479" s="23" t="n">
        <x:v>187.58737882462339</x:v>
      </x:c>
      <x:c r="L1479" s="23" t="n">
        <x:v>15560</x:v>
      </x:c>
      <x:c r="M1479" s="23" t="n">
        <x:v>1200</x:v>
      </x:c>
      <x:c r="N1479" s="23" t="n">
        <x:v>250.0115942276664</x:v>
      </x:c>
      <x:c r="O1479" s="23" t="n">
        <x:v>2502.8010628419006</x:v>
      </x:c>
      <x:c r="P1479" s="23" t="n">
        <x:v>1056.8345180829056</x:v>
      </x:c>
      <x:c r="Q1479" s="23" t="n">
        <x:v>248.41850706746692</x:v>
      </x:c>
      <x:c r="R1479" s="23" t="n">
        <x:v>2486.042108644859</x:v>
      </x:c>
      <x:c r="S1479" s="23" t="n">
        <x:v>1051.0484324364963</x:v>
      </x:c>
      <x:c r="T1479" s="23" t="n">
        <x:v>-1.5930871601994738</x:v>
      </x:c>
      <x:c r="U1479" s="23" t="n">
        <x:v>-16.758954197041476</x:v>
      </x:c>
      <x:c r="V1479" s="23" t="n">
        <x:v>-5.786085646409219</x:v>
      </x:c>
    </x:row>
    <x:row r="1480">
      <x:c r="A1480" s="23" t="n">
        <x:v>1479</x:v>
      </x:c>
      <x:c r="B1480" s="23" t="str">
        <x:v>Hidden Test</x:v>
      </x:c>
      <x:c r="C1480" s="23" t="str">
        <x:v>Switching</x:v>
      </x:c>
      <x:c r="D1480" s="23" t="n">
        <x:v>1003.2803050475195</x:v>
      </x:c>
      <x:c r="E1480" s="23" t="n">
        <x:v>1185.7341461000033</x:v>
      </x:c>
      <x:c r="F1480" s="23" t="n">
        <x:v>647.219255566597</x:v>
      </x:c>
      <x:c r="G1480" s="23" t="n">
        <x:v>189.8744868650101</x:v>
      </x:c>
      <x:c r="H1480" s="23" t="n">
        <x:v>20.255405726842582</x:v>
      </x:c>
      <x:c r="I1480" s="23" t="n">
        <x:v>0.791307625619229</x:v>
      </x:c>
      <x:c r="J1480" s="23" t="n">
        <x:v>7</x:v>
      </x:c>
      <x:c r="K1480" s="23" t="n">
        <x:v>181.12520747133377</x:v>
      </x:c>
      <x:c r="L1480" s="23" t="n">
        <x:v>10570</x:v>
      </x:c>
      <x:c r="M1480" s="23" t="n">
        <x:v>1195</x:v>
      </x:c>
      <x:c r="N1480" s="23" t="n">
        <x:v>249.94786070961717</x:v>
      </x:c>
      <x:c r="O1480" s="23" t="n">
        <x:v>2496.1312220142836</x:v>
      </x:c>
      <x:c r="P1480" s="23" t="n">
        <x:v>1003.2803050475195</x:v>
      </x:c>
      <x:c r="Q1480" s="23" t="n">
        <x:v>249.68488842937046</x:v>
      </x:c>
      <x:c r="R1480" s="23" t="n">
        <x:v>2564.6921392309955</x:v>
      </x:c>
      <x:c r="S1480" s="23" t="n">
        <x:v>992.9447514015972</x:v>
      </x:c>
      <x:c r="T1480" s="23" t="n">
        <x:v>-0.26297228024671426</x:v>
      </x:c>
      <x:c r="U1480" s="23" t="n">
        <x:v>68.56091721671191</x:v>
      </x:c>
      <x:c r="V1480" s="23" t="n">
        <x:v>-10.335553645922346</x:v>
      </x:c>
    </x:row>
    <x:row r="1481">
      <x:c r="A1481" s="23" t="n">
        <x:v>1480</x:v>
      </x:c>
      <x:c r="B1481" s="23" t="str">
        <x:v>Hidden Test</x:v>
      </x:c>
      <x:c r="C1481" s="23" t="str">
        <x:v>Switching</x:v>
      </x:c>
      <x:c r="D1481" s="23" t="n">
        <x:v>1023.105393059086</x:v>
      </x:c>
      <x:c r="E1481" s="23" t="n">
        <x:v>989.0981082804501</x:v>
      </x:c>
      <x:c r="F1481" s="23" t="n">
        <x:v>615.9259683452547</x:v>
      </x:c>
      <x:c r="G1481" s="23" t="n">
        <x:v>153.05442134384066</x:v>
      </x:c>
      <x:c r="H1481" s="23" t="n">
        <x:v>27.333982763346285</x:v>
      </x:c>
      <x:c r="I1481" s="23" t="n">
        <x:v>0.8436220821086318</x:v>
      </x:c>
      <x:c r="J1481" s="23" t="n">
        <x:v>7</x:v>
      </x:c>
      <x:c r="K1481" s="23" t="n">
        <x:v>173.2504594104907</x:v>
      </x:c>
      <x:c r="L1481" s="23" t="n">
        <x:v>12165</x:v>
      </x:c>
      <x:c r="M1481" s="23" t="n">
        <x:v>1200</x:v>
      </x:c>
      <x:c r="N1481" s="23" t="n">
        <x:v>250.0149914736477</x:v>
      </x:c>
      <x:c r="O1481" s="23" t="n">
        <x:v>2505.0341265523803</x:v>
      </x:c>
      <x:c r="P1481" s="23" t="n">
        <x:v>1023.105393059086</x:v>
      </x:c>
      <x:c r="Q1481" s="23" t="n">
        <x:v>251.75550259358053</x:v>
      </x:c>
      <x:c r="R1481" s="23" t="n">
        <x:v>2544.3619275783262</x:v>
      </x:c>
      <x:c r="S1481" s="23" t="n">
        <x:v>1006.9013706783771</x:v>
      </x:c>
      <x:c r="T1481" s="23" t="n">
        <x:v>1.740511119932819</x:v>
      </x:c>
      <x:c r="U1481" s="23" t="n">
        <x:v>39.32780102594597</x:v>
      </x:c>
      <x:c r="V1481" s="23" t="n">
        <x:v>-16.20402238070892</x:v>
      </x:c>
    </x:row>
    <x:row r="1482">
      <x:c r="A1482" s="23" t="n">
        <x:v>1481</x:v>
      </x:c>
      <x:c r="B1482" s="23" t="str">
        <x:v>Train</x:v>
      </x:c>
      <x:c r="C1482" s="23" t="str">
        <x:v>Switching</x:v>
      </x:c>
      <x:c r="D1482" s="23" t="n">
        <x:v>1040.2100870385766</x:v>
      </x:c>
      <x:c r="E1482" s="23" t="n">
        <x:v>948.9983581355773</x:v>
      </x:c>
      <x:c r="F1482" s="23" t="n">
        <x:v>716.4737256243825</x:v>
      </x:c>
      <x:c r="G1482" s="23" t="n">
        <x:v>312.85757150733843</x:v>
      </x:c>
      <x:c r="H1482" s="23" t="n">
        <x:v>13.124261623248458</x:v>
      </x:c>
      <x:c r="I1482" s="23" t="n">
        <x:v>0.7924561505881138</x:v>
      </x:c>
      <x:c r="J1482" s="23" t="n">
        <x:v>7</x:v>
      </x:c>
      <x:c r="K1482" s="23" t="n">
        <x:v>187.52008031640338</x:v>
      </x:c>
      <x:c r="L1482" s="23" t="n">
        <x:v>10810</x:v>
      </x:c>
      <x:c r="M1482" s="23" t="n">
        <x:v>1195</x:v>
      </x:c>
      <x:c r="N1482" s="23" t="n">
        <x:v>249.99970443081304</x:v>
      </x:c>
      <x:c r="O1482" s="23" t="n">
        <x:v>2495.8732682034533</x:v>
      </x:c>
      <x:c r="P1482" s="23" t="n">
        <x:v>1040.2100870385766</x:v>
      </x:c>
      <x:c r="Q1482" s="23" t="n">
        <x:v>255.2909841596096</x:v>
      </x:c>
      <x:c r="R1482" s="23" t="n">
        <x:v>2519.948875838175</x:v>
      </x:c>
      <x:c r="S1482" s="23" t="n">
        <x:v>1032.8277911585594</x:v>
      </x:c>
      <x:c r="T1482" s="23" t="n">
        <x:v>5.291279728796553</x:v>
      </x:c>
      <x:c r="U1482" s="23" t="n">
        <x:v>24.075607634721564</x:v>
      </x:c>
      <x:c r="V1482" s="23" t="n">
        <x:v>-7.382295880017182</x:v>
      </x:c>
    </x:row>
    <x:row r="1483">
      <x:c r="A1483" s="23" t="n">
        <x:v>1482</x:v>
      </x:c>
      <x:c r="B1483" s="23" t="str">
        <x:v>Train</x:v>
      </x:c>
      <x:c r="C1483" s="23" t="str">
        <x:v>Switching</x:v>
      </x:c>
      <x:c r="D1483" s="23" t="n">
        <x:v>1058.8562153861858</x:v>
      </x:c>
      <x:c r="E1483" s="23" t="n">
        <x:v>935.0788429612294</x:v>
      </x:c>
      <x:c r="F1483" s="23" t="n">
        <x:v>635.8610601164401</x:v>
      </x:c>
      <x:c r="G1483" s="23" t="n">
        <x:v>189.6984415780753</x:v>
      </x:c>
      <x:c r="H1483" s="23" t="n">
        <x:v>17.458657030481845</x:v>
      </x:c>
      <x:c r="I1483" s="23" t="n">
        <x:v>0.8163682306231931</x:v>
      </x:c>
      <x:c r="J1483" s="23" t="n">
        <x:v>7</x:v>
      </x:c>
      <x:c r="K1483" s="23" t="n">
        <x:v>185.29037259463942</x:v>
      </x:c>
      <x:c r="L1483" s="23" t="n">
        <x:v>12145</x:v>
      </x:c>
      <x:c r="M1483" s="23" t="n">
        <x:v>1200</x:v>
      </x:c>
      <x:c r="N1483" s="23" t="n">
        <x:v>249.96714570247514</x:v>
      </x:c>
      <x:c r="O1483" s="23" t="n">
        <x:v>2505.0490279319097</x:v>
      </x:c>
      <x:c r="P1483" s="23" t="n">
        <x:v>1058.8562153861858</x:v>
      </x:c>
      <x:c r="Q1483" s="23" t="n">
        <x:v>251.22047996396677</x:v>
      </x:c>
      <x:c r="R1483" s="23" t="n">
        <x:v>2495.721499258124</x:v>
      </x:c>
      <x:c r="S1483" s="23" t="n">
        <x:v>1057.492504555762</x:v>
      </x:c>
      <x:c r="T1483" s="23" t="n">
        <x:v>1.2533342614916307</x:v>
      </x:c>
      <x:c r="U1483" s="23" t="n">
        <x:v>-9.327528673785764</x:v>
      </x:c>
      <x:c r="V1483" s="23" t="n">
        <x:v>-1.36371083042377</x:v>
      </x:c>
    </x:row>
    <x:row r="1484">
      <x:c r="A1484" s="23" t="n">
        <x:v>1483</x:v>
      </x:c>
      <x:c r="B1484" s="23" t="str">
        <x:v>Train</x:v>
      </x:c>
      <x:c r="C1484" s="23" t="str">
        <x:v>Switching</x:v>
      </x:c>
      <x:c r="D1484" s="23" t="n">
        <x:v>1035.6609130976722</x:v>
      </x:c>
      <x:c r="E1484" s="23" t="n">
        <x:v>672.7310943068005</x:v>
      </x:c>
      <x:c r="F1484" s="23" t="n">
        <x:v>582.735513523221</x:v>
      </x:c>
      <x:c r="G1484" s="23" t="n">
        <x:v>189.42151787457988</x:v>
      </x:c>
      <x:c r="H1484" s="23" t="n">
        <x:v>22.173031688667834</x:v>
      </x:c>
      <x:c r="I1484" s="23" t="n">
        <x:v>0.792434330272954</x:v>
      </x:c>
      <x:c r="J1484" s="23" t="n">
        <x:v>7</x:v>
      </x:c>
      <x:c r="K1484" s="23" t="n">
        <x:v>186.70513550692743</x:v>
      </x:c>
      <x:c r="L1484" s="23" t="n">
        <x:v>14800</x:v>
      </x:c>
      <x:c r="M1484" s="23" t="n">
        <x:v>1200</x:v>
      </x:c>
      <x:c r="N1484" s="23" t="n">
        <x:v>249.98343118203275</x:v>
      </x:c>
      <x:c r="O1484" s="23" t="n">
        <x:v>2503.2109827573518</x:v>
      </x:c>
      <x:c r="P1484" s="23" t="n">
        <x:v>1035.6609130976722</x:v>
      </x:c>
      <x:c r="Q1484" s="23" t="n">
        <x:v>245.3763702259911</x:v>
      </x:c>
      <x:c r="R1484" s="23" t="n">
        <x:v>2480.8392527116416</x:v>
      </x:c>
      <x:c r="S1484" s="23" t="n">
        <x:v>1037.6880979835341</x:v>
      </x:c>
      <x:c r="T1484" s="23" t="n">
        <x:v>-4.607060956041636</x:v>
      </x:c>
      <x:c r="U1484" s="23" t="n">
        <x:v>-22.371730045710137</x:v>
      </x:c>
      <x:c r="V1484" s="23" t="n">
        <x:v>2.0271848858619705</x:v>
      </x:c>
    </x:row>
    <x:row r="1485">
      <x:c r="A1485" s="23" t="n">
        <x:v>1484</x:v>
      </x:c>
      <x:c r="B1485" s="23" t="str">
        <x:v>Train</x:v>
      </x:c>
      <x:c r="C1485" s="23" t="str">
        <x:v>Switching</x:v>
      </x:c>
      <x:c r="D1485" s="23" t="n">
        <x:v>1010.1001719362102</x:v>
      </x:c>
      <x:c r="E1485" s="23" t="n">
        <x:v>1137.7767038997263</x:v>
      </x:c>
      <x:c r="F1485" s="23" t="n">
        <x:v>732.4633072130382</x:v>
      </x:c>
      <x:c r="G1485" s="23" t="n">
        <x:v>224.2912322236225</x:v>
      </x:c>
      <x:c r="H1485" s="23" t="n">
        <x:v>23.165393623989075</x:v>
      </x:c>
      <x:c r="I1485" s="23" t="n">
        <x:v>0.815503754876554</x:v>
      </x:c>
      <x:c r="J1485" s="23" t="n">
        <x:v>7</x:v>
      </x:c>
      <x:c r="K1485" s="23" t="n">
        <x:v>176.9458738840007</x:v>
      </x:c>
      <x:c r="L1485" s="23" t="n">
        <x:v>10210</x:v>
      </x:c>
      <x:c r="M1485" s="23" t="n">
        <x:v>1195</x:v>
      </x:c>
      <x:c r="N1485" s="23" t="n">
        <x:v>249.9932437105658</x:v>
      </x:c>
      <x:c r="O1485" s="23" t="n">
        <x:v>2496.546882418402</x:v>
      </x:c>
      <x:c r="P1485" s="23" t="n">
        <x:v>1010.1001719362102</x:v>
      </x:c>
      <x:c r="Q1485" s="23" t="n">
        <x:v>249.5265838225193</x:v>
      </x:c>
      <x:c r="R1485" s="23" t="n">
        <x:v>2518.516927184754</x:v>
      </x:c>
      <x:c r="S1485" s="23" t="n">
        <x:v>1001.6884351088977</x:v>
      </x:c>
      <x:c r="T1485" s="23" t="n">
        <x:v>-0.46665988804647895</x:v>
      </x:c>
      <x:c r="U1485" s="23" t="n">
        <x:v>21.970044766351748</x:v>
      </x:c>
      <x:c r="V1485" s="23" t="n">
        <x:v>-8.411736827312552</x:v>
      </x:c>
    </x:row>
    <x:row r="1486">
      <x:c r="A1486" s="23" t="n">
        <x:v>1485</x:v>
      </x:c>
      <x:c r="B1486" s="23" t="str">
        <x:v>Train</x:v>
      </x:c>
      <x:c r="C1486" s="23" t="str">
        <x:v>Switching</x:v>
      </x:c>
      <x:c r="D1486" s="23" t="n">
        <x:v>988.2476234342903</x:v>
      </x:c>
      <x:c r="E1486" s="23" t="n">
        <x:v>1080.1643512095325</x:v>
      </x:c>
      <x:c r="F1486" s="23" t="n">
        <x:v>670.0869103893638</x:v>
      </x:c>
      <x:c r="G1486" s="23" t="n">
        <x:v>304.3394030374475</x:v>
      </x:c>
      <x:c r="H1486" s="23" t="n">
        <x:v>17.139495242387056</x:v>
      </x:c>
      <x:c r="I1486" s="23" t="n">
        <x:v>0.8266285491012968</x:v>
      </x:c>
      <x:c r="J1486" s="23" t="n">
        <x:v>6</x:v>
      </x:c>
      <x:c r="K1486" s="23" t="n">
        <x:v>199.25265999839635</x:v>
      </x:c>
      <x:c r="L1486" s="23" t="n">
        <x:v>12145</x:v>
      </x:c>
      <x:c r="M1486" s="23" t="n">
        <x:v>1200</x:v>
      </x:c>
      <x:c r="N1486" s="23" t="n">
        <x:v>250.02958728554168</x:v>
      </x:c>
      <x:c r="O1486" s="23" t="n">
        <x:v>2505.051585580269</x:v>
      </x:c>
      <x:c r="P1486" s="23" t="n">
        <x:v>988.2476234342903</x:v>
      </x:c>
      <x:c r="Q1486" s="23" t="n">
        <x:v>254.95512412762682</x:v>
      </x:c>
      <x:c r="R1486" s="23" t="n">
        <x:v>2565.801291366678</x:v>
      </x:c>
      <x:c r="S1486" s="23" t="n">
        <x:v>978.1010603145285</x:v>
      </x:c>
      <x:c r="T1486" s="23" t="n">
        <x:v>4.925536842085137</x:v>
      </x:c>
      <x:c r="U1486" s="23" t="n">
        <x:v>60.74970578640887</x:v>
      </x:c>
      <x:c r="V1486" s="23" t="n">
        <x:v>-10.146563119761822</x:v>
      </x:c>
    </x:row>
    <x:row r="1487">
      <x:c r="A1487" s="23" t="n">
        <x:v>1486</x:v>
      </x:c>
      <x:c r="B1487" s="23" t="str">
        <x:v>Train</x:v>
      </x:c>
      <x:c r="C1487" s="23" t="str">
        <x:v>Switching</x:v>
      </x:c>
      <x:c r="D1487" s="23" t="n">
        <x:v>1065.6794266891666</x:v>
      </x:c>
      <x:c r="E1487" s="23" t="n">
        <x:v>960.1865839911625</x:v>
      </x:c>
      <x:c r="F1487" s="23" t="n">
        <x:v>674.4074289686978</x:v>
      </x:c>
      <x:c r="G1487" s="23" t="n">
        <x:v>311.3320692628622</x:v>
      </x:c>
      <x:c r="H1487" s="23" t="n">
        <x:v>14.301394785288721</x:v>
      </x:c>
      <x:c r="I1487" s="23" t="n">
        <x:v>0.8038360667182133</x:v>
      </x:c>
      <x:c r="J1487" s="23" t="n">
        <x:v>7</x:v>
      </x:c>
      <x:c r="K1487" s="23" t="n">
        <x:v>189.39174839466423</x:v>
      </x:c>
      <x:c r="L1487" s="23" t="n">
        <x:v>10990</x:v>
      </x:c>
      <x:c r="M1487" s="23" t="n">
        <x:v>1195</x:v>
      </x:c>
      <x:c r="N1487" s="23" t="n">
        <x:v>249.99954422288158</x:v>
      </x:c>
      <x:c r="O1487" s="23" t="n">
        <x:v>2495.6854264727103</x:v>
      </x:c>
      <x:c r="P1487" s="23" t="n">
        <x:v>1065.6794266891666</x:v>
      </x:c>
      <x:c r="Q1487" s="23" t="n">
        <x:v>250.23900415279536</x:v>
      </x:c>
      <x:c r="R1487" s="23" t="n">
        <x:v>2494.9125975549537</x:v>
      </x:c>
      <x:c r="S1487" s="23" t="n">
        <x:v>1066.2676718458065</x:v>
      </x:c>
      <x:c r="T1487" s="23" t="n">
        <x:v>0.23945992991377807</x:v>
      </x:c>
      <x:c r="U1487" s="23" t="n">
        <x:v>-0.7728289177566694</x:v>
      </x:c>
      <x:c r="V1487" s="23" t="n">
        <x:v>0.5882451566399141</x:v>
      </x:c>
    </x:row>
    <x:row r="1488">
      <x:c r="A1488" s="23" t="n">
        <x:v>1487</x:v>
      </x:c>
      <x:c r="B1488" s="23" t="str">
        <x:v>Train</x:v>
      </x:c>
      <x:c r="C1488" s="23" t="str">
        <x:v>Switching</x:v>
      </x:c>
      <x:c r="D1488" s="23" t="n">
        <x:v>1011.2867942312732</x:v>
      </x:c>
      <x:c r="E1488" s="23" t="n">
        <x:v>975.1713593606837</x:v>
      </x:c>
      <x:c r="F1488" s="23" t="n">
        <x:v>725.6209380924702</x:v>
      </x:c>
      <x:c r="G1488" s="23" t="n">
        <x:v>165.25347377872095</x:v>
      </x:c>
      <x:c r="H1488" s="23" t="n">
        <x:v>16.57634964492172</x:v>
      </x:c>
      <x:c r="I1488" s="23" t="n">
        <x:v>0.8459561186819338</x:v>
      </x:c>
      <x:c r="J1488" s="23" t="n">
        <x:v>6</x:v>
      </x:c>
      <x:c r="K1488" s="23" t="n">
        <x:v>199.23941126066478</x:v>
      </x:c>
      <x:c r="L1488" s="23" t="n">
        <x:v>13370</x:v>
      </x:c>
      <x:c r="M1488" s="23" t="n">
        <x:v>1200</x:v>
      </x:c>
      <x:c r="N1488" s="23" t="n">
        <x:v>249.98973160545992</x:v>
      </x:c>
      <x:c r="O1488" s="23" t="n">
        <x:v>2504.110821980138</x:v>
      </x:c>
      <x:c r="P1488" s="23" t="n">
        <x:v>1011.2867942312732</x:v>
      </x:c>
      <x:c r="Q1488" s="23" t="n">
        <x:v>253.63507916581477</x:v>
      </x:c>
      <x:c r="R1488" s="23" t="n">
        <x:v>2502.502267237813</x:v>
      </x:c>
      <x:c r="S1488" s="23" t="n">
        <x:v>1012.6359466565801</x:v>
      </x:c>
      <x:c r="T1488" s="23" t="n">
        <x:v>3.6453475603548497</x:v>
      </x:c>
      <x:c r="U1488" s="23" t="n">
        <x:v>-1.608554742324941</x:v>
      </x:c>
      <x:c r="V1488" s="23" t="n">
        <x:v>1.3491524253068974</x:v>
      </x:c>
    </x:row>
    <x:row r="1489">
      <x:c r="A1489" s="23" t="n">
        <x:v>1488</x:v>
      </x:c>
      <x:c r="B1489" s="23" t="str">
        <x:v>Train</x:v>
      </x:c>
      <x:c r="C1489" s="23" t="str">
        <x:v>Switching</x:v>
      </x:c>
      <x:c r="D1489" s="23" t="n">
        <x:v>975.1246750238352</x:v>
      </x:c>
      <x:c r="E1489" s="23" t="n">
        <x:v>968.7850622460246</x:v>
      </x:c>
      <x:c r="F1489" s="23" t="n">
        <x:v>694.1103055141866</x:v>
      </x:c>
      <x:c r="G1489" s="23" t="n">
        <x:v>267.94574413914233</x:v>
      </x:c>
      <x:c r="H1489" s="23" t="n">
        <x:v>25.49265752127394</x:v>
      </x:c>
      <x:c r="I1489" s="23" t="n">
        <x:v>0.8375812078919262</x:v>
      </x:c>
      <x:c r="J1489" s="23" t="n">
        <x:v>6</x:v>
      </x:c>
      <x:c r="K1489" s="23" t="n">
        <x:v>194.03584707885346</x:v>
      </x:c>
      <x:c r="L1489" s="23" t="n">
        <x:v>12920</x:v>
      </x:c>
      <x:c r="M1489" s="23" t="n">
        <x:v>1200</x:v>
      </x:c>
      <x:c r="N1489" s="23" t="n">
        <x:v>249.964287479678</x:v>
      </x:c>
      <x:c r="O1489" s="23" t="n">
        <x:v>2504.4341248119326</x:v>
      </x:c>
      <x:c r="P1489" s="23" t="n">
        <x:v>975.1246750238352</x:v>
      </x:c>
      <x:c r="Q1489" s="23" t="n">
        <x:v>249.5750811040794</x:v>
      </x:c>
      <x:c r="R1489" s="23" t="n">
        <x:v>2494.597293457481</x:v>
      </x:c>
      <x:c r="S1489" s="23" t="n">
        <x:v>965.919750080858</x:v>
      </x:c>
      <x:c r="T1489" s="23" t="n">
        <x:v>-0.3892063755986044</x:v>
      </x:c>
      <x:c r="U1489" s="23" t="n">
        <x:v>-9.836831354451533</x:v>
      </x:c>
      <x:c r="V1489" s="23" t="n">
        <x:v>-9.204924942977186</x:v>
      </x:c>
    </x:row>
    <x:row r="1490">
      <x:c r="A1490" s="23" t="n">
        <x:v>1489</x:v>
      </x:c>
      <x:c r="B1490" s="23" t="str">
        <x:v>Train</x:v>
      </x:c>
      <x:c r="C1490" s="23" t="str">
        <x:v>Switching</x:v>
      </x:c>
      <x:c r="D1490" s="23" t="n">
        <x:v>963.5396690107882</x:v>
      </x:c>
      <x:c r="E1490" s="23" t="n">
        <x:v>1046.2049720226787</x:v>
      </x:c>
      <x:c r="F1490" s="23" t="n">
        <x:v>494.307834841311</x:v>
      </x:c>
      <x:c r="G1490" s="23" t="n">
        <x:v>138.2602639333345</x:v>
      </x:c>
      <x:c r="H1490" s="23" t="n">
        <x:v>27.785975160077214</x:v>
      </x:c>
      <x:c r="I1490" s="23" t="n">
        <x:v>0.832944436587859</x:v>
      </x:c>
      <x:c r="J1490" s="23" t="n">
        <x:v>6</x:v>
      </x:c>
      <x:c r="K1490" s="23" t="n">
        <x:v>192.7979079768934</x:v>
      </x:c>
      <x:c r="L1490" s="23" t="n">
        <x:v>14860</x:v>
      </x:c>
      <x:c r="M1490" s="23" t="n">
        <x:v>1200</x:v>
      </x:c>
      <x:c r="N1490" s="23" t="n">
        <x:v>249.96526022835334</x:v>
      </x:c>
      <x:c r="O1490" s="23" t="n">
        <x:v>2503.17640611405</x:v>
      </x:c>
      <x:c r="P1490" s="23" t="n">
        <x:v>963.5396690107882</x:v>
      </x:c>
      <x:c r="Q1490" s="23" t="n">
        <x:v>251.45344083985609</x:v>
      </x:c>
      <x:c r="R1490" s="23" t="n">
        <x:v>2541.2168617086472</x:v>
      </x:c>
      <x:c r="S1490" s="23" t="n">
        <x:v>952.5822377399944</x:v>
      </x:c>
      <x:c r="T1490" s="23" t="n">
        <x:v>1.4881806115027416</x:v>
      </x:c>
      <x:c r="U1490" s="23" t="n">
        <x:v>38.040455594597006</x:v>
      </x:c>
      <x:c r="V1490" s="23" t="n">
        <x:v>-10.95743127079379</x:v>
      </x:c>
    </x:row>
    <x:row r="1491">
      <x:c r="A1491" s="23" t="n">
        <x:v>1490</x:v>
      </x:c>
      <x:c r="B1491" s="23" t="str">
        <x:v>Train</x:v>
      </x:c>
      <x:c r="C1491" s="23" t="str">
        <x:v>Switching</x:v>
      </x:c>
      <x:c r="D1491" s="23" t="n">
        <x:v>1060.8590278425254</x:v>
      </x:c>
      <x:c r="E1491" s="23" t="n">
        <x:v>854.4956938596442</x:v>
      </x:c>
      <x:c r="F1491" s="23" t="n">
        <x:v>656.6251733340323</x:v>
      </x:c>
      <x:c r="G1491" s="23" t="n">
        <x:v>180.66938702948391</x:v>
      </x:c>
      <x:c r="H1491" s="23" t="n">
        <x:v>9.800677553284913</x:v>
      </x:c>
      <x:c r="I1491" s="23" t="n">
        <x:v>0.853629608550109</x:v>
      </x:c>
      <x:c r="J1491" s="23" t="n">
        <x:v>7</x:v>
      </x:c>
      <x:c r="K1491" s="23" t="n">
        <x:v>177.53752701853838</x:v>
      </x:c>
      <x:c r="L1491" s="23" t="n">
        <x:v>12640</x:v>
      </x:c>
      <x:c r="M1491" s="23" t="n">
        <x:v>1200</x:v>
      </x:c>
      <x:c r="N1491" s="23" t="n">
        <x:v>249.98186605474248</x:v>
      </x:c>
      <x:c r="O1491" s="23" t="n">
        <x:v>2504.6482494278835</x:v>
      </x:c>
      <x:c r="P1491" s="23" t="n">
        <x:v>1060.8590278425254</x:v>
      </x:c>
      <x:c r="Q1491" s="23" t="n">
        <x:v>249.89123056614642</x:v>
      </x:c>
      <x:c r="R1491" s="23" t="n">
        <x:v>2508.1822655230962</x:v>
      </x:c>
      <x:c r="S1491" s="23" t="n">
        <x:v>1064.544868219067</x:v>
      </x:c>
      <x:c r="T1491" s="23" t="n">
        <x:v>-0.09063548859606385</x:v>
      </x:c>
      <x:c r="U1491" s="23" t="n">
        <x:v>3.5340160952127917</x:v>
      </x:c>
      <x:c r="V1491" s="23" t="n">
        <x:v>3.6858403765415915</x:v>
      </x:c>
    </x:row>
    <x:row r="1492">
      <x:c r="A1492" s="23" t="n">
        <x:v>1491</x:v>
      </x:c>
      <x:c r="B1492" s="23" t="str">
        <x:v>Train</x:v>
      </x:c>
      <x:c r="C1492" s="23" t="str">
        <x:v>Switching</x:v>
      </x:c>
      <x:c r="D1492" s="23" t="n">
        <x:v>985.313213779591</x:v>
      </x:c>
      <x:c r="E1492" s="23" t="n">
        <x:v>654.4989019283094</x:v>
      </x:c>
      <x:c r="F1492" s="23" t="n">
        <x:v>527.3393239825964</x:v>
      </x:c>
      <x:c r="G1492" s="23" t="n">
        <x:v>225.42457525385544</x:v>
      </x:c>
      <x:c r="H1492" s="23" t="n">
        <x:v>21.212444690056145</x:v>
      </x:c>
      <x:c r="I1492" s="23" t="n">
        <x:v>0.846290217160713</x:v>
      </x:c>
      <x:c r="J1492" s="23" t="n">
        <x:v>6</x:v>
      </x:c>
      <x:c r="K1492" s="23" t="n">
        <x:v>194.04557164115198</x:v>
      </x:c>
      <x:c r="L1492" s="23" t="n">
        <x:v>17730</x:v>
      </x:c>
      <x:c r="M1492" s="23" t="n">
        <x:v>1200</x:v>
      </x:c>
      <x:c r="N1492" s="23" t="n">
        <x:v>250.00712628830962</x:v>
      </x:c>
      <x:c r="O1492" s="23" t="n">
        <x:v>2501.821678472691</x:v>
      </x:c>
      <x:c r="P1492" s="23" t="n">
        <x:v>985.313213779591</x:v>
      </x:c>
      <x:c r="Q1492" s="23" t="n">
        <x:v>247.14614656846726</x:v>
      </x:c>
      <x:c r="R1492" s="23" t="n">
        <x:v>2474.4619041296746</x:v>
      </x:c>
      <x:c r="S1492" s="23" t="n">
        <x:v>987.4315749468801</x:v>
      </x:c>
      <x:c r="T1492" s="23" t="n">
        <x:v>-2.860979719842362</x:v>
      </x:c>
      <x:c r="U1492" s="23" t="n">
        <x:v>-27.359774343016397</x:v>
      </x:c>
      <x:c r="V1492" s="23" t="n">
        <x:v>2.1183611672890947</x:v>
      </x:c>
    </x:row>
    <x:row r="1493">
      <x:c r="A1493" s="23" t="n">
        <x:v>1492</x:v>
      </x:c>
      <x:c r="B1493" s="23" t="str">
        <x:v>Train</x:v>
      </x:c>
      <x:c r="C1493" s="23" t="str">
        <x:v>Switching</x:v>
      </x:c>
      <x:c r="D1493" s="23" t="n">
        <x:v>952.865122014191</x:v>
      </x:c>
      <x:c r="E1493" s="23" t="n">
        <x:v>611.4004245493561</x:v>
      </x:c>
      <x:c r="F1493" s="23" t="n">
        <x:v>562.3798149637878</x:v>
      </x:c>
      <x:c r="G1493" s="23" t="n">
        <x:v>83.70611750986427</x:v>
      </x:c>
      <x:c r="H1493" s="23" t="n">
        <x:v>28.615328803192824</x:v>
      </x:c>
      <x:c r="I1493" s="23" t="n">
        <x:v>0.83890336798504</x:v>
      </x:c>
      <x:c r="J1493" s="23" t="n">
        <x:v>6</x:v>
      </x:c>
      <x:c r="K1493" s="23" t="n">
        <x:v>189.30768397137237</x:v>
      </x:c>
      <x:c r="L1493" s="23" t="n">
        <x:v>19840</x:v>
      </x:c>
      <x:c r="M1493" s="23" t="n">
        <x:v>1200</x:v>
      </x:c>
      <x:c r="N1493" s="23" t="n">
        <x:v>249.98476562123375</x:v>
      </x:c>
      <x:c r="O1493" s="23" t="n">
        <x:v>2501.0743539270015</x:v>
      </x:c>
      <x:c r="P1493" s="23" t="n">
        <x:v>952.865122014191</x:v>
      </x:c>
      <x:c r="Q1493" s="23" t="n">
        <x:v>249.34498029492673</x:v>
      </x:c>
      <x:c r="R1493" s="23" t="n">
        <x:v>2464.646064922679</x:v>
      </x:c>
      <x:c r="S1493" s="23" t="n">
        <x:v>948.598583003499</x:v>
      </x:c>
      <x:c r="T1493" s="23" t="n">
        <x:v>-0.6397853263070203</x:v>
      </x:c>
      <x:c r="U1493" s="23" t="n">
        <x:v>-36.42828900432232</x:v>
      </x:c>
      <x:c r="V1493" s="23" t="n">
        <x:v>-4.266539010691986</x:v>
      </x:c>
    </x:row>
    <x:row r="1494">
      <x:c r="A1494" s="23" t="n">
        <x:v>1493</x:v>
      </x:c>
      <x:c r="B1494" s="23" t="str">
        <x:v>Train</x:v>
      </x:c>
      <x:c r="C1494" s="23" t="str">
        <x:v>Switching</x:v>
      </x:c>
      <x:c r="D1494" s="23" t="n">
        <x:v>1043.5508877504617</x:v>
      </x:c>
      <x:c r="E1494" s="23" t="n">
        <x:v>1149.6531437966041</x:v>
      </x:c>
      <x:c r="F1494" s="23" t="n">
        <x:v>443.9213691279292</x:v>
      </x:c>
      <x:c r="G1494" s="23" t="n">
        <x:v>180.85928469197825</x:v>
      </x:c>
      <x:c r="H1494" s="23" t="n">
        <x:v>17.668463930487633</x:v>
      </x:c>
      <x:c r="I1494" s="23" t="n">
        <x:v>0.8190098783210852</x:v>
      </x:c>
      <x:c r="J1494" s="23" t="n">
        <x:v>7</x:v>
      </x:c>
      <x:c r="K1494" s="23" t="n">
        <x:v>182.0230771277963</x:v>
      </x:c>
      <x:c r="L1494" s="23" t="n">
        <x:v>12050</x:v>
      </x:c>
      <x:c r="M1494" s="23" t="n">
        <x:v>1200</x:v>
      </x:c>
      <x:c r="N1494" s="23" t="n">
        <x:v>249.95516694441267</x:v>
      </x:c>
      <x:c r="O1494" s="23" t="n">
        <x:v>2505.129334022685</x:v>
      </x:c>
      <x:c r="P1494" s="23" t="n">
        <x:v>1043.5508877504617</x:v>
      </x:c>
      <x:c r="Q1494" s="23" t="n">
        <x:v>248.5395230828625</x:v>
      </x:c>
      <x:c r="R1494" s="23" t="n">
        <x:v>2522.9695332063357</x:v>
      </x:c>
      <x:c r="S1494" s="23" t="n">
        <x:v>1040.1124630588351</x:v>
      </x:c>
      <x:c r="T1494" s="23" t="n">
        <x:v>-1.4156438615501656</x:v>
      </x:c>
      <x:c r="U1494" s="23" t="n">
        <x:v>17.84019918365084</x:v>
      </x:c>
      <x:c r="V1494" s="23" t="n">
        <x:v>-3.438424691626551</x:v>
      </x:c>
    </x:row>
    <x:row r="1495">
      <x:c r="A1495" s="23" t="n">
        <x:v>1494</x:v>
      </x:c>
      <x:c r="B1495" s="23" t="str">
        <x:v>Train</x:v>
      </x:c>
      <x:c r="C1495" s="23" t="str">
        <x:v>Switching</x:v>
      </x:c>
      <x:c r="D1495" s="23" t="n">
        <x:v>1081.8933379952796</x:v>
      </x:c>
      <x:c r="E1495" s="23" t="n">
        <x:v>1006.6260842373595</x:v>
      </x:c>
      <x:c r="F1495" s="23" t="n">
        <x:v>526.1903834529221</x:v>
      </x:c>
      <x:c r="G1495" s="23" t="n">
        <x:v>200.27760269120336</x:v>
      </x:c>
      <x:c r="H1495" s="23" t="n">
        <x:v>19.936018025968224</x:v>
      </x:c>
      <x:c r="I1495" s="23" t="n">
        <x:v>0.7950850868737326</x:v>
      </x:c>
      <x:c r="J1495" s="23" t="n">
        <x:v>7</x:v>
      </x:c>
      <x:c r="K1495" s="23" t="n">
        <x:v>194.38949829872467</x:v>
      </x:c>
      <x:c r="L1495" s="23" t="n">
        <x:v>12340</x:v>
      </x:c>
      <x:c r="M1495" s="23" t="n">
        <x:v>1200</x:v>
      </x:c>
      <x:c r="N1495" s="23" t="n">
        <x:v>250.0072736680444</x:v>
      </x:c>
      <x:c r="O1495" s="23" t="n">
        <x:v>2504.8886872025046</x:v>
      </x:c>
      <x:c r="P1495" s="23" t="n">
        <x:v>1081.8933379952796</x:v>
      </x:c>
      <x:c r="Q1495" s="23" t="n">
        <x:v>248.37277607901868</x:v>
      </x:c>
      <x:c r="R1495" s="23" t="n">
        <x:v>2487.898830330645</x:v>
      </x:c>
      <x:c r="S1495" s="23" t="n">
        <x:v>1077.9061604448018</x:v>
      </x:c>
      <x:c r="T1495" s="23" t="n">
        <x:v>-1.6344975890257274</x:v>
      </x:c>
      <x:c r="U1495" s="23" t="n">
        <x:v>-16.9898568718595</x:v>
      </x:c>
      <x:c r="V1495" s="23" t="n">
        <x:v>-3.9871775504777816</x:v>
      </x:c>
    </x:row>
    <x:row r="1496">
      <x:c r="A1496" s="23" t="n">
        <x:v>1495</x:v>
      </x:c>
      <x:c r="B1496" s="23" t="str">
        <x:v>Validation</x:v>
      </x:c>
      <x:c r="C1496" s="23" t="str">
        <x:v>Switching</x:v>
      </x:c>
      <x:c r="D1496" s="23" t="n">
        <x:v>1078.9490183116868</x:v>
      </x:c>
      <x:c r="E1496" s="23" t="n">
        <x:v>600.5003111553378</x:v>
      </x:c>
      <x:c r="F1496" s="23" t="n">
        <x:v>524.6892437338829</x:v>
      </x:c>
      <x:c r="G1496" s="23" t="n">
        <x:v>272.4083316116594</x:v>
      </x:c>
      <x:c r="H1496" s="23" t="n">
        <x:v>11.272974367253482</x:v>
      </x:c>
      <x:c r="I1496" s="23" t="n">
        <x:v>0.8054386527440511</x:v>
      </x:c>
      <x:c r="J1496" s="23" t="n">
        <x:v>7</x:v>
      </x:c>
      <x:c r="K1496" s="23" t="n">
        <x:v>191.36848414140766</x:v>
      </x:c>
      <x:c r="L1496" s="23" t="n">
        <x:v>15300</x:v>
      </x:c>
      <x:c r="M1496" s="23" t="n">
        <x:v>1200</x:v>
      </x:c>
      <x:c r="N1496" s="23" t="n">
        <x:v>249.97038490879777</x:v>
      </x:c>
      <x:c r="O1496" s="23" t="n">
        <x:v>2502.935696816899</x:v>
      </x:c>
      <x:c r="P1496" s="23" t="n">
        <x:v>1078.9490183116868</x:v>
      </x:c>
      <x:c r="Q1496" s="23" t="n">
        <x:v>252.47210555867724</x:v>
      </x:c>
      <x:c r="R1496" s="23" t="n">
        <x:v>2498.633423030213</x:v>
      </x:c>
      <x:c r="S1496" s="23" t="n">
        <x:v>1093.3463622602183</x:v>
      </x:c>
      <x:c r="T1496" s="23" t="n">
        <x:v>2.5017206498794735</x:v>
      </x:c>
      <x:c r="U1496" s="23" t="n">
        <x:v>-4.302273786685873</x:v>
      </x:c>
      <x:c r="V1496" s="23" t="n">
        <x:v>14.397343948531443</x:v>
      </x:c>
    </x:row>
    <x:row r="1497">
      <x:c r="A1497" s="23" t="n">
        <x:v>1496</x:v>
      </x:c>
      <x:c r="B1497" s="23" t="str">
        <x:v>Validation</x:v>
      </x:c>
      <x:c r="C1497" s="23" t="str">
        <x:v>Switching</x:v>
      </x:c>
      <x:c r="D1497" s="23" t="n">
        <x:v>1046.7323648626916</x:v>
      </x:c>
      <x:c r="E1497" s="23" t="n">
        <x:v>708.4774932824075</x:v>
      </x:c>
      <x:c r="F1497" s="23" t="n">
        <x:v>444.12312721833587</x:v>
      </x:c>
      <x:c r="G1497" s="23" t="n">
        <x:v>325.4751810291782</x:v>
      </x:c>
      <x:c r="H1497" s="23" t="n">
        <x:v>19.855323573108763</x:v>
      </x:c>
      <x:c r="I1497" s="23" t="n">
        <x:v>0.8398400772083551</x:v>
      </x:c>
      <x:c r="J1497" s="23" t="n">
        <x:v>7</x:v>
      </x:c>
      <x:c r="K1497" s="23" t="n">
        <x:v>178.04960615530018</x:v>
      </x:c>
      <x:c r="L1497" s="23" t="n">
        <x:v>14470</x:v>
      </x:c>
      <x:c r="M1497" s="23" t="n">
        <x:v>1200</x:v>
      </x:c>
      <x:c r="N1497" s="23" t="n">
        <x:v>250.02328675558226</x:v>
      </x:c>
      <x:c r="O1497" s="23" t="n">
        <x:v>2503.4041748558657</x:v>
      </x:c>
      <x:c r="P1497" s="23" t="n">
        <x:v>1046.7323648626916</x:v>
      </x:c>
      <x:c r="Q1497" s="23" t="n">
        <x:v>251.34975914343266</x:v>
      </x:c>
      <x:c r="R1497" s="23" t="n">
        <x:v>2521.541713697587</x:v>
      </x:c>
      <x:c r="S1497" s="23" t="n">
        <x:v>1055.999657539565</x:v>
      </x:c>
      <x:c r="T1497" s="23" t="n">
        <x:v>1.3264723878504014</x:v>
      </x:c>
      <x:c r="U1497" s="23" t="n">
        <x:v>18.13753884172138</x:v>
      </x:c>
      <x:c r="V1497" s="23" t="n">
        <x:v>9.267292676873467</x:v>
      </x:c>
    </x:row>
    <x:row r="1498">
      <x:c r="A1498" s="23" t="n">
        <x:v>1497</x:v>
      </x:c>
      <x:c r="B1498" s="23" t="str">
        <x:v>Validation</x:v>
      </x:c>
      <x:c r="C1498" s="23" t="str">
        <x:v>Switching</x:v>
      </x:c>
      <x:c r="D1498" s="23" t="n">
        <x:v>1054.3358407914639</x:v>
      </x:c>
      <x:c r="E1498" s="23" t="n">
        <x:v>1036.815631610807</x:v>
      </x:c>
      <x:c r="F1498" s="23" t="n">
        <x:v>376.2468682602048</x:v>
      </x:c>
      <x:c r="G1498" s="23" t="n">
        <x:v>244.26125407451764</x:v>
      </x:c>
      <x:c r="H1498" s="23" t="n">
        <x:v>10.020073411986232</x:v>
      </x:c>
      <x:c r="I1498" s="23" t="n">
        <x:v>0.8214668511343189</x:v>
      </x:c>
      <x:c r="J1498" s="23" t="n">
        <x:v>7</x:v>
      </x:c>
      <x:c r="K1498" s="23" t="n">
        <x:v>183.3542103608561</x:v>
      </x:c>
      <x:c r="L1498" s="23" t="n">
        <x:v>12905</x:v>
      </x:c>
      <x:c r="M1498" s="23" t="n">
        <x:v>1200</x:v>
      </x:c>
      <x:c r="N1498" s="23" t="n">
        <x:v>250.02318154021307</x:v>
      </x:c>
      <x:c r="O1498" s="23" t="n">
        <x:v>2504.4476130364674</x:v>
      </x:c>
      <x:c r="P1498" s="23" t="n">
        <x:v>1054.3358407914639</x:v>
      </x:c>
      <x:c r="Q1498" s="23" t="n">
        <x:v>250.27564938342357</x:v>
      </x:c>
      <x:c r="R1498" s="23" t="n">
        <x:v>2542.5007497627125</x:v>
      </x:c>
      <x:c r="S1498" s="23" t="n">
        <x:v>1058.2277755884572</x:v>
      </x:c>
      <x:c r="T1498" s="23" t="n">
        <x:v>0.2524678432104963</x:v>
      </x:c>
      <x:c r="U1498" s="23" t="n">
        <x:v>38.05313672624516</x:v>
      </x:c>
      <x:c r="V1498" s="23" t="n">
        <x:v>3.8919347969933824</x:v>
      </x:c>
    </x:row>
    <x:row r="1499">
      <x:c r="A1499" s="23" t="n">
        <x:v>1498</x:v>
      </x:c>
      <x:c r="B1499" s="23" t="str">
        <x:v>Hidden Test</x:v>
      </x:c>
      <x:c r="C1499" s="23" t="str">
        <x:v>Switching</x:v>
      </x:c>
      <x:c r="D1499" s="23" t="n">
        <x:v>1006.3660873682238</x:v>
      </x:c>
      <x:c r="E1499" s="23" t="n">
        <x:v>803.60941758845</x:v>
      </x:c>
      <x:c r="F1499" s="23" t="n">
        <x:v>669.541905913502</x:v>
      </x:c>
      <x:c r="G1499" s="23" t="n">
        <x:v>320.8549131359905</x:v>
      </x:c>
      <x:c r="H1499" s="23" t="n">
        <x:v>15.3308116463013</x:v>
      </x:c>
      <x:c r="I1499" s="23" t="n">
        <x:v>0.7977924479590729</x:v>
      </x:c>
      <x:c r="J1499" s="23" t="n">
        <x:v>7</x:v>
      </x:c>
      <x:c r="K1499" s="23" t="n">
        <x:v>180.20549615070001</x:v>
      </x:c>
      <x:c r="L1499" s="23" t="n">
        <x:v>11920</x:v>
      </x:c>
      <x:c r="M1499" s="23" t="n">
        <x:v>1195</x:v>
      </x:c>
      <x:c r="N1499" s="23" t="n">
        <x:v>249.98582378866553</x:v>
      </x:c>
      <x:c r="O1499" s="23" t="n">
        <x:v>2494.8047554834475</x:v>
      </x:c>
      <x:c r="P1499" s="23" t="n">
        <x:v>1006.3660873682238</x:v>
      </x:c>
      <x:c r="Q1499" s="23" t="n">
        <x:v>250.63985892421587</x:v>
      </x:c>
      <x:c r="R1499" s="23" t="n">
        <x:v>2506.3729400507655</x:v>
      </x:c>
      <x:c r="S1499" s="23" t="n">
        <x:v>1003.400418343081</x:v>
      </x:c>
      <x:c r="T1499" s="23" t="n">
        <x:v>0.6540351355503446</x:v>
      </x:c>
      <x:c r="U1499" s="23" t="n">
        <x:v>11.568184567317985</x:v>
      </x:c>
      <x:c r="V1499" s="23" t="n">
        <x:v>-2.9656690251428017</x:v>
      </x:c>
    </x:row>
    <x:row r="1500">
      <x:c r="A1500" s="23" t="n">
        <x:v>1499</x:v>
      </x:c>
      <x:c r="B1500" s="23" t="str">
        <x:v>Hidden Test</x:v>
      </x:c>
      <x:c r="C1500" s="23" t="str">
        <x:v>Switching</x:v>
      </x:c>
      <x:c r="D1500" s="23" t="n">
        <x:v>1023.4233104391024</x:v>
      </x:c>
      <x:c r="E1500" s="23" t="n">
        <x:v>908.614985330496</x:v>
      </x:c>
      <x:c r="F1500" s="23" t="n">
        <x:v>695.7854930311441</x:v>
      </x:c>
      <x:c r="G1500" s="23" t="n">
        <x:v>262.6342839631252</x:v>
      </x:c>
      <x:c r="H1500" s="23" t="n">
        <x:v>20.366702848114073</x:v>
      </x:c>
      <x:c r="I1500" s="23" t="n">
        <x:v>0.84489193971036</x:v>
      </x:c>
      <x:c r="J1500" s="23" t="n">
        <x:v>7</x:v>
      </x:c>
      <x:c r="K1500" s="23" t="n">
        <x:v>173.0438215718442</x:v>
      </x:c>
      <x:c r="L1500" s="23" t="n">
        <x:v>11455</x:v>
      </x:c>
      <x:c r="M1500" s="23" t="n">
        <x:v>1195</x:v>
      </x:c>
      <x:c r="N1500" s="23" t="n">
        <x:v>250.01319485337106</x:v>
      </x:c>
      <x:c r="O1500" s="23" t="n">
        <x:v>2495.2280978302847</x:v>
      </x:c>
      <x:c r="P1500" s="23" t="n">
        <x:v>1023.4233104391024</x:v>
      </x:c>
      <x:c r="Q1500" s="23" t="n">
        <x:v>252.51862774118467</x:v>
      </x:c>
      <x:c r="R1500" s="23" t="n">
        <x:v>2527.4730524091815</x:v>
      </x:c>
      <x:c r="S1500" s="23" t="n">
        <x:v>1016.8436620828091</x:v>
      </x:c>
      <x:c r="T1500" s="23" t="n">
        <x:v>2.505432887813612</x:v>
      </x:c>
      <x:c r="U1500" s="23" t="n">
        <x:v>32.244954578896795</x:v>
      </x:c>
      <x:c r="V1500" s="23" t="n">
        <x:v>-6.579648356293205</x:v>
      </x:c>
    </x:row>
    <x:row r="1501">
      <x:c r="A1501" s="23" t="n">
        <x:v>1500</x:v>
      </x:c>
      <x:c r="B1501" s="23" t="str">
        <x:v>Hidden Test</x:v>
      </x:c>
      <x:c r="C1501" s="23" t="str">
        <x:v>Switching</x:v>
      </x:c>
      <x:c r="D1501" s="23" t="n">
        <x:v>1048.377878998872</x:v>
      </x:c>
      <x:c r="E1501" s="23" t="n">
        <x:v>705.9534370433539</x:v>
      </x:c>
      <x:c r="F1501" s="23" t="n">
        <x:v>595.0700129382312</x:v>
      </x:c>
      <x:c r="G1501" s="23" t="n">
        <x:v>116.0707490472123</x:v>
      </x:c>
      <x:c r="H1501" s="23" t="n">
        <x:v>27.586582775693387</x:v>
      </x:c>
      <x:c r="I1501" s="23" t="n">
        <x:v>0.8278261113911868</x:v>
      </x:c>
      <x:c r="J1501" s="23" t="n">
        <x:v>7</x:v>
      </x:c>
      <x:c r="K1501" s="23" t="n">
        <x:v>180.91754580768196</x:v>
      </x:c>
      <x:c r="L1501" s="23" t="n">
        <x:v>15090</x:v>
      </x:c>
      <x:c r="M1501" s="23" t="n">
        <x:v>1200</x:v>
      </x:c>
      <x:c r="N1501" s="23" t="n">
        <x:v>249.97893778238293</x:v>
      </x:c>
      <x:c r="O1501" s="23" t="n">
        <x:v>2503.0491887513863</x:v>
      </x:c>
      <x:c r="P1501" s="23" t="n">
        <x:v>1048.377878998872</x:v>
      </x:c>
      <x:c r="Q1501" s="23" t="n">
        <x:v>248.33970387471584</x:v>
      </x:c>
      <x:c r="R1501" s="23" t="n">
        <x:v>2457.5938379637455</x:v>
      </x:c>
      <x:c r="S1501" s="23" t="n">
        <x:v>1044.438017273079</x:v>
      </x:c>
      <x:c r="T1501" s="23" t="n">
        <x:v>-1.6392339076670908</x:v>
      </x:c>
      <x:c r="U1501" s="23" t="n">
        <x:v>-45.45535078764078</x:v>
      </x:c>
      <x:c r="V1501" s="23" t="n">
        <x:v>-3.93986172579298</x:v>
      </x:c>
    </x:row>
    <x:row r="1502">
      <x:c r="A1502" s="23" t="n">
        <x:v>1501</x:v>
      </x:c>
      <x:c r="B1502" s="23" t="str">
        <x:v>Train</x:v>
      </x:c>
      <x:c r="C1502" s="23" t="str">
        <x:v>Switching</x:v>
      </x:c>
      <x:c r="D1502" s="23" t="n">
        <x:v>1044.461715919897</x:v>
      </x:c>
      <x:c r="E1502" s="23" t="n">
        <x:v>700.1076371292584</x:v>
      </x:c>
      <x:c r="F1502" s="23" t="n">
        <x:v>607.3149299249053</x:v>
      </x:c>
      <x:c r="G1502" s="23" t="n">
        <x:v>97.60027633281425</x:v>
      </x:c>
      <x:c r="H1502" s="23" t="n">
        <x:v>21.99022863432765</x:v>
      </x:c>
      <x:c r="I1502" s="23" t="n">
        <x:v>0.7979897033818998</x:v>
      </x:c>
      <x:c r="J1502" s="23" t="n">
        <x:v>7</x:v>
      </x:c>
      <x:c r="K1502" s="23" t="n">
        <x:v>186.98087948708445</x:v>
      </x:c>
      <x:c r="L1502" s="23" t="n">
        <x:v>15220</x:v>
      </x:c>
      <x:c r="M1502" s="23" t="n">
        <x:v>1200</x:v>
      </x:c>
      <x:c r="N1502" s="23" t="n">
        <x:v>249.98462420345908</x:v>
      </x:c>
      <x:c r="O1502" s="23" t="n">
        <x:v>2502.978918975924</x:v>
      </x:c>
      <x:c r="P1502" s="23" t="n">
        <x:v>1044.461715919897</x:v>
      </x:c>
      <x:c r="Q1502" s="23" t="n">
        <x:v>250.13548357254047</x:v>
      </x:c>
      <x:c r="R1502" s="23" t="n">
        <x:v>2500.122546834615</x:v>
      </x:c>
      <x:c r="S1502" s="23" t="n">
        <x:v>1044.4634078121542</x:v>
      </x:c>
      <x:c r="T1502" s="23" t="n">
        <x:v>0.1508593690813882</x:v>
      </x:c>
      <x:c r="U1502" s="23" t="n">
        <x:v>-2.8563721413088388</x:v>
      </x:c>
      <x:c r="V1502" s="23" t="n">
        <x:v>0.0016918922572131123</x:v>
      </x:c>
    </x:row>
    <x:row r="1503">
      <x:c r="A1503" s="23" t="n">
        <x:v>1502</x:v>
      </x:c>
      <x:c r="B1503" s="23" t="str">
        <x:v>Train</x:v>
      </x:c>
      <x:c r="C1503" s="23" t="str">
        <x:v>Switching</x:v>
      </x:c>
      <x:c r="D1503" s="23" t="n">
        <x:v>985.1098694023676</x:v>
      </x:c>
      <x:c r="E1503" s="23" t="n">
        <x:v>993.3677448658273</x:v>
      </x:c>
      <x:c r="F1503" s="23" t="n">
        <x:v>503.21044521406293</x:v>
      </x:c>
      <x:c r="G1503" s="23" t="n">
        <x:v>274.21695452183485</x:v>
      </x:c>
      <x:c r="H1503" s="23" t="n">
        <x:v>11.10133563214913</x:v>
      </x:c>
      <x:c r="I1503" s="23" t="n">
        <x:v>0.8596391768334434</x:v>
      </x:c>
      <x:c r="J1503" s="23" t="n">
        <x:v>6</x:v>
      </x:c>
      <x:c r="K1503" s="23" t="n">
        <x:v>190.99289871654963</x:v>
      </x:c>
      <x:c r="L1503" s="23" t="n">
        <x:v>14090</x:v>
      </x:c>
      <x:c r="M1503" s="23" t="n">
        <x:v>1200</x:v>
      </x:c>
      <x:c r="N1503" s="23" t="n">
        <x:v>250.00432006519296</x:v>
      </x:c>
      <x:c r="O1503" s="23" t="n">
        <x:v>2503.6355594535044</x:v>
      </x:c>
      <x:c r="P1503" s="23" t="n">
        <x:v>985.1098694023676</x:v>
      </x:c>
      <x:c r="Q1503" s="23" t="n">
        <x:v>250.84192429093585</x:v>
      </x:c>
      <x:c r="R1503" s="23" t="n">
        <x:v>2539.4344716402315</x:v>
      </x:c>
      <x:c r="S1503" s="23" t="n">
        <x:v>981.3192487256838</x:v>
      </x:c>
      <x:c r="T1503" s="23" t="n">
        <x:v>0.8376042257428935</x:v>
      </x:c>
      <x:c r="U1503" s="23" t="n">
        <x:v>35.79891218672719</x:v>
      </x:c>
      <x:c r="V1503" s="23" t="n">
        <x:v>-3.7906206766838295</x:v>
      </x:c>
    </x:row>
    <x:row r="1504">
      <x:c r="A1504" s="23" t="n">
        <x:v>1503</x:v>
      </x:c>
      <x:c r="B1504" s="23" t="str">
        <x:v>Train</x:v>
      </x:c>
      <x:c r="C1504" s="23" t="str">
        <x:v>Switching</x:v>
      </x:c>
      <x:c r="D1504" s="23" t="n">
        <x:v>1051.1689204955474</x:v>
      </x:c>
      <x:c r="E1504" s="23" t="n">
        <x:v>1175.4582031746395</x:v>
      </x:c>
      <x:c r="F1504" s="23" t="n">
        <x:v>361.7436610162258</x:v>
      </x:c>
      <x:c r="G1504" s="23" t="n">
        <x:v>149.86263900762424</x:v>
      </x:c>
      <x:c r="H1504" s="23" t="n">
        <x:v>22.80258198734373</x:v>
      </x:c>
      <x:c r="I1504" s="23" t="n">
        <x:v>0.8567417504801416</x:v>
      </x:c>
      <x:c r="J1504" s="23" t="n">
        <x:v>7</x:v>
      </x:c>
      <x:c r="K1504" s="23" t="n">
        <x:v>175.2768422433754</x:v>
      </x:c>
      <x:c r="L1504" s="23" t="n">
        <x:v>12675</x:v>
      </x:c>
      <x:c r="M1504" s="23" t="n">
        <x:v>1200</x:v>
      </x:c>
      <x:c r="N1504" s="23" t="n">
        <x:v>249.9741492302682</x:v>
      </x:c>
      <x:c r="O1504" s="23" t="n">
        <x:v>2504.6207398860192</x:v>
      </x:c>
      <x:c r="P1504" s="23" t="n">
        <x:v>1051.1689204955474</x:v>
      </x:c>
      <x:c r="Q1504" s="23" t="n">
        <x:v>249.84686976668033</x:v>
      </x:c>
      <x:c r="R1504" s="23" t="n">
        <x:v>2532.4854114712048</x:v>
      </x:c>
      <x:c r="S1504" s="23" t="n">
        <x:v>1048.9344849322085</x:v>
      </x:c>
      <x:c r="T1504" s="23" t="n">
        <x:v>-0.12727946358788245</x:v>
      </x:c>
      <x:c r="U1504" s="23" t="n">
        <x:v>27.864671585185533</x:v>
      </x:c>
      <x:c r="V1504" s="23" t="n">
        <x:v>-2.2344355633388204</x:v>
      </x:c>
    </x:row>
    <x:row r="1505">
      <x:c r="A1505" s="23" t="n">
        <x:v>1504</x:v>
      </x:c>
      <x:c r="B1505" s="23" t="str">
        <x:v>Train</x:v>
      </x:c>
      <x:c r="C1505" s="23" t="str">
        <x:v>Switching</x:v>
      </x:c>
      <x:c r="D1505" s="23" t="n">
        <x:v>1038.2156139123254</x:v>
      </x:c>
      <x:c r="E1505" s="23" t="n">
        <x:v>730.6829735636711</x:v>
      </x:c>
      <x:c r="F1505" s="23" t="n">
        <x:v>430.0093858502805</x:v>
      </x:c>
      <x:c r="G1505" s="23" t="n">
        <x:v>153.38101707864553</x:v>
      </x:c>
      <x:c r="H1505" s="23" t="n">
        <x:v>16.48934465786442</x:v>
      </x:c>
      <x:c r="I1505" s="23" t="n">
        <x:v>0.8587594955693931</x:v>
      </x:c>
      <x:c r="J1505" s="23" t="n">
        <x:v>7</x:v>
      </x:c>
      <x:c r="K1505" s="23" t="n">
        <x:v>172.71019073256284</x:v>
      </x:c>
      <x:c r="L1505" s="23" t="n">
        <x:v>16275</x:v>
      </x:c>
      <x:c r="M1505" s="23" t="n">
        <x:v>1200</x:v>
      </x:c>
      <x:c r="N1505" s="23" t="n">
        <x:v>250.00900386789345</x:v>
      </x:c>
      <x:c r="O1505" s="23" t="n">
        <x:v>2502.4494839392382</x:v>
      </x:c>
      <x:c r="P1505" s="23" t="n">
        <x:v>1038.2156139123254</x:v>
      </x:c>
      <x:c r="Q1505" s="23" t="n">
        <x:v>248.33163113448992</x:v>
      </x:c>
      <x:c r="R1505" s="23" t="n">
        <x:v>2522.3271033528454</x:v>
      </x:c>
      <x:c r="S1505" s="23" t="n">
        <x:v>1054.2572131681072</x:v>
      </x:c>
      <x:c r="T1505" s="23" t="n">
        <x:v>-1.67737273340353</x:v>
      </x:c>
      <x:c r="U1505" s="23" t="n">
        <x:v>19.877619413607135</x:v>
      </x:c>
      <x:c r="V1505" s="23" t="n">
        <x:v>16.041599255781875</x:v>
      </x:c>
    </x:row>
    <x:row r="1506">
      <x:c r="A1506" s="23" t="n">
        <x:v>1505</x:v>
      </x:c>
      <x:c r="B1506" s="23" t="str">
        <x:v>Train</x:v>
      </x:c>
      <x:c r="C1506" s="23" t="str">
        <x:v>Switching</x:v>
      </x:c>
      <x:c r="D1506" s="23" t="n">
        <x:v>1035.444728937</x:v>
      </x:c>
      <x:c r="E1506" s="23" t="n">
        <x:v>698.9909089519642</x:v>
      </x:c>
      <x:c r="F1506" s="23" t="n">
        <x:v>716.8722772970796</x:v>
      </x:c>
      <x:c r="G1506" s="23" t="n">
        <x:v>187.3719440610148</x:v>
      </x:c>
      <x:c r="H1506" s="23" t="n">
        <x:v>16.290053540840745</x:v>
      </x:c>
      <x:c r="I1506" s="23" t="n">
        <x:v>0.829974974275101</x:v>
      </x:c>
      <x:c r="J1506" s="23" t="n">
        <x:v>7</x:v>
      </x:c>
      <x:c r="K1506" s="23" t="n">
        <x:v>178.22305508864565</x:v>
      </x:c>
      <x:c r="L1506" s="23" t="n">
        <x:v>13340</x:v>
      </x:c>
      <x:c r="M1506" s="23" t="n">
        <x:v>1200</x:v>
      </x:c>
      <x:c r="N1506" s="23" t="n">
        <x:v>250.01622526430458</x:v>
      </x:c>
      <x:c r="O1506" s="23" t="n">
        <x:v>2504.1327523405607</x:v>
      </x:c>
      <x:c r="P1506" s="23" t="n">
        <x:v>1035.444728937</x:v>
      </x:c>
      <x:c r="Q1506" s="23" t="n">
        <x:v>249.41843369209</x:v>
      </x:c>
      <x:c r="R1506" s="23" t="n">
        <x:v>2444.8692617967718</x:v>
      </x:c>
      <x:c r="S1506" s="23" t="n">
        <x:v>1044.3441850308309</x:v>
      </x:c>
      <x:c r="T1506" s="23" t="n">
        <x:v>-0.5977915722145895</x:v>
      </x:c>
      <x:c r="U1506" s="23" t="n">
        <x:v>-59.263490543788976</x:v>
      </x:c>
      <x:c r="V1506" s="23" t="n">
        <x:v>8.89945609383085</x:v>
      </x:c>
    </x:row>
    <x:row r="1507">
      <x:c r="A1507" s="23" t="n">
        <x:v>1506</x:v>
      </x:c>
      <x:c r="B1507" s="23" t="str">
        <x:v>Train</x:v>
      </x:c>
      <x:c r="C1507" s="23" t="str">
        <x:v>Switching</x:v>
      </x:c>
      <x:c r="D1507" s="23" t="n">
        <x:v>1024.7348272823729</x:v>
      </x:c>
      <x:c r="E1507" s="23" t="n">
        <x:v>703.1003463314846</x:v>
      </x:c>
      <x:c r="F1507" s="23" t="n">
        <x:v>508.4132903255522</x:v>
      </x:c>
      <x:c r="G1507" s="23" t="n">
        <x:v>190.31645559705794</x:v>
      </x:c>
      <x:c r="H1507" s="23" t="n">
        <x:v>13.03973237471655</x:v>
      </x:c>
      <x:c r="I1507" s="23" t="n">
        <x:v>0.8273052923986689</x:v>
      </x:c>
      <x:c r="J1507" s="23" t="n">
        <x:v>7</x:v>
      </x:c>
      <x:c r="K1507" s="23" t="n">
        <x:v>176.9488131610109</x:v>
      </x:c>
      <x:c r="L1507" s="23" t="n">
        <x:v>15255</x:v>
      </x:c>
      <x:c r="M1507" s="23" t="n">
        <x:v>1200</x:v>
      </x:c>
      <x:c r="N1507" s="23" t="n">
        <x:v>249.98994699897835</x:v>
      </x:c>
      <x:c r="O1507" s="23" t="n">
        <x:v>2502.960333333029</x:v>
      </x:c>
      <x:c r="P1507" s="23" t="n">
        <x:v>1024.7348272823729</x:v>
      </x:c>
      <x:c r="Q1507" s="23" t="n">
        <x:v>247.8940164090292</x:v>
      </x:c>
      <x:c r="R1507" s="23" t="n">
        <x:v>2519.8828545357105</x:v>
      </x:c>
      <x:c r="S1507" s="23" t="n">
        <x:v>1032.4753199805218</x:v>
      </x:c>
      <x:c r="T1507" s="23" t="n">
        <x:v>-2.0959305899491483</x:v>
      </x:c>
      <x:c r="U1507" s="23" t="n">
        <x:v>16.92252120268131</x:v>
      </x:c>
      <x:c r="V1507" s="23" t="n">
        <x:v>7.740492698148955</x:v>
      </x:c>
    </x:row>
    <x:row r="1508">
      <x:c r="A1508" s="23" t="n">
        <x:v>1507</x:v>
      </x:c>
      <x:c r="B1508" s="23" t="str">
        <x:v>Train</x:v>
      </x:c>
      <x:c r="C1508" s="23" t="str">
        <x:v>Switching</x:v>
      </x:c>
      <x:c r="D1508" s="23" t="n">
        <x:v>1089.691425091587</x:v>
      </x:c>
      <x:c r="E1508" s="23" t="n">
        <x:v>1053.9633357548155</x:v>
      </x:c>
      <x:c r="F1508" s="23" t="n">
        <x:v>365.3178256005049</x:v>
      </x:c>
      <x:c r="G1508" s="23" t="n">
        <x:v>203.80304344696924</x:v>
      </x:c>
      <x:c r="H1508" s="23" t="n">
        <x:v>14.152129252441227</x:v>
      </x:c>
      <x:c r="I1508" s="23" t="n">
        <x:v>0.8413463208894245</x:v>
      </x:c>
      <x:c r="J1508" s="23" t="n">
        <x:v>7</x:v>
      </x:c>
      <x:c r="K1508" s="23" t="n">
        <x:v>185.0251195250329</x:v>
      </x:c>
      <x:c r="L1508" s="23" t="n">
        <x:v>13175</x:v>
      </x:c>
      <x:c r="M1508" s="23" t="n">
        <x:v>1200</x:v>
      </x:c>
      <x:c r="N1508" s="23" t="n">
        <x:v>249.98085144704288</x:v>
      </x:c>
      <x:c r="O1508" s="23" t="n">
        <x:v>2504.248297772995</x:v>
      </x:c>
      <x:c r="P1508" s="23" t="n">
        <x:v>1089.691425091587</x:v>
      </x:c>
      <x:c r="Q1508" s="23" t="n">
        <x:v>252.56155168057148</x:v>
      </x:c>
      <x:c r="R1508" s="23" t="n">
        <x:v>2477.2475659607553</x:v>
      </x:c>
      <x:c r="S1508" s="23" t="n">
        <x:v>1088.056113871741</x:v>
      </x:c>
      <x:c r="T1508" s="23" t="n">
        <x:v>2.580700233528603</x:v>
      </x:c>
      <x:c r="U1508" s="23" t="n">
        <x:v>-27.000731812239792</x:v>
      </x:c>
      <x:c r="V1508" s="23" t="n">
        <x:v>-1.6353112198460167</x:v>
      </x:c>
    </x:row>
    <x:row r="1509">
      <x:c r="A1509" s="23" t="n">
        <x:v>1508</x:v>
      </x:c>
      <x:c r="B1509" s="23" t="str">
        <x:v>Train</x:v>
      </x:c>
      <x:c r="C1509" s="23" t="str">
        <x:v>Switching</x:v>
      </x:c>
      <x:c r="D1509" s="23" t="n">
        <x:v>963.0434531136416</x:v>
      </x:c>
      <x:c r="E1509" s="23" t="n">
        <x:v>769.8847808409482</x:v>
      </x:c>
      <x:c r="F1509" s="23" t="n">
        <x:v>545.8605918101966</x:v>
      </x:c>
      <x:c r="G1509" s="23" t="n">
        <x:v>171.2562854355201</x:v>
      </x:c>
      <x:c r="H1509" s="23" t="n">
        <x:v>23.622776604723185</x:v>
      </x:c>
      <x:c r="I1509" s="23" t="n">
        <x:v>0.7945228662900627</x:v>
      </x:c>
      <x:c r="J1509" s="23" t="n">
        <x:v>7</x:v>
      </x:c>
      <x:c r="K1509" s="23" t="n">
        <x:v>173.1575540443478</x:v>
      </x:c>
      <x:c r="L1509" s="23" t="n">
        <x:v>14380</x:v>
      </x:c>
      <x:c r="M1509" s="23" t="n">
        <x:v>1200</x:v>
      </x:c>
      <x:c r="N1509" s="23" t="n">
        <x:v>249.96874001970934</x:v>
      </x:c>
      <x:c r="O1509" s="23" t="n">
        <x:v>2503.456134052054</x:v>
      </x:c>
      <x:c r="P1509" s="23" t="n">
        <x:v>963.0434531136416</x:v>
      </x:c>
      <x:c r="Q1509" s="23" t="n">
        <x:v>246.1923396074946</x:v>
      </x:c>
      <x:c r="R1509" s="23" t="n">
        <x:v>2477.724392675024</x:v>
      </x:c>
      <x:c r="S1509" s="23" t="n">
        <x:v>960.9483845770209</x:v>
      </x:c>
      <x:c r="T1509" s="23" t="n">
        <x:v>-3.776400412214741</x:v>
      </x:c>
      <x:c r="U1509" s="23" t="n">
        <x:v>-25.731741377030175</x:v>
      </x:c>
      <x:c r="V1509" s="23" t="n">
        <x:v>-2.0950685366207153</x:v>
      </x:c>
    </x:row>
    <x:row r="1510">
      <x:c r="A1510" s="23" t="n">
        <x:v>1509</x:v>
      </x:c>
      <x:c r="B1510" s="23" t="str">
        <x:v>Train</x:v>
      </x:c>
      <x:c r="C1510" s="23" t="str">
        <x:v>Switching</x:v>
      </x:c>
      <x:c r="D1510" s="23" t="n">
        <x:v>1072.9189469013363</x:v>
      </x:c>
      <x:c r="E1510" s="23" t="n">
        <x:v>797.1716185915284</x:v>
      </x:c>
      <x:c r="F1510" s="23" t="n">
        <x:v>683.4647668525577</x:v>
      </x:c>
      <x:c r="G1510" s="23" t="n">
        <x:v>164.6702766721137</x:v>
      </x:c>
      <x:c r="H1510" s="23" t="n">
        <x:v>16.913928605616093</x:v>
      </x:c>
      <x:c r="I1510" s="23" t="n">
        <x:v>0.7970183225930669</x:v>
      </x:c>
      <x:c r="J1510" s="23" t="n">
        <x:v>7</x:v>
      </x:c>
      <x:c r="K1510" s="23" t="n">
        <x:v>192.30942492381888</x:v>
      </x:c>
      <x:c r="L1510" s="23" t="n">
        <x:v>13000</x:v>
      </x:c>
      <x:c r="M1510" s="23" t="n">
        <x:v>1200</x:v>
      </x:c>
      <x:c r="N1510" s="23" t="n">
        <x:v>250.03764143958537</x:v>
      </x:c>
      <x:c r="O1510" s="23" t="n">
        <x:v>2504.377659141511</x:v>
      </x:c>
      <x:c r="P1510" s="23" t="n">
        <x:v>1072.9189469013363</x:v>
      </x:c>
      <x:c r="Q1510" s="23" t="n">
        <x:v>250.32500427522504</x:v>
      </x:c>
      <x:c r="R1510" s="23" t="n">
        <x:v>2463.2347962198155</x:v>
      </x:c>
      <x:c r="S1510" s="23" t="n">
        <x:v>1078.1609448299725</x:v>
      </x:c>
      <x:c r="T1510" s="23" t="n">
        <x:v>0.28736283563966936</x:v>
      </x:c>
      <x:c r="U1510" s="23" t="n">
        <x:v>-41.14286292169527</x:v>
      </x:c>
      <x:c r="V1510" s="23" t="n">
        <x:v>5.241997928636238</x:v>
      </x:c>
    </x:row>
    <x:row r="1511">
      <x:c r="A1511" s="23" t="n">
        <x:v>1510</x:v>
      </x:c>
      <x:c r="B1511" s="23" t="str">
        <x:v>Train</x:v>
      </x:c>
      <x:c r="C1511" s="23" t="str">
        <x:v>Switching</x:v>
      </x:c>
      <x:c r="D1511" s="23" t="n">
        <x:v>959.3663248349912</x:v>
      </x:c>
      <x:c r="E1511" s="23" t="n">
        <x:v>1108.11002550181</x:v>
      </x:c>
      <x:c r="F1511" s="23" t="n">
        <x:v>469.1646662540734</x:v>
      </x:c>
      <x:c r="G1511" s="23" t="n">
        <x:v>242.82734414562583</x:v>
      </x:c>
      <x:c r="H1511" s="23" t="n">
        <x:v>29.474727211985737</x:v>
      </x:c>
      <x:c r="I1511" s="23" t="n">
        <x:v>0.8584282644232736</x:v>
      </x:c>
      <x:c r="J1511" s="23" t="n">
        <x:v>6</x:v>
      </x:c>
      <x:c r="K1511" s="23" t="n">
        <x:v>186.26412258212628</x:v>
      </x:c>
      <x:c r="L1511" s="23" t="n">
        <x:v>13710</x:v>
      </x:c>
      <x:c r="M1511" s="23" t="n">
        <x:v>1200</x:v>
      </x:c>
      <x:c r="N1511" s="23" t="n">
        <x:v>250.03580907506787</x:v>
      </x:c>
      <x:c r="O1511" s="23" t="n">
        <x:v>2503.8815811183335</x:v>
      </x:c>
      <x:c r="P1511" s="23" t="n">
        <x:v>959.3663248349912</x:v>
      </x:c>
      <x:c r="Q1511" s="23" t="n">
        <x:v>247.0110238072967</x:v>
      </x:c>
      <x:c r="R1511" s="23" t="n">
        <x:v>2512.084070105404</x:v>
      </x:c>
      <x:c r="S1511" s="23" t="n">
        <x:v>940.9544753199112</x:v>
      </x:c>
      <x:c r="T1511" s="23" t="n">
        <x:v>-3.024785267771165</x:v>
      </x:c>
      <x:c r="U1511" s="23" t="n">
        <x:v>8.20248898707041</x:v>
      </x:c>
      <x:c r="V1511" s="23" t="n">
        <x:v>-18.411849515080007</x:v>
      </x:c>
    </x:row>
    <x:row r="1512">
      <x:c r="A1512" s="23" t="n">
        <x:v>1511</x:v>
      </x:c>
      <x:c r="B1512" s="23" t="str">
        <x:v>Train</x:v>
      </x:c>
      <x:c r="C1512" s="23" t="str">
        <x:v>Switching</x:v>
      </x:c>
      <x:c r="D1512" s="23" t="n">
        <x:v>951.0924625443295</x:v>
      </x:c>
      <x:c r="E1512" s="23" t="n">
        <x:v>672.049449023325</x:v>
      </x:c>
      <x:c r="F1512" s="23" t="n">
        <x:v>357.7413737773895</x:v>
      </x:c>
      <x:c r="G1512" s="23" t="n">
        <x:v>207.88374902447686</x:v>
      </x:c>
      <x:c r="H1512" s="23" t="n">
        <x:v>8.559852528385818</x:v>
      </x:c>
      <x:c r="I1512" s="23" t="n">
        <x:v>0.8463923398382031</x:v>
      </x:c>
      <x:c r="J1512" s="23" t="n">
        <x:v>6</x:v>
      </x:c>
      <x:c r="K1512" s="23" t="n">
        <x:v>187.28360709686578</x:v>
      </x:c>
      <x:c r="L1512" s="23" t="n">
        <x:v>20160</x:v>
      </x:c>
      <x:c r="M1512" s="23" t="n">
        <x:v>1200</x:v>
      </x:c>
      <x:c r="N1512" s="23" t="n">
        <x:v>250.01437179125097</x:v>
      </x:c>
      <x:c r="O1512" s="23" t="n">
        <x:v>2500.975501043579</x:v>
      </x:c>
      <x:c r="P1512" s="23" t="n">
        <x:v>951.0924625443295</x:v>
      </x:c>
      <x:c r="Q1512" s="23" t="n">
        <x:v>250.63291546644</x:v>
      </x:c>
      <x:c r="R1512" s="23" t="n">
        <x:v>2515.469748788537</x:v>
      </x:c>
      <x:c r="S1512" s="23" t="n">
        <x:v>963.3619650644567</x:v>
      </x:c>
      <x:c r="T1512" s="23" t="n">
        <x:v>0.618543675189045</x:v>
      </x:c>
      <x:c r="U1512" s="23" t="n">
        <x:v>14.494247744958102</x:v>
      </x:c>
      <x:c r="V1512" s="23" t="n">
        <x:v>12.269502520127276</x:v>
      </x:c>
    </x:row>
    <x:row r="1513">
      <x:c r="A1513" s="23" t="n">
        <x:v>1512</x:v>
      </x:c>
      <x:c r="B1513" s="23" t="str">
        <x:v>Train</x:v>
      </x:c>
      <x:c r="C1513" s="23" t="str">
        <x:v>Switching</x:v>
      </x:c>
      <x:c r="D1513" s="23" t="n">
        <x:v>974.3580334703438</x:v>
      </x:c>
      <x:c r="E1513" s="23" t="n">
        <x:v>777.9804863967001</x:v>
      </x:c>
      <x:c r="F1513" s="23" t="n">
        <x:v>363.8853228650987</x:v>
      </x:c>
      <x:c r="G1513" s="23" t="n">
        <x:v>180.91826098505408</x:v>
      </x:c>
      <x:c r="H1513" s="23" t="n">
        <x:v>10.40971635049209</x:v>
      </x:c>
      <x:c r="I1513" s="23" t="n">
        <x:v>0.8545966307912022</x:v>
      </x:c>
      <x:c r="J1513" s="23" t="n">
        <x:v>6</x:v>
      </x:c>
      <x:c r="K1513" s="23" t="n">
        <x:v>190.02298830507212</x:v>
      </x:c>
      <x:c r="L1513" s="23" t="n">
        <x:v>18860</x:v>
      </x:c>
      <x:c r="M1513" s="23" t="n">
        <x:v>1200</x:v>
      </x:c>
      <x:c r="N1513" s="23" t="n">
        <x:v>249.97622183126512</x:v>
      </x:c>
      <x:c r="O1513" s="23" t="n">
        <x:v>2501.4001633969033</x:v>
      </x:c>
      <x:c r="P1513" s="23" t="n">
        <x:v>974.3580334703438</x:v>
      </x:c>
      <x:c r="Q1513" s="23" t="n">
        <x:v>252.45884332583557</x:v>
      </x:c>
      <x:c r="R1513" s="23" t="n">
        <x:v>2495.7240035682294</x:v>
      </x:c>
      <x:c r="S1513" s="23" t="n">
        <x:v>983.3690447734568</x:v>
      </x:c>
      <x:c r="T1513" s="23" t="n">
        <x:v>2.482621494570452</x:v>
      </x:c>
      <x:c r="U1513" s="23" t="n">
        <x:v>-5.676159828673917</x:v>
      </x:c>
      <x:c r="V1513" s="23" t="n">
        <x:v>9.011011303113037</x:v>
      </x:c>
    </x:row>
    <x:row r="1514">
      <x:c r="A1514" s="23" t="n">
        <x:v>1513</x:v>
      </x:c>
      <x:c r="B1514" s="23" t="str">
        <x:v>Train</x:v>
      </x:c>
      <x:c r="C1514" s="23" t="str">
        <x:v>Switching</x:v>
      </x:c>
      <x:c r="D1514" s="23" t="n">
        <x:v>990.2562832459807</x:v>
      </x:c>
      <x:c r="E1514" s="23" t="n">
        <x:v>926.2142520747148</x:v>
      </x:c>
      <x:c r="F1514" s="23" t="n">
        <x:v>430.8485211804509</x:v>
      </x:c>
      <x:c r="G1514" s="23" t="n">
        <x:v>129.46567449951544</x:v>
      </x:c>
      <x:c r="H1514" s="23" t="n">
        <x:v>22.155970325693488</x:v>
      </x:c>
      <x:c r="I1514" s="23" t="n">
        <x:v>0.8017723147687502</x:v>
      </x:c>
      <x:c r="J1514" s="23" t="n">
        <x:v>7</x:v>
      </x:c>
      <x:c r="K1514" s="23" t="n">
        <x:v>176.44059381329006</x:v>
      </x:c>
      <x:c r="L1514" s="23" t="n">
        <x:v>14385</x:v>
      </x:c>
      <x:c r="M1514" s="23" t="n">
        <x:v>1200</x:v>
      </x:c>
      <x:c r="N1514" s="23" t="n">
        <x:v>249.97604933114687</x:v>
      </x:c>
      <x:c r="O1514" s="23" t="n">
        <x:v>2503.4533794000695</x:v>
      </x:c>
      <x:c r="P1514" s="23" t="n">
        <x:v>990.2562832459807</x:v>
      </x:c>
      <x:c r="Q1514" s="23" t="n">
        <x:v>247.1884495033046</x:v>
      </x:c>
      <x:c r="R1514" s="23" t="n">
        <x:v>2539.92854397597</x:v>
      </x:c>
      <x:c r="S1514" s="23" t="n">
        <x:v>993.927646761373</x:v>
      </x:c>
      <x:c r="T1514" s="23" t="n">
        <x:v>-2.787599827842257</x:v>
      </x:c>
      <x:c r="U1514" s="23" t="n">
        <x:v>36.475164575900635</x:v>
      </x:c>
      <x:c r="V1514" s="23" t="n">
        <x:v>3.6713635153922723</x:v>
      </x:c>
    </x:row>
    <x:row r="1515">
      <x:c r="A1515" s="23" t="n">
        <x:v>1514</x:v>
      </x:c>
      <x:c r="B1515" s="23" t="str">
        <x:v>Train</x:v>
      </x:c>
      <x:c r="C1515" s="23" t="str">
        <x:v>Switching</x:v>
      </x:c>
      <x:c r="D1515" s="23" t="n">
        <x:v>1038.9353518025018</x:v>
      </x:c>
      <x:c r="E1515" s="23" t="n">
        <x:v>608.1001062178984</x:v>
      </x:c>
      <x:c r="F1515" s="23" t="n">
        <x:v>370.15171060338616</x:v>
      </x:c>
      <x:c r="G1515" s="23" t="n">
        <x:v>280.3245565574616</x:v>
      </x:c>
      <x:c r="H1515" s="23" t="n">
        <x:v>11.653830577153713</x:v>
      </x:c>
      <x:c r="I1515" s="23" t="n">
        <x:v>0.8521566024096683</x:v>
      </x:c>
      <x:c r="J1515" s="23" t="n">
        <x:v>7</x:v>
      </x:c>
      <x:c r="K1515" s="23" t="n">
        <x:v>174.16908529734587</x:v>
      </x:c>
      <x:c r="L1515" s="23" t="n">
        <x:v>16990</x:v>
      </x:c>
      <x:c r="M1515" s="23" t="n">
        <x:v>1200</x:v>
      </x:c>
      <x:c r="N1515" s="23" t="n">
        <x:v>249.96995965544306</x:v>
      </x:c>
      <x:c r="O1515" s="23" t="n">
        <x:v>2502.1264247847125</x:v>
      </x:c>
      <x:c r="P1515" s="23" t="n">
        <x:v>1038.9353518025018</x:v>
      </x:c>
      <x:c r="Q1515" s="23" t="n">
        <x:v>250.51846809208578</x:v>
      </x:c>
      <x:c r="R1515" s="23" t="n">
        <x:v>2497.70365301628</x:v>
      </x:c>
      <x:c r="S1515" s="23" t="n">
        <x:v>1057.2964281155391</x:v>
      </x:c>
      <x:c r="T1515" s="23" t="n">
        <x:v>0.5485084366427202</x:v>
      </x:c>
      <x:c r="U1515" s="23" t="n">
        <x:v>-4.42277176843254</x:v>
      </x:c>
      <x:c r="V1515" s="23" t="n">
        <x:v>18.3610763130373</x:v>
      </x:c>
    </x:row>
    <x:row r="1516">
      <x:c r="A1516" s="23" t="n">
        <x:v>1515</x:v>
      </x:c>
      <x:c r="B1516" s="23" t="str">
        <x:v>Validation</x:v>
      </x:c>
      <x:c r="C1516" s="23" t="str">
        <x:v>Switching</x:v>
      </x:c>
      <x:c r="D1516" s="23" t="n">
        <x:v>1097.7160951821133</x:v>
      </x:c>
      <x:c r="E1516" s="23" t="n">
        <x:v>681.2205469817854</x:v>
      </x:c>
      <x:c r="F1516" s="23" t="n">
        <x:v>525.0209469348192</x:v>
      </x:c>
      <x:c r="G1516" s="23" t="n">
        <x:v>102.57741818903014</x:v>
      </x:c>
      <x:c r="H1516" s="23" t="n">
        <x:v>28.770471797324717</x:v>
      </x:c>
      <x:c r="I1516" s="23" t="n">
        <x:v>0.8496970733138733</x:v>
      </x:c>
      <x:c r="J1516" s="23" t="n">
        <x:v>7</x:v>
      </x:c>
      <x:c r="K1516" s="23" t="n">
        <x:v>184.55587285292322</x:v>
      </x:c>
      <x:c r="L1516" s="23" t="n">
        <x:v>16340</x:v>
      </x:c>
      <x:c r="M1516" s="23" t="n">
        <x:v>1200</x:v>
      </x:c>
      <x:c r="N1516" s="23" t="n">
        <x:v>250.00404604520156</x:v>
      </x:c>
      <x:c r="O1516" s="23" t="n">
        <x:v>2502.418896651149</x:v>
      </x:c>
      <x:c r="P1516" s="23" t="n">
        <x:v>1097.7160951821133</x:v>
      </x:c>
      <x:c r="Q1516" s="23" t="n">
        <x:v>248.08367930806358</x:v>
      </x:c>
      <x:c r="R1516" s="23" t="n">
        <x:v>2524.456704245054</x:v>
      </x:c>
      <x:c r="S1516" s="23" t="n">
        <x:v>1097.704683948901</x:v>
      </x:c>
      <x:c r="T1516" s="23" t="n">
        <x:v>-1.9203667371379822</x:v>
      </x:c>
      <x:c r="U1516" s="23" t="n">
        <x:v>22.037807593904745</x:v>
      </x:c>
      <x:c r="V1516" s="23" t="n">
        <x:v>-0.01141123321235682</x:v>
      </x:c>
    </x:row>
    <x:row r="1517">
      <x:c r="A1517" s="23" t="n">
        <x:v>1516</x:v>
      </x:c>
      <x:c r="B1517" s="23" t="str">
        <x:v>Validation</x:v>
      </x:c>
      <x:c r="C1517" s="23" t="str">
        <x:v>Switching</x:v>
      </x:c>
      <x:c r="D1517" s="23" t="n">
        <x:v>1048.4566739178263</x:v>
      </x:c>
      <x:c r="E1517" s="23" t="n">
        <x:v>949.10748465918</x:v>
      </x:c>
      <x:c r="F1517" s="23" t="n">
        <x:v>497.29015631601214</x:v>
      </x:c>
      <x:c r="G1517" s="23" t="n">
        <x:v>231.16818703245372</x:v>
      </x:c>
      <x:c r="H1517" s="23" t="n">
        <x:v>11.127272564452142</x:v>
      </x:c>
      <x:c r="I1517" s="23" t="n">
        <x:v>0.8172326730564237</x:v>
      </x:c>
      <x:c r="J1517" s="23" t="n">
        <x:v>7</x:v>
      </x:c>
      <x:c r="K1517" s="23" t="n">
        <x:v>183.276476557445</x:v>
      </x:c>
      <x:c r="L1517" s="23" t="n">
        <x:v>12750</x:v>
      </x:c>
      <x:c r="M1517" s="23" t="n">
        <x:v>1200</x:v>
      </x:c>
      <x:c r="N1517" s="23" t="n">
        <x:v>250.03725300957058</x:v>
      </x:c>
      <x:c r="O1517" s="23" t="n">
        <x:v>2504.565446197998</x:v>
      </x:c>
      <x:c r="P1517" s="23" t="n">
        <x:v>1048.4566739178263</x:v>
      </x:c>
      <x:c r="Q1517" s="23" t="n">
        <x:v>249.03754302915954</x:v>
      </x:c>
      <x:c r="R1517" s="23" t="n">
        <x:v>2540.1026657052344</x:v>
      </x:c>
      <x:c r="S1517" s="23" t="n">
        <x:v>1052.943943110712</x:v>
      </x:c>
      <x:c r="T1517" s="23" t="n">
        <x:v>-0.9997099804110405</x:v>
      </x:c>
      <x:c r="U1517" s="23" t="n">
        <x:v>35.53721950723639</x:v>
      </x:c>
      <x:c r="V1517" s="23" t="n">
        <x:v>4.487269192885833</x:v>
      </x:c>
    </x:row>
    <x:row r="1518">
      <x:c r="A1518" s="23" t="n">
        <x:v>1517</x:v>
      </x:c>
      <x:c r="B1518" s="23" t="str">
        <x:v>Validation</x:v>
      </x:c>
      <x:c r="C1518" s="23" t="str">
        <x:v>Switching</x:v>
      </x:c>
      <x:c r="D1518" s="23" t="n">
        <x:v>983.8564147707075</x:v>
      </x:c>
      <x:c r="E1518" s="23" t="n">
        <x:v>748.2277671690099</x:v>
      </x:c>
      <x:c r="F1518" s="23" t="n">
        <x:v>366.9791867956519</x:v>
      </x:c>
      <x:c r="G1518" s="23" t="n">
        <x:v>314.58013852359727</x:v>
      </x:c>
      <x:c r="H1518" s="23" t="n">
        <x:v>13.640182588249445</x:v>
      </x:c>
      <x:c r="I1518" s="23" t="n">
        <x:v>0.8412788223498502</x:v>
      </x:c>
      <x:c r="J1518" s="23" t="n">
        <x:v>6</x:v>
      </x:c>
      <x:c r="K1518" s="23" t="n">
        <x:v>194.912869279694</x:v>
      </x:c>
      <x:c r="L1518" s="23" t="n">
        <x:v>17450</x:v>
      </x:c>
      <x:c r="M1518" s="23" t="n">
        <x:v>1200</x:v>
      </x:c>
      <x:c r="N1518" s="23" t="n">
        <x:v>249.99711529117175</x:v>
      </x:c>
      <x:c r="O1518" s="23" t="n">
        <x:v>2501.934065676679</x:v>
      </x:c>
      <x:c r="P1518" s="23" t="n">
        <x:v>983.8564147707075</x:v>
      </x:c>
      <x:c r="Q1518" s="23" t="n">
        <x:v>251.37538392874652</x:v>
      </x:c>
      <x:c r="R1518" s="23" t="n">
        <x:v>2498.6913267975087</x:v>
      </x:c>
      <x:c r="S1518" s="23" t="n">
        <x:v>990.1241114959627</x:v>
      </x:c>
      <x:c r="T1518" s="23" t="n">
        <x:v>1.378268637574763</x:v>
      </x:c>
      <x:c r="U1518" s="23" t="n">
        <x:v>-3.242738879170247</x:v>
      </x:c>
      <x:c r="V1518" s="23" t="n">
        <x:v>6.267696725255178</x:v>
      </x:c>
    </x:row>
    <x:row r="1519">
      <x:c r="A1519" s="23" t="n">
        <x:v>1518</x:v>
      </x:c>
      <x:c r="B1519" s="23" t="str">
        <x:v>Hidden Test</x:v>
      </x:c>
      <x:c r="C1519" s="23" t="str">
        <x:v>Switching</x:v>
      </x:c>
      <x:c r="D1519" s="23" t="n">
        <x:v>998.8654134911485</x:v>
      </x:c>
      <x:c r="E1519" s="23" t="n">
        <x:v>980.4733828408644</x:v>
      </x:c>
      <x:c r="F1519" s="23" t="n">
        <x:v>510.6260751374066</x:v>
      </x:c>
      <x:c r="G1519" s="23" t="n">
        <x:v>212.59080052375793</x:v>
      </x:c>
      <x:c r="H1519" s="23" t="n">
        <x:v>8.990774522069842</x:v>
      </x:c>
      <x:c r="I1519" s="23" t="n">
        <x:v>0.8223108663363382</x:v>
      </x:c>
      <x:c r="J1519" s="23" t="n">
        <x:v>7</x:v>
      </x:c>
      <x:c r="K1519" s="23" t="n">
        <x:v>173.52933654630746</x:v>
      </x:c>
      <x:c r="L1519" s="23" t="n">
        <x:v>12555</x:v>
      </x:c>
      <x:c r="M1519" s="23" t="n">
        <x:v>1200</x:v>
      </x:c>
      <x:c r="N1519" s="23" t="n">
        <x:v>250.04734022977382</x:v>
      </x:c>
      <x:c r="O1519" s="23" t="n">
        <x:v>2504.717521732792</x:v>
      </x:c>
      <x:c r="P1519" s="23" t="n">
        <x:v>998.8654134911485</x:v>
      </x:c>
      <x:c r="Q1519" s="23" t="n">
        <x:v>249.21479098685424</x:v>
      </x:c>
      <x:c r="R1519" s="23" t="n">
        <x:v>2553.9185947231076</x:v>
      </x:c>
      <x:c r="S1519" s="23" t="n">
        <x:v>1001.2662674151485</x:v>
      </x:c>
      <x:c r="T1519" s="23" t="n">
        <x:v>-0.8325492429195833</x:v>
      </x:c>
      <x:c r="U1519" s="23" t="n">
        <x:v>49.201072990315424</x:v>
      </x:c>
      <x:c r="V1519" s="23" t="n">
        <x:v>2.400853923999989</x:v>
      </x:c>
    </x:row>
    <x:row r="1520">
      <x:c r="A1520" s="23" t="n">
        <x:v>1519</x:v>
      </x:c>
      <x:c r="B1520" s="23" t="str">
        <x:v>Hidden Test</x:v>
      </x:c>
      <x:c r="C1520" s="23" t="str">
        <x:v>Switching</x:v>
      </x:c>
      <x:c r="D1520" s="23" t="n">
        <x:v>1051.8869685241953</x:v>
      </x:c>
      <x:c r="E1520" s="23" t="n">
        <x:v>1214.0027054701932</x:v>
      </x:c>
      <x:c r="F1520" s="23" t="n">
        <x:v>384.93351116776466</x:v>
      </x:c>
      <x:c r="G1520" s="23" t="n">
        <x:v>203.18982038414106</x:v>
      </x:c>
      <x:c r="H1520" s="23" t="n">
        <x:v>16.34168769326061</x:v>
      </x:c>
      <x:c r="I1520" s="23" t="n">
        <x:v>0.8055944727896713</x:v>
      </x:c>
      <x:c r="J1520" s="23" t="n">
        <x:v>7</x:v>
      </x:c>
      <x:c r="K1520" s="23" t="n">
        <x:v>186.53251978214732</x:v>
      </x:c>
      <x:c r="L1520" s="23" t="n">
        <x:v>11865</x:v>
      </x:c>
      <x:c r="M1520" s="23" t="n">
        <x:v>1195</x:v>
      </x:c>
      <x:c r="N1520" s="23" t="n">
        <x:v>249.9586259989148</x:v>
      </x:c>
      <x:c r="O1520" s="23" t="n">
        <x:v>2494.851825519685</x:v>
      </x:c>
      <x:c r="P1520" s="23" t="n">
        <x:v>1051.8869685241953</x:v>
      </x:c>
      <x:c r="Q1520" s="23" t="n">
        <x:v>249.1790960316766</x:v>
      </x:c>
      <x:c r="R1520" s="23" t="n">
        <x:v>2498.215079366209</x:v>
      </x:c>
      <x:c r="S1520" s="23" t="n">
        <x:v>1053.19864625921</x:v>
      </x:c>
      <x:c r="T1520" s="23" t="n">
        <x:v>-0.7795299672382043</x:v>
      </x:c>
      <x:c r="U1520" s="23" t="n">
        <x:v>3.363253846524003</x:v>
      </x:c>
      <x:c r="V1520" s="23" t="n">
        <x:v>1.311677735014655</x:v>
      </x:c>
    </x:row>
    <x:row r="1521">
      <x:c r="A1521" s="23" t="n">
        <x:v>1520</x:v>
      </x:c>
      <x:c r="B1521" s="23" t="str">
        <x:v>Hidden Test</x:v>
      </x:c>
      <x:c r="C1521" s="23" t="str">
        <x:v>Switching</x:v>
      </x:c>
      <x:c r="D1521" s="23" t="n">
        <x:v>996.9201635452919</x:v>
      </x:c>
      <x:c r="E1521" s="23" t="n">
        <x:v>906.0868324711919</x:v>
      </x:c>
      <x:c r="F1521" s="23" t="n">
        <x:v>650.4697187803686</x:v>
      </x:c>
      <x:c r="G1521" s="23" t="n">
        <x:v>238.1750513287261</x:v>
      </x:c>
      <x:c r="H1521" s="23" t="n">
        <x:v>19.99703481188044</x:v>
      </x:c>
      <x:c r="I1521" s="23" t="n">
        <x:v>0.8331573567446322</x:v>
      </x:c>
      <x:c r="J1521" s="23" t="n">
        <x:v>6</x:v>
      </x:c>
      <x:c r="K1521" s="23" t="n">
        <x:v>199.4261459084841</x:v>
      </x:c>
      <x:c r="L1521" s="23" t="n">
        <x:v>13900</x:v>
      </x:c>
      <x:c r="M1521" s="23" t="n">
        <x:v>1200</x:v>
      </x:c>
      <x:c r="N1521" s="23" t="n">
        <x:v>249.96712866897778</x:v>
      </x:c>
      <x:c r="O1521" s="23" t="n">
        <x:v>2503.754992804234</x:v>
      </x:c>
      <x:c r="P1521" s="23" t="n">
        <x:v>996.9201635452919</x:v>
      </x:c>
      <x:c r="Q1521" s="23" t="n">
        <x:v>253.34924931227235</x:v>
      </x:c>
      <x:c r="R1521" s="23" t="n">
        <x:v>2491.6776580841843</x:v>
      </x:c>
      <x:c r="S1521" s="23" t="n">
        <x:v>989.5633364937685</x:v>
      </x:c>
      <x:c r="T1521" s="23" t="n">
        <x:v>3.38212064329457</x:v>
      </x:c>
      <x:c r="U1521" s="23" t="n">
        <x:v>-12.077334720049748</x:v>
      </x:c>
      <x:c r="V1521" s="23" t="n">
        <x:v>-7.356827051523396</x:v>
      </x:c>
    </x:row>
    <x:row r="1522">
      <x:c r="A1522" s="23" t="n">
        <x:v>1521</x:v>
      </x:c>
      <x:c r="B1522" s="23" t="str">
        <x:v>Train</x:v>
      </x:c>
      <x:c r="C1522" s="23" t="str">
        <x:v>Switching</x:v>
      </x:c>
      <x:c r="D1522" s="23" t="n">
        <x:v>986.8253705091774</x:v>
      </x:c>
      <x:c r="E1522" s="23" t="n">
        <x:v>752.7802662341855</x:v>
      </x:c>
      <x:c r="F1522" s="23" t="n">
        <x:v>396.8293169513345</x:v>
      </x:c>
      <x:c r="G1522" s="23" t="n">
        <x:v>244.51600572327152</x:v>
      </x:c>
      <x:c r="H1522" s="23" t="n">
        <x:v>13.583029912784696</x:v>
      </x:c>
      <x:c r="I1522" s="23" t="n">
        <x:v>0.828369778834749</x:v>
      </x:c>
      <x:c r="J1522" s="23" t="n">
        <x:v>6</x:v>
      </x:c>
      <x:c r="K1522" s="23" t="n">
        <x:v>198.54767675882718</x:v>
      </x:c>
      <x:c r="L1522" s="23" t="n">
        <x:v>17895</x:v>
      </x:c>
      <x:c r="M1522" s="23" t="n">
        <x:v>1200</x:v>
      </x:c>
      <x:c r="N1522" s="23" t="n">
        <x:v>249.97799576620298</x:v>
      </x:c>
      <x:c r="O1522" s="23" t="n">
        <x:v>2501.756129038419</x:v>
      </x:c>
      <x:c r="P1522" s="23" t="n">
        <x:v>986.8253705091774</x:v>
      </x:c>
      <x:c r="Q1522" s="23" t="n">
        <x:v>249.84318335837807</x:v>
      </x:c>
      <x:c r="R1522" s="23" t="n">
        <x:v>2493.8161056265485</x:v>
      </x:c>
      <x:c r="S1522" s="23" t="n">
        <x:v>998.4469711106183</x:v>
      </x:c>
      <x:c r="T1522" s="23" t="n">
        <x:v>-0.13481240782491</x:v>
      </x:c>
      <x:c r="U1522" s="23" t="n">
        <x:v>-7.940023411870698</x:v>
      </x:c>
      <x:c r="V1522" s="23" t="n">
        <x:v>11.621600601440832</x:v>
      </x:c>
    </x:row>
    <x:row r="1523">
      <x:c r="A1523" s="23" t="n">
        <x:v>1522</x:v>
      </x:c>
      <x:c r="B1523" s="23" t="str">
        <x:v>Train</x:v>
      </x:c>
      <x:c r="C1523" s="23" t="str">
        <x:v>Switching</x:v>
      </x:c>
      <x:c r="D1523" s="23" t="n">
        <x:v>1063.4996547945775</x:v>
      </x:c>
      <x:c r="E1523" s="23" t="n">
        <x:v>1242.6642735721543</x:v>
      </x:c>
      <x:c r="F1523" s="23" t="n">
        <x:v>690.5611523427069</x:v>
      </x:c>
      <x:c r="G1523" s="23" t="n">
        <x:v>234.08152085728943</x:v>
      </x:c>
      <x:c r="H1523" s="23" t="n">
        <x:v>17.021933615673333</x:v>
      </x:c>
      <x:c r="I1523" s="23" t="n">
        <x:v>0.8448708492750302</x:v>
      </x:c>
      <x:c r="J1523" s="23" t="n">
        <x:v>7</x:v>
      </x:c>
      <x:c r="K1523" s="23" t="n">
        <x:v>179.82455217135075</x:v>
      </x:c>
      <x:c r="L1523" s="23" t="n">
        <x:v>9865</x:v>
      </x:c>
      <x:c r="M1523" s="23" t="n">
        <x:v>1195</x:v>
      </x:c>
      <x:c r="N1523" s="23" t="n">
        <x:v>249.93836118409126</x:v>
      </x:c>
      <x:c r="O1523" s="23" t="n">
        <x:v>2496.9687591685556</x:v>
      </x:c>
      <x:c r="P1523" s="23" t="n">
        <x:v>1063.4996547945775</x:v>
      </x:c>
      <x:c r="Q1523" s="23" t="n">
        <x:v>251.38339107651007</x:v>
      </x:c>
      <x:c r="R1523" s="23" t="n">
        <x:v>2542.128529943674</x:v>
      </x:c>
      <x:c r="S1523" s="23" t="n">
        <x:v>1052.741371299242</x:v>
      </x:c>
      <x:c r="T1523" s="23" t="n">
        <x:v>1.4450298924188019</x:v>
      </x:c>
      <x:c r="U1523" s="23" t="n">
        <x:v>45.15977077511843</x:v>
      </x:c>
      <x:c r="V1523" s="23" t="n">
        <x:v>-10.75828349533549</x:v>
      </x:c>
    </x:row>
    <x:row r="1524">
      <x:c r="A1524" s="23" t="n">
        <x:v>1523</x:v>
      </x:c>
      <x:c r="B1524" s="23" t="str">
        <x:v>Train</x:v>
      </x:c>
      <x:c r="C1524" s="23" t="str">
        <x:v>Switching</x:v>
      </x:c>
      <x:c r="D1524" s="23" t="n">
        <x:v>955.2090173354372</x:v>
      </x:c>
      <x:c r="E1524" s="23" t="n">
        <x:v>1141.625346580986</x:v>
      </x:c>
      <x:c r="F1524" s="23" t="n">
        <x:v>585.9765525907278</x:v>
      </x:c>
      <x:c r="G1524" s="23" t="n">
        <x:v>183.51766896201298</x:v>
      </x:c>
      <x:c r="H1524" s="23" t="n">
        <x:v>13.011246931739151</x:v>
      </x:c>
      <x:c r="I1524" s="23" t="n">
        <x:v>0.8122490179981106</x:v>
      </x:c>
      <x:c r="J1524" s="23" t="n">
        <x:v>6</x:v>
      </x:c>
      <x:c r="K1524" s="23" t="n">
        <x:v>196.00085609412196</x:v>
      </x:c>
      <x:c r="L1524" s="23" t="n">
        <x:v>13055</x:v>
      </x:c>
      <x:c r="M1524" s="23" t="n">
        <x:v>1200</x:v>
      </x:c>
      <x:c r="N1524" s="23" t="n">
        <x:v>249.99599968950156</x:v>
      </x:c>
      <x:c r="O1524" s="23" t="n">
        <x:v>2504.3357221971596</x:v>
      </x:c>
      <x:c r="P1524" s="23" t="n">
        <x:v>955.2090173354372</x:v>
      </x:c>
      <x:c r="Q1524" s="23" t="n">
        <x:v>250.09674702185708</x:v>
      </x:c>
      <x:c r="R1524" s="23" t="n">
        <x:v>2532.3177476043675</x:v>
      </x:c>
      <x:c r="S1524" s="23" t="n">
        <x:v>958.4676094028192</x:v>
      </x:c>
      <x:c r="T1524" s="23" t="n">
        <x:v>0.10074733235552458</x:v>
      </x:c>
      <x:c r="U1524" s="23" t="n">
        <x:v>27.982025407207857</x:v>
      </x:c>
      <x:c r="V1524" s="23" t="n">
        <x:v>3.258592067381983</x:v>
      </x:c>
    </x:row>
    <x:row r="1525">
      <x:c r="A1525" s="23" t="n">
        <x:v>1524</x:v>
      </x:c>
      <x:c r="B1525" s="23" t="str">
        <x:v>Train</x:v>
      </x:c>
      <x:c r="C1525" s="23" t="str">
        <x:v>Switching</x:v>
      </x:c>
      <x:c r="D1525" s="23" t="n">
        <x:v>963.5701590566896</x:v>
      </x:c>
      <x:c r="E1525" s="23" t="n">
        <x:v>619.1274727229029</x:v>
      </x:c>
      <x:c r="F1525" s="23" t="n">
        <x:v>356.1404752545059</x:v>
      </x:c>
      <x:c r="G1525" s="23" t="n">
        <x:v>248.12512220349163</x:v>
      </x:c>
      <x:c r="H1525" s="23" t="n">
        <x:v>10.468642889987677</x:v>
      </x:c>
      <x:c r="I1525" s="23" t="n">
        <x:v>0.8122725749947131</x:v>
      </x:c>
      <x:c r="J1525" s="23" t="n">
        <x:v>6</x:v>
      </x:c>
      <x:c r="K1525" s="23" t="n">
        <x:v>197.71075800570216</x:v>
      </x:c>
      <x:c r="L1525" s="23" t="n">
        <x:v>20395</x:v>
      </x:c>
      <x:c r="M1525" s="23" t="n">
        <x:v>1200</x:v>
      </x:c>
      <x:c r="N1525" s="23" t="n">
        <x:v>250.01021728039578</x:v>
      </x:c>
      <x:c r="O1525" s="23" t="n">
        <x:v>2500.904242062975</x:v>
      </x:c>
      <x:c r="P1525" s="23" t="n">
        <x:v>963.5701590566896</x:v>
      </x:c>
      <x:c r="Q1525" s="23" t="n">
        <x:v>247.85576338622906</x:v>
      </x:c>
      <x:c r="R1525" s="23" t="n">
        <x:v>2504.75488759877</x:v>
      </x:c>
      <x:c r="S1525" s="23" t="n">
        <x:v>980.6391042995876</x:v>
      </x:c>
      <x:c r="T1525" s="23" t="n">
        <x:v>-2.1544538941667213</x:v>
      </x:c>
      <x:c r="U1525" s="23" t="n">
        <x:v>3.850645535795138</x:v>
      </x:c>
      <x:c r="V1525" s="23" t="n">
        <x:v>17.068945242898053</x:v>
      </x:c>
    </x:row>
    <x:row r="1526">
      <x:c r="A1526" s="23" t="n">
        <x:v>1525</x:v>
      </x:c>
      <x:c r="B1526" s="23" t="str">
        <x:v>Train</x:v>
      </x:c>
      <x:c r="C1526" s="23" t="str">
        <x:v>Switching</x:v>
      </x:c>
      <x:c r="D1526" s="23" t="n">
        <x:v>1065.2615424711257</x:v>
      </x:c>
      <x:c r="E1526" s="23" t="n">
        <x:v>835.6984346988611</x:v>
      </x:c>
      <x:c r="F1526" s="23" t="n">
        <x:v>590.2838794514537</x:v>
      </x:c>
      <x:c r="G1526" s="23" t="n">
        <x:v>216.7944500525482</x:v>
      </x:c>
      <x:c r="H1526" s="23" t="n">
        <x:v>16.00718256831169</x:v>
      </x:c>
      <x:c r="I1526" s="23" t="n">
        <x:v>0.8242300458834507</x:v>
      </x:c>
      <x:c r="J1526" s="23" t="n">
        <x:v>7</x:v>
      </x:c>
      <x:c r="K1526" s="23" t="n">
        <x:v>184.63318719460614</x:v>
      </x:c>
      <x:c r="L1526" s="23" t="n">
        <x:v>13020</x:v>
      </x:c>
      <x:c r="M1526" s="23" t="n">
        <x:v>1200</x:v>
      </x:c>
      <x:c r="N1526" s="23" t="n">
        <x:v>250.03723269679114</x:v>
      </x:c>
      <x:c r="O1526" s="23" t="n">
        <x:v>2504.3629320997775</x:v>
      </x:c>
      <x:c r="P1526" s="23" t="n">
        <x:v>1065.2615424711257</x:v>
      </x:c>
      <x:c r="Q1526" s="23" t="n">
        <x:v>248.26623593366446</x:v>
      </x:c>
      <x:c r="R1526" s="23" t="n">
        <x:v>2486.338238128401</x:v>
      </x:c>
      <x:c r="S1526" s="23" t="n">
        <x:v>1073.9500946752971</x:v>
      </x:c>
      <x:c r="T1526" s="23" t="n">
        <x:v>-1.770996763126675</x:v>
      </x:c>
      <x:c r="U1526" s="23" t="n">
        <x:v>-18.024693971376564</x:v>
      </x:c>
      <x:c r="V1526" s="23" t="n">
        <x:v>8.688552204171401</x:v>
      </x:c>
    </x:row>
    <x:row r="1527">
      <x:c r="A1527" s="23" t="n">
        <x:v>1526</x:v>
      </x:c>
      <x:c r="B1527" s="23" t="str">
        <x:v>Train</x:v>
      </x:c>
      <x:c r="C1527" s="23" t="str">
        <x:v>Switching</x:v>
      </x:c>
      <x:c r="D1527" s="23" t="n">
        <x:v>1023.1119685922749</x:v>
      </x:c>
      <x:c r="E1527" s="23" t="n">
        <x:v>968.0354268988594</x:v>
      </x:c>
      <x:c r="F1527" s="23" t="n">
        <x:v>425.3249269910157</x:v>
      </x:c>
      <x:c r="G1527" s="23" t="n">
        <x:v>279.0793184377253</x:v>
      </x:c>
      <x:c r="H1527" s="23" t="n">
        <x:v>13.41548021743074</x:v>
      </x:c>
      <x:c r="I1527" s="23" t="n">
        <x:v>0.8390076818829403</x:v>
      </x:c>
      <x:c r="J1527" s="23" t="n">
        <x:v>7</x:v>
      </x:c>
      <x:c r="K1527" s="23" t="n">
        <x:v>174.20442722052644</x:v>
      </x:c>
      <x:c r="L1527" s="23" t="n">
        <x:v>12785</x:v>
      </x:c>
      <x:c r="M1527" s="23" t="n">
        <x:v>1200</x:v>
      </x:c>
      <x:c r="N1527" s="23" t="n">
        <x:v>249.95754367342695</x:v>
      </x:c>
      <x:c r="O1527" s="23" t="n">
        <x:v>2504.535605820553</x:v>
      </x:c>
      <x:c r="P1527" s="23" t="n">
        <x:v>1023.1119685922749</x:v>
      </x:c>
      <x:c r="Q1527" s="23" t="n">
        <x:v>250.9477388732309</x:v>
      </x:c>
      <x:c r="R1527" s="23" t="n">
        <x:v>2522.7357951409213</x:v>
      </x:c>
      <x:c r="S1527" s="23" t="n">
        <x:v>1027.5926158715515</x:v>
      </x:c>
      <x:c r="T1527" s="23" t="n">
        <x:v>0.9901951998039351</x:v>
      </x:c>
      <x:c r="U1527" s="23" t="n">
        <x:v>18.20018932036828</x:v>
      </x:c>
      <x:c r="V1527" s="23" t="n">
        <x:v>4.480647279276582</x:v>
      </x:c>
    </x:row>
    <x:row r="1528">
      <x:c r="A1528" s="23" t="n">
        <x:v>1527</x:v>
      </x:c>
      <x:c r="B1528" s="23" t="str">
        <x:v>Train</x:v>
      </x:c>
      <x:c r="C1528" s="23" t="str">
        <x:v>Switching</x:v>
      </x:c>
      <x:c r="D1528" s="23" t="n">
        <x:v>1020.3934685559943</x:v>
      </x:c>
      <x:c r="E1528" s="23" t="n">
        <x:v>1135.8529036981054</x:v>
      </x:c>
      <x:c r="F1528" s="23" t="n">
        <x:v>539.5213976502419</x:v>
      </x:c>
      <x:c r="G1528" s="23" t="n">
        <x:v>329.2818487226032</x:v>
      </x:c>
      <x:c r="H1528" s="23" t="n">
        <x:v>23.687054614536464</x:v>
      </x:c>
      <x:c r="I1528" s="23" t="n">
        <x:v>0.8147410440794193</x:v>
      </x:c>
      <x:c r="J1528" s="23" t="n">
        <x:v>7</x:v>
      </x:c>
      <x:c r="K1528" s="23" t="n">
        <x:v>178.9163520940646</x:v>
      </x:c>
      <x:c r="L1528" s="23" t="n">
        <x:v>10670</x:v>
      </x:c>
      <x:c r="M1528" s="23" t="n">
        <x:v>1195</x:v>
      </x:c>
      <x:c r="N1528" s="23" t="n">
        <x:v>250.0460343326795</x:v>
      </x:c>
      <x:c r="O1528" s="23" t="n">
        <x:v>2496.0258814458725</x:v>
      </x:c>
      <x:c r="P1528" s="23" t="n">
        <x:v>1020.3934685559943</x:v>
      </x:c>
      <x:c r="Q1528" s="23" t="n">
        <x:v>252.4804011668783</x:v>
      </x:c>
      <x:c r="R1528" s="23" t="n">
        <x:v>2491.8024843250296</x:v>
      </x:c>
      <x:c r="S1528" s="23" t="n">
        <x:v>1009.9459053464384</x:v>
      </x:c>
      <x:c r="T1528" s="23" t="n">
        <x:v>2.4343668341987836</x:v>
      </x:c>
      <x:c r="U1528" s="23" t="n">
        <x:v>-4.223397120842947</x:v>
      </x:c>
      <x:c r="V1528" s="23" t="n">
        <x:v>-10.447563209555938</x:v>
      </x:c>
    </x:row>
    <x:row r="1529">
      <x:c r="A1529" s="23" t="n">
        <x:v>1528</x:v>
      </x:c>
      <x:c r="B1529" s="23" t="str">
        <x:v>Train</x:v>
      </x:c>
      <x:c r="C1529" s="23" t="str">
        <x:v>Switching</x:v>
      </x:c>
      <x:c r="D1529" s="23" t="n">
        <x:v>1041.494941606652</x:v>
      </x:c>
      <x:c r="E1529" s="23" t="n">
        <x:v>830.0480361096561</x:v>
      </x:c>
      <x:c r="F1529" s="23" t="n">
        <x:v>356.6151431761682</x:v>
      </x:c>
      <x:c r="G1529" s="23" t="n">
        <x:v>308.5140628227964</x:v>
      </x:c>
      <x:c r="H1529" s="23" t="n">
        <x:v>23.790465538855642</x:v>
      </x:c>
      <x:c r="I1529" s="23" t="n">
        <x:v>0.82132359710522</x:v>
      </x:c>
      <x:c r="J1529" s="23" t="n">
        <x:v>7</x:v>
      </x:c>
      <x:c r="K1529" s="23" t="n">
        <x:v>181.1527054409375</x:v>
      </x:c>
      <x:c r="L1529" s="23" t="n">
        <x:v>14305</x:v>
      </x:c>
      <x:c r="M1529" s="23" t="n">
        <x:v>1200</x:v>
      </x:c>
      <x:c r="N1529" s="23" t="n">
        <x:v>250.03218309730806</x:v>
      </x:c>
      <x:c r="O1529" s="23" t="n">
        <x:v>2503.503725761763</x:v>
      </x:c>
      <x:c r="P1529" s="23" t="n">
        <x:v>1041.494941606652</x:v>
      </x:c>
      <x:c r="Q1529" s="23" t="n">
        <x:v>250.25248175474186</x:v>
      </x:c>
      <x:c r="R1529" s="23" t="n">
        <x:v>2519.4119225326217</x:v>
      </x:c>
      <x:c r="S1529" s="23" t="n">
        <x:v>1042.8700121272996</x:v>
      </x:c>
      <x:c r="T1529" s="23" t="n">
        <x:v>0.22029865743380128</x:v>
      </x:c>
      <x:c r="U1529" s="23" t="n">
        <x:v>15.908196770858922</x:v>
      </x:c>
      <x:c r="V1529" s="23" t="n">
        <x:v>1.3750705206475686</x:v>
      </x:c>
    </x:row>
    <x:row r="1530">
      <x:c r="A1530" s="23" t="n">
        <x:v>1529</x:v>
      </x:c>
      <x:c r="B1530" s="23" t="str">
        <x:v>Train</x:v>
      </x:c>
      <x:c r="C1530" s="23" t="str">
        <x:v>Switching</x:v>
      </x:c>
      <x:c r="D1530" s="23" t="n">
        <x:v>1048.8678682595491</x:v>
      </x:c>
      <x:c r="E1530" s="23" t="n">
        <x:v>919.9079951620661</x:v>
      </x:c>
      <x:c r="F1530" s="23" t="n">
        <x:v>386.36388946324587</x:v>
      </x:c>
      <x:c r="G1530" s="23" t="n">
        <x:v>265.9599990420975</x:v>
      </x:c>
      <x:c r="H1530" s="23" t="n">
        <x:v>19.125183565542102</x:v>
      </x:c>
      <x:c r="I1530" s="23" t="n">
        <x:v>0.8007161389035173</x:v>
      </x:c>
      <x:c r="J1530" s="23" t="n">
        <x:v>7</x:v>
      </x:c>
      <x:c r="K1530" s="23" t="n">
        <x:v>187.13031949050816</x:v>
      </x:c>
      <x:c r="L1530" s="23" t="n">
        <x:v>13600</x:v>
      </x:c>
      <x:c r="M1530" s="23" t="n">
        <x:v>1200</x:v>
      </x:c>
      <x:c r="N1530" s="23" t="n">
        <x:v>249.96013316049203</x:v>
      </x:c>
      <x:c r="O1530" s="23" t="n">
        <x:v>2503.952276241205</x:v>
      </x:c>
      <x:c r="P1530" s="23" t="n">
        <x:v>1048.8678682595491</x:v>
      </x:c>
      <x:c r="Q1530" s="23" t="n">
        <x:v>249.96628560137702</x:v>
      </x:c>
      <x:c r="R1530" s="23" t="n">
        <x:v>2539.4177693168094</x:v>
      </x:c>
      <x:c r="S1530" s="23" t="n">
        <x:v>1048.687142728329</x:v>
      </x:c>
      <x:c r="T1530" s="23" t="n">
        <x:v>0.006152440884989119</x:v>
      </x:c>
      <x:c r="U1530" s="23" t="n">
        <x:v>35.46549307560463</x:v>
      </x:c>
      <x:c r="V1530" s="23" t="n">
        <x:v>-0.18072553122010504</x:v>
      </x:c>
    </x:row>
    <x:row r="1531">
      <x:c r="A1531" s="23" t="n">
        <x:v>1530</x:v>
      </x:c>
      <x:c r="B1531" s="23" t="str">
        <x:v>Train</x:v>
      </x:c>
      <x:c r="C1531" s="23" t="str">
        <x:v>Switching</x:v>
      </x:c>
      <x:c r="D1531" s="23" t="n">
        <x:v>1061.8458385230042</x:v>
      </x:c>
      <x:c r="E1531" s="23" t="n">
        <x:v>1162.3700311640278</x:v>
      </x:c>
      <x:c r="F1531" s="23" t="n">
        <x:v>645.1184527017176</x:v>
      </x:c>
      <x:c r="G1531" s="23" t="n">
        <x:v>165.56907228194177</x:v>
      </x:c>
      <x:c r="H1531" s="23" t="n">
        <x:v>22.87702412577346</x:v>
      </x:c>
      <x:c r="I1531" s="23" t="n">
        <x:v>0.8083796087699011</x:v>
      </x:c>
      <x:c r="J1531" s="23" t="n">
        <x:v>7</x:v>
      </x:c>
      <x:c r="K1531" s="23" t="n">
        <x:v>187.64978854052399</x:v>
      </x:c>
      <x:c r="L1531" s="23" t="n">
        <x:v>10840</x:v>
      </x:c>
      <x:c r="M1531" s="23" t="n">
        <x:v>1195</x:v>
      </x:c>
      <x:c r="N1531" s="23" t="n">
        <x:v>250.02569365057536</x:v>
      </x:c>
      <x:c r="O1531" s="23" t="n">
        <x:v>2495.8427061348225</x:v>
      </x:c>
      <x:c r="P1531" s="23" t="n">
        <x:v>1061.8458385230042</x:v>
      </x:c>
      <x:c r="Q1531" s="23" t="n">
        <x:v>251.7867955247102</x:v>
      </x:c>
      <x:c r="R1531" s="23" t="n">
        <x:v>2562.181133890589</x:v>
      </x:c>
      <x:c r="S1531" s="23" t="n">
        <x:v>1050.8267260008797</x:v>
      </x:c>
      <x:c r="T1531" s="23" t="n">
        <x:v>1.7611018741348232</x:v>
      </x:c>
      <x:c r="U1531" s="23" t="n">
        <x:v>66.33842775576659</x:v>
      </x:c>
      <x:c r="V1531" s="23" t="n">
        <x:v>-11.019112522124487</x:v>
      </x:c>
    </x:row>
    <x:row r="1532">
      <x:c r="A1532" s="23" t="n">
        <x:v>1531</x:v>
      </x:c>
      <x:c r="B1532" s="23" t="str">
        <x:v>Train</x:v>
      </x:c>
      <x:c r="C1532" s="23" t="str">
        <x:v>Switching</x:v>
      </x:c>
      <x:c r="D1532" s="23" t="n">
        <x:v>1006.084891106002</x:v>
      </x:c>
      <x:c r="E1532" s="23" t="n">
        <x:v>1201.3731271610595</x:v>
      </x:c>
      <x:c r="F1532" s="23" t="n">
        <x:v>416.41965843737125</x:v>
      </x:c>
      <x:c r="G1532" s="23" t="n">
        <x:v>127.74228407768533</x:v>
      </x:c>
      <x:c r="H1532" s="23" t="n">
        <x:v>11.02908340934664</x:v>
      </x:c>
      <x:c r="I1532" s="23" t="n">
        <x:v>0.8162673031049781</x:v>
      </x:c>
      <x:c r="J1532" s="23" t="n">
        <x:v>7</x:v>
      </x:c>
      <x:c r="K1532" s="23" t="n">
        <x:v>176.07763102653502</x:v>
      </x:c>
      <x:c r="L1532" s="23" t="n">
        <x:v>12250</x:v>
      </x:c>
      <x:c r="M1532" s="23" t="n">
        <x:v>1200</x:v>
      </x:c>
      <x:c r="N1532" s="23" t="n">
        <x:v>249.96525430741352</x:v>
      </x:c>
      <x:c r="O1532" s="23" t="n">
        <x:v>2504.9611087475987</x:v>
      </x:c>
      <x:c r="P1532" s="23" t="n">
        <x:v>1006.084891106002</x:v>
      </x:c>
      <x:c r="Q1532" s="23" t="n">
        <x:v>252.5530017005658</x:v>
      </x:c>
      <x:c r="R1532" s="23" t="n">
        <x:v>2516.9296010371463</x:v>
      </x:c>
      <x:c r="S1532" s="23" t="n">
        <x:v>1011.9266157976242</x:v>
      </x:c>
      <x:c r="T1532" s="23" t="n">
        <x:v>2.5877473931522843</x:v>
      </x:c>
      <x:c r="U1532" s="23" t="n">
        <x:v>11.968492289547612</x:v>
      </x:c>
      <x:c r="V1532" s="23" t="n">
        <x:v>5.841724691622176</x:v>
      </x:c>
    </x:row>
    <x:row r="1533">
      <x:c r="A1533" s="23" t="n">
        <x:v>1532</x:v>
      </x:c>
      <x:c r="B1533" s="23" t="str">
        <x:v>Train</x:v>
      </x:c>
      <x:c r="C1533" s="23" t="str">
        <x:v>Switching</x:v>
      </x:c>
      <x:c r="D1533" s="23" t="n">
        <x:v>1081.2372830114327</x:v>
      </x:c>
      <x:c r="E1533" s="23" t="n">
        <x:v>920.2974710147828</x:v>
      </x:c>
      <x:c r="F1533" s="23" t="n">
        <x:v>535.467731487006</x:v>
      </x:c>
      <x:c r="G1533" s="23" t="n">
        <x:v>186.36287357192487</x:v>
      </x:c>
      <x:c r="H1533" s="23" t="n">
        <x:v>27.461138527374715</x:v>
      </x:c>
      <x:c r="I1533" s="23" t="n">
        <x:v>0.8180024620890618</x:v>
      </x:c>
      <x:c r="J1533" s="23" t="n">
        <x:v>7</x:v>
      </x:c>
      <x:c r="K1533" s="23" t="n">
        <x:v>188.82885585351187</x:v>
      </x:c>
      <x:c r="L1533" s="23" t="n">
        <x:v>13025</x:v>
      </x:c>
      <x:c r="M1533" s="23" t="n">
        <x:v>1200</x:v>
      </x:c>
      <x:c r="N1533" s="23" t="n">
        <x:v>250.034744387701</x:v>
      </x:c>
      <x:c r="O1533" s="23" t="n">
        <x:v>2504.35915595644</x:v>
      </x:c>
      <x:c r="P1533" s="23" t="n">
        <x:v>1081.2372830114327</x:v>
      </x:c>
      <x:c r="Q1533" s="23" t="n">
        <x:v>250.46836712687931</x:v>
      </x:c>
      <x:c r="R1533" s="23" t="n">
        <x:v>2506.3452712612066</x:v>
      </x:c>
      <x:c r="S1533" s="23" t="n">
        <x:v>1071.5355944165747</x:v>
      </x:c>
      <x:c r="T1533" s="23" t="n">
        <x:v>0.4336227391783041</x:v>
      </x:c>
      <x:c r="U1533" s="23" t="n">
        <x:v>1.986115304766372</x:v>
      </x:c>
      <x:c r="V1533" s="23" t="n">
        <x:v>-9.70168859485807</x:v>
      </x:c>
    </x:row>
    <x:row r="1534">
      <x:c r="A1534" s="23" t="n">
        <x:v>1533</x:v>
      </x:c>
      <x:c r="B1534" s="23" t="str">
        <x:v>Train</x:v>
      </x:c>
      <x:c r="C1534" s="23" t="str">
        <x:v>Switching</x:v>
      </x:c>
      <x:c r="D1534" s="23" t="n">
        <x:v>1095.1089355628937</x:v>
      </x:c>
      <x:c r="E1534" s="23" t="n">
        <x:v>1190.9714271198027</x:v>
      </x:c>
      <x:c r="F1534" s="23" t="n">
        <x:v>515.0281673297286</x:v>
      </x:c>
      <x:c r="G1534" s="23" t="n">
        <x:v>82.90731602581218</x:v>
      </x:c>
      <x:c r="H1534" s="23" t="n">
        <x:v>17.611787524074316</x:v>
      </x:c>
      <x:c r="I1534" s="23" t="n">
        <x:v>0.8085245620110073</x:v>
      </x:c>
      <x:c r="J1534" s="23" t="n">
        <x:v>7</x:v>
      </x:c>
      <x:c r="K1534" s="23" t="n">
        <x:v>193.49335938876786</x:v>
      </x:c>
      <x:c r="L1534" s="23" t="n">
        <x:v>11955</x:v>
      </x:c>
      <x:c r="M1534" s="23" t="n">
        <x:v>1200</x:v>
      </x:c>
      <x:c r="N1534" s="23" t="n">
        <x:v>250.007246242181</x:v>
      </x:c>
      <x:c r="O1534" s="23" t="n">
        <x:v>2505.213584907259</x:v>
      </x:c>
      <x:c r="P1534" s="23" t="n">
        <x:v>1095.1089355628937</x:v>
      </x:c>
      <x:c r="Q1534" s="23" t="n">
        <x:v>251.1534705712234</x:v>
      </x:c>
      <x:c r="R1534" s="23" t="n">
        <x:v>2537.100307089995</x:v>
      </x:c>
      <x:c r="S1534" s="23" t="n">
        <x:v>1093.4000431791287</x:v>
      </x:c>
      <x:c r="T1534" s="23" t="n">
        <x:v>1.1462243290424112</x:v>
      </x:c>
      <x:c r="U1534" s="23" t="n">
        <x:v>31.88672218273632</x:v>
      </x:c>
      <x:c r="V1534" s="23" t="n">
        <x:v>-1.7088923837650327</x:v>
      </x:c>
    </x:row>
    <x:row r="1535">
      <x:c r="A1535" s="23" t="n">
        <x:v>1534</x:v>
      </x:c>
      <x:c r="B1535" s="23" t="str">
        <x:v>Train</x:v>
      </x:c>
      <x:c r="C1535" s="23" t="str">
        <x:v>Switching</x:v>
      </x:c>
      <x:c r="D1535" s="23" t="n">
        <x:v>1001.4246661332436</x:v>
      </x:c>
      <x:c r="E1535" s="23" t="n">
        <x:v>720.4910772619769</x:v>
      </x:c>
      <x:c r="F1535" s="23" t="n">
        <x:v>635.4299535043538</x:v>
      </x:c>
      <x:c r="G1535" s="23" t="n">
        <x:v>197.36501473933458</x:v>
      </x:c>
      <x:c r="H1535" s="23" t="n">
        <x:v>13.29548660153523</x:v>
      </x:c>
      <x:c r="I1535" s="23" t="n">
        <x:v>0.8569101867405698</x:v>
      </x:c>
      <x:c r="J1535" s="23" t="n">
        <x:v>6</x:v>
      </x:c>
      <x:c r="K1535" s="23" t="n">
        <x:v>194.77433411902896</x:v>
      </x:c>
      <x:c r="L1535" s="23" t="n">
        <x:v>16065</x:v>
      </x:c>
      <x:c r="M1535" s="23" t="n">
        <x:v>1200</x:v>
      </x:c>
      <x:c r="N1535" s="23" t="n">
        <x:v>250.03476195457907</x:v>
      </x:c>
      <x:c r="O1535" s="23" t="n">
        <x:v>2502.5502760526547</x:v>
      </x:c>
      <x:c r="P1535" s="23" t="n">
        <x:v>1001.4246661332436</x:v>
      </x:c>
      <x:c r="Q1535" s="23" t="n">
        <x:v>252.7037284019274</x:v>
      </x:c>
      <x:c r="R1535" s="23" t="n">
        <x:v>2502.2775648428546</x:v>
      </x:c>
      <x:c r="S1535" s="23" t="n">
        <x:v>1011.3514873569226</x:v>
      </x:c>
      <x:c r="T1535" s="23" t="n">
        <x:v>2.668966447348339</x:v>
      </x:c>
      <x:c r="U1535" s="23" t="n">
        <x:v>-0.27271120980003616</x:v>
      </x:c>
      <x:c r="V1535" s="23" t="n">
        <x:v>9.926821223678985</x:v>
      </x:c>
    </x:row>
    <x:row r="1536">
      <x:c r="A1536" s="23" t="n">
        <x:v>1535</x:v>
      </x:c>
      <x:c r="B1536" s="23" t="str">
        <x:v>Validation</x:v>
      </x:c>
      <x:c r="C1536" s="23" t="str">
        <x:v>Switching</x:v>
      </x:c>
      <x:c r="D1536" s="23" t="n">
        <x:v>982.6540425652638</x:v>
      </x:c>
      <x:c r="E1536" s="23" t="n">
        <x:v>1057.6482805539854</x:v>
      </x:c>
      <x:c r="F1536" s="23" t="n">
        <x:v>539.3128030002117</x:v>
      </x:c>
      <x:c r="G1536" s="23" t="n">
        <x:v>322.400697839912</x:v>
      </x:c>
      <x:c r="H1536" s="23" t="n">
        <x:v>15.09182960446924</x:v>
      </x:c>
      <x:c r="I1536" s="23" t="n">
        <x:v>0.8373005099757574</x:v>
      </x:c>
      <x:c r="J1536" s="23" t="n">
        <x:v>6</x:v>
      </x:c>
      <x:c r="K1536" s="23" t="n">
        <x:v>195.59963455130242</x:v>
      </x:c>
      <x:c r="L1536" s="23" t="n">
        <x:v>13000</x:v>
      </x:c>
      <x:c r="M1536" s="23" t="n">
        <x:v>1200</x:v>
      </x:c>
      <x:c r="N1536" s="23" t="n">
        <x:v>250.01646954399732</x:v>
      </x:c>
      <x:c r="O1536" s="23" t="n">
        <x:v>2504.3768475444435</x:v>
      </x:c>
      <x:c r="P1536" s="23" t="n">
        <x:v>982.6540425652638</x:v>
      </x:c>
      <x:c r="Q1536" s="23" t="n">
        <x:v>253.6233515675604</x:v>
      </x:c>
      <x:c r="R1536" s="23" t="n">
        <x:v>2511.014857150276</x:v>
      </x:c>
      <x:c r="S1536" s="23" t="n">
        <x:v>983.8994858513372</x:v>
      </x:c>
      <x:c r="T1536" s="23" t="n">
        <x:v>3.606882023563088</x:v>
      </x:c>
      <x:c r="U1536" s="23" t="n">
        <x:v>6.638009605832394</x:v>
      </x:c>
      <x:c r="V1536" s="23" t="n">
        <x:v>1.245443286073396</x:v>
      </x:c>
    </x:row>
    <x:row r="1537">
      <x:c r="A1537" s="23" t="n">
        <x:v>1536</x:v>
      </x:c>
      <x:c r="B1537" s="23" t="str">
        <x:v>Validation</x:v>
      </x:c>
      <x:c r="C1537" s="23" t="str">
        <x:v>Switching</x:v>
      </x:c>
      <x:c r="D1537" s="23" t="n">
        <x:v>1048.738171334844</x:v>
      </x:c>
      <x:c r="E1537" s="23" t="n">
        <x:v>773.555751517415</x:v>
      </x:c>
      <x:c r="F1537" s="23" t="n">
        <x:v>405.83920469507575</x:v>
      </x:c>
      <x:c r="G1537" s="23" t="n">
        <x:v>234.13891256321222</x:v>
      </x:c>
      <x:c r="H1537" s="23" t="n">
        <x:v>19.65571211418137</x:v>
      </x:c>
      <x:c r="I1537" s="23" t="n">
        <x:v>0.7944556691031903</x:v>
      </x:c>
      <x:c r="J1537" s="23" t="n">
        <x:v>7</x:v>
      </x:c>
      <x:c r="K1537" s="23" t="n">
        <x:v>188.5816220950911</x:v>
      </x:c>
      <x:c r="L1537" s="23" t="n">
        <x:v>15130</x:v>
      </x:c>
      <x:c r="M1537" s="23" t="n">
        <x:v>1200</x:v>
      </x:c>
      <x:c r="N1537" s="23" t="n">
        <x:v>250.01169872656322</x:v>
      </x:c>
      <x:c r="O1537" s="23" t="n">
        <x:v>2503.028463356917</x:v>
      </x:c>
      <x:c r="P1537" s="23" t="n">
        <x:v>1048.738171334844</x:v>
      </x:c>
      <x:c r="Q1537" s="23" t="n">
        <x:v>247.46226656423283</x:v>
      </x:c>
      <x:c r="R1537" s="23" t="n">
        <x:v>2454.1893195394014</x:v>
      </x:c>
      <x:c r="S1537" s="23" t="n">
        <x:v>1059.5626863463751</x:v>
      </x:c>
      <x:c r="T1537" s="23" t="n">
        <x:v>-2.5494321623303904</x:v>
      </x:c>
      <x:c r="U1537" s="23" t="n">
        <x:v>-48.83914381751583</x:v>
      </x:c>
      <x:c r="V1537" s="23" t="n">
        <x:v>10.824515011531048</x:v>
      </x:c>
    </x:row>
    <x:row r="1538">
      <x:c r="A1538" s="23" t="n">
        <x:v>1537</x:v>
      </x:c>
      <x:c r="B1538" s="23" t="str">
        <x:v>Validation</x:v>
      </x:c>
      <x:c r="C1538" s="23" t="str">
        <x:v>Switching</x:v>
      </x:c>
      <x:c r="D1538" s="23" t="n">
        <x:v>1023.6317585222423</x:v>
      </x:c>
      <x:c r="E1538" s="23" t="n">
        <x:v>982.4792023166083</x:v>
      </x:c>
      <x:c r="F1538" s="23" t="n">
        <x:v>717.8032213822007</x:v>
      </x:c>
      <x:c r="G1538" s="23" t="n">
        <x:v>174.68649799237028</x:v>
      </x:c>
      <x:c r="H1538" s="23" t="n">
        <x:v>16.98372141458094</x:v>
      </x:c>
      <x:c r="I1538" s="23" t="n">
        <x:v>0.8348035023664124</x:v>
      </x:c>
      <x:c r="J1538" s="23" t="n">
        <x:v>7</x:v>
      </x:c>
      <x:c r="K1538" s="23" t="n">
        <x:v>175.17069339766093</x:v>
      </x:c>
      <x:c r="L1538" s="23" t="n">
        <x:v>11405</x:v>
      </x:c>
      <x:c r="M1538" s="23" t="n">
        <x:v>1195</x:v>
      </x:c>
      <x:c r="N1538" s="23" t="n">
        <x:v>249.97964433608087</x:v>
      </x:c>
      <x:c r="O1538" s="23" t="n">
        <x:v>2495.274091715753</x:v>
      </x:c>
      <x:c r="P1538" s="23" t="n">
        <x:v>1023.6317585222423</x:v>
      </x:c>
      <x:c r="Q1538" s="23" t="n">
        <x:v>251.9705271576282</x:v>
      </x:c>
      <x:c r="R1538" s="23" t="n">
        <x:v>2471.2865374748944</x:v>
      </x:c>
      <x:c r="S1538" s="23" t="n">
        <x:v>1025.8336525731797</x:v>
      </x:c>
      <x:c r="T1538" s="23" t="n">
        <x:v>1.9908828215473306</x:v>
      </x:c>
      <x:c r="U1538" s="23" t="n">
        <x:v>-23.98755424085857</x:v>
      </x:c>
      <x:c r="V1538" s="23" t="n">
        <x:v>2.201894050937426</x:v>
      </x:c>
    </x:row>
    <x:row r="1539">
      <x:c r="A1539" s="23" t="n">
        <x:v>1538</x:v>
      </x:c>
      <x:c r="B1539" s="23" t="str">
        <x:v>Hidden Test</x:v>
      </x:c>
      <x:c r="C1539" s="23" t="str">
        <x:v>Switching</x:v>
      </x:c>
      <x:c r="D1539" s="23" t="n">
        <x:v>962.9773324006237</x:v>
      </x:c>
      <x:c r="E1539" s="23" t="n">
        <x:v>945.0388244586065</x:v>
      </x:c>
      <x:c r="F1539" s="23" t="n">
        <x:v>474.7545504011214</x:v>
      </x:c>
      <x:c r="G1539" s="23" t="n">
        <x:v>306.5210098121315</x:v>
      </x:c>
      <x:c r="H1539" s="23" t="n">
        <x:v>24.972958766389638</x:v>
      </x:c>
      <x:c r="I1539" s="23" t="n">
        <x:v>0.800767654911615</x:v>
      </x:c>
      <x:c r="J1539" s="23" t="n">
        <x:v>7</x:v>
      </x:c>
      <x:c r="K1539" s="23" t="n">
        <x:v>171.79538846150123</x:v>
      </x:c>
      <x:c r="L1539" s="23" t="n">
        <x:v>12390</x:v>
      </x:c>
      <x:c r="M1539" s="23" t="n">
        <x:v>1200</x:v>
      </x:c>
      <x:c r="N1539" s="23" t="n">
        <x:v>250.03842286508967</x:v>
      </x:c>
      <x:c r="O1539" s="23" t="n">
        <x:v>2504.849221296052</x:v>
      </x:c>
      <x:c r="P1539" s="23" t="n">
        <x:v>962.9773324006237</x:v>
      </x:c>
      <x:c r="Q1539" s="23" t="n">
        <x:v>249.63673384898647</x:v>
      </x:c>
      <x:c r="R1539" s="23" t="n">
        <x:v>2550.880693193506</x:v>
      </x:c>
      <x:c r="S1539" s="23" t="n">
        <x:v>951.3501154349617</x:v>
      </x:c>
      <x:c r="T1539" s="23" t="n">
        <x:v>-0.4016890161032052</x:v>
      </x:c>
      <x:c r="U1539" s="23" t="n">
        <x:v>46.03147189745414</x:v>
      </x:c>
      <x:c r="V1539" s="23" t="n">
        <x:v>-11.627216965662</x:v>
      </x:c>
    </x:row>
    <x:row r="1540">
      <x:c r="A1540" s="23" t="n">
        <x:v>1539</x:v>
      </x:c>
      <x:c r="B1540" s="23" t="str">
        <x:v>Hidden Test</x:v>
      </x:c>
      <x:c r="C1540" s="23" t="str">
        <x:v>Switching</x:v>
      </x:c>
      <x:c r="D1540" s="23" t="n">
        <x:v>1094.4262627279386</x:v>
      </x:c>
      <x:c r="E1540" s="23" t="n">
        <x:v>861.6354776197113</x:v>
      </x:c>
      <x:c r="F1540" s="23" t="n">
        <x:v>501.8948506563902</x:v>
      </x:c>
      <x:c r="G1540" s="23" t="n">
        <x:v>124.19751063687727</x:v>
      </x:c>
      <x:c r="H1540" s="23" t="n">
        <x:v>22.996066038496792</x:v>
      </x:c>
      <x:c r="I1540" s="23" t="n">
        <x:v>0.7900516226957552</x:v>
      </x:c>
      <x:c r="J1540" s="23" t="n">
        <x:v>7</x:v>
      </x:c>
      <x:c r="K1540" s="23" t="n">
        <x:v>197.8941685198492</x:v>
      </x:c>
      <x:c r="L1540" s="23" t="n">
        <x:v>14375</x:v>
      </x:c>
      <x:c r="M1540" s="23" t="n">
        <x:v>1200</x:v>
      </x:c>
      <x:c r="N1540" s="23" t="n">
        <x:v>250.00384209112346</x:v>
      </x:c>
      <x:c r="O1540" s="23" t="n">
        <x:v>2503.4603612958804</x:v>
      </x:c>
      <x:c r="P1540" s="23" t="n">
        <x:v>1094.4262627279386</x:v>
      </x:c>
      <x:c r="Q1540" s="23" t="n">
        <x:v>250.05425517158307</x:v>
      </x:c>
      <x:c r="R1540" s="23" t="n">
        <x:v>2464.3495435120026</x:v>
      </x:c>
      <x:c r="S1540" s="23" t="n">
        <x:v>1096.722567228413</x:v>
      </x:c>
      <x:c r="T1540" s="23" t="n">
        <x:v>0.05041308045960591</x:v>
      </x:c>
      <x:c r="U1540" s="23" t="n">
        <x:v>-39.11081778387779</x:v>
      </x:c>
      <x:c r="V1540" s="23" t="n">
        <x:v>2.2963045004744345</x:v>
      </x:c>
    </x:row>
    <x:row r="1541">
      <x:c r="A1541" s="23" t="n">
        <x:v>1540</x:v>
      </x:c>
      <x:c r="B1541" s="23" t="str">
        <x:v>Hidden Test</x:v>
      </x:c>
      <x:c r="C1541" s="23" t="str">
        <x:v>Switching</x:v>
      </x:c>
      <x:c r="D1541" s="23" t="n">
        <x:v>979.1301458491944</x:v>
      </x:c>
      <x:c r="E1541" s="23" t="n">
        <x:v>996.1959135252982</x:v>
      </x:c>
      <x:c r="F1541" s="23" t="n">
        <x:v>661.6337719373405</x:v>
      </x:c>
      <x:c r="G1541" s="23" t="n">
        <x:v>266.66324426885694</x:v>
      </x:c>
      <x:c r="H1541" s="23" t="n">
        <x:v>25.220157883595675</x:v>
      </x:c>
      <x:c r="I1541" s="23" t="n">
        <x:v>0.8106649147532881</x:v>
      </x:c>
      <x:c r="J1541" s="23" t="n">
        <x:v>7</x:v>
      </x:c>
      <x:c r="K1541" s="23" t="n">
        <x:v>172.544454034849</x:v>
      </x:c>
      <x:c r="L1541" s="23" t="n">
        <x:v>11110</x:v>
      </x:c>
      <x:c r="M1541" s="23" t="n">
        <x:v>1195</x:v>
      </x:c>
      <x:c r="N1541" s="23" t="n">
        <x:v>249.94592825031705</x:v>
      </x:c>
      <x:c r="O1541" s="23" t="n">
        <x:v>2495.561179666542</x:v>
      </x:c>
      <x:c r="P1541" s="23" t="n">
        <x:v>979.1301458491944</x:v>
      </x:c>
      <x:c r="Q1541" s="23" t="n">
        <x:v>251.88896063103715</x:v>
      </x:c>
      <x:c r="R1541" s="23" t="n">
        <x:v>2465.8846837546403</x:v>
      </x:c>
      <x:c r="S1541" s="23" t="n">
        <x:v>970.013646425557</x:v>
      </x:c>
      <x:c r="T1541" s="23" t="n">
        <x:v>1.9430323807200978</x:v>
      </x:c>
      <x:c r="U1541" s="23" t="n">
        <x:v>-29.67649591190184</x:v>
      </x:c>
      <x:c r="V1541" s="23" t="n">
        <x:v>-9.116499423637379</x:v>
      </x:c>
    </x:row>
    <x:row r="1542">
      <x:c r="A1542" s="23" t="n">
        <x:v>1541</x:v>
      </x:c>
      <x:c r="B1542" s="23" t="str">
        <x:v>Train</x:v>
      </x:c>
      <x:c r="C1542" s="23" t="str">
        <x:v>Switching</x:v>
      </x:c>
      <x:c r="D1542" s="23" t="n">
        <x:v>1095.1689759735018</x:v>
      </x:c>
      <x:c r="E1542" s="23" t="n">
        <x:v>708.9507857221179</x:v>
      </x:c>
      <x:c r="F1542" s="23" t="n">
        <x:v>448.4912557527423</x:v>
      </x:c>
      <x:c r="G1542" s="23" t="n">
        <x:v>112.44313906179741</x:v>
      </x:c>
      <x:c r="H1542" s="23" t="n">
        <x:v>27.805617175996304</x:v>
      </x:c>
      <x:c r="I1542" s="23" t="n">
        <x:v>0.841301633885596</x:v>
      </x:c>
      <x:c r="J1542" s="23" t="n">
        <x:v>7</x:v>
      </x:c>
      <x:c r="K1542" s="23" t="n">
        <x:v>185.96506241260022</x:v>
      </x:c>
      <x:c r="L1542" s="23" t="n">
        <x:v>16840</x:v>
      </x:c>
      <x:c r="M1542" s="23" t="n">
        <x:v>1200</x:v>
      </x:c>
      <x:c r="N1542" s="23" t="n">
        <x:v>249.9895810868551</x:v>
      </x:c>
      <x:c r="O1542" s="23" t="n">
        <x:v>2502.19225561294</x:v>
      </x:c>
      <x:c r="P1542" s="23" t="n">
        <x:v>1095.1689759735018</x:v>
      </x:c>
      <x:c r="Q1542" s="23" t="n">
        <x:v>244.56709879101902</x:v>
      </x:c>
      <x:c r="R1542" s="23" t="n">
        <x:v>2460.7094347813386</x:v>
      </x:c>
      <x:c r="S1542" s="23" t="n">
        <x:v>1092.4606292747692</x:v>
      </x:c>
      <x:c r="T1542" s="23" t="n">
        <x:v>-5.42248229583609</x:v>
      </x:c>
      <x:c r="U1542" s="23" t="n">
        <x:v>-41.4828208316012</x:v>
      </x:c>
      <x:c r="V1542" s="23" t="n">
        <x:v>-2.708346698732612</x:v>
      </x:c>
    </x:row>
    <x:row r="1543">
      <x:c r="A1543" s="23" t="n">
        <x:v>1542</x:v>
      </x:c>
      <x:c r="B1543" s="23" t="str">
        <x:v>Train</x:v>
      </x:c>
      <x:c r="C1543" s="23" t="str">
        <x:v>Switching</x:v>
      </x:c>
      <x:c r="D1543" s="23" t="n">
        <x:v>1086.822743632365</x:v>
      </x:c>
      <x:c r="E1543" s="23" t="n">
        <x:v>871.9377193367109</x:v>
      </x:c>
      <x:c r="F1543" s="23" t="n">
        <x:v>525.829612929374</x:v>
      </x:c>
      <x:c r="G1543" s="23" t="n">
        <x:v>130.5552846007049</x:v>
      </x:c>
      <x:c r="H1543" s="23" t="n">
        <x:v>16.28229437628761</x:v>
      </x:c>
      <x:c r="I1543" s="23" t="n">
        <x:v>0.8257642267039046</x:v>
      </x:c>
      <x:c r="J1543" s="23" t="n">
        <x:v>7</x:v>
      </x:c>
      <x:c r="K1543" s="23" t="n">
        <x:v>188.02024467348676</x:v>
      </x:c>
      <x:c r="L1543" s="23" t="n">
        <x:v>13995</x:v>
      </x:c>
      <x:c r="M1543" s="23" t="n">
        <x:v>1200</x:v>
      </x:c>
      <x:c r="N1543" s="23" t="n">
        <x:v>250.03629597261894</x:v>
      </x:c>
      <x:c r="O1543" s="23" t="n">
        <x:v>2503.6966716173047</x:v>
      </x:c>
      <x:c r="P1543" s="23" t="n">
        <x:v>1086.822743632365</x:v>
      </x:c>
      <x:c r="Q1543" s="23" t="n">
        <x:v>248.64058950217884</x:v>
      </x:c>
      <x:c r="R1543" s="23" t="n">
        <x:v>2502.0182264752257</x:v>
      </x:c>
      <x:c r="S1543" s="23" t="n">
        <x:v>1098.1986069859056</x:v>
      </x:c>
      <x:c r="T1543" s="23" t="n">
        <x:v>-1.3957064704401034</x:v>
      </x:c>
      <x:c r="U1543" s="23" t="n">
        <x:v>-1.6784451420789992</x:v>
      </x:c>
      <x:c r="V1543" s="23" t="n">
        <x:v>11.37586335354058</x:v>
      </x:c>
    </x:row>
    <x:row r="1544">
      <x:c r="A1544" s="23" t="n">
        <x:v>1543</x:v>
      </x:c>
      <x:c r="B1544" s="23" t="str">
        <x:v>Train</x:v>
      </x:c>
      <x:c r="C1544" s="23" t="str">
        <x:v>Switching</x:v>
      </x:c>
      <x:c r="D1544" s="23" t="n">
        <x:v>1061.3141640322283</x:v>
      </x:c>
      <x:c r="E1544" s="23" t="n">
        <x:v>1225.2824097988196</x:v>
      </x:c>
      <x:c r="F1544" s="23" t="n">
        <x:v>446.3781923055649</x:v>
      </x:c>
      <x:c r="G1544" s="23" t="n">
        <x:v>83.10913095017895</x:v>
      </x:c>
      <x:c r="H1544" s="23" t="n">
        <x:v>11.098641905002296</x:v>
      </x:c>
      <x:c r="I1544" s="23" t="n">
        <x:v>0.803078607020434</x:v>
      </x:c>
      <x:c r="J1544" s="23" t="n">
        <x:v>7</x:v>
      </x:c>
      <x:c r="K1544" s="23" t="n">
        <x:v>188.79385881039087</x:v>
      </x:c>
      <x:c r="L1544" s="23" t="n">
        <x:v>12185</x:v>
      </x:c>
      <x:c r="M1544" s="23" t="n">
        <x:v>1200</x:v>
      </x:c>
      <x:c r="N1544" s="23" t="n">
        <x:v>249.95432254281985</x:v>
      </x:c>
      <x:c r="O1544" s="23" t="n">
        <x:v>2505.0148655700573</x:v>
      </x:c>
      <x:c r="P1544" s="23" t="n">
        <x:v>1061.3141640322283</x:v>
      </x:c>
      <x:c r="Q1544" s="23" t="n">
        <x:v>252.21240316594964</x:v>
      </x:c>
      <x:c r="R1544" s="23" t="n">
        <x:v>2579.24186919146</x:v>
      </x:c>
      <x:c r="S1544" s="23" t="n">
        <x:v>1065.832588545691</x:v>
      </x:c>
      <x:c r="T1544" s="23" t="n">
        <x:v>2.2580806231297856</x:v>
      </x:c>
      <x:c r="U1544" s="23" t="n">
        <x:v>74.22700362140267</x:v>
      </x:c>
      <x:c r="V1544" s="23" t="n">
        <x:v>4.518424513462605</x:v>
      </x:c>
    </x:row>
    <x:row r="1545">
      <x:c r="A1545" s="23" t="n">
        <x:v>1544</x:v>
      </x:c>
      <x:c r="B1545" s="23" t="str">
        <x:v>Train</x:v>
      </x:c>
      <x:c r="C1545" s="23" t="str">
        <x:v>Switching</x:v>
      </x:c>
      <x:c r="D1545" s="23" t="n">
        <x:v>959.9739913712256</x:v>
      </x:c>
      <x:c r="E1545" s="23" t="n">
        <x:v>1221.3886690326035</x:v>
      </x:c>
      <x:c r="F1545" s="23" t="n">
        <x:v>397.85580104216933</x:v>
      </x:c>
      <x:c r="G1545" s="23" t="n">
        <x:v>124.78556627873331</x:v>
      </x:c>
      <x:c r="H1545" s="23" t="n">
        <x:v>8.327984956558794</x:v>
      </x:c>
      <x:c r="I1545" s="23" t="n">
        <x:v>0.8356696272734553</x:v>
      </x:c>
      <x:c r="J1545" s="23" t="n">
        <x:v>6</x:v>
      </x:c>
      <x:c r="K1545" s="23" t="n">
        <x:v>191.45803557627968</x:v>
      </x:c>
      <x:c r="L1545" s="23" t="n">
        <x:v>14305</x:v>
      </x:c>
      <x:c r="M1545" s="23" t="n">
        <x:v>1200</x:v>
      </x:c>
      <x:c r="N1545" s="23" t="n">
        <x:v>249.982666241382</x:v>
      </x:c>
      <x:c r="O1545" s="23" t="n">
        <x:v>2503.502012269389</x:v>
      </x:c>
      <x:c r="P1545" s="23" t="n">
        <x:v>959.9739913712256</x:v>
      </x:c>
      <x:c r="Q1545" s="23" t="n">
        <x:v>249.4740249656298</x:v>
      </x:c>
      <x:c r="R1545" s="23" t="n">
        <x:v>2494.663395473373</x:v>
      </x:c>
      <x:c r="S1545" s="23" t="n">
        <x:v>957.0640561718203</x:v>
      </x:c>
      <x:c r="T1545" s="23" t="n">
        <x:v>-0.5086412757521828</x:v>
      </x:c>
      <x:c r="U1545" s="23" t="n">
        <x:v>-8.83861679601614</x:v>
      </x:c>
      <x:c r="V1545" s="23" t="n">
        <x:v>-2.909935199405254</x:v>
      </x:c>
    </x:row>
    <x:row r="1546">
      <x:c r="A1546" s="23" t="n">
        <x:v>1545</x:v>
      </x:c>
      <x:c r="B1546" s="23" t="str">
        <x:v>Train</x:v>
      </x:c>
      <x:c r="C1546" s="23" t="str">
        <x:v>Switching</x:v>
      </x:c>
      <x:c r="D1546" s="23" t="n">
        <x:v>1096.643221564591</x:v>
      </x:c>
      <x:c r="E1546" s="23" t="n">
        <x:v>1006.4016521326266</x:v>
      </x:c>
      <x:c r="F1546" s="23" t="n">
        <x:v>635.2063031867146</x:v>
      </x:c>
      <x:c r="G1546" s="23" t="n">
        <x:v>277.64940958702937</x:v>
      </x:c>
      <x:c r="H1546" s="23" t="n">
        <x:v>24.940866207703948</x:v>
      </x:c>
      <x:c r="I1546" s="23" t="n">
        <x:v>0.7916477803257295</x:v>
      </x:c>
      <x:c r="J1546" s="23" t="n">
        <x:v>7</x:v>
      </x:c>
      <x:c r="K1546" s="23" t="n">
        <x:v>197.8952272207595</x:v>
      </x:c>
      <x:c r="L1546" s="23" t="n">
        <x:v>11145</x:v>
      </x:c>
      <x:c r="M1546" s="23" t="n">
        <x:v>1195</x:v>
      </x:c>
      <x:c r="N1546" s="23" t="n">
        <x:v>250.05120910839156</x:v>
      </x:c>
      <x:c r="O1546" s="23" t="n">
        <x:v>2495.5308293852067</x:v>
      </x:c>
      <x:c r="P1546" s="23" t="n">
        <x:v>1096.643221564591</x:v>
      </x:c>
      <x:c r="Q1546" s="23" t="n">
        <x:v>251.51938983457634</x:v>
      </x:c>
      <x:c r="R1546" s="23" t="n">
        <x:v>2519.788622324733</x:v>
      </x:c>
      <x:c r="S1546" s="23" t="n">
        <x:v>1086.5952764219978</x:v>
      </x:c>
      <x:c r="T1546" s="23" t="n">
        <x:v>1.4681807261847837</x:v>
      </x:c>
      <x:c r="U1546" s="23" t="n">
        <x:v>24.257792939526098</x:v>
      </x:c>
      <x:c r="V1546" s="23" t="n">
        <x:v>-10.047945142593107</x:v>
      </x:c>
    </x:row>
    <x:row r="1547">
      <x:c r="A1547" s="23" t="n">
        <x:v>1546</x:v>
      </x:c>
      <x:c r="B1547" s="23" t="str">
        <x:v>Train</x:v>
      </x:c>
      <x:c r="C1547" s="23" t="str">
        <x:v>Switching</x:v>
      </x:c>
      <x:c r="D1547" s="23" t="n">
        <x:v>987.5571117387153</x:v>
      </x:c>
      <x:c r="E1547" s="23" t="n">
        <x:v>759.5840178662911</x:v>
      </x:c>
      <x:c r="F1547" s="23" t="n">
        <x:v>436.63573572412133</x:v>
      </x:c>
      <x:c r="G1547" s="23" t="n">
        <x:v>231.52086387388408</x:v>
      </x:c>
      <x:c r="H1547" s="23" t="n">
        <x:v>14.596186969894916</x:v>
      </x:c>
      <x:c r="I1547" s="23" t="n">
        <x:v>0.8068940537096932</x:v>
      </x:c>
      <x:c r="J1547" s="23" t="n">
        <x:v>7</x:v>
      </x:c>
      <x:c r="K1547" s="23" t="n">
        <x:v>174.84276497345843</x:v>
      </x:c>
      <x:c r="L1547" s="23" t="n">
        <x:v>14980</x:v>
      </x:c>
      <x:c r="M1547" s="23" t="n">
        <x:v>1200</x:v>
      </x:c>
      <x:c r="N1547" s="23" t="n">
        <x:v>250.0208020893619</x:v>
      </x:c>
      <x:c r="O1547" s="23" t="n">
        <x:v>2503.111163682383</x:v>
      </x:c>
      <x:c r="P1547" s="23" t="n">
        <x:v>987.5571117387153</x:v>
      </x:c>
      <x:c r="Q1547" s="23" t="n">
        <x:v>251.47567847982765</x:v>
      </x:c>
      <x:c r="R1547" s="23" t="n">
        <x:v>2519.480666403221</x:v>
      </x:c>
      <x:c r="S1547" s="23" t="n">
        <x:v>1000.9954807398171</x:v>
      </x:c>
      <x:c r="T1547" s="23" t="n">
        <x:v>1.4548763904657562</x:v>
      </x:c>
      <x:c r="U1547" s="23" t="n">
        <x:v>16.369502720838227</x:v>
      </x:c>
      <x:c r="V1547" s="23" t="n">
        <x:v>13.438369001101819</x:v>
      </x:c>
    </x:row>
    <x:row r="1548">
      <x:c r="A1548" s="23" t="n">
        <x:v>1547</x:v>
      </x:c>
      <x:c r="B1548" s="23" t="str">
        <x:v>Train</x:v>
      </x:c>
      <x:c r="C1548" s="23" t="str">
        <x:v>Switching</x:v>
      </x:c>
      <x:c r="D1548" s="23" t="n">
        <x:v>950.3233688650653</x:v>
      </x:c>
      <x:c r="E1548" s="23" t="n">
        <x:v>994.2047143937089</x:v>
      </x:c>
      <x:c r="F1548" s="23" t="n">
        <x:v>630.4125357419252</x:v>
      </x:c>
      <x:c r="G1548" s="23" t="n">
        <x:v>186.55188577948138</x:v>
      </x:c>
      <x:c r="H1548" s="23" t="n">
        <x:v>15.629079432226717</x:v>
      </x:c>
      <x:c r="I1548" s="23" t="n">
        <x:v>0.7983854354801588</x:v>
      </x:c>
      <x:c r="J1548" s="23" t="n">
        <x:v>6</x:v>
      </x:c>
      <x:c r="K1548" s="23" t="n">
        <x:v>198.3844157288785</x:v>
      </x:c>
      <x:c r="L1548" s="23" t="n">
        <x:v>13775</x:v>
      </x:c>
      <x:c r="M1548" s="23" t="n">
        <x:v>1200</x:v>
      </x:c>
      <x:c r="N1548" s="23" t="n">
        <x:v>249.98792031429176</x:v>
      </x:c>
      <x:c r="O1548" s="23" t="n">
        <x:v>2503.8370095205614</x:v>
      </x:c>
      <x:c r="P1548" s="23" t="n">
        <x:v>950.3233688650653</x:v>
      </x:c>
      <x:c r="Q1548" s="23" t="n">
        <x:v>254.31207303434314</x:v>
      </x:c>
      <x:c r="R1548" s="23" t="n">
        <x:v>2489.395062462675</x:v>
      </x:c>
      <x:c r="S1548" s="23" t="n">
        <x:v>944.8523524555967</x:v>
      </x:c>
      <x:c r="T1548" s="23" t="n">
        <x:v>4.324152720051387</x:v>
      </x:c>
      <x:c r="U1548" s="23" t="n">
        <x:v>-14.44194705788641</x:v>
      </x:c>
      <x:c r="V1548" s="23" t="n">
        <x:v>-5.471016409468575</x:v>
      </x:c>
    </x:row>
    <x:row r="1549">
      <x:c r="A1549" s="23" t="n">
        <x:v>1548</x:v>
      </x:c>
      <x:c r="B1549" s="23" t="str">
        <x:v>Train</x:v>
      </x:c>
      <x:c r="C1549" s="23" t="str">
        <x:v>Switching</x:v>
      </x:c>
      <x:c r="D1549" s="23" t="n">
        <x:v>1015.0325419730507</x:v>
      </x:c>
      <x:c r="E1549" s="23" t="n">
        <x:v>935.1308485027403</x:v>
      </x:c>
      <x:c r="F1549" s="23" t="n">
        <x:v>706.3373575918376</x:v>
      </x:c>
      <x:c r="G1549" s="23" t="n">
        <x:v>164.10796418320388</x:v>
      </x:c>
      <x:c r="H1549" s="23" t="n">
        <x:v>18.39271557657048</x:v>
      </x:c>
      <x:c r="I1549" s="23" t="n">
        <x:v>0.8221000475808978</x:v>
      </x:c>
      <x:c r="J1549" s="23" t="n">
        <x:v>7</x:v>
      </x:c>
      <x:c r="K1549" s="23" t="n">
        <x:v>176.38321428150013</x:v>
      </x:c>
      <x:c r="L1549" s="23" t="n">
        <x:v>11845</x:v>
      </x:c>
      <x:c r="M1549" s="23" t="n">
        <x:v>1195</x:v>
      </x:c>
      <x:c r="N1549" s="23" t="n">
        <x:v>250.01507448650042</x:v>
      </x:c>
      <x:c r="O1549" s="23" t="n">
        <x:v>2494.871825752411</x:v>
      </x:c>
      <x:c r="P1549" s="23" t="n">
        <x:v>1015.0325419730507</x:v>
      </x:c>
      <x:c r="Q1549" s="23" t="n">
        <x:v>254.0619464574952</x:v>
      </x:c>
      <x:c r="R1549" s="23" t="n">
        <x:v>2474.3990234856833</x:v>
      </x:c>
      <x:c r="S1549" s="23" t="n">
        <x:v>1011.6633417186663</x:v>
      </x:c>
      <x:c r="T1549" s="23" t="n">
        <x:v>4.046871970994772</x:v>
      </x:c>
      <x:c r="U1549" s="23" t="n">
        <x:v>-20.47280226672774</x:v>
      </x:c>
      <x:c r="V1549" s="23" t="n">
        <x:v>-3.3692002543843955</x:v>
      </x:c>
    </x:row>
    <x:row r="1550">
      <x:c r="A1550" s="23" t="n">
        <x:v>1549</x:v>
      </x:c>
      <x:c r="B1550" s="23" t="str">
        <x:v>Train</x:v>
      </x:c>
      <x:c r="C1550" s="23" t="str">
        <x:v>Switching</x:v>
      </x:c>
      <x:c r="D1550" s="23" t="n">
        <x:v>1081.6914157476276</x:v>
      </x:c>
      <x:c r="E1550" s="23" t="n">
        <x:v>1203.2325683976524</x:v>
      </x:c>
      <x:c r="F1550" s="23" t="n">
        <x:v>684.9884828552604</x:v>
      </x:c>
      <x:c r="G1550" s="23" t="n">
        <x:v>329.2824008804746</x:v>
      </x:c>
      <x:c r="H1550" s="23" t="n">
        <x:v>16.56614573672414</x:v>
      </x:c>
      <x:c r="I1550" s="23" t="n">
        <x:v>0.8438551877462306</x:v>
      </x:c>
      <x:c r="J1550" s="23" t="n">
        <x:v>7</x:v>
      </x:c>
      <x:c r="K1550" s="23" t="n">
        <x:v>183.12069102699454</x:v>
      </x:c>
      <x:c r="L1550" s="23" t="n">
        <x:v>9645</x:v>
      </x:c>
      <x:c r="M1550" s="23" t="n">
        <x:v>1195</x:v>
      </x:c>
      <x:c r="N1550" s="23" t="n">
        <x:v>250.0241373122589</x:v>
      </x:c>
      <x:c r="O1550" s="23" t="n">
        <x:v>2497.2597455493274</x:v>
      </x:c>
      <x:c r="P1550" s="23" t="n">
        <x:v>1081.6914157476276</x:v>
      </x:c>
      <x:c r="Q1550" s="23" t="n">
        <x:v>255.66190438353956</x:v>
      </x:c>
      <x:c r="R1550" s="23" t="n">
        <x:v>2511.00174224808</x:v>
      </x:c>
      <x:c r="S1550" s="23" t="n">
        <x:v>1076.9908725906757</x:v>
      </x:c>
      <x:c r="T1550" s="23" t="n">
        <x:v>5.6377670712806776</x:v>
      </x:c>
      <x:c r="U1550" s="23" t="n">
        <x:v>13.7419966987527</x:v>
      </x:c>
      <x:c r="V1550" s="23" t="n">
        <x:v>-4.7005431569518805</x:v>
      </x:c>
    </x:row>
    <x:row r="1551">
      <x:c r="A1551" s="23" t="n">
        <x:v>1550</x:v>
      </x:c>
      <x:c r="B1551" s="23" t="str">
        <x:v>Train</x:v>
      </x:c>
      <x:c r="C1551" s="23" t="str">
        <x:v>Switching</x:v>
      </x:c>
      <x:c r="D1551" s="23" t="n">
        <x:v>1009.2877188813873</x:v>
      </x:c>
      <x:c r="E1551" s="23" t="n">
        <x:v>711.285360599868</x:v>
      </x:c>
      <x:c r="F1551" s="23" t="n">
        <x:v>607.4133400805295</x:v>
      </x:c>
      <x:c r="G1551" s="23" t="n">
        <x:v>226.45295776426792</x:v>
      </x:c>
      <x:c r="H1551" s="23" t="n">
        <x:v>22.831481392029673</x:v>
      </x:c>
      <x:c r="I1551" s="23" t="n">
        <x:v>0.8242286114348099</x:v>
      </x:c>
      <x:c r="J1551" s="23" t="n">
        <x:v>7</x:v>
      </x:c>
      <x:c r="K1551" s="23" t="n">
        <x:v>174.93200046672007</x:v>
      </x:c>
      <x:c r="L1551" s="23" t="n">
        <x:v>13840</x:v>
      </x:c>
      <x:c r="M1551" s="23" t="n">
        <x:v>1200</x:v>
      </x:c>
      <x:c r="N1551" s="23" t="n">
        <x:v>249.98996071482267</x:v>
      </x:c>
      <x:c r="O1551" s="23" t="n">
        <x:v>2503.794636834138</x:v>
      </x:c>
      <x:c r="P1551" s="23" t="n">
        <x:v>1009.2877188813873</x:v>
      </x:c>
      <x:c r="Q1551" s="23" t="n">
        <x:v>251.42367405408348</x:v>
      </x:c>
      <x:c r="R1551" s="23" t="n">
        <x:v>2463.03487219686</x:v>
      </x:c>
      <x:c r="S1551" s="23" t="n">
        <x:v>1009.8693481939905</x:v>
      </x:c>
      <x:c r="T1551" s="23" t="n">
        <x:v>1.4337133392608052</x:v>
      </x:c>
      <x:c r="U1551" s="23" t="n">
        <x:v>-40.759764637278295</x:v>
      </x:c>
      <x:c r="V1551" s="23" t="n">
        <x:v>0.5816293126032406</x:v>
      </x:c>
    </x:row>
    <x:row r="1552">
      <x:c r="A1552" s="23" t="n">
        <x:v>1551</x:v>
      </x:c>
      <x:c r="B1552" s="23" t="str">
        <x:v>Train</x:v>
      </x:c>
      <x:c r="C1552" s="23" t="str">
        <x:v>Switching</x:v>
      </x:c>
      <x:c r="D1552" s="23" t="n">
        <x:v>1034.9000437418</x:v>
      </x:c>
      <x:c r="E1552" s="23" t="n">
        <x:v>1166.4512333576567</x:v>
      </x:c>
      <x:c r="F1552" s="23" t="n">
        <x:v>714.706975966692</x:v>
      </x:c>
      <x:c r="G1552" s="23" t="n">
        <x:v>313.4988419315778</x:v>
      </x:c>
      <x:c r="H1552" s="23" t="n">
        <x:v>27.261717437766492</x:v>
      </x:c>
      <x:c r="I1552" s="23" t="n">
        <x:v>0.8008550707786344</x:v>
      </x:c>
      <x:c r="J1552" s="23" t="n">
        <x:v>7</x:v>
      </x:c>
      <x:c r="K1552" s="23" t="n">
        <x:v>184.60626496120568</x:v>
      </x:c>
      <x:c r="L1552" s="23" t="n">
        <x:v>9745</x:v>
      </x:c>
      <x:c r="M1552" s="23" t="n">
        <x:v>1195</x:v>
      </x:c>
      <x:c r="N1552" s="23" t="n">
        <x:v>250.01408061039504</x:v>
      </x:c>
      <x:c r="O1552" s="23" t="n">
        <x:v>2497.1273062199925</x:v>
      </x:c>
      <x:c r="P1552" s="23" t="n">
        <x:v>1034.9000437418</x:v>
      </x:c>
      <x:c r="Q1552" s="23" t="n">
        <x:v>249.2929888679746</x:v>
      </x:c>
      <x:c r="R1552" s="23" t="n">
        <x:v>2556.713357827441</x:v>
      </x:c>
      <x:c r="S1552" s="23" t="n">
        <x:v>1012.2481662870666</x:v>
      </x:c>
      <x:c r="T1552" s="23" t="n">
        <x:v>-0.721091742420441</x:v>
      </x:c>
      <x:c r="U1552" s="23" t="n">
        <x:v>59.58605160744855</x:v>
      </x:c>
      <x:c r="V1552" s="23" t="n">
        <x:v>-22.651877454733267</x:v>
      </x:c>
    </x:row>
    <x:row r="1553">
      <x:c r="A1553" s="23" t="n">
        <x:v>1552</x:v>
      </x:c>
      <x:c r="B1553" s="23" t="str">
        <x:v>Train</x:v>
      </x:c>
      <x:c r="C1553" s="23" t="str">
        <x:v>Switching</x:v>
      </x:c>
      <x:c r="D1553" s="23" t="n">
        <x:v>1097.1753440680914</x:v>
      </x:c>
      <x:c r="E1553" s="23" t="n">
        <x:v>924.9789213761687</x:v>
      </x:c>
      <x:c r="F1553" s="23" t="n">
        <x:v>653.1063689850271</x:v>
      </x:c>
      <x:c r="G1553" s="23" t="n">
        <x:v>219.53874458093196</x:v>
      </x:c>
      <x:c r="H1553" s="23" t="n">
        <x:v>11.329970070626587</x:v>
      </x:c>
      <x:c r="I1553" s="23" t="n">
        <x:v>0.8269896072056144</x:v>
      </x:c>
      <x:c r="J1553" s="23" t="n">
        <x:v>7</x:v>
      </x:c>
      <x:c r="K1553" s="23" t="n">
        <x:v>189.52999348624232</x:v>
      </x:c>
      <x:c r="L1553" s="23" t="n">
        <x:v>11895</x:v>
      </x:c>
      <x:c r="M1553" s="23" t="n">
        <x:v>1195</x:v>
      </x:c>
      <x:c r="N1553" s="23" t="n">
        <x:v>249.96449004850078</x:v>
      </x:c>
      <x:c r="O1553" s="23" t="n">
        <x:v>2494.825727661237</x:v>
      </x:c>
      <x:c r="P1553" s="23" t="n">
        <x:v>1097.1753440680914</x:v>
      </x:c>
      <x:c r="Q1553" s="23" t="n">
        <x:v>252.21686993850346</x:v>
      </x:c>
      <x:c r="R1553" s="23" t="n">
        <x:v>2538.2726975068595</x:v>
      </x:c>
      <x:c r="S1553" s="23" t="n">
        <x:v>1092.410889127061</x:v>
      </x:c>
      <x:c r="T1553" s="23" t="n">
        <x:v>2.252379890002686</x:v>
      </x:c>
      <x:c r="U1553" s="23" t="n">
        <x:v>43.446969845622334</x:v>
      </x:c>
      <x:c r="V1553" s="23" t="n">
        <x:v>-4.764454941030408</x:v>
      </x:c>
    </x:row>
    <x:row r="1554">
      <x:c r="A1554" s="23" t="n">
        <x:v>1553</x:v>
      </x:c>
      <x:c r="B1554" s="23" t="str">
        <x:v>Train</x:v>
      </x:c>
      <x:c r="C1554" s="23" t="str">
        <x:v>Switching</x:v>
      </x:c>
      <x:c r="D1554" s="23" t="n">
        <x:v>1003.3277296461165</x:v>
      </x:c>
      <x:c r="E1554" s="23" t="n">
        <x:v>706.597391271498</x:v>
      </x:c>
      <x:c r="F1554" s="23" t="n">
        <x:v>612.2463831678033</x:v>
      </x:c>
      <x:c r="G1554" s="23" t="n">
        <x:v>177.1059855655767</x:v>
      </x:c>
      <x:c r="H1554" s="23" t="n">
        <x:v>21.168367059901357</x:v>
      </x:c>
      <x:c r="I1554" s="23" t="n">
        <x:v>0.8516441563447007</x:v>
      </x:c>
      <x:c r="J1554" s="23" t="n">
        <x:v>6</x:v>
      </x:c>
      <x:c r="K1554" s="23" t="n">
        <x:v>196.3511250897028</x:v>
      </x:c>
      <x:c r="L1554" s="23" t="n">
        <x:v>16680</x:v>
      </x:c>
      <x:c r="M1554" s="23" t="n">
        <x:v>1200</x:v>
      </x:c>
      <x:c r="N1554" s="23" t="n">
        <x:v>250.02391034479464</x:v>
      </x:c>
      <x:c r="O1554" s="23" t="n">
        <x:v>2502.26419092252</x:v>
      </x:c>
      <x:c r="P1554" s="23" t="n">
        <x:v>1003.3277296461165</x:v>
      </x:c>
      <x:c r="Q1554" s="23" t="n">
        <x:v>247.25761765351243</x:v>
      </x:c>
      <x:c r="R1554" s="23" t="n">
        <x:v>2452.0063511501216</x:v>
      </x:c>
      <x:c r="S1554" s="23" t="n">
        <x:v>1001.6143313303025</x:v>
      </x:c>
      <x:c r="T1554" s="23" t="n">
        <x:v>-2.766292691282217</x:v>
      </x:c>
      <x:c r="U1554" s="23" t="n">
        <x:v>-50.257839772398256</x:v>
      </x:c>
      <x:c r="V1554" s="23" t="n">
        <x:v>-1.7133983158139472</x:v>
      </x:c>
    </x:row>
    <x:row r="1555">
      <x:c r="A1555" s="23" t="n">
        <x:v>1554</x:v>
      </x:c>
      <x:c r="B1555" s="23" t="str">
        <x:v>Train</x:v>
      </x:c>
      <x:c r="C1555" s="23" t="str">
        <x:v>Switching</x:v>
      </x:c>
      <x:c r="D1555" s="23" t="n">
        <x:v>1083.3569164969958</x:v>
      </x:c>
      <x:c r="E1555" s="23" t="n">
        <x:v>1062.9835509927943</x:v>
      </x:c>
      <x:c r="F1555" s="23" t="n">
        <x:v>379.9449005164206</x:v>
      </x:c>
      <x:c r="G1555" s="23" t="n">
        <x:v>161.22455258853734</x:v>
      </x:c>
      <x:c r="H1555" s="23" t="n">
        <x:v>17.45246969209984</x:v>
      </x:c>
      <x:c r="I1555" s="23" t="n">
        <x:v>0.806888256915845</x:v>
      </x:c>
      <x:c r="J1555" s="23" t="n">
        <x:v>7</x:v>
      </x:c>
      <x:c r="K1555" s="23" t="n">
        <x:v>191.80508881966102</x:v>
      </x:c>
      <x:c r="L1555" s="23" t="n">
        <x:v>13330</x:v>
      </x:c>
      <x:c r="M1555" s="23" t="n">
        <x:v>1200</x:v>
      </x:c>
      <x:c r="N1555" s="23" t="n">
        <x:v>249.9718635171323</x:v>
      </x:c>
      <x:c r="O1555" s="23" t="n">
        <x:v>2504.1380954674537</x:v>
      </x:c>
      <x:c r="P1555" s="23" t="n">
        <x:v>1083.3569164969958</x:v>
      </x:c>
      <x:c r="Q1555" s="23" t="n">
        <x:v>252.6863268077654</x:v>
      </x:c>
      <x:c r="R1555" s="23" t="n">
        <x:v>2481.818118703313</x:v>
      </x:c>
      <x:c r="S1555" s="23" t="n">
        <x:v>1084.2178241116892</x:v>
      </x:c>
      <x:c r="T1555" s="23" t="n">
        <x:v>2.714463290633091</x:v>
      </x:c>
      <x:c r="U1555" s="23" t="n">
        <x:v>-22.319976764140847</x:v>
      </x:c>
      <x:c r="V1555" s="23" t="n">
        <x:v>0.8609076146933603</x:v>
      </x:c>
    </x:row>
    <x:row r="1556">
      <x:c r="A1556" s="23" t="n">
        <x:v>1555</x:v>
      </x:c>
      <x:c r="B1556" s="23" t="str">
        <x:v>Validation</x:v>
      </x:c>
      <x:c r="C1556" s="23" t="str">
        <x:v>Switching</x:v>
      </x:c>
      <x:c r="D1556" s="23" t="n">
        <x:v>997.588980360888</x:v>
      </x:c>
      <x:c r="E1556" s="23" t="n">
        <x:v>742.7634127088822</x:v>
      </x:c>
      <x:c r="F1556" s="23" t="n">
        <x:v>702.605190500617</x:v>
      </x:c>
      <x:c r="G1556" s="23" t="n">
        <x:v>235.71576793445274</x:v>
      </x:c>
      <x:c r="H1556" s="23" t="n">
        <x:v>16.592151758261025</x:v>
      </x:c>
      <x:c r="I1556" s="23" t="n">
        <x:v>0.8173601835663431</x:v>
      </x:c>
      <x:c r="J1556" s="23" t="n">
        <x:v>7</x:v>
      </x:c>
      <x:c r="K1556" s="23" t="n">
        <x:v>174.35729601888474</x:v>
      </x:c>
      <x:c r="L1556" s="23" t="n">
        <x:v>12720</x:v>
      </x:c>
      <x:c r="M1556" s="23" t="n">
        <x:v>1200</x:v>
      </x:c>
      <x:c r="N1556" s="23" t="n">
        <x:v>249.97225551383767</x:v>
      </x:c>
      <x:c r="O1556" s="23" t="n">
        <x:v>2504.5859283413033</x:v>
      </x:c>
      <x:c r="P1556" s="23" t="n">
        <x:v>997.588980360888</x:v>
      </x:c>
      <x:c r="Q1556" s="23" t="n">
        <x:v>248.48235971211056</x:v>
      </x:c>
      <x:c r="R1556" s="23" t="n">
        <x:v>2507.362958346423</x:v>
      </x:c>
      <x:c r="S1556" s="23" t="n">
        <x:v>999.5868025818293</x:v>
      </x:c>
      <x:c r="T1556" s="23" t="n">
        <x:v>-1.4898958017271013</x:v>
      </x:c>
      <x:c r="U1556" s="23" t="n">
        <x:v>2.777030005119741</x:v>
      </x:c>
      <x:c r="V1556" s="23" t="n">
        <x:v>1.9978222209413161</x:v>
      </x:c>
    </x:row>
    <x:row r="1557">
      <x:c r="A1557" s="23" t="n">
        <x:v>1556</x:v>
      </x:c>
      <x:c r="B1557" s="23" t="str">
        <x:v>Validation</x:v>
      </x:c>
      <x:c r="C1557" s="23" t="str">
        <x:v>Switching</x:v>
      </x:c>
      <x:c r="D1557" s="23" t="n">
        <x:v>986.5079288720153</x:v>
      </x:c>
      <x:c r="E1557" s="23" t="n">
        <x:v>1014.7688447032124</x:v>
      </x:c>
      <x:c r="F1557" s="23" t="n">
        <x:v>543.6454134993255</x:v>
      </x:c>
      <x:c r="G1557" s="23" t="n">
        <x:v>158.95759621169418</x:v>
      </x:c>
      <x:c r="H1557" s="23" t="n">
        <x:v>25.762911185156554</x:v>
      </x:c>
      <x:c r="I1557" s="23" t="n">
        <x:v>0.7993353530950844</x:v>
      </x:c>
      <x:c r="J1557" s="23" t="n">
        <x:v>7</x:v>
      </x:c>
      <x:c r="K1557" s="23" t="n">
        <x:v>176.30860886971107</x:v>
      </x:c>
      <x:c r="L1557" s="23" t="n">
        <x:v>12455</x:v>
      </x:c>
      <x:c r="M1557" s="23" t="n">
        <x:v>1200</x:v>
      </x:c>
      <x:c r="N1557" s="23" t="n">
        <x:v>250.04815561161712</x:v>
      </x:c>
      <x:c r="O1557" s="23" t="n">
        <x:v>2504.7971650389163</x:v>
      </x:c>
      <x:c r="P1557" s="23" t="n">
        <x:v>986.5079288720153</x:v>
      </x:c>
      <x:c r="Q1557" s="23" t="n">
        <x:v>251.89193624174848</x:v>
      </x:c>
      <x:c r="R1557" s="23" t="n">
        <x:v>2486.119315743548</x:v>
      </x:c>
      <x:c r="S1557" s="23" t="n">
        <x:v>973.6322262380661</x:v>
      </x:c>
      <x:c r="T1557" s="23" t="n">
        <x:v>1.8437806301313628</x:v>
      </x:c>
      <x:c r="U1557" s="23" t="n">
        <x:v>-18.677849295368105</x:v>
      </x:c>
      <x:c r="V1557" s="23" t="n">
        <x:v>-12.875702633949231</x:v>
      </x:c>
    </x:row>
    <x:row r="1558">
      <x:c r="A1558" s="23" t="n">
        <x:v>1557</x:v>
      </x:c>
      <x:c r="B1558" s="23" t="str">
        <x:v>Validation</x:v>
      </x:c>
      <x:c r="C1558" s="23" t="str">
        <x:v>Switching</x:v>
      </x:c>
      <x:c r="D1558" s="23" t="n">
        <x:v>1012.9639707971364</x:v>
      </x:c>
      <x:c r="E1558" s="23" t="n">
        <x:v>1201.9056308898143</x:v>
      </x:c>
      <x:c r="F1558" s="23" t="n">
        <x:v>672.2775695845485</x:v>
      </x:c>
      <x:c r="G1558" s="23" t="n">
        <x:v>308.71244355337694</x:v>
      </x:c>
      <x:c r="H1558" s="23" t="n">
        <x:v>20.242795661091805</x:v>
      </x:c>
      <x:c r="I1558" s="23" t="n">
        <x:v>0.8556767816678621</x:v>
      </x:c>
      <x:c r="J1558" s="23" t="n">
        <x:v>6</x:v>
      </x:c>
      <x:c r="K1558" s="23" t="n">
        <x:v>197.30268728002144</x:v>
      </x:c>
      <x:c r="L1558" s="23" t="n">
        <x:v>11430</x:v>
      </x:c>
      <x:c r="M1558" s="23" t="n">
        <x:v>1195</x:v>
      </x:c>
      <x:c r="N1558" s="23" t="n">
        <x:v>250.0045982243391</x:v>
      </x:c>
      <x:c r="O1558" s="23" t="n">
        <x:v>2495.2513937050007</x:v>
      </x:c>
      <x:c r="P1558" s="23" t="n">
        <x:v>1012.9639707971364</x:v>
      </x:c>
      <x:c r="Q1558" s="23" t="n">
        <x:v>253.66763048047295</x:v>
      </x:c>
      <x:c r="R1558" s="23" t="n">
        <x:v>2504.621278563806</x:v>
      </x:c>
      <x:c r="S1558" s="23" t="n">
        <x:v>997.2171234437177</x:v>
      </x:c>
      <x:c r="T1558" s="23" t="n">
        <x:v>3.663032256133846</x:v>
      </x:c>
      <x:c r="U1558" s="23" t="n">
        <x:v>9.369884858805108</x:v>
      </x:c>
      <x:c r="V1558" s="23" t="n">
        <x:v>-15.74684735341873</x:v>
      </x:c>
    </x:row>
    <x:row r="1559">
      <x:c r="A1559" s="23" t="n">
        <x:v>1558</x:v>
      </x:c>
      <x:c r="B1559" s="23" t="str">
        <x:v>Hidden Test</x:v>
      </x:c>
      <x:c r="C1559" s="23" t="str">
        <x:v>Switching</x:v>
      </x:c>
      <x:c r="D1559" s="23" t="n">
        <x:v>978.4001086954959</x:v>
      </x:c>
      <x:c r="E1559" s="23" t="n">
        <x:v>930.7917868485674</x:v>
      </x:c>
      <x:c r="F1559" s="23" t="n">
        <x:v>505.3527963347733</x:v>
      </x:c>
      <x:c r="G1559" s="23" t="n">
        <x:v>272.34145479276776</x:v>
      </x:c>
      <x:c r="H1559" s="23" t="n">
        <x:v>27.27692139754072</x:v>
      </x:c>
      <x:c r="I1559" s="23" t="n">
        <x:v>0.8243087082123384</x:v>
      </x:c>
      <x:c r="J1559" s="23" t="n">
        <x:v>6</x:v>
      </x:c>
      <x:c r="K1559" s="23" t="n">
        <x:v>197.82234878510755</x:v>
      </x:c>
      <x:c r="L1559" s="23" t="n">
        <x:v>14605</x:v>
      </x:c>
      <x:c r="M1559" s="23" t="n">
        <x:v>1200</x:v>
      </x:c>
      <x:c r="N1559" s="23" t="n">
        <x:v>250.02408440127624</x:v>
      </x:c>
      <x:c r="O1559" s="23" t="n">
        <x:v>2503.3246619350853</x:v>
      </x:c>
      <x:c r="P1559" s="23" t="n">
        <x:v>978.4001086954959</x:v>
      </x:c>
      <x:c r="Q1559" s="23" t="n">
        <x:v>249.47717927272953</x:v>
      </x:c>
      <x:c r="R1559" s="23" t="n">
        <x:v>2496.050746054381</x:v>
      </x:c>
      <x:c r="S1559" s="23" t="n">
        <x:v>966.7274769394617</x:v>
      </x:c>
      <x:c r="T1559" s="23" t="n">
        <x:v>-0.5469051285467117</x:v>
      </x:c>
      <x:c r="U1559" s="23" t="n">
        <x:v>-7.273915880704408</x:v>
      </x:c>
      <x:c r="V1559" s="23" t="n">
        <x:v>-11.672631756034207</x:v>
      </x:c>
    </x:row>
    <x:row r="1560">
      <x:c r="A1560" s="23" t="n">
        <x:v>1559</x:v>
      </x:c>
      <x:c r="B1560" s="23" t="str">
        <x:v>Hidden Test</x:v>
      </x:c>
      <x:c r="C1560" s="23" t="str">
        <x:v>Switching</x:v>
      </x:c>
      <x:c r="D1560" s="23" t="n">
        <x:v>1018.9709735335782</x:v>
      </x:c>
      <x:c r="E1560" s="23" t="n">
        <x:v>1012.2350925696082</x:v>
      </x:c>
      <x:c r="F1560" s="23" t="n">
        <x:v>362.8637596964836</x:v>
      </x:c>
      <x:c r="G1560" s="23" t="n">
        <x:v>170.02248657634482</x:v>
      </x:c>
      <x:c r="H1560" s="23" t="n">
        <x:v>28.98672255408019</x:v>
      </x:c>
      <x:c r="I1560" s="23" t="n">
        <x:v>0.8203953545889817</x:v>
      </x:c>
      <x:c r="J1560" s="23" t="n">
        <x:v>7</x:v>
      </x:c>
      <x:c r="K1560" s="23" t="n">
        <x:v>177.43552680926328</x:v>
      </x:c>
      <x:c r="L1560" s="23" t="n">
        <x:v>13840</x:v>
      </x:c>
      <x:c r="M1560" s="23" t="n">
        <x:v>1200</x:v>
      </x:c>
      <x:c r="N1560" s="23" t="n">
        <x:v>249.98518794688363</x:v>
      </x:c>
      <x:c r="O1560" s="23" t="n">
        <x:v>2503.7944603376695</x:v>
      </x:c>
      <x:c r="P1560" s="23" t="n">
        <x:v>1018.9709735335782</x:v>
      </x:c>
      <x:c r="Q1560" s="23" t="n">
        <x:v>246.40890019661396</x:v>
      </x:c>
      <x:c r="R1560" s="23" t="n">
        <x:v>2548.2080868092303</x:v>
      </x:c>
      <x:c r="S1560" s="23" t="n">
        <x:v>1010.055702510146</x:v>
      </x:c>
      <x:c r="T1560" s="23" t="n">
        <x:v>-3.576287750269671</x:v>
      </x:c>
      <x:c r="U1560" s="23" t="n">
        <x:v>44.41362647156075</x:v>
      </x:c>
      <x:c r="V1560" s="23" t="n">
        <x:v>-8.915271023432183</x:v>
      </x:c>
    </x:row>
    <x:row r="1561">
      <x:c r="A1561" s="23" t="n">
        <x:v>1560</x:v>
      </x:c>
      <x:c r="B1561" s="23" t="str">
        <x:v>Hidden Test</x:v>
      </x:c>
      <x:c r="C1561" s="23" t="str">
        <x:v>Switching</x:v>
      </x:c>
      <x:c r="D1561" s="23" t="n">
        <x:v>977.3194442386739</x:v>
      </x:c>
      <x:c r="E1561" s="23" t="n">
        <x:v>961.1034899018705</x:v>
      </x:c>
      <x:c r="F1561" s="23" t="n">
        <x:v>682.2911343537271</x:v>
      </x:c>
      <x:c r="G1561" s="23" t="n">
        <x:v>201.77332921419293</x:v>
      </x:c>
      <x:c r="H1561" s="23" t="n">
        <x:v>13.26479779696092</x:v>
      </x:c>
      <x:c r="I1561" s="23" t="n">
        <x:v>0.792375169293955</x:v>
      </x:c>
      <x:c r="J1561" s="23" t="n">
        <x:v>7</x:v>
      </x:c>
      <x:c r="K1561" s="23" t="n">
        <x:v>176.20070501082625</x:v>
      </x:c>
      <x:c r="L1561" s="23" t="n">
        <x:v>11590</x:v>
      </x:c>
      <x:c r="M1561" s="23" t="n">
        <x:v>1195</x:v>
      </x:c>
      <x:c r="N1561" s="23" t="n">
        <x:v>249.99679633567501</x:v>
      </x:c>
      <x:c r="O1561" s="23" t="n">
        <x:v>2495.1013371420268</x:v>
      </x:c>
      <x:c r="P1561" s="23" t="n">
        <x:v>977.3194442386739</x:v>
      </x:c>
      <x:c r="Q1561" s="23" t="n">
        <x:v>250.78129646955904</x:v>
      </x:c>
      <x:c r="R1561" s="23" t="n">
        <x:v>2457.651889512361</x:v>
      </x:c>
      <x:c r="S1561" s="23" t="n">
        <x:v>979.2282146680168</x:v>
      </x:c>
      <x:c r="T1561" s="23" t="n">
        <x:v>0.7845001338840234</x:v>
      </x:c>
      <x:c r="U1561" s="23" t="n">
        <x:v>-37.44944762966588</x:v>
      </x:c>
      <x:c r="V1561" s="23" t="n">
        <x:v>1.9087704293428942</x:v>
      </x:c>
    </x:row>
    <x:row r="1562">
      <x:c r="A1562" s="23" t="n">
        <x:v>1561</x:v>
      </x:c>
      <x:c r="B1562" s="23" t="str">
        <x:v>Train</x:v>
      </x:c>
      <x:c r="C1562" s="23" t="str">
        <x:v>Switching</x:v>
      </x:c>
      <x:c r="D1562" s="23" t="n">
        <x:v>1087.506140768528</x:v>
      </x:c>
      <x:c r="E1562" s="23" t="n">
        <x:v>1225.616029871162</x:v>
      </x:c>
      <x:c r="F1562" s="23" t="n">
        <x:v>581.1172174289823</x:v>
      </x:c>
      <x:c r="G1562" s="23" t="n">
        <x:v>130.48010364407673</x:v>
      </x:c>
      <x:c r="H1562" s="23" t="n">
        <x:v>25.9110932033509</x:v>
      </x:c>
      <x:c r="I1562" s="23" t="n">
        <x:v>0.833297555197496</x:v>
      </x:c>
      <x:c r="J1562" s="23" t="n">
        <x:v>7</x:v>
      </x:c>
      <x:c r="K1562" s="23" t="n">
        <x:v>186.43762860070916</x:v>
      </x:c>
      <x:c r="L1562" s="23" t="n">
        <x:v>11040</x:v>
      </x:c>
      <x:c r="M1562" s="23" t="n">
        <x:v>1195</x:v>
      </x:c>
      <x:c r="N1562" s="23" t="n">
        <x:v>250.01280567452685</x:v>
      </x:c>
      <x:c r="O1562" s="23" t="n">
        <x:v>2495.634919248689</x:v>
      </x:c>
      <x:c r="P1562" s="23" t="n">
        <x:v>1087.506140768528</x:v>
      </x:c>
      <x:c r="Q1562" s="23" t="n">
        <x:v>251.5792184928754</x:v>
      </x:c>
      <x:c r="R1562" s="23" t="n">
        <x:v>2501.42015853044</x:v>
      </x:c>
      <x:c r="S1562" s="23" t="n">
        <x:v>1076.8950449587826</x:v>
      </x:c>
      <x:c r="T1562" s="23" t="n">
        <x:v>1.5664128183485673</x:v>
      </x:c>
      <x:c r="U1562" s="23" t="n">
        <x:v>5.785239281750819</x:v>
      </x:c>
      <x:c r="V1562" s="23" t="n">
        <x:v>-10.611095809745393</x:v>
      </x:c>
    </x:row>
    <x:row r="1563">
      <x:c r="A1563" s="23" t="n">
        <x:v>1562</x:v>
      </x:c>
      <x:c r="B1563" s="23" t="str">
        <x:v>Train</x:v>
      </x:c>
      <x:c r="C1563" s="23" t="str">
        <x:v>Switching</x:v>
      </x:c>
      <x:c r="D1563" s="23" t="n">
        <x:v>970.0814700336196</x:v>
      </x:c>
      <x:c r="E1563" s="23" t="n">
        <x:v>1225.3775948891416</x:v>
      </x:c>
      <x:c r="F1563" s="23" t="n">
        <x:v>746.6627881862223</x:v>
      </x:c>
      <x:c r="G1563" s="23" t="n">
        <x:v>93.70803802274168</x:v>
      </x:c>
      <x:c r="H1563" s="23" t="n">
        <x:v>23.928598162252456</x:v>
      </x:c>
      <x:c r="I1563" s="23" t="n">
        <x:v>0.8315211957739667</x:v>
      </x:c>
      <x:c r="J1563" s="23" t="n">
        <x:v>6</x:v>
      </x:c>
      <x:c r="K1563" s="23" t="n">
        <x:v>194.43911451362808</x:v>
      </x:c>
      <x:c r="L1563" s="23" t="n">
        <x:v>12080</x:v>
      </x:c>
      <x:c r="M1563" s="23" t="n">
        <x:v>1200</x:v>
      </x:c>
      <x:c r="N1563" s="23" t="n">
        <x:v>250.04218325495648</x:v>
      </x:c>
      <x:c r="O1563" s="23" t="n">
        <x:v>2505.1072583219106</x:v>
      </x:c>
      <x:c r="P1563" s="23" t="n">
        <x:v>970.0814700336196</x:v>
      </x:c>
      <x:c r="Q1563" s="23" t="n">
        <x:v>252.8374729356896</x:v>
      </x:c>
      <x:c r="R1563" s="23" t="n">
        <x:v>2579.5341878185936</x:v>
      </x:c>
      <x:c r="S1563" s="23" t="n">
        <x:v>962.6922464012745</x:v>
      </x:c>
      <x:c r="T1563" s="23" t="n">
        <x:v>2.795289680733106</x:v>
      </x:c>
      <x:c r="U1563" s="23" t="n">
        <x:v>74.42692949668299</x:v>
      </x:c>
      <x:c r="V1563" s="23" t="n">
        <x:v>-7.389223632345079</x:v>
      </x:c>
    </x:row>
    <x:row r="1564">
      <x:c r="A1564" s="23" t="n">
        <x:v>1563</x:v>
      </x:c>
      <x:c r="B1564" s="23" t="str">
        <x:v>Train</x:v>
      </x:c>
      <x:c r="C1564" s="23" t="str">
        <x:v>Switching</x:v>
      </x:c>
      <x:c r="D1564" s="23" t="n">
        <x:v>1033.3482459886</x:v>
      </x:c>
      <x:c r="E1564" s="23" t="n">
        <x:v>1139.778937830124</x:v>
      </x:c>
      <x:c r="F1564" s="23" t="n">
        <x:v>466.8836120516062</x:v>
      </x:c>
      <x:c r="G1564" s="23" t="n">
        <x:v>197.98586806980893</x:v>
      </x:c>
      <x:c r="H1564" s="23" t="n">
        <x:v>28.773798489011824</x:v>
      </x:c>
      <x:c r="I1564" s="23" t="n">
        <x:v>0.8285745112108999</x:v>
      </x:c>
      <x:c r="J1564" s="23" t="n">
        <x:v>7</x:v>
      </x:c>
      <x:c r="K1564" s="23" t="n">
        <x:v>178.1628278459038</x:v>
      </x:c>
      <x:c r="L1564" s="23" t="n">
        <x:v>11850</x:v>
      </x:c>
      <x:c r="M1564" s="23" t="n">
        <x:v>1195</x:v>
      </x:c>
      <x:c r="N1564" s="23" t="n">
        <x:v>249.99235318289436</x:v>
      </x:c>
      <x:c r="O1564" s="23" t="n">
        <x:v>2494.8664476232016</x:v>
      </x:c>
      <x:c r="P1564" s="23" t="n">
        <x:v>1033.3482459886</x:v>
      </x:c>
      <x:c r="Q1564" s="23" t="n">
        <x:v>251.27486880034775</x:v>
      </x:c>
      <x:c r="R1564" s="23" t="n">
        <x:v>2554.6820825779646</x:v>
      </x:c>
      <x:c r="S1564" s="23" t="n">
        <x:v>1016.0249850407646</x:v>
      </x:c>
      <x:c r="T1564" s="23" t="n">
        <x:v>1.2825156174533845</x:v>
      </x:c>
      <x:c r="U1564" s="23" t="n">
        <x:v>59.81563495476303</x:v>
      </x:c>
      <x:c r="V1564" s="23" t="n">
        <x:v>-17.323260947835365</x:v>
      </x:c>
    </x:row>
    <x:row r="1565">
      <x:c r="A1565" s="23" t="n">
        <x:v>1564</x:v>
      </x:c>
      <x:c r="B1565" s="23" t="str">
        <x:v>Train</x:v>
      </x:c>
      <x:c r="C1565" s="23" t="str">
        <x:v>Switching</x:v>
      </x:c>
      <x:c r="D1565" s="23" t="n">
        <x:v>974.9423958710395</x:v>
      </x:c>
      <x:c r="E1565" s="23" t="n">
        <x:v>1149.8888976406306</x:v>
      </x:c>
      <x:c r="F1565" s="23" t="n">
        <x:v>732.0242787711322</x:v>
      </x:c>
      <x:c r="G1565" s="23" t="n">
        <x:v>240.65544250886887</x:v>
      </x:c>
      <x:c r="H1565" s="23" t="n">
        <x:v>13.232397999148816</x:v>
      </x:c>
      <x:c r="I1565" s="23" t="n">
        <x:v>0.8360505454987288</x:v>
      </x:c>
      <x:c r="J1565" s="23" t="n">
        <x:v>6</x:v>
      </x:c>
      <x:c r="K1565" s="23" t="n">
        <x:v>194.35475544712384</x:v>
      </x:c>
      <x:c r="L1565" s="23" t="n">
        <x:v>11755</x:v>
      </x:c>
      <x:c r="M1565" s="23" t="n">
        <x:v>1195</x:v>
      </x:c>
      <x:c r="N1565" s="23" t="n">
        <x:v>250.0073486798311</x:v>
      </x:c>
      <x:c r="O1565" s="23" t="n">
        <x:v>2494.9516401793785</x:v>
      </x:c>
      <x:c r="P1565" s="23" t="n">
        <x:v>974.9423958710395</x:v>
      </x:c>
      <x:c r="Q1565" s="23" t="n">
        <x:v>255.82992880555128</x:v>
      </x:c>
      <x:c r="R1565" s="23" t="n">
        <x:v>2494.0379990304364</x:v>
      </x:c>
      <x:c r="S1565" s="23" t="n">
        <x:v>975.7043424959086</x:v>
      </x:c>
      <x:c r="T1565" s="23" t="n">
        <x:v>5.8225801257201795</x:v>
      </x:c>
      <x:c r="U1565" s="23" t="n">
        <x:v>-0.9136411489421334</x:v>
      </x:c>
      <x:c r="V1565" s="23" t="n">
        <x:v>0.7619466248690969</x:v>
      </x:c>
    </x:row>
    <x:row r="1566">
      <x:c r="A1566" s="23" t="n">
        <x:v>1565</x:v>
      </x:c>
      <x:c r="B1566" s="23" t="str">
        <x:v>Train</x:v>
      </x:c>
      <x:c r="C1566" s="23" t="str">
        <x:v>Switching</x:v>
      </x:c>
      <x:c r="D1566" s="23" t="n">
        <x:v>1083.745914651081</x:v>
      </x:c>
      <x:c r="E1566" s="23" t="n">
        <x:v>833.9774080435745</x:v>
      </x:c>
      <x:c r="F1566" s="23" t="n">
        <x:v>502.9648697003722</x:v>
      </x:c>
      <x:c r="G1566" s="23" t="n">
        <x:v>295.10325075360015</x:v>
      </x:c>
      <x:c r="H1566" s="23" t="n">
        <x:v>12.178031396120787</x:v>
      </x:c>
      <x:c r="I1566" s="23" t="n">
        <x:v>0.7928735743113794</x:v>
      </x:c>
      <x:c r="J1566" s="23" t="n">
        <x:v>7</x:v>
      </x:c>
      <x:c r="K1566" s="23" t="n">
        <x:v>195.26548741975446</x:v>
      </x:c>
      <x:c r="L1566" s="23" t="n">
        <x:v>13105</x:v>
      </x:c>
      <x:c r="M1566" s="23" t="n">
        <x:v>1200</x:v>
      </x:c>
      <x:c r="N1566" s="23" t="n">
        <x:v>250.02549036997993</x:v>
      </x:c>
      <x:c r="O1566" s="23" t="n">
        <x:v>2504.30046343049</x:v>
      </x:c>
      <x:c r="P1566" s="23" t="n">
        <x:v>1083.745914651081</x:v>
      </x:c>
      <x:c r="Q1566" s="23" t="n">
        <x:v>253.0703347891631</x:v>
      </x:c>
      <x:c r="R1566" s="23" t="n">
        <x:v>2473.010440032925</x:v>
      </x:c>
      <x:c r="S1566" s="23" t="n">
        <x:v>1093.5909249644506</x:v>
      </x:c>
      <x:c r="T1566" s="23" t="n">
        <x:v>3.044844419183164</x:v>
      </x:c>
      <x:c r="U1566" s="23" t="n">
        <x:v>-31.29002339756471</x:v>
      </x:c>
      <x:c r="V1566" s="23" t="n">
        <x:v>9.845010313369585</x:v>
      </x:c>
    </x:row>
    <x:row r="1567">
      <x:c r="A1567" s="23" t="n">
        <x:v>1566</x:v>
      </x:c>
      <x:c r="B1567" s="23" t="str">
        <x:v>Train</x:v>
      </x:c>
      <x:c r="C1567" s="23" t="str">
        <x:v>Switching</x:v>
      </x:c>
      <x:c r="D1567" s="23" t="n">
        <x:v>1095.351147663314</x:v>
      </x:c>
      <x:c r="E1567" s="23" t="n">
        <x:v>1052.7227184502408</x:v>
      </x:c>
      <x:c r="F1567" s="23" t="n">
        <x:v>372.38311963155866</x:v>
      </x:c>
      <x:c r="G1567" s="23" t="n">
        <x:v>177.89494331926107</x:v>
      </x:c>
      <x:c r="H1567" s="23" t="n">
        <x:v>20.280002790037543</x:v>
      </x:c>
      <x:c r="I1567" s="23" t="n">
        <x:v>0.7926650356827304</x:v>
      </x:c>
      <x:c r="J1567" s="23" t="n">
        <x:v>7</x:v>
      </x:c>
      <x:c r="K1567" s="23" t="n">
        <x:v>197.40839867586274</x:v>
      </x:c>
      <x:c r="L1567" s="23" t="n">
        <x:v>13340</x:v>
      </x:c>
      <x:c r="M1567" s="23" t="n">
        <x:v>1200</x:v>
      </x:c>
      <x:c r="N1567" s="23" t="n">
        <x:v>249.97976901217703</x:v>
      </x:c>
      <x:c r="O1567" s="23" t="n">
        <x:v>2504.1313881486917</x:v>
      </x:c>
      <x:c r="P1567" s="23" t="n">
        <x:v>1095.351147663314</x:v>
      </x:c>
      <x:c r="Q1567" s="23" t="n">
        <x:v>252.21707277083613</x:v>
      </x:c>
      <x:c r="R1567" s="23" t="n">
        <x:v>2480.8727805942663</x:v>
      </x:c>
      <x:c r="S1567" s="23" t="n">
        <x:v>1091.3295108715615</x:v>
      </x:c>
      <x:c r="T1567" s="23" t="n">
        <x:v>2.2373037586590954</x:v>
      </x:c>
      <x:c r="U1567" s="23" t="n">
        <x:v>-23.258607554425453</x:v>
      </x:c>
      <x:c r="V1567" s="23" t="n">
        <x:v>-4.021636791752371</x:v>
      </x:c>
    </x:row>
    <x:row r="1568">
      <x:c r="A1568" s="23" t="n">
        <x:v>1567</x:v>
      </x:c>
      <x:c r="B1568" s="23" t="str">
        <x:v>Train</x:v>
      </x:c>
      <x:c r="C1568" s="23" t="str">
        <x:v>Switching</x:v>
      </x:c>
      <x:c r="D1568" s="23" t="n">
        <x:v>1069.1466700518504</x:v>
      </x:c>
      <x:c r="E1568" s="23" t="n">
        <x:v>1234.3057594378479</x:v>
      </x:c>
      <x:c r="F1568" s="23" t="n">
        <x:v>471.64459452033043</x:v>
      </x:c>
      <x:c r="G1568" s="23" t="n">
        <x:v>181.95071384077892</x:v>
      </x:c>
      <x:c r="H1568" s="23" t="n">
        <x:v>14.245607784949243</x:v>
      </x:c>
      <x:c r="I1568" s="23" t="n">
        <x:v>0.8138373483135365</x:v>
      </x:c>
      <x:c r="J1568" s="23" t="n">
        <x:v>7</x:v>
      </x:c>
      <x:c r="K1568" s="23" t="n">
        <x:v>187.6729286206136</x:v>
      </x:c>
      <x:c r="L1568" s="23" t="n">
        <x:v>11330</x:v>
      </x:c>
      <x:c r="M1568" s="23" t="n">
        <x:v>1195</x:v>
      </x:c>
      <x:c r="N1568" s="23" t="n">
        <x:v>250.04852921255258</x:v>
      </x:c>
      <x:c r="O1568" s="23" t="n">
        <x:v>2495.3490586554717</x:v>
      </x:c>
      <x:c r="P1568" s="23" t="n">
        <x:v>1069.1466700518504</x:v>
      </x:c>
      <x:c r="Q1568" s="23" t="n">
        <x:v>254.6038817436204</x:v>
      </x:c>
      <x:c r="R1568" s="23" t="n">
        <x:v>2559.5979763878145</x:v>
      </x:c>
      <x:c r="S1568" s="23" t="n">
        <x:v>1064.439947638617</x:v>
      </x:c>
      <x:c r="T1568" s="23" t="n">
        <x:v>4.555352531067825</x:v>
      </x:c>
      <x:c r="U1568" s="23" t="n">
        <x:v>64.24891773234276</x:v>
      </x:c>
      <x:c r="V1568" s="23" t="n">
        <x:v>-4.706722413233365</x:v>
      </x:c>
    </x:row>
    <x:row r="1569">
      <x:c r="A1569" s="23" t="n">
        <x:v>1568</x:v>
      </x:c>
      <x:c r="B1569" s="23" t="str">
        <x:v>Train</x:v>
      </x:c>
      <x:c r="C1569" s="23" t="str">
        <x:v>Switching</x:v>
      </x:c>
      <x:c r="D1569" s="23" t="n">
        <x:v>1061.118247907143</x:v>
      </x:c>
      <x:c r="E1569" s="23" t="n">
        <x:v>1193.700610846281</x:v>
      </x:c>
      <x:c r="F1569" s="23" t="n">
        <x:v>480.90036204084754</x:v>
      </x:c>
      <x:c r="G1569" s="23" t="n">
        <x:v>217.22076930571347</x:v>
      </x:c>
      <x:c r="H1569" s="23" t="n">
        <x:v>26.484011562075466</x:v>
      </x:c>
      <x:c r="I1569" s="23" t="n">
        <x:v>0.8426236424874515</x:v>
      </x:c>
      <x:c r="J1569" s="23" t="n">
        <x:v>7</x:v>
      </x:c>
      <x:c r="K1569" s="23" t="n">
        <x:v>179.90038907773626</x:v>
      </x:c>
      <x:c r="L1569" s="23" t="n">
        <x:v>11305</x:v>
      </x:c>
      <x:c r="M1569" s="23" t="n">
        <x:v>1195</x:v>
      </x:c>
      <x:c r="N1569" s="23" t="n">
        <x:v>250.0152522793193</x:v>
      </x:c>
      <x:c r="O1569" s="23" t="n">
        <x:v>2495.371786589296</x:v>
      </x:c>
      <x:c r="P1569" s="23" t="n">
        <x:v>1061.118247907143</x:v>
      </x:c>
      <x:c r="Q1569" s="23" t="n">
        <x:v>247.51156884030888</x:v>
      </x:c>
      <x:c r="R1569" s="23" t="n">
        <x:v>2504.3065968205465</x:v>
      </x:c>
      <x:c r="S1569" s="23" t="n">
        <x:v>1046.833226861163</x:v>
      </x:c>
      <x:c r="T1569" s="23" t="n">
        <x:v>-2.503683439010416</x:v>
      </x:c>
      <x:c r="U1569" s="23" t="n">
        <x:v>8.934810231250594</x:v>
      </x:c>
      <x:c r="V1569" s="23" t="n">
        <x:v>-14.285021045980102</x:v>
      </x:c>
    </x:row>
    <x:row r="1570">
      <x:c r="A1570" s="23" t="n">
        <x:v>1569</x:v>
      </x:c>
      <x:c r="B1570" s="23" t="str">
        <x:v>Train</x:v>
      </x:c>
      <x:c r="C1570" s="23" t="str">
        <x:v>Switching</x:v>
      </x:c>
      <x:c r="D1570" s="23" t="n">
        <x:v>1006.7657924257219</x:v>
      </x:c>
      <x:c r="E1570" s="23" t="n">
        <x:v>1102.8730227961205</x:v>
      </x:c>
      <x:c r="F1570" s="23" t="n">
        <x:v>486.4393198862672</x:v>
      </x:c>
      <x:c r="G1570" s="23" t="n">
        <x:v>300.8505487651564</x:v>
      </x:c>
      <x:c r="H1570" s="23" t="n">
        <x:v>14.045627737417817</x:v>
      </x:c>
      <x:c r="I1570" s="23" t="n">
        <x:v>0.846328111619223</x:v>
      </x:c>
      <x:c r="J1570" s="23" t="n">
        <x:v>6</x:v>
      </x:c>
      <x:c r="K1570" s="23" t="n">
        <x:v>198.2615210743629</x:v>
      </x:c>
      <x:c r="L1570" s="23" t="n">
        <x:v>13200</x:v>
      </x:c>
      <x:c r="M1570" s="23" t="n">
        <x:v>1200</x:v>
      </x:c>
      <x:c r="N1570" s="23" t="n">
        <x:v>250.00087487929412</x:v>
      </x:c>
      <x:c r="O1570" s="23" t="n">
        <x:v>2504.2311567631664</x:v>
      </x:c>
      <x:c r="P1570" s="23" t="n">
        <x:v>1006.7657924257219</x:v>
      </x:c>
      <x:c r="Q1570" s="23" t="n">
        <x:v>251.84129194747044</x:v>
      </x:c>
      <x:c r="R1570" s="23" t="n">
        <x:v>2552.664856183289</x:v>
      </x:c>
      <x:c r="S1570" s="23" t="n">
        <x:v>1006.7448779820367</x:v>
      </x:c>
      <x:c r="T1570" s="23" t="n">
        <x:v>1.840417068176322</x:v>
      </x:c>
      <x:c r="U1570" s="23" t="n">
        <x:v>48.43369942012259</x:v>
      </x:c>
      <x:c r="V1570" s="23" t="n">
        <x:v>-0.020914443685228434</x:v>
      </x:c>
    </x:row>
    <x:row r="1571">
      <x:c r="A1571" s="23" t="n">
        <x:v>1570</x:v>
      </x:c>
      <x:c r="B1571" s="23" t="str">
        <x:v>Train</x:v>
      </x:c>
      <x:c r="C1571" s="23" t="str">
        <x:v>Switching</x:v>
      </x:c>
      <x:c r="D1571" s="23" t="n">
        <x:v>1093.5676978551783</x:v>
      </x:c>
      <x:c r="E1571" s="23" t="n">
        <x:v>633.2912083016708</x:v>
      </x:c>
      <x:c r="F1571" s="23" t="n">
        <x:v>597.3492437042296</x:v>
      </x:c>
      <x:c r="G1571" s="23" t="n">
        <x:v>263.93998243846</x:v>
      </x:c>
      <x:c r="H1571" s="23" t="n">
        <x:v>8.729112633038312</x:v>
      </x:c>
      <x:c r="I1571" s="23" t="n">
        <x:v>0.7944513747701422</x:v>
      </x:c>
      <x:c r="J1571" s="23" t="n">
        <x:v>7</x:v>
      </x:c>
      <x:c r="K1571" s="23" t="n">
        <x:v>196.64382465403145</x:v>
      </x:c>
      <x:c r="L1571" s="23" t="n">
        <x:v>14310</x:v>
      </x:c>
      <x:c r="M1571" s="23" t="n">
        <x:v>1200</x:v>
      </x:c>
      <x:c r="N1571" s="23" t="n">
        <x:v>250.0194258484583</x:v>
      </x:c>
      <x:c r="O1571" s="23" t="n">
        <x:v>2503.5002516249874</x:v>
      </x:c>
      <x:c r="P1571" s="23" t="n">
        <x:v>1093.5676978551783</x:v>
      </x:c>
      <x:c r="Q1571" s="23" t="n">
        <x:v>248.89399581098368</x:v>
      </x:c>
      <x:c r="R1571" s="23" t="n">
        <x:v>2515.937360272913</x:v>
      </x:c>
      <x:c r="S1571" s="23" t="n">
        <x:v>1107.7226141043818</x:v>
      </x:c>
      <x:c r="T1571" s="23" t="n">
        <x:v>-1.1254300374746151</x:v>
      </x:c>
      <x:c r="U1571" s="23" t="n">
        <x:v>12.43710864792547</x:v>
      </x:c>
      <x:c r="V1571" s="23" t="n">
        <x:v>14.154916249203552</x:v>
      </x:c>
    </x:row>
    <x:row r="1572">
      <x:c r="A1572" s="23" t="n">
        <x:v>1571</x:v>
      </x:c>
      <x:c r="B1572" s="23" t="str">
        <x:v>Train</x:v>
      </x:c>
      <x:c r="C1572" s="23" t="str">
        <x:v>Switching</x:v>
      </x:c>
      <x:c r="D1572" s="23" t="n">
        <x:v>979.5035362010822</x:v>
      </x:c>
      <x:c r="E1572" s="23" t="n">
        <x:v>639.0229763113894</x:v>
      </x:c>
      <x:c r="F1572" s="23" t="n">
        <x:v>579.5931678265333</x:v>
      </x:c>
      <x:c r="G1572" s="23" t="n">
        <x:v>118.81478094263002</x:v>
      </x:c>
      <x:c r="H1572" s="23" t="n">
        <x:v>28.439366151578724</x:v>
      </x:c>
      <x:c r="I1572" s="23" t="n">
        <x:v>0.8127084835688584</x:v>
      </x:c>
      <x:c r="J1572" s="23" t="n">
        <x:v>7</x:v>
      </x:c>
      <x:c r="K1572" s="23" t="n">
        <x:v>172.1762223838024</x:v>
      </x:c>
      <x:c r="L1572" s="23" t="n">
        <x:v>15990</x:v>
      </x:c>
      <x:c r="M1572" s="23" t="n">
        <x:v>1200</x:v>
      </x:c>
      <x:c r="N1572" s="23" t="n">
        <x:v>249.99726494693815</x:v>
      </x:c>
      <x:c r="O1572" s="23" t="n">
        <x:v>2502.585452901079</x:v>
      </x:c>
      <x:c r="P1572" s="23" t="n">
        <x:v>979.5035362010822</x:v>
      </x:c>
      <x:c r="Q1572" s="23" t="n">
        <x:v>248.00465128518354</x:v>
      </x:c>
      <x:c r="R1572" s="23" t="n">
        <x:v>2501.1940280856347</x:v>
      </x:c>
      <x:c r="S1572" s="23" t="n">
        <x:v>976.543783875037</x:v>
      </x:c>
      <x:c r="T1572" s="23" t="n">
        <x:v>-1.9926136617546035</x:v>
      </x:c>
      <x:c r="U1572" s="23" t="n">
        <x:v>-1.3914248154442248</x:v>
      </x:c>
      <x:c r="V1572" s="23" t="n">
        <x:v>-2.959752326045191</x:v>
      </x:c>
    </x:row>
    <x:row r="1573">
      <x:c r="A1573" s="23" t="n">
        <x:v>1572</x:v>
      </x:c>
      <x:c r="B1573" s="23" t="str">
        <x:v>Train</x:v>
      </x:c>
      <x:c r="C1573" s="23" t="str">
        <x:v>Switching</x:v>
      </x:c>
      <x:c r="D1573" s="23" t="n">
        <x:v>1073.9626328810118</x:v>
      </x:c>
      <x:c r="E1573" s="23" t="n">
        <x:v>1193.2613358367234</x:v>
      </x:c>
      <x:c r="F1573" s="23" t="n">
        <x:v>521.3709565810859</x:v>
      </x:c>
      <x:c r="G1573" s="23" t="n">
        <x:v>164.95645073708147</x:v>
      </x:c>
      <x:c r="H1573" s="23" t="n">
        <x:v>25.17585176927969</x:v>
      </x:c>
      <x:c r="I1573" s="23" t="n">
        <x:v>0.7959174044243992</x:v>
      </x:c>
      <x:c r="J1573" s="23" t="n">
        <x:v>7</x:v>
      </x:c>
      <x:c r="K1573" s="23" t="n">
        <x:v>192.76275705978608</x:v>
      </x:c>
      <x:c r="L1573" s="23" t="n">
        <x:v>11380</x:v>
      </x:c>
      <x:c r="M1573" s="23" t="n">
        <x:v>1195</x:v>
      </x:c>
      <x:c r="N1573" s="23" t="n">
        <x:v>250.0464853325209</x:v>
      </x:c>
      <x:c r="O1573" s="23" t="n">
        <x:v>2495.3008725666878</x:v>
      </x:c>
      <x:c r="P1573" s="23" t="n">
        <x:v>1073.9626328810118</x:v>
      </x:c>
      <x:c r="Q1573" s="23" t="n">
        <x:v>251.82321146416317</x:v>
      </x:c>
      <x:c r="R1573" s="23" t="n">
        <x:v>2537.7797483169084</x:v>
      </x:c>
      <x:c r="S1573" s="23" t="n">
        <x:v>1060.8404027445808</x:v>
      </x:c>
      <x:c r="T1573" s="23" t="n">
        <x:v>1.7767261316422776</x:v>
      </x:c>
      <x:c r="U1573" s="23" t="n">
        <x:v>42.478875750220595</x:v>
      </x:c>
      <x:c r="V1573" s="23" t="n">
        <x:v>-13.122230136430971</x:v>
      </x:c>
    </x:row>
    <x:row r="1574">
      <x:c r="A1574" s="23" t="n">
        <x:v>1573</x:v>
      </x:c>
      <x:c r="B1574" s="23" t="str">
        <x:v>Train</x:v>
      </x:c>
      <x:c r="C1574" s="23" t="str">
        <x:v>Switching</x:v>
      </x:c>
      <x:c r="D1574" s="23" t="n">
        <x:v>1016.5766722057015</x:v>
      </x:c>
      <x:c r="E1574" s="23" t="n">
        <x:v>906.4246950554661</x:v>
      </x:c>
      <x:c r="F1574" s="23" t="n">
        <x:v>730.9116197749972</x:v>
      </x:c>
      <x:c r="G1574" s="23" t="n">
        <x:v>210.20822900580242</x:v>
      </x:c>
      <x:c r="H1574" s="23" t="n">
        <x:v>22.20345313102007</x:v>
      </x:c>
      <x:c r="I1574" s="23" t="n">
        <x:v>0.8409612936736085</x:v>
      </x:c>
      <x:c r="J1574" s="23" t="n">
        <x:v>7</x:v>
      </x:c>
      <x:c r="K1574" s="23" t="n">
        <x:v>172.68956369220624</x:v>
      </x:c>
      <x:c r="L1574" s="23" t="n">
        <x:v>11575</x:v>
      </x:c>
      <x:c r="M1574" s="23" t="n">
        <x:v>1195</x:v>
      </x:c>
      <x:c r="N1574" s="23" t="n">
        <x:v>249.99505747084854</x:v>
      </x:c>
      <x:c r="O1574" s="23" t="n">
        <x:v>2495.1151141056685</x:v>
      </x:c>
      <x:c r="P1574" s="23" t="n">
        <x:v>1016.5766722057015</x:v>
      </x:c>
      <x:c r="Q1574" s="23" t="n">
        <x:v>248.67947540349607</x:v>
      </x:c>
      <x:c r="R1574" s="23" t="n">
        <x:v>2466.6948275351383</x:v>
      </x:c>
      <x:c r="S1574" s="23" t="n">
        <x:v>1010.3732631880698</x:v>
      </x:c>
      <x:c r="T1574" s="23" t="n">
        <x:v>-1.3155820673524659</x:v>
      </x:c>
      <x:c r="U1574" s="23" t="n">
        <x:v>-28.420286570530152</x:v>
      </x:c>
      <x:c r="V1574" s="23" t="n">
        <x:v>-6.203409017631657</x:v>
      </x:c>
    </x:row>
    <x:row r="1575">
      <x:c r="A1575" s="23" t="n">
        <x:v>1574</x:v>
      </x:c>
      <x:c r="B1575" s="23" t="str">
        <x:v>Train</x:v>
      </x:c>
      <x:c r="C1575" s="23" t="str">
        <x:v>Switching</x:v>
      </x:c>
      <x:c r="D1575" s="23" t="n">
        <x:v>1074.3295068969019</x:v>
      </x:c>
      <x:c r="E1575" s="23" t="n">
        <x:v>634.1369665926322</x:v>
      </x:c>
      <x:c r="F1575" s="23" t="n">
        <x:v>527.0841744728386</x:v>
      </x:c>
      <x:c r="G1575" s="23" t="n">
        <x:v>286.213494297117</x:v>
      </x:c>
      <x:c r="H1575" s="23" t="n">
        <x:v>14.653847365174443</x:v>
      </x:c>
      <x:c r="I1575" s="23" t="n">
        <x:v>0.8487968576094136</x:v>
      </x:c>
      <x:c r="J1575" s="23" t="n">
        <x:v>7</x:v>
      </x:c>
      <x:c r="K1575" s="23" t="n">
        <x:v>180.81551842059085</x:v>
      </x:c>
      <x:c r="L1575" s="23" t="n">
        <x:v>14775</x:v>
      </x:c>
      <x:c r="M1575" s="23" t="n">
        <x:v>1200</x:v>
      </x:c>
      <x:c r="N1575" s="23" t="n">
        <x:v>250.00084412996867</x:v>
      </x:c>
      <x:c r="O1575" s="23" t="n">
        <x:v>2503.2258064993725</x:v>
      </x:c>
      <x:c r="P1575" s="23" t="n">
        <x:v>1074.3295068969019</x:v>
      </x:c>
      <x:c r="Q1575" s="23" t="n">
        <x:v>250.23132746007343</x:v>
      </x:c>
      <x:c r="R1575" s="23" t="n">
        <x:v>2448.5906794349935</x:v>
      </x:c>
      <x:c r="S1575" s="23" t="n">
        <x:v>1084.311252128713</x:v>
      </x:c>
      <x:c r="T1575" s="23" t="n">
        <x:v>0.23048333010476085</x:v>
      </x:c>
      <x:c r="U1575" s="23" t="n">
        <x:v>-54.63512706437905</x:v>
      </x:c>
      <x:c r="V1575" s="23" t="n">
        <x:v>9.981745231811146</x:v>
      </x:c>
    </x:row>
    <x:row r="1576">
      <x:c r="A1576" s="23" t="n">
        <x:v>1575</x:v>
      </x:c>
      <x:c r="B1576" s="23" t="str">
        <x:v>Validation</x:v>
      </x:c>
      <x:c r="C1576" s="23" t="str">
        <x:v>Switching</x:v>
      </x:c>
      <x:c r="D1576" s="23" t="n">
        <x:v>1056.009618495591</x:v>
      </x:c>
      <x:c r="E1576" s="23" t="n">
        <x:v>797.758467879612</x:v>
      </x:c>
      <x:c r="F1576" s="23" t="n">
        <x:v>606.733226776123</x:v>
      </x:c>
      <x:c r="G1576" s="23" t="n">
        <x:v>185.4541970952414</x:v>
      </x:c>
      <x:c r="H1576" s="23" t="n">
        <x:v>26.166451591067016</x:v>
      </x:c>
      <x:c r="I1576" s="23" t="n">
        <x:v>0.7964530970877968</x:v>
      </x:c>
      <x:c r="J1576" s="23" t="n">
        <x:v>7</x:v>
      </x:c>
      <x:c r="K1576" s="23" t="n">
        <x:v>189.41293276346155</x:v>
      </x:c>
      <x:c r="L1576" s="23" t="n">
        <x:v>13450</x:v>
      </x:c>
      <x:c r="M1576" s="23" t="n">
        <x:v>1200</x:v>
      </x:c>
      <x:c r="N1576" s="23" t="n">
        <x:v>249.98856769656655</x:v>
      </x:c>
      <x:c r="O1576" s="23" t="n">
        <x:v>2504.0553930250608</x:v>
      </x:c>
      <x:c r="P1576" s="23" t="n">
        <x:v>1056.009618495591</x:v>
      </x:c>
      <x:c r="Q1576" s="23" t="n">
        <x:v>251.350308973064</x:v>
      </x:c>
      <x:c r="R1576" s="23" t="n">
        <x:v>2458.671755634828</x:v>
      </x:c>
      <x:c r="S1576" s="23" t="n">
        <x:v>1051.9755500224667</x:v>
      </x:c>
      <x:c r="T1576" s="23" t="n">
        <x:v>1.3617412764974404</x:v>
      </x:c>
      <x:c r="U1576" s="23" t="n">
        <x:v>-45.38363739023271</x:v>
      </x:c>
      <x:c r="V1576" s="23" t="n">
        <x:v>-4.034068473124307</x:v>
      </x:c>
    </x:row>
    <x:row r="1577">
      <x:c r="A1577" s="23" t="n">
        <x:v>1576</x:v>
      </x:c>
      <x:c r="B1577" s="23" t="str">
        <x:v>Validation</x:v>
      </x:c>
      <x:c r="C1577" s="23" t="str">
        <x:v>Switching</x:v>
      </x:c>
      <x:c r="D1577" s="23" t="n">
        <x:v>986.1239210586064</x:v>
      </x:c>
      <x:c r="E1577" s="23" t="n">
        <x:v>838.8111815787852</x:v>
      </x:c>
      <x:c r="F1577" s="23" t="n">
        <x:v>648.7456060014665</x:v>
      </x:c>
      <x:c r="G1577" s="23" t="n">
        <x:v>95.16048761550337</x:v>
      </x:c>
      <x:c r="H1577" s="23" t="n">
        <x:v>14.130536628421396</x:v>
      </x:c>
      <x:c r="I1577" s="23" t="n">
        <x:v>0.792147468039766</x:v>
      </x:c>
      <x:c r="J1577" s="23" t="n">
        <x:v>7</x:v>
      </x:c>
      <x:c r="K1577" s="23" t="n">
        <x:v>177.83916701030628</x:v>
      </x:c>
      <x:c r="L1577" s="23" t="n">
        <x:v>13510</x:v>
      </x:c>
      <x:c r="M1577" s="23" t="n">
        <x:v>1200</x:v>
      </x:c>
      <x:c r="N1577" s="23" t="n">
        <x:v>249.96185834605458</x:v>
      </x:c>
      <x:c r="O1577" s="23" t="n">
        <x:v>2504.0133138023693</x:v>
      </x:c>
      <x:c r="P1577" s="23" t="n">
        <x:v>986.1239210586064</x:v>
      </x:c>
      <x:c r="Q1577" s="23" t="n">
        <x:v>252.28105846680896</x:v>
      </x:c>
      <x:c r="R1577" s="23" t="n">
        <x:v>2491.206531659623</x:v>
      </x:c>
      <x:c r="S1577" s="23" t="n">
        <x:v>995.4937501006211</x:v>
      </x:c>
      <x:c r="T1577" s="23" t="n">
        <x:v>2.319200120754374</x:v>
      </x:c>
      <x:c r="U1577" s="23" t="n">
        <x:v>-12.806782142746215</x:v>
      </x:c>
      <x:c r="V1577" s="23" t="n">
        <x:v>9.369829042014771</x:v>
      </x:c>
    </x:row>
    <x:row r="1578">
      <x:c r="A1578" s="23" t="n">
        <x:v>1577</x:v>
      </x:c>
      <x:c r="B1578" s="23" t="str">
        <x:v>Validation</x:v>
      </x:c>
      <x:c r="C1578" s="23" t="str">
        <x:v>Switching</x:v>
      </x:c>
      <x:c r="D1578" s="23" t="n">
        <x:v>1034.7065953537822</x:v>
      </x:c>
      <x:c r="E1578" s="23" t="n">
        <x:v>734.5129508874379</x:v>
      </x:c>
      <x:c r="F1578" s="23" t="n">
        <x:v>364.1662122681737</x:v>
      </x:c>
      <x:c r="G1578" s="23" t="n">
        <x:v>148.0642943480052</x:v>
      </x:c>
      <x:c r="H1578" s="23" t="n">
        <x:v>10.513861378654838</x:v>
      </x:c>
      <x:c r="I1578" s="23" t="n">
        <x:v>0.8291516390559264</x:v>
      </x:c>
      <x:c r="J1578" s="23" t="n">
        <x:v>7</x:v>
      </x:c>
      <x:c r="K1578" s="23" t="n">
        <x:v>178.27285257011113</x:v>
      </x:c>
      <x:c r="L1578" s="23" t="n">
        <x:v>17155</x:v>
      </x:c>
      <x:c r="M1578" s="23" t="n">
        <x:v>1200</x:v>
      </x:c>
      <x:c r="N1578" s="23" t="n">
        <x:v>250.02454688537028</x:v>
      </x:c>
      <x:c r="O1578" s="23" t="n">
        <x:v>2502.05754301482</x:v>
      </x:c>
      <x:c r="P1578" s="23" t="n">
        <x:v>1034.7065953537822</x:v>
      </x:c>
      <x:c r="Q1578" s="23" t="n">
        <x:v>248.3177849870089</x:v>
      </x:c>
      <x:c r="R1578" s="23" t="n">
        <x:v>2512.497992781976</x:v>
      </x:c>
      <x:c r="S1578" s="23" t="n">
        <x:v>1047.9601425112103</x:v>
      </x:c>
      <x:c r="T1578" s="23" t="n">
        <x:v>-1.7067618983613784</x:v>
      </x:c>
      <x:c r="U1578" s="23" t="n">
        <x:v>10.44044976715577</x:v>
      </x:c>
      <x:c r="V1578" s="23" t="n">
        <x:v>13.253547157428102</x:v>
      </x:c>
    </x:row>
    <x:row r="1579">
      <x:c r="A1579" s="23" t="n">
        <x:v>1578</x:v>
      </x:c>
      <x:c r="B1579" s="23" t="str">
        <x:v>Hidden Test</x:v>
      </x:c>
      <x:c r="C1579" s="23" t="str">
        <x:v>Switching</x:v>
      </x:c>
      <x:c r="D1579" s="23" t="n">
        <x:v>1039.3589463667013</x:v>
      </x:c>
      <x:c r="E1579" s="23" t="n">
        <x:v>970.9819939220324</x:v>
      </x:c>
      <x:c r="F1579" s="23" t="n">
        <x:v>661.9244636036456</x:v>
      </x:c>
      <x:c r="G1579" s="23" t="n">
        <x:v>181.37940454296768</x:v>
      </x:c>
      <x:c r="H1579" s="23" t="n">
        <x:v>17.888021130580455</x:v>
      </x:c>
      <x:c r="I1579" s="23" t="n">
        <x:v>0.8013459653826431</x:v>
      </x:c>
      <x:c r="J1579" s="23" t="n">
        <x:v>7</x:v>
      </x:c>
      <x:c r="K1579" s="23" t="n">
        <x:v>185.28807268663056</x:v>
      </x:c>
      <x:c r="L1579" s="23" t="n">
        <x:v>11785</x:v>
      </x:c>
      <x:c r="M1579" s="23" t="n">
        <x:v>1195</x:v>
      </x:c>
      <x:c r="N1579" s="23" t="n">
        <x:v>249.94853800772344</x:v>
      </x:c>
      <x:c r="O1579" s="23" t="n">
        <x:v>2494.922315356689</x:v>
      </x:c>
      <x:c r="P1579" s="23" t="n">
        <x:v>1039.3589463667013</x:v>
      </x:c>
      <x:c r="Q1579" s="23" t="n">
        <x:v>249.13498999441472</x:v>
      </x:c>
      <x:c r="R1579" s="23" t="n">
        <x:v>2504.6790600537356</x:v>
      </x:c>
      <x:c r="S1579" s="23" t="n">
        <x:v>1033.589944730575</x:v>
      </x:c>
      <x:c r="T1579" s="23" t="n">
        <x:v>-0.8135480133087185</x:v>
      </x:c>
      <x:c r="U1579" s="23" t="n">
        <x:v>9.756744697046543</x:v>
      </x:c>
      <x:c r="V1579" s="23" t="n">
        <x:v>-5.769001636126177</x:v>
      </x:c>
    </x:row>
    <x:row r="1580">
      <x:c r="A1580" s="23" t="n">
        <x:v>1579</x:v>
      </x:c>
      <x:c r="B1580" s="23" t="str">
        <x:v>Hidden Test</x:v>
      </x:c>
      <x:c r="C1580" s="23" t="str">
        <x:v>Switching</x:v>
      </x:c>
      <x:c r="D1580" s="23" t="n">
        <x:v>1006.074286880903</x:v>
      </x:c>
      <x:c r="E1580" s="23" t="n">
        <x:v>763.7160672456957</x:v>
      </x:c>
      <x:c r="F1580" s="23" t="n">
        <x:v>590.1700455695391</x:v>
      </x:c>
      <x:c r="G1580" s="23" t="n">
        <x:v>292.2055163490586</x:v>
      </x:c>
      <x:c r="H1580" s="23" t="n">
        <x:v>25.258376077748835</x:v>
      </x:c>
      <x:c r="I1580" s="23" t="n">
        <x:v>0.8524728054436855</x:v>
      </x:c>
      <x:c r="J1580" s="23" t="n">
        <x:v>6</x:v>
      </x:c>
      <x:c r="K1580" s="23" t="n">
        <x:v>196.6972397743669</x:v>
      </x:c>
      <x:c r="L1580" s="23" t="n">
        <x:v>15155</x:v>
      </x:c>
      <x:c r="M1580" s="23" t="n">
        <x:v>1200</x:v>
      </x:c>
      <x:c r="N1580" s="23" t="n">
        <x:v>249.96469663406816</x:v>
      </x:c>
      <x:c r="O1580" s="23" t="n">
        <x:v>2503.0133387928777</x:v>
      </x:c>
      <x:c r="P1580" s="23" t="n">
        <x:v>1006.074286880903</x:v>
      </x:c>
      <x:c r="Q1580" s="23" t="n">
        <x:v>249.5863115582204</x:v>
      </x:c>
      <x:c r="R1580" s="23" t="n">
        <x:v>2503.449465947355</x:v>
      </x:c>
      <x:c r="S1580" s="23" t="n">
        <x:v>998.065802795088</x:v>
      </x:c>
      <x:c r="T1580" s="23" t="n">
        <x:v>-0.37838507584777403</x:v>
      </x:c>
      <x:c r="U1580" s="23" t="n">
        <x:v>0.43612715447716255</x:v>
      </x:c>
      <x:c r="V1580" s="23" t="n">
        <x:v>-8.008484085814985</x:v>
      </x:c>
    </x:row>
    <x:row r="1581">
      <x:c r="A1581" s="23" t="n">
        <x:v>1580</x:v>
      </x:c>
      <x:c r="B1581" s="23" t="str">
        <x:v>Hidden Test</x:v>
      </x:c>
      <x:c r="C1581" s="23" t="str">
        <x:v>Switching</x:v>
      </x:c>
      <x:c r="D1581" s="23" t="n">
        <x:v>1052.2288991487585</x:v>
      </x:c>
      <x:c r="E1581" s="23" t="n">
        <x:v>789.6517270710319</x:v>
      </x:c>
      <x:c r="F1581" s="23" t="n">
        <x:v>685.0443641655147</x:v>
      </x:c>
      <x:c r="G1581" s="23" t="n">
        <x:v>214.18112031649798</x:v>
      </x:c>
      <x:c r="H1581" s="23" t="n">
        <x:v>20.171439457219094</x:v>
      </x:c>
      <x:c r="I1581" s="23" t="n">
        <x:v>0.7978146186843514</x:v>
      </x:c>
      <x:c r="J1581" s="23" t="n">
        <x:v>7</x:v>
      </x:c>
      <x:c r="K1581" s="23" t="n">
        <x:v>188.41270972446364</x:v>
      </x:c>
      <x:c r="L1581" s="23" t="n">
        <x:v>12665</x:v>
      </x:c>
      <x:c r="M1581" s="23" t="n">
        <x:v>1200</x:v>
      </x:c>
      <x:c r="N1581" s="23" t="n">
        <x:v>250.0452483106376</x:v>
      </x:c>
      <x:c r="O1581" s="23" t="n">
        <x:v>2504.631292023893</x:v>
      </x:c>
      <x:c r="P1581" s="23" t="n">
        <x:v>1052.2288991487585</x:v>
      </x:c>
      <x:c r="Q1581" s="23" t="n">
        <x:v>250.1708013366927</x:v>
      </x:c>
      <x:c r="R1581" s="23" t="n">
        <x:v>2454.1791007718452</x:v>
      </x:c>
      <x:c r="S1581" s="23" t="n">
        <x:v>1055.8829285910945</x:v>
      </x:c>
      <x:c r="T1581" s="23" t="n">
        <x:v>0.12555302605511542</x:v>
      </x:c>
      <x:c r="U1581" s="23" t="n">
        <x:v>-50.45219125204767</x:v>
      </x:c>
      <x:c r="V1581" s="23" t="n">
        <x:v>3.6540294423359683</x:v>
      </x:c>
    </x:row>
    <x:row r="1582">
      <x:c r="A1582" s="23" t="n">
        <x:v>1581</x:v>
      </x:c>
      <x:c r="B1582" s="23" t="str">
        <x:v>Train</x:v>
      </x:c>
      <x:c r="C1582" s="23" t="str">
        <x:v>Switching</x:v>
      </x:c>
      <x:c r="D1582" s="23" t="n">
        <x:v>1049.9594134744257</x:v>
      </x:c>
      <x:c r="E1582" s="23" t="n">
        <x:v>721.8694287235849</x:v>
      </x:c>
      <x:c r="F1582" s="23" t="n">
        <x:v>512.6401891931891</x:v>
      </x:c>
      <x:c r="G1582" s="23" t="n">
        <x:v>302.08998893620446</x:v>
      </x:c>
      <x:c r="H1582" s="23" t="n">
        <x:v>21.010890547186136</x:v>
      </x:c>
      <x:c r="I1582" s="23" t="n">
        <x:v>0.8020322058373132</x:v>
      </x:c>
      <x:c r="J1582" s="23" t="n">
        <x:v>7</x:v>
      </x:c>
      <x:c r="K1582" s="23" t="n">
        <x:v>187.01767938149763</x:v>
      </x:c>
      <x:c r="L1582" s="23" t="n">
        <x:v>13920</x:v>
      </x:c>
      <x:c r="M1582" s="23" t="n">
        <x:v>1200</x:v>
      </x:c>
      <x:c r="N1582" s="23" t="n">
        <x:v>250.0433138303787</x:v>
      </x:c>
      <x:c r="O1582" s="23" t="n">
        <x:v>2503.7448536314128</x:v>
      </x:c>
      <x:c r="P1582" s="23" t="n">
        <x:v>1049.9594134744257</x:v>
      </x:c>
      <x:c r="Q1582" s="23" t="n">
        <x:v>247.36673570257838</x:v>
      </x:c>
      <x:c r="R1582" s="23" t="n">
        <x:v>2514.5636149318852</x:v>
      </x:c>
      <x:c r="S1582" s="23" t="n">
        <x:v>1050.4562541244015</x:v>
      </x:c>
      <x:c r="T1582" s="23" t="n">
        <x:v>-2.676578127800326</x:v>
      </x:c>
      <x:c r="U1582" s="23" t="n">
        <x:v>10.818761300472488</x:v>
      </x:c>
      <x:c r="V1582" s="23" t="n">
        <x:v>0.49684064997586574</x:v>
      </x:c>
    </x:row>
    <x:row r="1583">
      <x:c r="A1583" s="23" t="n">
        <x:v>1582</x:v>
      </x:c>
      <x:c r="B1583" s="23" t="str">
        <x:v>Train</x:v>
      </x:c>
      <x:c r="C1583" s="23" t="str">
        <x:v>Switching</x:v>
      </x:c>
      <x:c r="D1583" s="23" t="n">
        <x:v>1023.2830127817579</x:v>
      </x:c>
      <x:c r="E1583" s="23" t="n">
        <x:v>999.7965895337984</x:v>
      </x:c>
      <x:c r="F1583" s="23" t="n">
        <x:v>517.1618019230664</x:v>
      </x:c>
      <x:c r="G1583" s="23" t="n">
        <x:v>262.98323825001717</x:v>
      </x:c>
      <x:c r="H1583" s="23" t="n">
        <x:v>28.562529067043215</x:v>
      </x:c>
      <x:c r="I1583" s="23" t="n">
        <x:v>0.8501007766230032</x:v>
      </x:c>
      <x:c r="J1583" s="23" t="n">
        <x:v>7</x:v>
      </x:c>
      <x:c r="K1583" s="23" t="n">
        <x:v>171.95995058486986</x:v>
      </x:c>
      <x:c r="L1583" s="23" t="n">
        <x:v>12015</x:v>
      </x:c>
      <x:c r="M1583" s="23" t="n">
        <x:v>1200</x:v>
      </x:c>
      <x:c r="N1583" s="23" t="n">
        <x:v>250.0030335057373</x:v>
      </x:c>
      <x:c r="O1583" s="23" t="n">
        <x:v>2505.1613962148494</x:v>
      </x:c>
      <x:c r="P1583" s="23" t="n">
        <x:v>1023.2830127817579</x:v>
      </x:c>
      <x:c r="Q1583" s="23" t="n">
        <x:v>248.3234698178965</x:v>
      </x:c>
      <x:c r="R1583" s="23" t="n">
        <x:v>2520.873444280062</x:v>
      </x:c>
      <x:c r="S1583" s="23" t="n">
        <x:v>1008.5036109065795</x:v>
      </x:c>
      <x:c r="T1583" s="23" t="n">
        <x:v>-1.6795636878408118</x:v>
      </x:c>
      <x:c r="U1583" s="23" t="n">
        <x:v>15.712048065212457</x:v>
      </x:c>
      <x:c r="V1583" s="23" t="n">
        <x:v>-14.779401875178337</x:v>
      </x:c>
    </x:row>
    <x:row r="1584">
      <x:c r="A1584" s="23" t="n">
        <x:v>1583</x:v>
      </x:c>
      <x:c r="B1584" s="23" t="str">
        <x:v>Train</x:v>
      </x:c>
      <x:c r="C1584" s="23" t="str">
        <x:v>Switching</x:v>
      </x:c>
      <x:c r="D1584" s="23" t="n">
        <x:v>961.8824163684621</x:v>
      </x:c>
      <x:c r="E1584" s="23" t="n">
        <x:v>879.5689449761994</x:v>
      </x:c>
      <x:c r="F1584" s="23" t="n">
        <x:v>566.3573481142521</x:v>
      </x:c>
      <x:c r="G1584" s="23" t="n">
        <x:v>273.3106653741561</x:v>
      </x:c>
      <x:c r="H1584" s="23" t="n">
        <x:v>29.498304112814367</x:v>
      </x:c>
      <x:c r="I1584" s="23" t="n">
        <x:v>0.8467855200706982</x:v>
      </x:c>
      <x:c r="J1584" s="23" t="n">
        <x:v>6</x:v>
      </x:c>
      <x:c r="K1584" s="23" t="n">
        <x:v>189.32035593620654</x:v>
      </x:c>
      <x:c r="L1584" s="23" t="n">
        <x:v>14510</x:v>
      </x:c>
      <x:c r="M1584" s="23" t="n">
        <x:v>1200</x:v>
      </x:c>
      <x:c r="N1584" s="23" t="n">
        <x:v>249.96091253953398</x:v>
      </x:c>
      <x:c r="O1584" s="23" t="n">
        <x:v>2503.378304727955</x:v>
      </x:c>
      <x:c r="P1584" s="23" t="n">
        <x:v>961.8824163684621</x:v>
      </x:c>
      <x:c r="Q1584" s="23" t="n">
        <x:v>246.50343587757413</x:v>
      </x:c>
      <x:c r="R1584" s="23" t="n">
        <x:v>2509.763301113259</x:v>
      </x:c>
      <x:c r="S1584" s="23" t="n">
        <x:v>952.6592718373721</x:v>
      </x:c>
      <x:c r="T1584" s="23" t="n">
        <x:v>-3.457476661959845</x:v>
      </x:c>
      <x:c r="U1584" s="23" t="n">
        <x:v>6.384996385304021</x:v>
      </x:c>
      <x:c r="V1584" s="23" t="n">
        <x:v>-9.223144531090043</x:v>
      </x:c>
    </x:row>
    <x:row r="1585">
      <x:c r="A1585" s="23" t="n">
        <x:v>1584</x:v>
      </x:c>
      <x:c r="B1585" s="23" t="str">
        <x:v>Train</x:v>
      </x:c>
      <x:c r="C1585" s="23" t="str">
        <x:v>Switching</x:v>
      </x:c>
      <x:c r="D1585" s="23" t="n">
        <x:v>1034.2093083891086</x:v>
      </x:c>
      <x:c r="E1585" s="23" t="n">
        <x:v>1182.6451668515801</x:v>
      </x:c>
      <x:c r="F1585" s="23" t="n">
        <x:v>534.4909592531621</x:v>
      </x:c>
      <x:c r="G1585" s="23" t="n">
        <x:v>272.7362867863849</x:v>
      </x:c>
      <x:c r="H1585" s="23" t="n">
        <x:v>23.556648844387382</x:v>
      </x:c>
      <x:c r="I1585" s="23" t="n">
        <x:v>0.8476265432592481</x:v>
      </x:c>
      <x:c r="J1585" s="23" t="n">
        <x:v>7</x:v>
      </x:c>
      <x:c r="K1585" s="23" t="n">
        <x:v>174.30339822138154</x:v>
      </x:c>
      <x:c r="L1585" s="23" t="n">
        <x:v>10745</x:v>
      </x:c>
      <x:c r="M1585" s="23" t="n">
        <x:v>1195</x:v>
      </x:c>
      <x:c r="N1585" s="23" t="n">
        <x:v>249.9466371894805</x:v>
      </x:c>
      <x:c r="O1585" s="23" t="n">
        <x:v>2495.9401809345472</x:v>
      </x:c>
      <x:c r="P1585" s="23" t="n">
        <x:v>1034.2093083891086</x:v>
      </x:c>
      <x:c r="Q1585" s="23" t="n">
        <x:v>251.96093306161276</x:v>
      </x:c>
      <x:c r="R1585" s="23" t="n">
        <x:v>2514.0331701717646</x:v>
      </x:c>
      <x:c r="S1585" s="23" t="n">
        <x:v>1027.6624229928664</x:v>
      </x:c>
      <x:c r="T1585" s="23" t="n">
        <x:v>2.0142958721322657</x:v>
      </x:c>
      <x:c r="U1585" s="23" t="n">
        <x:v>18.092989237217353</x:v>
      </x:c>
      <x:c r="V1585" s="23" t="n">
        <x:v>-6.54688539624226</x:v>
      </x:c>
    </x:row>
    <x:row r="1586">
      <x:c r="A1586" s="23" t="n">
        <x:v>1585</x:v>
      </x:c>
      <x:c r="B1586" s="23" t="str">
        <x:v>Train</x:v>
      </x:c>
      <x:c r="C1586" s="23" t="str">
        <x:v>Switching</x:v>
      </x:c>
      <x:c r="D1586" s="23" t="n">
        <x:v>1010.0621272809803</x:v>
      </x:c>
      <x:c r="E1586" s="23" t="n">
        <x:v>1023.8978022127412</x:v>
      </x:c>
      <x:c r="F1586" s="23" t="n">
        <x:v>745.4906741157174</x:v>
      </x:c>
      <x:c r="G1586" s="23" t="n">
        <x:v>210.47478353837505</x:v>
      </x:c>
      <x:c r="H1586" s="23" t="n">
        <x:v>16.631586210802197</x:v>
      </x:c>
      <x:c r="I1586" s="23" t="n">
        <x:v>0.7907350984145888</x:v>
      </x:c>
      <x:c r="J1586" s="23" t="n">
        <x:v>7</x:v>
      </x:c>
      <x:c r="K1586" s="23" t="n">
        <x:v>182.48157935682502</x:v>
      </x:c>
      <x:c r="L1586" s="23" t="n">
        <x:v>10800</x:v>
      </x:c>
      <x:c r="M1586" s="23" t="n">
        <x:v>1195</x:v>
      </x:c>
      <x:c r="N1586" s="23" t="n">
        <x:v>249.9621555228599</x:v>
      </x:c>
      <x:c r="O1586" s="23" t="n">
        <x:v>2495.8821584249686</x:v>
      </x:c>
      <x:c r="P1586" s="23" t="n">
        <x:v>1010.0621272809803</x:v>
      </x:c>
      <x:c r="Q1586" s="23" t="n">
        <x:v>249.91767488558733</x:v>
      </x:c>
      <x:c r="R1586" s="23" t="n">
        <x:v>2543.974770015825</x:v>
      </x:c>
      <x:c r="S1586" s="23" t="n">
        <x:v>1006.4453038351829</x:v>
      </x:c>
      <x:c r="T1586" s="23" t="n">
        <x:v>-0.04448063727255658</x:v>
      </x:c>
      <x:c r="U1586" s="23" t="n">
        <x:v>48.09261159085645</x:v>
      </x:c>
      <x:c r="V1586" s="23" t="n">
        <x:v>-3.616823445797422</x:v>
      </x:c>
    </x:row>
    <x:row r="1587">
      <x:c r="A1587" s="23" t="n">
        <x:v>1586</x:v>
      </x:c>
      <x:c r="B1587" s="23" t="str">
        <x:v>Train</x:v>
      </x:c>
      <x:c r="C1587" s="23" t="str">
        <x:v>Switching</x:v>
      </x:c>
      <x:c r="D1587" s="23" t="n">
        <x:v>955.6542016216554</x:v>
      </x:c>
      <x:c r="E1587" s="23" t="n">
        <x:v>1229.9127546371892</x:v>
      </x:c>
      <x:c r="F1587" s="23" t="n">
        <x:v>615.4502459801733</x:v>
      </x:c>
      <x:c r="G1587" s="23" t="n">
        <x:v>245.69833573885262</x:v>
      </x:c>
      <x:c r="H1587" s="23" t="n">
        <x:v>15.155518204439431</x:v>
      </x:c>
      <x:c r="I1587" s="23" t="n">
        <x:v>0.8158768998319283</x:v>
      </x:c>
      <x:c r="J1587" s="23" t="n">
        <x:v>6</x:v>
      </x:c>
      <x:c r="K1587" s="23" t="n">
        <x:v>195.2202597022748</x:v>
      </x:c>
      <x:c r="L1587" s="23" t="n">
        <x:v>11930</x:v>
      </x:c>
      <x:c r="M1587" s="23" t="n">
        <x:v>1195</x:v>
      </x:c>
      <x:c r="N1587" s="23" t="n">
        <x:v>249.9629866447758</x:v>
      </x:c>
      <x:c r="O1587" s="23" t="n">
        <x:v>2494.7950864786994</x:v>
      </x:c>
      <x:c r="P1587" s="23" t="n">
        <x:v>955.6542016216554</x:v>
      </x:c>
      <x:c r="Q1587" s="23" t="n">
        <x:v>251.2624284362699</x:v>
      </x:c>
      <x:c r="R1587" s="23" t="n">
        <x:v>2498.7482459245143</x:v>
      </x:c>
      <x:c r="S1587" s="23" t="n">
        <x:v>951.9627934243485</x:v>
      </x:c>
      <x:c r="T1587" s="23" t="n">
        <x:v>1.2994417914940755</x:v>
      </x:c>
      <x:c r="U1587" s="23" t="n">
        <x:v>3.95315944581489</x:v>
      </x:c>
      <x:c r="V1587" s="23" t="n">
        <x:v>-3.691408197306828</x:v>
      </x:c>
    </x:row>
    <x:row r="1588">
      <x:c r="A1588" s="23" t="n">
        <x:v>1587</x:v>
      </x:c>
      <x:c r="B1588" s="23" t="str">
        <x:v>Train</x:v>
      </x:c>
      <x:c r="C1588" s="23" t="str">
        <x:v>Switching</x:v>
      </x:c>
      <x:c r="D1588" s="23" t="n">
        <x:v>1026.4118430903181</x:v>
      </x:c>
      <x:c r="E1588" s="23" t="n">
        <x:v>1070.2971335151233</x:v>
      </x:c>
      <x:c r="F1588" s="23" t="n">
        <x:v>651.2975033372641</x:v>
      </x:c>
      <x:c r="G1588" s="23" t="n">
        <x:v>155.73103037429973</x:v>
      </x:c>
      <x:c r="H1588" s="23" t="n">
        <x:v>8.206868153996766</x:v>
      </x:c>
      <x:c r="I1588" s="23" t="n">
        <x:v>0.8549330400372855</x:v>
      </x:c>
      <x:c r="J1588" s="23" t="n">
        <x:v>7</x:v>
      </x:c>
      <x:c r="K1588" s="23" t="n">
        <x:v>171.51081597246727</x:v>
      </x:c>
      <x:c r="L1588" s="23" t="n">
        <x:v>11390</x:v>
      </x:c>
      <x:c r="M1588" s="23" t="n">
        <x:v>1195</x:v>
      </x:c>
      <x:c r="N1588" s="23" t="n">
        <x:v>249.9644378712033</x:v>
      </x:c>
      <x:c r="O1588" s="23" t="n">
        <x:v>2495.287753640001</x:v>
      </x:c>
      <x:c r="P1588" s="23" t="n">
        <x:v>1026.4118430903181</x:v>
      </x:c>
      <x:c r="Q1588" s="23" t="n">
        <x:v>252.00724950213987</x:v>
      </x:c>
      <x:c r="R1588" s="23" t="n">
        <x:v>2534.6430115762764</x:v>
      </x:c>
      <x:c r="S1588" s="23" t="n">
        <x:v>1026.4441902808921</x:v>
      </x:c>
      <x:c r="T1588" s="23" t="n">
        <x:v>2.042811630936569</x:v>
      </x:c>
      <x:c r="U1588" s="23" t="n">
        <x:v>39.35525793627539</x:v>
      </x:c>
      <x:c r="V1588" s="23" t="n">
        <x:v>0.032347190574000706</x:v>
      </x:c>
    </x:row>
    <x:row r="1589">
      <x:c r="A1589" s="23" t="n">
        <x:v>1588</x:v>
      </x:c>
      <x:c r="B1589" s="23" t="str">
        <x:v>Train</x:v>
      </x:c>
      <x:c r="C1589" s="23" t="str">
        <x:v>Switching</x:v>
      </x:c>
      <x:c r="D1589" s="23" t="n">
        <x:v>1000.6029920070432</x:v>
      </x:c>
      <x:c r="E1589" s="23" t="n">
        <x:v>732.9497846309096</x:v>
      </x:c>
      <x:c r="F1589" s="23" t="n">
        <x:v>376.8965828232467</x:v>
      </x:c>
      <x:c r="G1589" s="23" t="n">
        <x:v>160.59440867509693</x:v>
      </x:c>
      <x:c r="H1589" s="23" t="n">
        <x:v>27.106287985574454</x:v>
      </x:c>
      <x:c r="I1589" s="23" t="n">
        <x:v>0.8129176300205291</x:v>
      </x:c>
      <x:c r="J1589" s="23" t="n">
        <x:v>7</x:v>
      </x:c>
      <x:c r="K1589" s="23" t="n">
        <x:v>175.83981364609463</x:v>
      </x:c>
      <x:c r="L1589" s="23" t="n">
        <x:v>16835</x:v>
      </x:c>
      <x:c r="M1589" s="23" t="n">
        <x:v>1200</x:v>
      </x:c>
      <x:c r="N1589" s="23" t="n">
        <x:v>250.02468590799782</x:v>
      </x:c>
      <x:c r="O1589" s="23" t="n">
        <x:v>2502.1954898460035</x:v>
      </x:c>
      <x:c r="P1589" s="23" t="n">
        <x:v>1000.6029920070432</x:v>
      </x:c>
      <x:c r="Q1589" s="23" t="n">
        <x:v>249.42552578398673</x:v>
      </x:c>
      <x:c r="R1589" s="23" t="n">
        <x:v>2498.4840269221872</x:v>
      </x:c>
      <x:c r="S1589" s="23" t="n">
        <x:v>1001.6017172533751</x:v>
      </x:c>
      <x:c r="T1589" s="23" t="n">
        <x:v>-0.5991601240110924</x:v>
      </x:c>
      <x:c r="U1589" s="23" t="n">
        <x:v>-3.7114629238162706</x:v>
      </x:c>
      <x:c r="V1589" s="23" t="n">
        <x:v>0.998725246331901</x:v>
      </x:c>
    </x:row>
    <x:row r="1590">
      <x:c r="A1590" s="23" t="n">
        <x:v>1589</x:v>
      </x:c>
      <x:c r="B1590" s="23" t="str">
        <x:v>Train</x:v>
      </x:c>
      <x:c r="C1590" s="23" t="str">
        <x:v>Switching</x:v>
      </x:c>
      <x:c r="D1590" s="23" t="n">
        <x:v>1023.4196473378688</x:v>
      </x:c>
      <x:c r="E1590" s="23" t="n">
        <x:v>1136.879468697589</x:v>
      </x:c>
      <x:c r="F1590" s="23" t="n">
        <x:v>473.7403301522136</x:v>
      </x:c>
      <x:c r="G1590" s="23" t="n">
        <x:v>184.67112652258947</x:v>
      </x:c>
      <x:c r="H1590" s="23" t="n">
        <x:v>9.398496568202972</x:v>
      </x:c>
      <x:c r="I1590" s="23" t="n">
        <x:v>0.8462980837211944</x:v>
      </x:c>
      <x:c r="J1590" s="23" t="n">
        <x:v>7</x:v>
      </x:c>
      <x:c r="K1590" s="23" t="n">
        <x:v>172.75568688480917</x:v>
      </x:c>
      <x:c r="L1590" s="23" t="n">
        <x:v>11910</x:v>
      </x:c>
      <x:c r="M1590" s="23" t="n">
        <x:v>1195</x:v>
      </x:c>
      <x:c r="N1590" s="23" t="n">
        <x:v>249.95482075733844</x:v>
      </x:c>
      <x:c r="O1590" s="23" t="n">
        <x:v>2494.8122027533827</x:v>
      </x:c>
      <x:c r="P1590" s="23" t="n">
        <x:v>1023.4196473378688</x:v>
      </x:c>
      <x:c r="Q1590" s="23" t="n">
        <x:v>251.57377747270866</x:v>
      </x:c>
      <x:c r="R1590" s="23" t="n">
        <x:v>2482.86225454084</x:v>
      </x:c>
      <x:c r="S1590" s="23" t="n">
        <x:v>1029.0024551507677</x:v>
      </x:c>
      <x:c r="T1590" s="23" t="n">
        <x:v>1.6189567153702171</x:v>
      </x:c>
      <x:c r="U1590" s="23" t="n">
        <x:v>-11.94994821254295</x:v>
      </x:c>
      <x:c r="V1590" s="23" t="n">
        <x:v>5.582807812898864</x:v>
      </x:c>
    </x:row>
    <x:row r="1591">
      <x:c r="A1591" s="23" t="n">
        <x:v>1590</x:v>
      </x:c>
      <x:c r="B1591" s="23" t="str">
        <x:v>Train</x:v>
      </x:c>
      <x:c r="C1591" s="23" t="str">
        <x:v>Switching</x:v>
      </x:c>
      <x:c r="D1591" s="23" t="n">
        <x:v>1034.0553657268174</x:v>
      </x:c>
      <x:c r="E1591" s="23" t="n">
        <x:v>1003.2020488521084</x:v>
      </x:c>
      <x:c r="F1591" s="23" t="n">
        <x:v>407.729069609195</x:v>
      </x:c>
      <x:c r="G1591" s="23" t="n">
        <x:v>313.76152152195573</x:v>
      </x:c>
      <x:c r="H1591" s="23" t="n">
        <x:v>26.095292738173157</x:v>
      </x:c>
      <x:c r="I1591" s="23" t="n">
        <x:v>0.803804327971302</x:v>
      </x:c>
      <x:c r="J1591" s="23" t="n">
        <x:v>7</x:v>
      </x:c>
      <x:c r="K1591" s="23" t="n">
        <x:v>183.7788003414497</x:v>
      </x:c>
      <x:c r="L1591" s="23" t="n">
        <x:v>12400</x:v>
      </x:c>
      <x:c r="M1591" s="23" t="n">
        <x:v>1200</x:v>
      </x:c>
      <x:c r="N1591" s="23" t="n">
        <x:v>250.00517390039042</x:v>
      </x:c>
      <x:c r="O1591" s="23" t="n">
        <x:v>2504.839780795871</x:v>
      </x:c>
      <x:c r="P1591" s="23" t="n">
        <x:v>1034.0553657268174</x:v>
      </x:c>
      <x:c r="Q1591" s="23" t="n">
        <x:v>248.4620904650666</x:v>
      </x:c>
      <x:c r="R1591" s="23" t="n">
        <x:v>2503.180262999569</x:v>
      </x:c>
      <x:c r="S1591" s="23" t="n">
        <x:v>1027.8230064371921</x:v>
      </x:c>
      <x:c r="T1591" s="23" t="n">
        <x:v>-1.5430834353238083</x:v>
      </x:c>
      <x:c r="U1591" s="23" t="n">
        <x:v>-1.6595177963017704</x:v>
      </x:c>
      <x:c r="V1591" s="23" t="n">
        <x:v>-6.232359289625265</x:v>
      </x:c>
    </x:row>
    <x:row r="1592">
      <x:c r="A1592" s="23" t="n">
        <x:v>1591</x:v>
      </x:c>
      <x:c r="B1592" s="23" t="str">
        <x:v>Train</x:v>
      </x:c>
      <x:c r="C1592" s="23" t="str">
        <x:v>Switching</x:v>
      </x:c>
      <x:c r="D1592" s="23" t="n">
        <x:v>999.4801172288135</x:v>
      </x:c>
      <x:c r="E1592" s="23" t="n">
        <x:v>1152.6754422229715</x:v>
      </x:c>
      <x:c r="F1592" s="23" t="n">
        <x:v>653.9448454976082</x:v>
      </x:c>
      <x:c r="G1592" s="23" t="n">
        <x:v>260.2369346260093</x:v>
      </x:c>
      <x:c r="H1592" s="23" t="n">
        <x:v>24.951030920259655</x:v>
      </x:c>
      <x:c r="I1592" s="23" t="n">
        <x:v>0.7961601291946135</x:v>
      </x:c>
      <x:c r="J1592" s="23" t="n">
        <x:v>7</x:v>
      </x:c>
      <x:c r="K1592" s="23" t="n">
        <x:v>179.33939248410746</x:v>
      </x:c>
      <x:c r="L1592" s="23" t="n">
        <x:v>10345</x:v>
      </x:c>
      <x:c r="M1592" s="23" t="n">
        <x:v>1195</x:v>
      </x:c>
      <x:c r="N1592" s="23" t="n">
        <x:v>249.9520670727521</x:v>
      </x:c>
      <x:c r="O1592" s="23" t="n">
        <x:v>2496.3864576407955</x:v>
      </x:c>
      <x:c r="P1592" s="23" t="n">
        <x:v>999.4801172288135</x:v>
      </x:c>
      <x:c r="Q1592" s="23" t="n">
        <x:v>250.94065792217572</x:v>
      </x:c>
      <x:c r="R1592" s="23" t="n">
        <x:v>2506.10014057472</x:v>
      </x:c>
      <x:c r="S1592" s="23" t="n">
        <x:v>985.5302209585707</x:v>
      </x:c>
      <x:c r="T1592" s="23" t="n">
        <x:v>0.9885908494236162</x:v>
      </x:c>
      <x:c r="U1592" s="23" t="n">
        <x:v>9.713682933924702</x:v>
      </x:c>
      <x:c r="V1592" s="23" t="n">
        <x:v>-13.949896270242789</x:v>
      </x:c>
    </x:row>
    <x:row r="1593">
      <x:c r="A1593" s="23" t="n">
        <x:v>1592</x:v>
      </x:c>
      <x:c r="B1593" s="23" t="str">
        <x:v>Train</x:v>
      </x:c>
      <x:c r="C1593" s="23" t="str">
        <x:v>Switching</x:v>
      </x:c>
      <x:c r="D1593" s="23" t="n">
        <x:v>983.4234020556323</x:v>
      </x:c>
      <x:c r="E1593" s="23" t="n">
        <x:v>702.7730050496757</x:v>
      </x:c>
      <x:c r="F1593" s="23" t="n">
        <x:v>405.18430387601256</x:v>
      </x:c>
      <x:c r="G1593" s="23" t="n">
        <x:v>172.39775559399277</x:v>
      </x:c>
      <x:c r="H1593" s="23" t="n">
        <x:v>24.116943394299597</x:v>
      </x:c>
      <x:c r="I1593" s="23" t="n">
        <x:v>0.8485355652589351</x:v>
      </x:c>
      <x:c r="J1593" s="23" t="n">
        <x:v>6</x:v>
      </x:c>
      <x:c r="K1593" s="23" t="n">
        <x:v>193.1609081024073</x:v>
      </x:c>
      <x:c r="L1593" s="23" t="n">
        <x:v>19485</x:v>
      </x:c>
      <x:c r="M1593" s="23" t="n">
        <x:v>1200</x:v>
      </x:c>
      <x:c r="N1593" s="23" t="n">
        <x:v>249.97656931279883</x:v>
      </x:c>
      <x:c r="O1593" s="23" t="n">
        <x:v>2501.1884596299265</x:v>
      </x:c>
      <x:c r="P1593" s="23" t="n">
        <x:v>983.4234020556323</x:v>
      </x:c>
      <x:c r="Q1593" s="23" t="n">
        <x:v>245.766077773222</x:v>
      </x:c>
      <x:c r="R1593" s="23" t="n">
        <x:v>2499.107309785525</x:v>
      </x:c>
      <x:c r="S1593" s="23" t="n">
        <x:v>980.3220080707728</x:v>
      </x:c>
      <x:c r="T1593" s="23" t="n">
        <x:v>-4.210491539576822</x:v>
      </x:c>
      <x:c r="U1593" s="23" t="n">
        <x:v>-2.0811498444013523</x:v>
      </x:c>
      <x:c r="V1593" s="23" t="n">
        <x:v>-3.1013939848595555</x:v>
      </x:c>
    </x:row>
    <x:row r="1594">
      <x:c r="A1594" s="23" t="n">
        <x:v>1593</x:v>
      </x:c>
      <x:c r="B1594" s="23" t="str">
        <x:v>Train</x:v>
      </x:c>
      <x:c r="C1594" s="23" t="str">
        <x:v>Switching</x:v>
      </x:c>
      <x:c r="D1594" s="23" t="n">
        <x:v>982.6957266777754</x:v>
      </x:c>
      <x:c r="E1594" s="23" t="n">
        <x:v>772.7202533162199</x:v>
      </x:c>
      <x:c r="F1594" s="23" t="n">
        <x:v>585.750992782414</x:v>
      </x:c>
      <x:c r="G1594" s="23" t="n">
        <x:v>277.3052104585804</x:v>
      </x:c>
      <x:c r="H1594" s="23" t="n">
        <x:v>9.272089434787631</x:v>
      </x:c>
      <x:c r="I1594" s="23" t="n">
        <x:v>0.8468270668131299</x:v>
      </x:c>
      <x:c r="J1594" s="23" t="n">
        <x:v>6</x:v>
      </x:c>
      <x:c r="K1594" s="23" t="n">
        <x:v>193.40739984767708</x:v>
      </x:c>
      <x:c r="L1594" s="23" t="n">
        <x:v>15255</x:v>
      </x:c>
      <x:c r="M1594" s="23" t="n">
        <x:v>1200</x:v>
      </x:c>
      <x:c r="N1594" s="23" t="n">
        <x:v>250.03698531064984</x:v>
      </x:c>
      <x:c r="O1594" s="23" t="n">
        <x:v>2502.9618702076373</x:v>
      </x:c>
      <x:c r="P1594" s="23" t="n">
        <x:v>982.6957266777754</x:v>
      </x:c>
      <x:c r="Q1594" s="23" t="n">
        <x:v>254.72299288423017</x:v>
      </x:c>
      <x:c r="R1594" s="23" t="n">
        <x:v>2526.420737524285</x:v>
      </x:c>
      <x:c r="S1594" s="23" t="n">
        <x:v>987.042459601299</x:v>
      </x:c>
      <x:c r="T1594" s="23" t="n">
        <x:v>4.686007573580326</x:v>
      </x:c>
      <x:c r="U1594" s="23" t="n">
        <x:v>23.458867316647684</x:v>
      </x:c>
      <x:c r="V1594" s="23" t="n">
        <x:v>4.346732923523632</x:v>
      </x:c>
    </x:row>
    <x:row r="1595">
      <x:c r="A1595" s="23" t="n">
        <x:v>1594</x:v>
      </x:c>
      <x:c r="B1595" s="23" t="str">
        <x:v>Train</x:v>
      </x:c>
      <x:c r="C1595" s="23" t="str">
        <x:v>Switching</x:v>
      </x:c>
      <x:c r="D1595" s="23" t="n">
        <x:v>1035.6323080719449</x:v>
      </x:c>
      <x:c r="E1595" s="23" t="n">
        <x:v>1046.3491497794166</x:v>
      </x:c>
      <x:c r="F1595" s="23" t="n">
        <x:v>578.9112404920161</x:v>
      </x:c>
      <x:c r="G1595" s="23" t="n">
        <x:v>190.6294763740152</x:v>
      </x:c>
      <x:c r="H1595" s="23" t="n">
        <x:v>15.759703677613288</x:v>
      </x:c>
      <x:c r="I1595" s="23" t="n">
        <x:v>0.8025919648306444</x:v>
      </x:c>
      <x:c r="J1595" s="23" t="n">
        <x:v>7</x:v>
      </x:c>
      <x:c r="K1595" s="23" t="n">
        <x:v>184.33709663779766</x:v>
      </x:c>
      <x:c r="L1595" s="23" t="n">
        <x:v>11775</x:v>
      </x:c>
      <x:c r="M1595" s="23" t="n">
        <x:v>1195</x:v>
      </x:c>
      <x:c r="N1595" s="23" t="n">
        <x:v>249.95718530206673</x:v>
      </x:c>
      <x:c r="O1595" s="23" t="n">
        <x:v>2494.9316136830007</x:v>
      </x:c>
      <x:c r="P1595" s="23" t="n">
        <x:v>1035.6323080719449</x:v>
      </x:c>
      <x:c r="Q1595" s="23" t="n">
        <x:v>252.84223015511213</x:v>
      </x:c>
      <x:c r="R1595" s="23" t="n">
        <x:v>2483.5137857302266</x:v>
      </x:c>
      <x:c r="S1595" s="23" t="n">
        <x:v>1036.0371833146082</x:v>
      </x:c>
      <x:c r="T1595" s="23" t="n">
        <x:v>2.8850448530454003</x:v>
      </x:c>
      <x:c r="U1595" s="23" t="n">
        <x:v>-11.417827952774132</x:v>
      </x:c>
      <x:c r="V1595" s="23" t="n">
        <x:v>0.4048752426633655</x:v>
      </x:c>
    </x:row>
    <x:row r="1596">
      <x:c r="A1596" s="23" t="n">
        <x:v>1595</x:v>
      </x:c>
      <x:c r="B1596" s="23" t="str">
        <x:v>Validation</x:v>
      </x:c>
      <x:c r="C1596" s="23" t="str">
        <x:v>Switching</x:v>
      </x:c>
      <x:c r="D1596" s="23" t="n">
        <x:v>1064.2893028212711</x:v>
      </x:c>
      <x:c r="E1596" s="23" t="n">
        <x:v>977.8180130408145</x:v>
      </x:c>
      <x:c r="F1596" s="23" t="n">
        <x:v>554.0621194988489</x:v>
      </x:c>
      <x:c r="G1596" s="23" t="n">
        <x:v>201.178756642621</x:v>
      </x:c>
      <x:c r="H1596" s="23" t="n">
        <x:v>19.344744571484625</x:v>
      </x:c>
      <x:c r="I1596" s="23" t="n">
        <x:v>0.8032088277000002</x:v>
      </x:c>
      <x:c r="J1596" s="23" t="n">
        <x:v>7</x:v>
      </x:c>
      <x:c r="K1596" s="23" t="n">
        <x:v>189.2924028360592</x:v>
      </x:c>
      <x:c r="L1596" s="23" t="n">
        <x:v>12340</x:v>
      </x:c>
      <x:c r="M1596" s="23" t="n">
        <x:v>1200</x:v>
      </x:c>
      <x:c r="N1596" s="23" t="n">
        <x:v>250.00218432925902</x:v>
      </x:c>
      <x:c r="O1596" s="23" t="n">
        <x:v>2504.8884824057077</x:v>
      </x:c>
      <x:c r="P1596" s="23" t="n">
        <x:v>1064.2893028212711</x:v>
      </x:c>
      <x:c r="Q1596" s="23" t="n">
        <x:v>247.6310231680047</x:v>
      </x:c>
      <x:c r="R1596" s="23" t="n">
        <x:v>2532.645941715462</x:v>
      </x:c>
      <x:c r="S1596" s="23" t="n">
        <x:v>1065.2375030415096</x:v>
      </x:c>
      <x:c r="T1596" s="23" t="n">
        <x:v>-2.371161161254321</x:v>
      </x:c>
      <x:c r="U1596" s="23" t="n">
        <x:v>27.757459309754267</x:v>
      </x:c>
      <x:c r="V1596" s="23" t="n">
        <x:v>0.9482002202385047</x:v>
      </x:c>
    </x:row>
    <x:row r="1597">
      <x:c r="A1597" s="23" t="n">
        <x:v>1596</x:v>
      </x:c>
      <x:c r="B1597" s="23" t="str">
        <x:v>Validation</x:v>
      </x:c>
      <x:c r="C1597" s="23" t="str">
        <x:v>Switching</x:v>
      </x:c>
      <x:c r="D1597" s="23" t="n">
        <x:v>1013.6912156245671</x:v>
      </x:c>
      <x:c r="E1597" s="23" t="n">
        <x:v>626.4232735615224</x:v>
      </x:c>
      <x:c r="F1597" s="23" t="n">
        <x:v>413.3041079156101</x:v>
      </x:c>
      <x:c r="G1597" s="23" t="n">
        <x:v>182.90963749866933</x:v>
      </x:c>
      <x:c r="H1597" s="23" t="n">
        <x:v>27.65695298789069</x:v>
      </x:c>
      <x:c r="I1597" s="23" t="n">
        <x:v>0.8436634768545628</x:v>
      </x:c>
      <x:c r="J1597" s="23" t="n">
        <x:v>7</x:v>
      </x:c>
      <x:c r="K1597" s="23" t="n">
        <x:v>171.64786052303361</x:v>
      </x:c>
      <x:c r="L1597" s="23" t="n">
        <x:v>17490</x:v>
      </x:c>
      <x:c r="M1597" s="23" t="n">
        <x:v>1200</x:v>
      </x:c>
      <x:c r="N1597" s="23" t="n">
        <x:v>249.97851345553414</x:v>
      </x:c>
      <x:c r="O1597" s="23" t="n">
        <x:v>2501.9172146148617</x:v>
      </x:c>
      <x:c r="P1597" s="23" t="n">
        <x:v>1013.6912156245671</x:v>
      </x:c>
      <x:c r="Q1597" s="23" t="n">
        <x:v>244.93023461063493</x:v>
      </x:c>
      <x:c r="R1597" s="23" t="n">
        <x:v>2451.3709988437345</x:v>
      </x:c>
      <x:c r="S1597" s="23" t="n">
        <x:v>1011.545920098933</x:v>
      </x:c>
      <x:c r="T1597" s="23" t="n">
        <x:v>-5.048278844899215</x:v>
      </x:c>
      <x:c r="U1597" s="23" t="n">
        <x:v>-50.54621577112721</x:v>
      </x:c>
      <x:c r="V1597" s="23" t="n">
        <x:v>-2.145295525634083</x:v>
      </x:c>
    </x:row>
    <x:row r="1598">
      <x:c r="A1598" s="23" t="n">
        <x:v>1597</x:v>
      </x:c>
      <x:c r="B1598" s="23" t="str">
        <x:v>Validation</x:v>
      </x:c>
      <x:c r="C1598" s="23" t="str">
        <x:v>Switching</x:v>
      </x:c>
      <x:c r="D1598" s="23" t="n">
        <x:v>1009.4388152938336</x:v>
      </x:c>
      <x:c r="E1598" s="23" t="n">
        <x:v>1160.894378728699</x:v>
      </x:c>
      <x:c r="F1598" s="23" t="n">
        <x:v>700.2754276618361</x:v>
      </x:c>
      <x:c r="G1598" s="23" t="n">
        <x:v>267.91000434430316</x:v>
      </x:c>
      <x:c r="H1598" s="23" t="n">
        <x:v>26.391841109842062</x:v>
      </x:c>
      <x:c r="I1598" s="23" t="n">
        <x:v>0.7980081758298911</x:v>
      </x:c>
      <x:c r="J1598" s="23" t="n">
        <x:v>7</x:v>
      </x:c>
      <x:c r="K1598" s="23" t="n">
        <x:v>180.70685164598623</x:v>
      </x:c>
      <x:c r="L1598" s="23" t="n">
        <x:v>10045</x:v>
      </x:c>
      <x:c r="M1598" s="23" t="n">
        <x:v>1195</x:v>
      </x:c>
      <x:c r="N1598" s="23" t="n">
        <x:v>250.01021582469184</x:v>
      </x:c>
      <x:c r="O1598" s="23" t="n">
        <x:v>2496.7471585634403</x:v>
      </x:c>
      <x:c r="P1598" s="23" t="n">
        <x:v>1009.4388152938336</x:v>
      </x:c>
      <x:c r="Q1598" s="23" t="n">
        <x:v>248.47285732287403</x:v>
      </x:c>
      <x:c r="R1598" s="23" t="n">
        <x:v>2484.703162778757</x:v>
      </x:c>
      <x:c r="S1598" s="23" t="n">
        <x:v>988.6013621193906</x:v>
      </x:c>
      <x:c r="T1598" s="23" t="n">
        <x:v>-1.5373585018178062</x:v>
      </x:c>
      <x:c r="U1598" s="23" t="n">
        <x:v>-12.043995784683375</x:v>
      </x:c>
      <x:c r="V1598" s="23" t="n">
        <x:v>-20.837453174443</x:v>
      </x:c>
    </x:row>
    <x:row r="1599">
      <x:c r="A1599" s="23" t="n">
        <x:v>1598</x:v>
      </x:c>
      <x:c r="B1599" s="23" t="str">
        <x:v>Hidden Test</x:v>
      </x:c>
      <x:c r="C1599" s="23" t="str">
        <x:v>Switching</x:v>
      </x:c>
      <x:c r="D1599" s="23" t="n">
        <x:v>1081.8978589144535</x:v>
      </x:c>
      <x:c r="E1599" s="23" t="n">
        <x:v>1115.752365696244</x:v>
      </x:c>
      <x:c r="F1599" s="23" t="n">
        <x:v>694.5875217206776</x:v>
      </x:c>
      <x:c r="G1599" s="23" t="n">
        <x:v>229.38706252723932</x:v>
      </x:c>
      <x:c r="H1599" s="23" t="n">
        <x:v>13.215772869531065</x:v>
      </x:c>
      <x:c r="I1599" s="23" t="n">
        <x:v>0.8457745732693002</x:v>
      </x:c>
      <x:c r="J1599" s="23" t="n">
        <x:v>7</x:v>
      </x:c>
      <x:c r="K1599" s="23" t="n">
        <x:v>182.73998991285254</x:v>
      </x:c>
      <x:c r="L1599" s="23" t="n">
        <x:v>10485</x:v>
      </x:c>
      <x:c r="M1599" s="23" t="n">
        <x:v>1195</x:v>
      </x:c>
      <x:c r="N1599" s="23" t="n">
        <x:v>250.00899423284648</x:v>
      </x:c>
      <x:c r="O1599" s="23" t="n">
        <x:v>2496.2291849438443</x:v>
      </x:c>
      <x:c r="P1599" s="23" t="n">
        <x:v>1081.8978589144535</x:v>
      </x:c>
      <x:c r="Q1599" s="23" t="n">
        <x:v>255.31489242476823</x:v>
      </x:c>
      <x:c r="R1599" s="23" t="n">
        <x:v>2479.4047646692025</x:v>
      </x:c>
      <x:c r="S1599" s="23" t="n">
        <x:v>1079.885604096527</x:v>
      </x:c>
      <x:c r="T1599" s="23" t="n">
        <x:v>5.305898191921756</x:v>
      </x:c>
      <x:c r="U1599" s="23" t="n">
        <x:v>-16.824420274641852</x:v>
      </x:c>
      <x:c r="V1599" s="23" t="n">
        <x:v>-2.0122548179265323</x:v>
      </x:c>
    </x:row>
    <x:row r="1600">
      <x:c r="A1600" s="23" t="n">
        <x:v>1599</x:v>
      </x:c>
      <x:c r="B1600" s="23" t="str">
        <x:v>Hidden Test</x:v>
      </x:c>
      <x:c r="C1600" s="23" t="str">
        <x:v>Switching</x:v>
      </x:c>
      <x:c r="D1600" s="23" t="n">
        <x:v>952.4375744396821</x:v>
      </x:c>
      <x:c r="E1600" s="23" t="n">
        <x:v>985.685766779352</x:v>
      </x:c>
      <x:c r="F1600" s="23" t="n">
        <x:v>475.78005120158195</x:v>
      </x:c>
      <x:c r="G1600" s="23" t="n">
        <x:v>163.8459389633499</x:v>
      </x:c>
      <x:c r="H1600" s="23" t="n">
        <x:v>27.41015676315874</x:v>
      </x:c>
      <x:c r="I1600" s="23" t="n">
        <x:v>0.7975717479153537</x:v>
      </x:c>
      <x:c r="J1600" s="23" t="n">
        <x:v>6</x:v>
      </x:c>
      <x:c r="K1600" s="23" t="n">
        <x:v>199.0286092189841</x:v>
      </x:c>
      <x:c r="L1600" s="23" t="n">
        <x:v>15350</x:v>
      </x:c>
      <x:c r="M1600" s="23" t="n">
        <x:v>1200</x:v>
      </x:c>
      <x:c r="N1600" s="23" t="n">
        <x:v>249.98494666668284</x:v>
      </x:c>
      <x:c r="O1600" s="23" t="n">
        <x:v>2502.9096555424485</x:v>
      </x:c>
      <x:c r="P1600" s="23" t="n">
        <x:v>952.4375744396821</x:v>
      </x:c>
      <x:c r="Q1600" s="23" t="n">
        <x:v>247.37127317026608</x:v>
      </x:c>
      <x:c r="R1600" s="23" t="n">
        <x:v>2545.9532125569954</x:v>
      </x:c>
      <x:c r="S1600" s="23" t="n">
        <x:v>941.7195473501666</x:v>
      </x:c>
      <x:c r="T1600" s="23" t="n">
        <x:v>-2.613673496416766</x:v>
      </x:c>
      <x:c r="U1600" s="23" t="n">
        <x:v>43.04355701454688</x:v>
      </x:c>
      <x:c r="V1600" s="23" t="n">
        <x:v>-10.71802708951543</x:v>
      </x:c>
    </x:row>
    <x:row r="1601">
      <x:c r="A1601" s="23" t="n">
        <x:v>1600</x:v>
      </x:c>
      <x:c r="B1601" s="23" t="str">
        <x:v>Hidden Test</x:v>
      </x:c>
      <x:c r="C1601" s="23" t="str">
        <x:v>Switching</x:v>
      </x:c>
      <x:c r="D1601" s="23" t="n">
        <x:v>994.2218104260974</x:v>
      </x:c>
      <x:c r="E1601" s="23" t="n">
        <x:v>792.4420144408941</x:v>
      </x:c>
      <x:c r="F1601" s="23" t="n">
        <x:v>440.7885610125959</x:v>
      </x:c>
      <x:c r="G1601" s="23" t="n">
        <x:v>282.4666751967743</x:v>
      </x:c>
      <x:c r="H1601" s="23" t="n">
        <x:v>21.33630354842171</x:v>
      </x:c>
      <x:c r="I1601" s="23" t="n">
        <x:v>0.8595463747065515</x:v>
      </x:c>
      <x:c r="J1601" s="23" t="n">
        <x:v>6</x:v>
      </x:c>
      <x:c r="K1601" s="23" t="n">
        <x:v>192.7803315179909</x:v>
      </x:c>
      <x:c r="L1601" s="23" t="n">
        <x:v>16460</x:v>
      </x:c>
      <x:c r="M1601" s="23" t="n">
        <x:v>1200</x:v>
      </x:c>
      <x:c r="N1601" s="23" t="n">
        <x:v>249.98318597912333</x:v>
      </x:c>
      <x:c r="O1601" s="23" t="n">
        <x:v>2502.362723001844</x:v>
      </x:c>
      <x:c r="P1601" s="23" t="n">
        <x:v>994.2218104260974</x:v>
      </x:c>
      <x:c r="Q1601" s="23" t="n">
        <x:v>248.9994027373709</x:v>
      </x:c>
      <x:c r="R1601" s="23" t="n">
        <x:v>2519.9610244740707</x:v>
      </x:c>
      <x:c r="S1601" s="23" t="n">
        <x:v>995.3056371814712</x:v>
      </x:c>
      <x:c r="T1601" s="23" t="n">
        <x:v>-0.9837832417524339</x:v>
      </x:c>
      <x:c r="U1601" s="23" t="n">
        <x:v>17.598301472226467</x:v>
      </x:c>
      <x:c r="V1601" s="23" t="n">
        <x:v>1.0838267553738206</x:v>
      </x:c>
    </x:row>
    <x:row r="1602">
      <x:c r="A1602" s="23" t="n">
        <x:v>1601</x:v>
      </x:c>
      <x:c r="B1602" s="23" t="str">
        <x:v>Train</x:v>
      </x:c>
      <x:c r="C1602" s="23" t="str">
        <x:v>Switching</x:v>
      </x:c>
      <x:c r="D1602" s="23" t="n">
        <x:v>1006.4715865068138</x:v>
      </x:c>
      <x:c r="E1602" s="23" t="n">
        <x:v>612.7419504686259</x:v>
      </x:c>
      <x:c r="F1602" s="23" t="n">
        <x:v>718.337213434279</x:v>
      </x:c>
      <x:c r="G1602" s="23" t="n">
        <x:v>201.63680145749822</x:v>
      </x:c>
      <x:c r="H1602" s="23" t="n">
        <x:v>12.924747118726373</x:v>
      </x:c>
      <x:c r="I1602" s="23" t="n">
        <x:v>0.8405632063304075</x:v>
      </x:c>
      <x:c r="J1602" s="23" t="n">
        <x:v>6</x:v>
      </x:c>
      <x:c r="K1602" s="23" t="n">
        <x:v>199.56293965104297</x:v>
      </x:c>
      <x:c r="L1602" s="23" t="n">
        <x:v>16280</x:v>
      </x:c>
      <x:c r="M1602" s="23" t="n">
        <x:v>1200</x:v>
      </x:c>
      <x:c r="N1602" s="23" t="n">
        <x:v>250.02548769106198</x:v>
      </x:c>
      <x:c r="O1602" s="23" t="n">
        <x:v>2502.447639580762</x:v>
      </x:c>
      <x:c r="P1602" s="23" t="n">
        <x:v>1006.4715865068138</x:v>
      </x:c>
      <x:c r="Q1602" s="23" t="n">
        <x:v>248.5597501870577</x:v>
      </x:c>
      <x:c r="R1602" s="23" t="n">
        <x:v>2433.4088429970648</x:v>
      </x:c>
      <x:c r="S1602" s="23" t="n">
        <x:v>1015.9611092521483</x:v>
      </x:c>
      <x:c r="T1602" s="23" t="n">
        <x:v>-1.465737504004295</x:v>
      </x:c>
      <x:c r="U1602" s="23" t="n">
        <x:v>-69.03879658369715</x:v>
      </x:c>
      <x:c r="V1602" s="23" t="n">
        <x:v>9.489522745334511</x:v>
      </x:c>
    </x:row>
    <x:row r="1603">
      <x:c r="A1603" s="23" t="n">
        <x:v>1602</x:v>
      </x:c>
      <x:c r="B1603" s="23" t="str">
        <x:v>Train</x:v>
      </x:c>
      <x:c r="C1603" s="23" t="str">
        <x:v>Switching</x:v>
      </x:c>
      <x:c r="D1603" s="23" t="n">
        <x:v>1009.1511873179115</x:v>
      </x:c>
      <x:c r="E1603" s="23" t="n">
        <x:v>667.0823513763025</x:v>
      </x:c>
      <x:c r="F1603" s="23" t="n">
        <x:v>444.99619835987687</x:v>
      </x:c>
      <x:c r="G1603" s="23" t="n">
        <x:v>105.93885199166834</x:v>
      </x:c>
      <x:c r="H1603" s="23" t="n">
        <x:v>23.543301396537572</x:v>
      </x:c>
      <x:c r="I1603" s="23" t="n">
        <x:v>0.8566608953336254</x:v>
      </x:c>
      <x:c r="J1603" s="23" t="n">
        <x:v>6</x:v>
      </x:c>
      <x:c r="K1603" s="23" t="n">
        <x:v>196.3342385174278</x:v>
      </x:c>
      <x:c r="L1603" s="23" t="n">
        <x:v>20485</x:v>
      </x:c>
      <x:c r="M1603" s="23" t="n">
        <x:v>1200</x:v>
      </x:c>
      <x:c r="N1603" s="23" t="n">
        <x:v>250.01028633188972</x:v>
      </x:c>
      <x:c r="O1603" s="23" t="n">
        <x:v>2500.8774196276604</x:v>
      </x:c>
      <x:c r="P1603" s="23" t="n">
        <x:v>1009.1511873179115</x:v>
      </x:c>
      <x:c r="Q1603" s="23" t="n">
        <x:v>249.49153564897455</x:v>
      </x:c>
      <x:c r="R1603" s="23" t="n">
        <x:v>2508.662438583834</x:v>
      </x:c>
      <x:c r="S1603" s="23" t="n">
        <x:v>1018.9903726754815</x:v>
      </x:c>
      <x:c r="T1603" s="23" t="n">
        <x:v>-0.5187506829151687</x:v>
      </x:c>
      <x:c r="U1603" s="23" t="n">
        <x:v>7.785018956173644</x:v>
      </x:c>
      <x:c r="V1603" s="23" t="n">
        <x:v>9.839185357569932</x:v>
      </x:c>
    </x:row>
    <x:row r="1604">
      <x:c r="A1604" s="23" t="n">
        <x:v>1603</x:v>
      </x:c>
      <x:c r="B1604" s="23" t="str">
        <x:v>Train</x:v>
      </x:c>
      <x:c r="C1604" s="23" t="str">
        <x:v>Switching</x:v>
      </x:c>
      <x:c r="D1604" s="23" t="n">
        <x:v>992.8663607453927</x:v>
      </x:c>
      <x:c r="E1604" s="23" t="n">
        <x:v>662.9629900329746</x:v>
      </x:c>
      <x:c r="F1604" s="23" t="n">
        <x:v>488.11004273593426</x:v>
      </x:c>
      <x:c r="G1604" s="23" t="n">
        <x:v>150.8201375673525</x:v>
      </x:c>
      <x:c r="H1604" s="23" t="n">
        <x:v>25.468113576062024</x:v>
      </x:c>
      <x:c r="I1604" s="23" t="n">
        <x:v>0.837548104680609</x:v>
      </x:c>
      <x:c r="J1604" s="23" t="n">
        <x:v>6</x:v>
      </x:c>
      <x:c r="K1604" s="23" t="n">
        <x:v>197.5739970828328</x:v>
      </x:c>
      <x:c r="L1604" s="23" t="n">
        <x:v>19165</x:v>
      </x:c>
      <x:c r="M1604" s="23" t="n">
        <x:v>1200</x:v>
      </x:c>
      <x:c r="N1604" s="23" t="n">
        <x:v>250.00730408853735</x:v>
      </x:c>
      <x:c r="O1604" s="23" t="n">
        <x:v>2501.2959261627097</x:v>
      </x:c>
      <x:c r="P1604" s="23" t="n">
        <x:v>992.8663607453927</x:v>
      </x:c>
      <x:c r="Q1604" s="23" t="n">
        <x:v>245.46717144564562</x:v>
      </x:c>
      <x:c r="R1604" s="23" t="n">
        <x:v>2487.6003438229895</x:v>
      </x:c>
      <x:c r="S1604" s="23" t="n">
        <x:v>996.3359410896101</x:v>
      </x:c>
      <x:c r="T1604" s="23" t="n">
        <x:v>-4.540132642891734</x:v>
      </x:c>
      <x:c r="U1604" s="23" t="n">
        <x:v>-13.695582339720204</x:v>
      </x:c>
      <x:c r="V1604" s="23" t="n">
        <x:v>3.46958034421732</x:v>
      </x:c>
    </x:row>
    <x:row r="1605">
      <x:c r="A1605" s="23" t="n">
        <x:v>1604</x:v>
      </x:c>
      <x:c r="B1605" s="23" t="str">
        <x:v>Train</x:v>
      </x:c>
      <x:c r="C1605" s="23" t="str">
        <x:v>Switching</x:v>
      </x:c>
      <x:c r="D1605" s="23" t="n">
        <x:v>955.7623497559689</x:v>
      </x:c>
      <x:c r="E1605" s="23" t="n">
        <x:v>646.0969169158489</x:v>
      </x:c>
      <x:c r="F1605" s="23" t="n">
        <x:v>580.1990988664329</x:v>
      </x:c>
      <x:c r="G1605" s="23" t="n">
        <x:v>235.9173989808187</x:v>
      </x:c>
      <x:c r="H1605" s="23" t="n">
        <x:v>27.144887558650225</x:v>
      </x:c>
      <x:c r="I1605" s="23" t="n">
        <x:v>0.844590638037771</x:v>
      </x:c>
      <x:c r="J1605" s="23" t="n">
        <x:v>6</x:v>
      </x:c>
      <x:c r="K1605" s="23" t="n">
        <x:v>188.6046538822804</x:v>
      </x:c>
      <x:c r="L1605" s="23" t="n">
        <x:v>17065</x:v>
      </x:c>
      <x:c r="M1605" s="23" t="n">
        <x:v>1200</x:v>
      </x:c>
      <x:c r="N1605" s="23" t="n">
        <x:v>250.02632608989396</x:v>
      </x:c>
      <x:c r="O1605" s="23" t="n">
        <x:v>2502.0958600543013</x:v>
      </x:c>
      <x:c r="P1605" s="23" t="n">
        <x:v>955.7623497559689</x:v>
      </x:c>
      <x:c r="Q1605" s="23" t="n">
        <x:v>245.5261733126554</x:v>
      </x:c>
      <x:c r="R1605" s="23" t="n">
        <x:v>2451.446291394649</x:v>
      </x:c>
      <x:c r="S1605" s="23" t="n">
        <x:v>949.382425586265</x:v>
      </x:c>
      <x:c r="T1605" s="23" t="n">
        <x:v>-4.500152777238554</x:v>
      </x:c>
      <x:c r="U1605" s="23" t="n">
        <x:v>-50.64956865965223</x:v>
      </x:c>
      <x:c r="V1605" s="23" t="n">
        <x:v>-6.379924169703941</x:v>
      </x:c>
    </x:row>
    <x:row r="1606">
      <x:c r="A1606" s="23" t="n">
        <x:v>1605</x:v>
      </x:c>
      <x:c r="B1606" s="23" t="str">
        <x:v>Train</x:v>
      </x:c>
      <x:c r="C1606" s="23" t="str">
        <x:v>Switching</x:v>
      </x:c>
      <x:c r="D1606" s="23" t="n">
        <x:v>1092.2628852073103</x:v>
      </x:c>
      <x:c r="E1606" s="23" t="n">
        <x:v>1095.7762079196982</x:v>
      </x:c>
      <x:c r="F1606" s="23" t="n">
        <x:v>655.1887495443225</x:v>
      </x:c>
      <x:c r="G1606" s="23" t="n">
        <x:v>328.6015328322537</x:v>
      </x:c>
      <x:c r="H1606" s="23" t="n">
        <x:v>10.24000483006239</x:v>
      </x:c>
      <x:c r="I1606" s="23" t="n">
        <x:v>0.8257421750039794</x:v>
      </x:c>
      <x:c r="J1606" s="23" t="n">
        <x:v>7</x:v>
      </x:c>
      <x:c r="K1606" s="23" t="n">
        <x:v>188.9664349878505</x:v>
      </x:c>
      <x:c r="L1606" s="23" t="n">
        <x:v>10285</x:v>
      </x:c>
      <x:c r="M1606" s="23" t="n">
        <x:v>1195</x:v>
      </x:c>
      <x:c r="N1606" s="23" t="n">
        <x:v>250.0300073225015</x:v>
      </x:c>
      <x:c r="O1606" s="23" t="n">
        <x:v>2496.4601325680906</x:v>
      </x:c>
      <x:c r="P1606" s="23" t="n">
        <x:v>1092.2628852073103</x:v>
      </x:c>
      <x:c r="Q1606" s="23" t="n">
        <x:v>255.9513558895447</x:v>
      </x:c>
      <x:c r="R1606" s="23" t="n">
        <x:v>2525.776318073089</x:v>
      </x:c>
      <x:c r="S1606" s="23" t="n">
        <x:v>1090.5759517114534</x:v>
      </x:c>
      <x:c r="T1606" s="23" t="n">
        <x:v>5.9213485670431965</x:v>
      </x:c>
      <x:c r="U1606" s="23" t="n">
        <x:v>29.31618550499843</x:v>
      </x:c>
      <x:c r="V1606" s="23" t="n">
        <x:v>-1.6869334958569198</x:v>
      </x:c>
    </x:row>
    <x:row r="1607">
      <x:c r="A1607" s="23" t="n">
        <x:v>1606</x:v>
      </x:c>
      <x:c r="B1607" s="23" t="str">
        <x:v>Train</x:v>
      </x:c>
      <x:c r="C1607" s="23" t="str">
        <x:v>Switching</x:v>
      </x:c>
      <x:c r="D1607" s="23" t="n">
        <x:v>1084.3560970504768</x:v>
      </x:c>
      <x:c r="E1607" s="23" t="n">
        <x:v>894.0302770351991</x:v>
      </x:c>
      <x:c r="F1607" s="23" t="n">
        <x:v>442.50842900946736</x:v>
      </x:c>
      <x:c r="G1607" s="23" t="n">
        <x:v>259.5151080004871</x:v>
      </x:c>
      <x:c r="H1607" s="23" t="n">
        <x:v>25.086212350521237</x:v>
      </x:c>
      <x:c r="I1607" s="23" t="n">
        <x:v>0.8562016942491755</x:v>
      </x:c>
      <x:c r="J1607" s="23" t="n">
        <x:v>7</x:v>
      </x:c>
      <x:c r="K1607" s="23" t="n">
        <x:v>180.92467569828455</x:v>
      </x:c>
      <x:c r="L1607" s="23" t="n">
        <x:v>13400</x:v>
      </x:c>
      <x:c r="M1607" s="23" t="n">
        <x:v>1200</x:v>
      </x:c>
      <x:c r="N1607" s="23" t="n">
        <x:v>250.01600404286825</x:v>
      </x:c>
      <x:c r="O1607" s="23" t="n">
        <x:v>2504.0909484623194</x:v>
      </x:c>
      <x:c r="P1607" s="23" t="n">
        <x:v>1084.3560970504768</x:v>
      </x:c>
      <x:c r="Q1607" s="23" t="n">
        <x:v>249.27095914584973</x:v>
      </x:c>
      <x:c r="R1607" s="23" t="n">
        <x:v>2508.1286784083973</x:v>
      </x:c>
      <x:c r="S1607" s="23" t="n">
        <x:v>1081.867557661006</x:v>
      </x:c>
      <x:c r="T1607" s="23" t="n">
        <x:v>-0.7450448970185164</x:v>
      </x:c>
      <x:c r="U1607" s="23" t="n">
        <x:v>4.037729946077889</x:v>
      </x:c>
      <x:c r="V1607" s="23" t="n">
        <x:v>-2.488539389470816</x:v>
      </x:c>
    </x:row>
    <x:row r="1608">
      <x:c r="A1608" s="23" t="n">
        <x:v>1607</x:v>
      </x:c>
      <x:c r="B1608" s="23" t="str">
        <x:v>Train</x:v>
      </x:c>
      <x:c r="C1608" s="23" t="str">
        <x:v>Switching</x:v>
      </x:c>
      <x:c r="D1608" s="23" t="n">
        <x:v>987.7117849187925</x:v>
      </x:c>
      <x:c r="E1608" s="23" t="n">
        <x:v>1008.2093127188273</x:v>
      </x:c>
      <x:c r="F1608" s="23" t="n">
        <x:v>663.659992814064</x:v>
      </x:c>
      <x:c r="G1608" s="23" t="n">
        <x:v>201.2287619127892</x:v>
      </x:c>
      <x:c r="H1608" s="23" t="n">
        <x:v>18.02670932095498</x:v>
      </x:c>
      <x:c r="I1608" s="23" t="n">
        <x:v>0.8139462299621665</x:v>
      </x:c>
      <x:c r="J1608" s="23" t="n">
        <x:v>7</x:v>
      </x:c>
      <x:c r="K1608" s="23" t="n">
        <x:v>173.35504283420065</x:v>
      </x:c>
      <x:c r="L1608" s="23" t="n">
        <x:v>11415</x:v>
      </x:c>
      <x:c r="M1608" s="23" t="n">
        <x:v>1195</x:v>
      </x:c>
      <x:c r="N1608" s="23" t="n">
        <x:v>249.94920574559094</x:v>
      </x:c>
      <x:c r="O1608" s="23" t="n">
        <x:v>2495.263246476589</x:v>
      </x:c>
      <x:c r="P1608" s="23" t="n">
        <x:v>987.7117849187925</x:v>
      </x:c>
      <x:c r="Q1608" s="23" t="n">
        <x:v>254.1332609477948</x:v>
      </x:c>
      <x:c r="R1608" s="23" t="n">
        <x:v>2541.342007674761</x:v>
      </x:c>
      <x:c r="S1608" s="23" t="n">
        <x:v>981.2710009831393</x:v>
      </x:c>
      <x:c r="T1608" s="23" t="n">
        <x:v>4.184055202203865</x:v>
      </x:c>
      <x:c r="U1608" s="23" t="n">
        <x:v>46.07876119817229</x:v>
      </x:c>
      <x:c r="V1608" s="23" t="n">
        <x:v>-6.440783935653258</x:v>
      </x:c>
    </x:row>
    <x:row r="1609">
      <x:c r="A1609" s="23" t="n">
        <x:v>1608</x:v>
      </x:c>
      <x:c r="B1609" s="23" t="str">
        <x:v>Train</x:v>
      </x:c>
      <x:c r="C1609" s="23" t="str">
        <x:v>Switching</x:v>
      </x:c>
      <x:c r="D1609" s="23" t="n">
        <x:v>1080.0722268293612</x:v>
      </x:c>
      <x:c r="E1609" s="23" t="n">
        <x:v>638.0177994258702</x:v>
      </x:c>
      <x:c r="F1609" s="23" t="n">
        <x:v>553.7129408679903</x:v>
      </x:c>
      <x:c r="G1609" s="23" t="n">
        <x:v>190.82842538598925</x:v>
      </x:c>
      <x:c r="H1609" s="23" t="n">
        <x:v>29.452869412954897</x:v>
      </x:c>
      <x:c r="I1609" s="23" t="n">
        <x:v>0.8048052995745093</x:v>
      </x:c>
      <x:c r="J1609" s="23" t="n">
        <x:v>7</x:v>
      </x:c>
      <x:c r="K1609" s="23" t="n">
        <x:v>191.7184597141307</x:v>
      </x:c>
      <x:c r="L1609" s="23" t="n">
        <x:v>15470</x:v>
      </x:c>
      <x:c r="M1609" s="23" t="n">
        <x:v>1200</x:v>
      </x:c>
      <x:c r="N1609" s="23" t="n">
        <x:v>250.02851228655385</x:v>
      </x:c>
      <x:c r="O1609" s="23" t="n">
        <x:v>2502.8481534152556</x:v>
      </x:c>
      <x:c r="P1609" s="23" t="n">
        <x:v>1080.0722268293612</x:v>
      </x:c>
      <x:c r="Q1609" s="23" t="n">
        <x:v>246.79629107826773</x:v>
      </x:c>
      <x:c r="R1609" s="23" t="n">
        <x:v>2440.635392622429</x:v>
      </x:c>
      <x:c r="S1609" s="23" t="n">
        <x:v>1076.5949399099104</x:v>
      </x:c>
      <x:c r="T1609" s="23" t="n">
        <x:v>-3.23222120828612</x:v>
      </x:c>
      <x:c r="U1609" s="23" t="n">
        <x:v>-62.21276079282643</x:v>
      </x:c>
      <x:c r="V1609" s="23" t="n">
        <x:v>-3.477286919450762</x:v>
      </x:c>
    </x:row>
    <x:row r="1610">
      <x:c r="A1610" s="23" t="n">
        <x:v>1609</x:v>
      </x:c>
      <x:c r="B1610" s="23" t="str">
        <x:v>Train</x:v>
      </x:c>
      <x:c r="C1610" s="23" t="str">
        <x:v>Switching</x:v>
      </x:c>
      <x:c r="D1610" s="23" t="n">
        <x:v>979.0008479729295</x:v>
      </x:c>
      <x:c r="E1610" s="23" t="n">
        <x:v>1128.1567909172736</x:v>
      </x:c>
      <x:c r="F1610" s="23" t="n">
        <x:v>433.59738904982805</x:v>
      </x:c>
      <x:c r="G1610" s="23" t="n">
        <x:v>104.02209636056796</x:v>
      </x:c>
      <x:c r="H1610" s="23" t="n">
        <x:v>24.628617947921157</x:v>
      </x:c>
      <x:c r="I1610" s="23" t="n">
        <x:v>0.8074467327562161</x:v>
      </x:c>
      <x:c r="J1610" s="23" t="n">
        <x:v>7</x:v>
      </x:c>
      <x:c r="K1610" s="23" t="n">
        <x:v>173.20927600849976</x:v>
      </x:c>
      <x:c r="L1610" s="23" t="n">
        <x:v>12840</x:v>
      </x:c>
      <x:c r="M1610" s="23" t="n">
        <x:v>1200</x:v>
      </x:c>
      <x:c r="N1610" s="23" t="n">
        <x:v>250.0329247754088</x:v>
      </x:c>
      <x:c r="O1610" s="23" t="n">
        <x:v>2504.496816859759</x:v>
      </x:c>
      <x:c r="P1610" s="23" t="n">
        <x:v>979.0008479729295</x:v>
      </x:c>
      <x:c r="Q1610" s="23" t="n">
        <x:v>251.24593152160801</x:v>
      </x:c>
      <x:c r="R1610" s="23" t="n">
        <x:v>2511.9821612095056</x:v>
      </x:c>
      <x:c r="S1610" s="23" t="n">
        <x:v>970.619752724541</x:v>
      </x:c>
      <x:c r="T1610" s="23" t="n">
        <x:v>1.2130067461992269</x:v>
      </x:c>
      <x:c r="U1610" s="23" t="n">
        <x:v>7.485344349746811</x:v>
      </x:c>
      <x:c r="V1610" s="23" t="n">
        <x:v>-8.381095248388533</x:v>
      </x:c>
    </x:row>
    <x:row r="1611">
      <x:c r="A1611" s="23" t="n">
        <x:v>1610</x:v>
      </x:c>
      <x:c r="B1611" s="23" t="str">
        <x:v>Train</x:v>
      </x:c>
      <x:c r="C1611" s="23" t="str">
        <x:v>Switching</x:v>
      </x:c>
      <x:c r="D1611" s="23" t="n">
        <x:v>993.8220568583347</x:v>
      </x:c>
      <x:c r="E1611" s="23" t="n">
        <x:v>793.2767004007474</x:v>
      </x:c>
      <x:c r="F1611" s="23" t="n">
        <x:v>628.8792223669589</x:v>
      </x:c>
      <x:c r="G1611" s="23" t="n">
        <x:v>287.5234695803374</x:v>
      </x:c>
      <x:c r="H1611" s="23" t="n">
        <x:v>13.47537798108533</x:v>
      </x:c>
      <x:c r="I1611" s="23" t="n">
        <x:v>0.8304964682878927</x:v>
      </x:c>
      <x:c r="J1611" s="23" t="n">
        <x:v>6</x:v>
      </x:c>
      <x:c r="K1611" s="23" t="n">
        <x:v>199.44336406132774</x:v>
      </x:c>
      <x:c r="L1611" s="23" t="n">
        <x:v>14595</x:v>
      </x:c>
      <x:c r="M1611" s="23" t="n">
        <x:v>1200</x:v>
      </x:c>
      <x:c r="N1611" s="23" t="n">
        <x:v>250.02708395465285</x:v>
      </x:c>
      <x:c r="O1611" s="23" t="n">
        <x:v>2503.3306162960594</x:v>
      </x:c>
      <x:c r="P1611" s="23" t="n">
        <x:v>993.8220568583347</x:v>
      </x:c>
      <x:c r="Q1611" s="23" t="n">
        <x:v>253.96591339071136</x:v>
      </x:c>
      <x:c r="R1611" s="23" t="n">
        <x:v>2451.852269955613</x:v>
      </x:c>
      <x:c r="S1611" s="23" t="n">
        <x:v>998.9409493367236</x:v>
      </x:c>
      <x:c r="T1611" s="23" t="n">
        <x:v>3.938829436058512</x:v>
      </x:c>
      <x:c r="U1611" s="23" t="n">
        <x:v>-51.47834634044648</x:v>
      </x:c>
      <x:c r="V1611" s="23" t="n">
        <x:v>5.118892478388943</x:v>
      </x:c>
    </x:row>
    <x:row r="1612">
      <x:c r="A1612" s="23" t="n">
        <x:v>1611</x:v>
      </x:c>
      <x:c r="B1612" s="23" t="str">
        <x:v>Train</x:v>
      </x:c>
      <x:c r="C1612" s="23" t="str">
        <x:v>Switching</x:v>
      </x:c>
      <x:c r="D1612" s="23" t="n">
        <x:v>995.5291519640014</x:v>
      </x:c>
      <x:c r="E1612" s="23" t="n">
        <x:v>1020.6933262408711</x:v>
      </x:c>
      <x:c r="F1612" s="23" t="n">
        <x:v>726.8032420426607</x:v>
      </x:c>
      <x:c r="G1612" s="23" t="n">
        <x:v>149.3051556008868</x:v>
      </x:c>
      <x:c r="H1612" s="23" t="n">
        <x:v>27.63663321826607</x:v>
      </x:c>
      <x:c r="I1612" s="23" t="n">
        <x:v>0.8157763218763284</x:v>
      </x:c>
      <x:c r="J1612" s="23" t="n">
        <x:v>7</x:v>
      </x:c>
      <x:c r="K1612" s="23" t="n">
        <x:v>174.33510444806944</x:v>
      </x:c>
      <x:c r="L1612" s="23" t="n">
        <x:v>11275</x:v>
      </x:c>
      <x:c r="M1612" s="23" t="n">
        <x:v>1195</x:v>
      </x:c>
      <x:c r="N1612" s="23" t="n">
        <x:v>250.00820798083652</x:v>
      </x:c>
      <x:c r="O1612" s="23" t="n">
        <x:v>2495.400655269263</x:v>
      </x:c>
      <x:c r="P1612" s="23" t="n">
        <x:v>995.5291519640014</x:v>
      </x:c>
      <x:c r="Q1612" s="23" t="n">
        <x:v>250.3545964834533</x:v>
      </x:c>
      <x:c r="R1612" s="23" t="n">
        <x:v>2513.3697912300254</x:v>
      </x:c>
      <x:c r="S1612" s="23" t="n">
        <x:v>981.4649634048828</x:v>
      </x:c>
      <x:c r="T1612" s="23" t="n">
        <x:v>0.3463885026167759</x:v>
      </x:c>
      <x:c r="U1612" s="23" t="n">
        <x:v>17.969135960762287</x:v>
      </x:c>
      <x:c r="V1612" s="23" t="n">
        <x:v>-14.06418855911852</x:v>
      </x:c>
    </x:row>
    <x:row r="1613">
      <x:c r="A1613" s="23" t="n">
        <x:v>1612</x:v>
      </x:c>
      <x:c r="B1613" s="23" t="str">
        <x:v>Train</x:v>
      </x:c>
      <x:c r="C1613" s="23" t="str">
        <x:v>Switching</x:v>
      </x:c>
      <x:c r="D1613" s="23" t="n">
        <x:v>1061.0406184918247</x:v>
      </x:c>
      <x:c r="E1613" s="23" t="n">
        <x:v>907.25630200468</x:v>
      </x:c>
      <x:c r="F1613" s="23" t="n">
        <x:v>565.1006291620433</x:v>
      </x:c>
      <x:c r="G1613" s="23" t="n">
        <x:v>123.23946207296103</x:v>
      </x:c>
      <x:c r="H1613" s="23" t="n">
        <x:v>27.76691100327298</x:v>
      </x:c>
      <x:c r="I1613" s="23" t="n">
        <x:v>0.8050538766011596</x:v>
      </x:c>
      <x:c r="J1613" s="23" t="n">
        <x:v>7</x:v>
      </x:c>
      <x:c r="K1613" s="23" t="n">
        <x:v>188.28209591767774</x:v>
      </x:c>
      <x:c r="L1613" s="23" t="n">
        <x:v>13405</x:v>
      </x:c>
      <x:c r="M1613" s="23" t="n">
        <x:v>1200</x:v>
      </x:c>
      <x:c r="N1613" s="23" t="n">
        <x:v>250.03767294033415</x:v>
      </x:c>
      <x:c r="O1613" s="23" t="n">
        <x:v>2504.088285724327</x:v>
      </x:c>
      <x:c r="P1613" s="23" t="n">
        <x:v>1061.0406184918247</x:v>
      </x:c>
      <x:c r="Q1613" s="23" t="n">
        <x:v>247.27406916748413</x:v>
      </x:c>
      <x:c r="R1613" s="23" t="n">
        <x:v>2480.6119069974966</x:v>
      </x:c>
      <x:c r="S1613" s="23" t="n">
        <x:v>1050.077990003749</x:v>
      </x:c>
      <x:c r="T1613" s="23" t="n">
        <x:v>-2.7636037728500185</x:v>
      </x:c>
      <x:c r="U1613" s="23" t="n">
        <x:v>-23.476378726830262</x:v>
      </x:c>
      <x:c r="V1613" s="23" t="n">
        <x:v>-10.96262848807578</x:v>
      </x:c>
    </x:row>
    <x:row r="1614">
      <x:c r="A1614" s="23" t="n">
        <x:v>1613</x:v>
      </x:c>
      <x:c r="B1614" s="23" t="str">
        <x:v>Train</x:v>
      </x:c>
      <x:c r="C1614" s="23" t="str">
        <x:v>Switching</x:v>
      </x:c>
      <x:c r="D1614" s="23" t="n">
        <x:v>1043.5859450604767</x:v>
      </x:c>
      <x:c r="E1614" s="23" t="n">
        <x:v>1165.9852719749324</x:v>
      </x:c>
      <x:c r="F1614" s="23" t="n">
        <x:v>619.7096964344382</x:v>
      </x:c>
      <x:c r="G1614" s="23" t="n">
        <x:v>221.80295151891187</x:v>
      </x:c>
      <x:c r="H1614" s="23" t="n">
        <x:v>18.28667287901044</x:v>
      </x:c>
      <x:c r="I1614" s="23" t="n">
        <x:v>0.8070781871699728</x:v>
      </x:c>
      <x:c r="J1614" s="23" t="n">
        <x:v>7</x:v>
      </x:c>
      <x:c r="K1614" s="23" t="n">
        <x:v>184.7202771765823</x:v>
      </x:c>
      <x:c r="L1614" s="23" t="n">
        <x:v>10655</x:v>
      </x:c>
      <x:c r="M1614" s="23" t="n">
        <x:v>1195</x:v>
      </x:c>
      <x:c r="N1614" s="23" t="n">
        <x:v>250.04832984817043</x:v>
      </x:c>
      <x:c r="O1614" s="23" t="n">
        <x:v>2496.0423550294386</x:v>
      </x:c>
      <x:c r="P1614" s="23" t="n">
        <x:v>1043.5859450604767</x:v>
      </x:c>
      <x:c r="Q1614" s="23" t="n">
        <x:v>250.55434996154673</x:v>
      </x:c>
      <x:c r="R1614" s="23" t="n">
        <x:v>2512.8449354157283</x:v>
      </x:c>
      <x:c r="S1614" s="23" t="n">
        <x:v>1039.4874048214276</x:v>
      </x:c>
      <x:c r="T1614" s="23" t="n">
        <x:v>0.5060201133763087</x:v>
      </x:c>
      <x:c r="U1614" s="23" t="n">
        <x:v>16.80258038628972</x:v>
      </x:c>
      <x:c r="V1614" s="23" t="n">
        <x:v>-4.0985402390490435</x:v>
      </x:c>
    </x:row>
    <x:row r="1615">
      <x:c r="A1615" s="23" t="n">
        <x:v>1614</x:v>
      </x:c>
      <x:c r="B1615" s="23" t="str">
        <x:v>Train</x:v>
      </x:c>
      <x:c r="C1615" s="23" t="str">
        <x:v>Switching</x:v>
      </x:c>
      <x:c r="D1615" s="23" t="n">
        <x:v>969.5317151141353</x:v>
      </x:c>
      <x:c r="E1615" s="23" t="n">
        <x:v>875.2123919082806</x:v>
      </x:c>
      <x:c r="F1615" s="23" t="n">
        <x:v>448.51403879001737</x:v>
      </x:c>
      <x:c r="G1615" s="23" t="n">
        <x:v>314.27758924663067</x:v>
      </x:c>
      <x:c r="H1615" s="23" t="n">
        <x:v>26.766681218985468</x:v>
      </x:c>
      <x:c r="I1615" s="23" t="n">
        <x:v>0.8321575865102933</x:v>
      </x:c>
      <x:c r="J1615" s="23" t="n">
        <x:v>6</x:v>
      </x:c>
      <x:c r="K1615" s="23" t="n">
        <x:v>194.1803112837336</x:v>
      </x:c>
      <x:c r="L1615" s="23" t="n">
        <x:v>15230</x:v>
      </x:c>
      <x:c r="M1615" s="23" t="n">
        <x:v>1200</x:v>
      </x:c>
      <x:c r="N1615" s="23" t="n">
        <x:v>249.96755972388146</x:v>
      </x:c>
      <x:c r="O1615" s="23" t="n">
        <x:v>2502.972984857917</x:v>
      </x:c>
      <x:c r="P1615" s="23" t="n">
        <x:v>969.5317151141353</x:v>
      </x:c>
      <x:c r="Q1615" s="23" t="n">
        <x:v>248.56741100344126</x:v>
      </x:c>
      <x:c r="R1615" s="23" t="n">
        <x:v>2506.4541816390447</x:v>
      </x:c>
      <x:c r="S1615" s="23" t="n">
        <x:v>963.0952547025107</x:v>
      </x:c>
      <x:c r="T1615" s="23" t="n">
        <x:v>-1.4001487204401997</x:v>
      </x:c>
      <x:c r="U1615" s="23" t="n">
        <x:v>3.481196781127892</x:v>
      </x:c>
      <x:c r="V1615" s="23" t="n">
        <x:v>-6.43646041162458</x:v>
      </x:c>
    </x:row>
    <x:row r="1616">
      <x:c r="A1616" s="23" t="n">
        <x:v>1615</x:v>
      </x:c>
      <x:c r="B1616" s="23" t="str">
        <x:v>Validation</x:v>
      </x:c>
      <x:c r="C1616" s="23" t="str">
        <x:v>Switching</x:v>
      </x:c>
      <x:c r="D1616" s="23" t="n">
        <x:v>1089.859232888557</x:v>
      </x:c>
      <x:c r="E1616" s="23" t="n">
        <x:v>1141.8140922789462</x:v>
      </x:c>
      <x:c r="F1616" s="23" t="n">
        <x:v>722.550643235445</x:v>
      </x:c>
      <x:c r="G1616" s="23" t="n">
        <x:v>301.161667665001</x:v>
      </x:c>
      <x:c r="H1616" s="23" t="n">
        <x:v>24.182062952779233</x:v>
      </x:c>
      <x:c r="I1616" s="23" t="n">
        <x:v>0.8457771780877374</x:v>
      </x:c>
      <x:c r="J1616" s="23" t="n">
        <x:v>7</x:v>
      </x:c>
      <x:c r="K1616" s="23" t="n">
        <x:v>184.0841537944473</x:v>
      </x:c>
      <x:c r="L1616" s="23" t="n">
        <x:v>9875</x:v>
      </x:c>
      <x:c r="M1616" s="23" t="n">
        <x:v>1195</x:v>
      </x:c>
      <x:c r="N1616" s="23" t="n">
        <x:v>249.9863913460222</x:v>
      </x:c>
      <x:c r="O1616" s="23" t="n">
        <x:v>2496.9584374552787</x:v>
      </x:c>
      <x:c r="P1616" s="23" t="n">
        <x:v>1089.859232888557</x:v>
      </x:c>
      <x:c r="Q1616" s="23" t="n">
        <x:v>252.98038029880942</x:v>
      </x:c>
      <x:c r="R1616" s="23" t="n">
        <x:v>2531.7825470782996</x:v>
      </x:c>
      <x:c r="S1616" s="23" t="n">
        <x:v>1076.7330354917765</x:v>
      </x:c>
      <x:c r="T1616" s="23" t="n">
        <x:v>2.9939889527872197</x:v>
      </x:c>
      <x:c r="U1616" s="23" t="n">
        <x:v>34.82410962302083</x:v>
      </x:c>
      <x:c r="V1616" s="23" t="n">
        <x:v>-13.126197396780526</x:v>
      </x:c>
    </x:row>
    <x:row r="1617">
      <x:c r="A1617" s="23" t="n">
        <x:v>1616</x:v>
      </x:c>
      <x:c r="B1617" s="23" t="str">
        <x:v>Validation</x:v>
      </x:c>
      <x:c r="C1617" s="23" t="str">
        <x:v>Switching</x:v>
      </x:c>
      <x:c r="D1617" s="23" t="n">
        <x:v>962.4348983052187</x:v>
      </x:c>
      <x:c r="E1617" s="23" t="n">
        <x:v>749.5506567880511</x:v>
      </x:c>
      <x:c r="F1617" s="23" t="n">
        <x:v>633.3441927097738</x:v>
      </x:c>
      <x:c r="G1617" s="23" t="n">
        <x:v>321.74839083570987</x:v>
      </x:c>
      <x:c r="H1617" s="23" t="n">
        <x:v>12.336006680037826</x:v>
      </x:c>
      <x:c r="I1617" s="23" t="n">
        <x:v>0.8240854988899082</x:v>
      </x:c>
      <x:c r="J1617" s="23" t="n">
        <x:v>6</x:v>
      </x:c>
      <x:c r="K1617" s="23" t="n">
        <x:v>194.64705616138036</x:v>
      </x:c>
      <x:c r="L1617" s="23" t="n">
        <x:v>14635</x:v>
      </x:c>
      <x:c r="M1617" s="23" t="n">
        <x:v>1200</x:v>
      </x:c>
      <x:c r="N1617" s="23" t="n">
        <x:v>249.97378056197152</x:v>
      </x:c>
      <x:c r="O1617" s="23" t="n">
        <x:v>2503.305487911968</x:v>
      </x:c>
      <x:c r="P1617" s="23" t="n">
        <x:v>962.4348983052187</x:v>
      </x:c>
      <x:c r="Q1617" s="23" t="n">
        <x:v>254.14147461314562</x:v>
      </x:c>
      <x:c r="R1617" s="23" t="n">
        <x:v>2502.4339897447494</x:v>
      </x:c>
      <x:c r="S1617" s="23" t="n">
        <x:v>971.3935372799982</x:v>
      </x:c>
      <x:c r="T1617" s="23" t="n">
        <x:v>4.167694051174095</x:v>
      </x:c>
      <x:c r="U1617" s="23" t="n">
        <x:v>-0.8714981672187605</x:v>
      </x:c>
      <x:c r="V1617" s="23" t="n">
        <x:v>8.958638974779547</x:v>
      </x:c>
    </x:row>
    <x:row r="1618">
      <x:c r="A1618" s="23" t="n">
        <x:v>1617</x:v>
      </x:c>
      <x:c r="B1618" s="23" t="str">
        <x:v>Validation</x:v>
      </x:c>
      <x:c r="C1618" s="23" t="str">
        <x:v>Switching</x:v>
      </x:c>
      <x:c r="D1618" s="23" t="n">
        <x:v>978.262694273144</x:v>
      </x:c>
      <x:c r="E1618" s="23" t="n">
        <x:v>1018.5792041360401</x:v>
      </x:c>
      <x:c r="F1618" s="23" t="n">
        <x:v>382.74383042007685</x:v>
      </x:c>
      <x:c r="G1618" s="23" t="n">
        <x:v>216.72322971979156</x:v>
      </x:c>
      <x:c r="H1618" s="23" t="n">
        <x:v>11.781036974862218</x:v>
      </x:c>
      <x:c r="I1618" s="23" t="n">
        <x:v>0.8147038843412884</x:v>
      </x:c>
      <x:c r="J1618" s="23" t="n">
        <x:v>7</x:v>
      </x:c>
      <x:c r="K1618" s="23" t="n">
        <x:v>171.53694262865258</x:v>
      </x:c>
      <x:c r="L1618" s="23" t="n">
        <x:v>13215</x:v>
      </x:c>
      <x:c r="M1618" s="23" t="n">
        <x:v>1200</x:v>
      </x:c>
      <x:c r="N1618" s="23" t="n">
        <x:v>249.96147321516372</x:v>
      </x:c>
      <x:c r="O1618" s="23" t="n">
        <x:v>2504.218970913603</x:v>
      </x:c>
      <x:c r="P1618" s="23" t="n">
        <x:v>978.262694273144</x:v>
      </x:c>
      <x:c r="Q1618" s="23" t="n">
        <x:v>249.2687678865263</x:v>
      </x:c>
      <x:c r="R1618" s="23" t="n">
        <x:v>2542.3386009749997</x:v>
      </x:c>
      <x:c r="S1618" s="23" t="n">
        <x:v>979.3878491846799</x:v>
      </x:c>
      <x:c r="T1618" s="23" t="n">
        <x:v>-0.6927053286374303</x:v>
      </x:c>
      <x:c r="U1618" s="23" t="n">
        <x:v>38.11963006139695</x:v>
      </x:c>
      <x:c r="V1618" s="23" t="n">
        <x:v>1.1251549115359012</x:v>
      </x:c>
    </x:row>
    <x:row r="1619">
      <x:c r="A1619" s="23" t="n">
        <x:v>1618</x:v>
      </x:c>
      <x:c r="B1619" s="23" t="str">
        <x:v>Hidden Test</x:v>
      </x:c>
      <x:c r="C1619" s="23" t="str">
        <x:v>Switching</x:v>
      </x:c>
      <x:c r="D1619" s="23" t="n">
        <x:v>1005.4586488404311</x:v>
      </x:c>
      <x:c r="E1619" s="23" t="n">
        <x:v>1002.442363020964</x:v>
      </x:c>
      <x:c r="F1619" s="23" t="n">
        <x:v>644.0010168589652</x:v>
      </x:c>
      <x:c r="G1619" s="23" t="n">
        <x:v>165.6339738238603</x:v>
      </x:c>
      <x:c r="H1619" s="23" t="n">
        <x:v>25.53806157456711</x:v>
      </x:c>
      <x:c r="I1619" s="23" t="n">
        <x:v>0.8572505963826552</x:v>
      </x:c>
      <x:c r="J1619" s="23" t="n">
        <x:v>6</x:v>
      </x:c>
      <x:c r="K1619" s="23" t="n">
        <x:v>195.48127721407062</x:v>
      </x:c>
      <x:c r="L1619" s="23" t="n">
        <x:v>13770</x:v>
      </x:c>
      <x:c r="M1619" s="23" t="n">
        <x:v>1200</x:v>
      </x:c>
      <x:c r="N1619" s="23" t="n">
        <x:v>250.02274295918704</x:v>
      </x:c>
      <x:c r="O1619" s="23" t="n">
        <x:v>2503.84154116404</x:v>
      </x:c>
      <x:c r="P1619" s="23" t="n">
        <x:v>1005.4586488404311</x:v>
      </x:c>
      <x:c r="Q1619" s="23" t="n">
        <x:v>248.97636292538996</x:v>
      </x:c>
      <x:c r="R1619" s="23" t="n">
        <x:v>2487.138361712236</x:v>
      </x:c>
      <x:c r="S1619" s="23" t="n">
        <x:v>993.5421657405619</x:v>
      </x:c>
      <x:c r="T1619" s="23" t="n">
        <x:v>-1.0463800337970781</x:v>
      </x:c>
      <x:c r="U1619" s="23" t="n">
        <x:v>-16.703179451803862</x:v>
      </x:c>
      <x:c r="V1619" s="23" t="n">
        <x:v>-11.916483099869197</x:v>
      </x:c>
    </x:row>
    <x:row r="1620">
      <x:c r="A1620" s="23" t="n">
        <x:v>1619</x:v>
      </x:c>
      <x:c r="B1620" s="23" t="str">
        <x:v>Hidden Test</x:v>
      </x:c>
      <x:c r="C1620" s="23" t="str">
        <x:v>Switching</x:v>
      </x:c>
      <x:c r="D1620" s="23" t="n">
        <x:v>1098.6050957581028</x:v>
      </x:c>
      <x:c r="E1620" s="23" t="n">
        <x:v>740.516792202834</x:v>
      </x:c>
      <x:c r="F1620" s="23" t="n">
        <x:v>637.3757567256689</x:v>
      </x:c>
      <x:c r="G1620" s="23" t="n">
        <x:v>221.18186448467895</x:v>
      </x:c>
      <x:c r="H1620" s="23" t="n">
        <x:v>12.575855103321373</x:v>
      </x:c>
      <x:c r="I1620" s="23" t="n">
        <x:v>0.823120663582813</x:v>
      </x:c>
      <x:c r="J1620" s="23" t="n">
        <x:v>7</x:v>
      </x:c>
      <x:c r="K1620" s="23" t="n">
        <x:v>190.66898943487712</x:v>
      </x:c>
      <x:c r="L1620" s="23" t="n">
        <x:v>13375</x:v>
      </x:c>
      <x:c r="M1620" s="23" t="n">
        <x:v>1200</x:v>
      </x:c>
      <x:c r="N1620" s="23" t="n">
        <x:v>250.0215614622793</x:v>
      </x:c>
      <x:c r="O1620" s="23" t="n">
        <x:v>2504.1085319753606</x:v>
      </x:c>
      <x:c r="P1620" s="23" t="n">
        <x:v>1098.6050957581028</x:v>
      </x:c>
      <x:c r="Q1620" s="23" t="n">
        <x:v>249.09223976571832</x:v>
      </x:c>
      <x:c r="R1620" s="23" t="n">
        <x:v>2494.6718499779527</x:v>
      </x:c>
      <x:c r="S1620" s="23" t="n">
        <x:v>1103.5861119313847</x:v>
      </x:c>
      <x:c r="T1620" s="23" t="n">
        <x:v>-0.9293216965609759</x:v>
      </x:c>
      <x:c r="U1620" s="23" t="n">
        <x:v>-9.436681997407959</x:v>
      </x:c>
      <x:c r="V1620" s="23" t="n">
        <x:v>4.981016173281887</x:v>
      </x:c>
    </x:row>
    <x:row r="1621">
      <x:c r="A1621" s="23" t="n">
        <x:v>1620</x:v>
      </x:c>
      <x:c r="B1621" s="23" t="str">
        <x:v>Hidden Test</x:v>
      </x:c>
      <x:c r="C1621" s="23" t="str">
        <x:v>Switching</x:v>
      </x:c>
      <x:c r="D1621" s="23" t="n">
        <x:v>968.3736590086482</x:v>
      </x:c>
      <x:c r="E1621" s="23" t="n">
        <x:v>1034.0767866466194</x:v>
      </x:c>
      <x:c r="F1621" s="23" t="n">
        <x:v>514.1459363512695</x:v>
      </x:c>
      <x:c r="G1621" s="23" t="n">
        <x:v>273.2076787343249</x:v>
      </x:c>
      <x:c r="H1621" s="23" t="n">
        <x:v>14.200677588116378</x:v>
      </x:c>
      <x:c r="I1621" s="23" t="n">
        <x:v>0.8538140835054219</x:v>
      </x:c>
      <x:c r="J1621" s="23" t="n">
        <x:v>6</x:v>
      </x:c>
      <x:c r="K1621" s="23" t="n">
        <x:v>189.02898529402137</x:v>
      </x:c>
      <x:c r="L1621" s="23" t="n">
        <x:v>13700</x:v>
      </x:c>
      <x:c r="M1621" s="23" t="n">
        <x:v>1200</x:v>
      </x:c>
      <x:c r="N1621" s="23" t="n">
        <x:v>250.0353975986907</x:v>
      </x:c>
      <x:c r="O1621" s="23" t="n">
        <x:v>2503.8882091324826</x:v>
      </x:c>
      <x:c r="P1621" s="23" t="n">
        <x:v>968.3736590086482</x:v>
      </x:c>
      <x:c r="Q1621" s="23" t="n">
        <x:v>253.86583784959578</x:v>
      </x:c>
      <x:c r="R1621" s="23" t="n">
        <x:v>2531.8602121534495</x:v>
      </x:c>
      <x:c r="S1621" s="23" t="n">
        <x:v>973.7529991894216</x:v>
      </x:c>
      <x:c r="T1621" s="23" t="n">
        <x:v>3.8304402509050703</x:v>
      </x:c>
      <x:c r="U1621" s="23" t="n">
        <x:v>27.972003020966895</x:v>
      </x:c>
      <x:c r="V1621" s="23" t="n">
        <x:v>5.379340180773397</x:v>
      </x:c>
    </x:row>
    <x:row r="1622">
      <x:c r="A1622" s="23" t="n">
        <x:v>1621</x:v>
      </x:c>
      <x:c r="B1622" s="23" t="str">
        <x:v>Train</x:v>
      </x:c>
      <x:c r="C1622" s="23" t="str">
        <x:v>Switching</x:v>
      </x:c>
      <x:c r="D1622" s="23" t="n">
        <x:v>1095.1087967026979</x:v>
      </x:c>
      <x:c r="E1622" s="23" t="n">
        <x:v>839.3809344503097</x:v>
      </x:c>
      <x:c r="F1622" s="23" t="n">
        <x:v>659.760051779449</x:v>
      </x:c>
      <x:c r="G1622" s="23" t="n">
        <x:v>232.8846102883108</x:v>
      </x:c>
      <x:c r="H1622" s="23" t="n">
        <x:v>13.716228649020195</x:v>
      </x:c>
      <x:c r="I1622" s="23" t="n">
        <x:v>0.8176357000903227</x:v>
      </x:c>
      <x:c r="J1622" s="23" t="n">
        <x:v>7</x:v>
      </x:c>
      <x:c r="K1622" s="23" t="n">
        <x:v>191.33718573857408</x:v>
      </x:c>
      <x:c r="L1622" s="23" t="n">
        <x:v>12345</x:v>
      </x:c>
      <x:c r="M1622" s="23" t="n">
        <x:v>1200</x:v>
      </x:c>
      <x:c r="N1622" s="23" t="n">
        <x:v>249.95422784999764</x:v>
      </x:c>
      <x:c r="O1622" s="23" t="n">
        <x:v>2504.882467402451</x:v>
      </x:c>
      <x:c r="P1622" s="23" t="n">
        <x:v>1095.1087967026979</x:v>
      </x:c>
      <x:c r="Q1622" s="23" t="n">
        <x:v>252.2421840517447</x:v>
      </x:c>
      <x:c r="R1622" s="23" t="n">
        <x:v>2519.017756093938</x:v>
      </x:c>
      <x:c r="S1622" s="23" t="n">
        <x:v>1102.5782931411673</x:v>
      </x:c>
      <x:c r="T1622" s="23" t="n">
        <x:v>2.2879562017470505</x:v>
      </x:c>
      <x:c r="U1622" s="23" t="n">
        <x:v>14.135288691486949</x:v>
      </x:c>
      <x:c r="V1622" s="23" t="n">
        <x:v>7.469496438469378</x:v>
      </x:c>
    </x:row>
    <x:row r="1623">
      <x:c r="A1623" s="23" t="n">
        <x:v>1622</x:v>
      </x:c>
      <x:c r="B1623" s="23" t="str">
        <x:v>Train</x:v>
      </x:c>
      <x:c r="C1623" s="23" t="str">
        <x:v>Switching</x:v>
      </x:c>
      <x:c r="D1623" s="23" t="n">
        <x:v>1053.7190971081145</x:v>
      </x:c>
      <x:c r="E1623" s="23" t="n">
        <x:v>1100.6043476751074</x:v>
      </x:c>
      <x:c r="F1623" s="23" t="n">
        <x:v>630.1588249392807</x:v>
      </x:c>
      <x:c r="G1623" s="23" t="n">
        <x:v>244.0682783909142</x:v>
      </x:c>
      <x:c r="H1623" s="23" t="n">
        <x:v>13.289295411203057</x:v>
      </x:c>
      <x:c r="I1623" s="23" t="n">
        <x:v>0.8270294532692061</x:v>
      </x:c>
      <x:c r="J1623" s="23" t="n">
        <x:v>7</x:v>
      </x:c>
      <x:c r="K1623" s="23" t="n">
        <x:v>182.01443611449483</x:v>
      </x:c>
      <x:c r="L1623" s="23" t="n">
        <x:v>10830</x:v>
      </x:c>
      <x:c r="M1623" s="23" t="n">
        <x:v>1195</x:v>
      </x:c>
      <x:c r="N1623" s="23" t="n">
        <x:v>250.01935967523033</x:v>
      </x:c>
      <x:c r="O1623" s="23" t="n">
        <x:v>2495.852989305748</x:v>
      </x:c>
      <x:c r="P1623" s="23" t="n">
        <x:v>1053.7190971081145</x:v>
      </x:c>
      <x:c r="Q1623" s="23" t="n">
        <x:v>255.84151065129868</x:v>
      </x:c>
      <x:c r="R1623" s="23" t="n">
        <x:v>2517.9584533758652</x:v>
      </x:c>
      <x:c r="S1623" s="23" t="n">
        <x:v>1056.0736478306471</x:v>
      </x:c>
      <x:c r="T1623" s="23" t="n">
        <x:v>5.822150976068343</x:v>
      </x:c>
      <x:c r="U1623" s="23" t="n">
        <x:v>22.10546407011725</x:v>
      </x:c>
      <x:c r="V1623" s="23" t="n">
        <x:v>2.354550722532622</x:v>
      </x:c>
    </x:row>
    <x:row r="1624">
      <x:c r="A1624" s="23" t="n">
        <x:v>1623</x:v>
      </x:c>
      <x:c r="B1624" s="23" t="str">
        <x:v>Train</x:v>
      </x:c>
      <x:c r="C1624" s="23" t="str">
        <x:v>Switching</x:v>
      </x:c>
      <x:c r="D1624" s="23" t="n">
        <x:v>1067.188233626075</x:v>
      </x:c>
      <x:c r="E1624" s="23" t="n">
        <x:v>946.60876711132</x:v>
      </x:c>
      <x:c r="F1624" s="23" t="n">
        <x:v>603.2431706786156</x:v>
      </x:c>
      <x:c r="G1624" s="23" t="n">
        <x:v>131.93813232472166</x:v>
      </x:c>
      <x:c r="H1624" s="23" t="n">
        <x:v>19.327782447449863</x:v>
      </x:c>
      <x:c r="I1624" s="23" t="n">
        <x:v>0.8481376628181898</x:v>
      </x:c>
      <x:c r="J1624" s="23" t="n">
        <x:v>7</x:v>
      </x:c>
      <x:c r="K1624" s="23" t="n">
        <x:v>179.75320355424793</x:v>
      </x:c>
      <x:c r="L1624" s="23" t="n">
        <x:v>12715</x:v>
      </x:c>
      <x:c r="M1624" s="23" t="n">
        <x:v>1200</x:v>
      </x:c>
      <x:c r="N1624" s="23" t="n">
        <x:v>249.97895437657232</x:v>
      </x:c>
      <x:c r="O1624" s="23" t="n">
        <x:v>2504.5900363561514</x:v>
      </x:c>
      <x:c r="P1624" s="23" t="n">
        <x:v>1067.188233626075</x:v>
      </x:c>
      <x:c r="Q1624" s="23" t="n">
        <x:v>250.7067069788557</x:v>
      </x:c>
      <x:c r="R1624" s="23" t="n">
        <x:v>2519.9510389565053</x:v>
      </x:c>
      <x:c r="S1624" s="23" t="n">
        <x:v>1061.3341175935652</x:v>
      </x:c>
      <x:c r="T1624" s="23" t="n">
        <x:v>0.727752602283374</x:v>
      </x:c>
      <x:c r="U1624" s="23" t="n">
        <x:v>15.361002600353913</x:v>
      </x:c>
      <x:c r="V1624" s="23" t="n">
        <x:v>-5.8541160325098645</x:v>
      </x:c>
    </x:row>
    <x:row r="1625">
      <x:c r="A1625" s="23" t="n">
        <x:v>1624</x:v>
      </x:c>
      <x:c r="B1625" s="23" t="str">
        <x:v>Train</x:v>
      </x:c>
      <x:c r="C1625" s="23" t="str">
        <x:v>Switching</x:v>
      </x:c>
      <x:c r="D1625" s="23" t="n">
        <x:v>1060.1180943544023</x:v>
      </x:c>
      <x:c r="E1625" s="23" t="n">
        <x:v>844.4669819436967</x:v>
      </x:c>
      <x:c r="F1625" s="23" t="n">
        <x:v>415.5778548680246</x:v>
      </x:c>
      <x:c r="G1625" s="23" t="n">
        <x:v>125.81336735282093</x:v>
      </x:c>
      <x:c r="H1625" s="23" t="n">
        <x:v>12.779275377746671</x:v>
      </x:c>
      <x:c r="I1625" s="23" t="n">
        <x:v>0.8108143064845353</x:v>
      </x:c>
      <x:c r="J1625" s="23" t="n">
        <x:v>7</x:v>
      </x:c>
      <x:c r="K1625" s="23" t="n">
        <x:v>186.78190658383187</x:v>
      </x:c>
      <x:c r="L1625" s="23" t="n">
        <x:v>15430</x:v>
      </x:c>
      <x:c r="M1625" s="23" t="n">
        <x:v>1200</x:v>
      </x:c>
      <x:c r="N1625" s="23" t="n">
        <x:v>249.9767765189628</x:v>
      </x:c>
      <x:c r="O1625" s="23" t="n">
        <x:v>2502.8673577780824</x:v>
      </x:c>
      <x:c r="P1625" s="23" t="n">
        <x:v>1060.1180943544023</x:v>
      </x:c>
      <x:c r="Q1625" s="23" t="n">
        <x:v>247.98022648756796</x:v>
      </x:c>
      <x:c r="R1625" s="23" t="n">
        <x:v>2460.089051236146</x:v>
      </x:c>
      <x:c r="S1625" s="23" t="n">
        <x:v>1064.940548559801</x:v>
      </x:c>
      <x:c r="T1625" s="23" t="n">
        <x:v>-1.9965500313948326</x:v>
      </x:c>
      <x:c r="U1625" s="23" t="n">
        <x:v>-42.77830654193622</x:v>
      </x:c>
      <x:c r="V1625" s="23" t="n">
        <x:v>4.822454205398799</x:v>
      </x:c>
    </x:row>
    <x:row r="1626">
      <x:c r="A1626" s="23" t="n">
        <x:v>1625</x:v>
      </x:c>
      <x:c r="B1626" s="23" t="str">
        <x:v>Train</x:v>
      </x:c>
      <x:c r="C1626" s="23" t="str">
        <x:v>Switching</x:v>
      </x:c>
      <x:c r="D1626" s="23" t="n">
        <x:v>1046.1004443466663</x:v>
      </x:c>
      <x:c r="E1626" s="23" t="n">
        <x:v>1152.6574330753647</x:v>
      </x:c>
      <x:c r="F1626" s="23" t="n">
        <x:v>606.759356148541</x:v>
      </x:c>
      <x:c r="G1626" s="23" t="n">
        <x:v>118.57521206373349</x:v>
      </x:c>
      <x:c r="H1626" s="23" t="n">
        <x:v>26.82120936922729</x:v>
      </x:c>
      <x:c r="I1626" s="23" t="n">
        <x:v>0.8050143905472942</x:v>
      </x:c>
      <x:c r="J1626" s="23" t="n">
        <x:v>7</x:v>
      </x:c>
      <x:c r="K1626" s="23" t="n">
        <x:v>185.64006106692403</x:v>
      </x:c>
      <x:c r="L1626" s="23" t="n">
        <x:v>11390</x:v>
      </x:c>
      <x:c r="M1626" s="23" t="n">
        <x:v>1195</x:v>
      </x:c>
      <x:c r="N1626" s="23" t="n">
        <x:v>250.0536470136404</x:v>
      </x:c>
      <x:c r="O1626" s="23" t="n">
        <x:v>2495.2916163419045</x:v>
      </x:c>
      <x:c r="P1626" s="23" t="n">
        <x:v>1046.1004443466663</x:v>
      </x:c>
      <x:c r="Q1626" s="23" t="n">
        <x:v>249.1705061085984</x:v>
      </x:c>
      <x:c r="R1626" s="23" t="n">
        <x:v>2496.205209471863</x:v>
      </x:c>
      <x:c r="S1626" s="23" t="n">
        <x:v>1038.5145357925367</x:v>
      </x:c>
      <x:c r="T1626" s="23" t="n">
        <x:v>-0.8831409050419836</x:v>
      </x:c>
      <x:c r="U1626" s="23" t="n">
        <x:v>0.9135931299583717</x:v>
      </x:c>
      <x:c r="V1626" s="23" t="n">
        <x:v>-7.585908554129674</x:v>
      </x:c>
    </x:row>
    <x:row r="1627">
      <x:c r="A1627" s="23" t="n">
        <x:v>1626</x:v>
      </x:c>
      <x:c r="B1627" s="23" t="str">
        <x:v>Train</x:v>
      </x:c>
      <x:c r="C1627" s="23" t="str">
        <x:v>Switching</x:v>
      </x:c>
      <x:c r="D1627" s="23" t="n">
        <x:v>1077.9014288098551</x:v>
      </x:c>
      <x:c r="E1627" s="23" t="n">
        <x:v>648.5329868504778</x:v>
      </x:c>
      <x:c r="F1627" s="23" t="n">
        <x:v>702.8501377440989</x:v>
      </x:c>
      <x:c r="G1627" s="23" t="n">
        <x:v>311.2223033513874</x:v>
      </x:c>
      <x:c r="H1627" s="23" t="n">
        <x:v>17.988260593730956</x:v>
      </x:c>
      <x:c r="I1627" s="23" t="n">
        <x:v>0.8111854217993096</x:v>
      </x:c>
      <x:c r="J1627" s="23" t="n">
        <x:v>7</x:v>
      </x:c>
      <x:c r="K1627" s="23" t="n">
        <x:v>189.82826153340878</x:v>
      </x:c>
      <x:c r="L1627" s="23" t="n">
        <x:v>12865</x:v>
      </x:c>
      <x:c r="M1627" s="23" t="n">
        <x:v>1200</x:v>
      </x:c>
      <x:c r="N1627" s="23" t="n">
        <x:v>250.0427231013818</x:v>
      </x:c>
      <x:c r="O1627" s="23" t="n">
        <x:v>2504.478358717159</x:v>
      </x:c>
      <x:c r="P1627" s="23" t="n">
        <x:v>1077.9014288098551</x:v>
      </x:c>
      <x:c r="Q1627" s="23" t="n">
        <x:v>252.80299899892364</x:v>
      </x:c>
      <x:c r="R1627" s="23" t="n">
        <x:v>2459.8516733172983</x:v>
      </x:c>
      <x:c r="S1627" s="23" t="n">
        <x:v>1080.4276106187428</x:v>
      </x:c>
      <x:c r="T1627" s="23" t="n">
        <x:v>2.7602758975418453</x:v>
      </x:c>
      <x:c r="U1627" s="23" t="n">
        <x:v>-44.62668539986089</x:v>
      </x:c>
      <x:c r="V1627" s="23" t="n">
        <x:v>2.5261818088877135</x:v>
      </x:c>
    </x:row>
    <x:row r="1628">
      <x:c r="A1628" s="23" t="n">
        <x:v>1627</x:v>
      </x:c>
      <x:c r="B1628" s="23" t="str">
        <x:v>Train</x:v>
      </x:c>
      <x:c r="C1628" s="23" t="str">
        <x:v>Switching</x:v>
      </x:c>
      <x:c r="D1628" s="23" t="n">
        <x:v>975.9527393383905</x:v>
      </x:c>
      <x:c r="E1628" s="23" t="n">
        <x:v>898.382198496256</x:v>
      </x:c>
      <x:c r="F1628" s="23" t="n">
        <x:v>616.0899464040995</x:v>
      </x:c>
      <x:c r="G1628" s="23" t="n">
        <x:v>244.04092049924657</x:v>
      </x:c>
      <x:c r="H1628" s="23" t="n">
        <x:v>9.954568141140044</x:v>
      </x:c>
      <x:c r="I1628" s="23" t="n">
        <x:v>0.8114092662441544</x:v>
      </x:c>
      <x:c r="J1628" s="23" t="n">
        <x:v>7</x:v>
      </x:c>
      <x:c r="K1628" s="23" t="n">
        <x:v>171.82675340995192</x:v>
      </x:c>
      <x:c r="L1628" s="23" t="n">
        <x:v>12160</x:v>
      </x:c>
      <x:c r="M1628" s="23" t="n">
        <x:v>1200</x:v>
      </x:c>
      <x:c r="N1628" s="23" t="n">
        <x:v>249.9735797794916</x:v>
      </x:c>
      <x:c r="O1628" s="23" t="n">
        <x:v>2505.036656256304</x:v>
      </x:c>
      <x:c r="P1628" s="23" t="n">
        <x:v>975.9527393383905</x:v>
      </x:c>
      <x:c r="Q1628" s="23" t="n">
        <x:v>253.20694935286696</x:v>
      </x:c>
      <x:c r="R1628" s="23" t="n">
        <x:v>2517.0747591319446</x:v>
      </x:c>
      <x:c r="S1628" s="23" t="n">
        <x:v>976.7839898179074</x:v>
      </x:c>
      <x:c r="T1628" s="23" t="n">
        <x:v>3.23336957337537</x:v>
      </x:c>
      <x:c r="U1628" s="23" t="n">
        <x:v>12.038102875640561</x:v>
      </x:c>
      <x:c r="V1628" s="23" t="n">
        <x:v>0.8312504795168252</x:v>
      </x:c>
    </x:row>
    <x:row r="1629">
      <x:c r="A1629" s="23" t="n">
        <x:v>1628</x:v>
      </x:c>
      <x:c r="B1629" s="23" t="str">
        <x:v>Train</x:v>
      </x:c>
      <x:c r="C1629" s="23" t="str">
        <x:v>Switching</x:v>
      </x:c>
      <x:c r="D1629" s="23" t="n">
        <x:v>1090.2754903188907</x:v>
      </x:c>
      <x:c r="E1629" s="23" t="n">
        <x:v>1232.377405418083</x:v>
      </x:c>
      <x:c r="F1629" s="23" t="n">
        <x:v>414.1216720454395</x:v>
      </x:c>
      <x:c r="G1629" s="23" t="n">
        <x:v>217.86789018195122</x:v>
      </x:c>
      <x:c r="H1629" s="23" t="n">
        <x:v>17.58514529047534</x:v>
      </x:c>
      <x:c r="I1629" s="23" t="n">
        <x:v>0.8255031213909388</x:v>
      </x:c>
      <x:c r="J1629" s="23" t="n">
        <x:v>7</x:v>
      </x:c>
      <x:c r="K1629" s="23" t="n">
        <x:v>188.6772289990724</x:v>
      </x:c>
      <x:c r="L1629" s="23" t="n">
        <x:v>11470</x:v>
      </x:c>
      <x:c r="M1629" s="23" t="n">
        <x:v>1195</x:v>
      </x:c>
      <x:c r="N1629" s="23" t="n">
        <x:v>249.98279700446463</x:v>
      </x:c>
      <x:c r="O1629" s="23" t="n">
        <x:v>2495.212632771257</x:v>
      </x:c>
      <x:c r="P1629" s="23" t="n">
        <x:v>1090.2754903188907</x:v>
      </x:c>
      <x:c r="Q1629" s="23" t="n">
        <x:v>251.20926347592123</x:v>
      </x:c>
      <x:c r="R1629" s="23" t="n">
        <x:v>2567.4993173231487</x:v>
      </x:c>
      <x:c r="S1629" s="23" t="n">
        <x:v>1081.660962857689</x:v>
      </x:c>
      <x:c r="T1629" s="23" t="n">
        <x:v>1.2264664714566038</x:v>
      </x:c>
      <x:c r="U1629" s="23" t="n">
        <x:v>72.28668455189154</x:v>
      </x:c>
      <x:c r="V1629" s="23" t="n">
        <x:v>-8.61452746120176</x:v>
      </x:c>
    </x:row>
    <x:row r="1630">
      <x:c r="A1630" s="23" t="n">
        <x:v>1629</x:v>
      </x:c>
      <x:c r="B1630" s="23" t="str">
        <x:v>Train</x:v>
      </x:c>
      <x:c r="C1630" s="23" t="str">
        <x:v>Switching</x:v>
      </x:c>
      <x:c r="D1630" s="23" t="n">
        <x:v>957.9725496005267</x:v>
      </x:c>
      <x:c r="E1630" s="23" t="n">
        <x:v>788.6473880033009</x:v>
      </x:c>
      <x:c r="F1630" s="23" t="n">
        <x:v>717.3602318391204</x:v>
      </x:c>
      <x:c r="G1630" s="23" t="n">
        <x:v>320.2057506260462</x:v>
      </x:c>
      <x:c r="H1630" s="23" t="n">
        <x:v>11.174847524613142</x:v>
      </x:c>
      <x:c r="I1630" s="23" t="n">
        <x:v>0.8544935521134176</x:v>
      </x:c>
      <x:c r="J1630" s="23" t="n">
        <x:v>6</x:v>
      </x:c>
      <x:c r="K1630" s="23" t="n">
        <x:v>186.84996651548252</x:v>
      </x:c>
      <x:c r="L1630" s="23" t="n">
        <x:v>13660</x:v>
      </x:c>
      <x:c r="M1630" s="23" t="n">
        <x:v>1200</x:v>
      </x:c>
      <x:c r="N1630" s="23" t="n">
        <x:v>249.95995251911856</x:v>
      </x:c>
      <x:c r="O1630" s="23" t="n">
        <x:v>2503.912074233289</x:v>
      </x:c>
      <x:c r="P1630" s="23" t="n">
        <x:v>957.9725496005267</x:v>
      </x:c>
      <x:c r="Q1630" s="23" t="n">
        <x:v>254.41412033133105</x:v>
      </x:c>
      <x:c r="R1630" s="23" t="n">
        <x:v>2512.0808401713193</x:v>
      </x:c>
      <x:c r="S1630" s="23" t="n">
        <x:v>956.7256384480806</x:v>
      </x:c>
      <x:c r="T1630" s="23" t="n">
        <x:v>4.454167812212489</x:v>
      </x:c>
      <x:c r="U1630" s="23" t="n">
        <x:v>8.168765938030447</x:v>
      </x:c>
      <x:c r="V1630" s="23" t="n">
        <x:v>-1.246911152446046</x:v>
      </x:c>
    </x:row>
    <x:row r="1631">
      <x:c r="A1631" s="23" t="n">
        <x:v>1630</x:v>
      </x:c>
      <x:c r="B1631" s="23" t="str">
        <x:v>Train</x:v>
      </x:c>
      <x:c r="C1631" s="23" t="str">
        <x:v>Switching</x:v>
      </x:c>
      <x:c r="D1631" s="23" t="n">
        <x:v>1078.4170948085375</x:v>
      </x:c>
      <x:c r="E1631" s="23" t="n">
        <x:v>817.3009662656114</x:v>
      </x:c>
      <x:c r="F1631" s="23" t="n">
        <x:v>438.81073789671063</x:v>
      </x:c>
      <x:c r="G1631" s="23" t="n">
        <x:v>197.45294462889433</x:v>
      </x:c>
      <x:c r="H1631" s="23" t="n">
        <x:v>23.1074355118908</x:v>
      </x:c>
      <x:c r="I1631" s="23" t="n">
        <x:v>0.8068283991096542</x:v>
      </x:c>
      <x:c r="J1631" s="23" t="n">
        <x:v>7</x:v>
      </x:c>
      <x:c r="K1631" s="23" t="n">
        <x:v>190.94467317047219</x:v>
      </x:c>
      <x:c r="L1631" s="23" t="n">
        <x:v>14715</x:v>
      </x:c>
      <x:c r="M1631" s="23" t="n">
        <x:v>1200</x:v>
      </x:c>
      <x:c r="N1631" s="23" t="n">
        <x:v>250.04026079839437</x:v>
      </x:c>
      <x:c r="O1631" s="23" t="n">
        <x:v>2503.261490533543</x:v>
      </x:c>
      <x:c r="P1631" s="23" t="n">
        <x:v>1078.4170948085375</x:v>
      </x:c>
      <x:c r="Q1631" s="23" t="n">
        <x:v>248.49818152236048</x:v>
      </x:c>
      <x:c r="R1631" s="23" t="n">
        <x:v>2495.8793873030872</x:v>
      </x:c>
      <x:c r="S1631" s="23" t="n">
        <x:v>1081.0065420806345</x:v>
      </x:c>
      <x:c r="T1631" s="23" t="n">
        <x:v>-1.5420792760338884</x:v>
      </x:c>
      <x:c r="U1631" s="23" t="n">
        <x:v>-7.3821032304558685</x:v>
      </x:c>
      <x:c r="V1631" s="23" t="n">
        <x:v>2.5894472720970043</x:v>
      </x:c>
    </x:row>
    <x:row r="1632">
      <x:c r="A1632" s="23" t="n">
        <x:v>1631</x:v>
      </x:c>
      <x:c r="B1632" s="23" t="str">
        <x:v>Train</x:v>
      </x:c>
      <x:c r="C1632" s="23" t="str">
        <x:v>Switching</x:v>
      </x:c>
      <x:c r="D1632" s="23" t="n">
        <x:v>979.7862772131339</x:v>
      </x:c>
      <x:c r="E1632" s="23" t="n">
        <x:v>983.4496795316227</x:v>
      </x:c>
      <x:c r="F1632" s="23" t="n">
        <x:v>400.0101886689663</x:v>
      </x:c>
      <x:c r="G1632" s="23" t="n">
        <x:v>144.82587516075</x:v>
      </x:c>
      <x:c r="H1632" s="23" t="n">
        <x:v>16.700466773472726</x:v>
      </x:c>
      <x:c r="I1632" s="23" t="n">
        <x:v>0.8270669412030839</x:v>
      </x:c>
      <x:c r="J1632" s="23" t="n">
        <x:v>6</x:v>
      </x:c>
      <x:c r="K1632" s="23" t="n">
        <x:v>197.44195388987063</x:v>
      </x:c>
      <x:c r="L1632" s="23" t="n">
        <x:v>16325</x:v>
      </x:c>
      <x:c r="M1632" s="23" t="n">
        <x:v>1200</x:v>
      </x:c>
      <x:c r="N1632" s="23" t="n">
        <x:v>249.99198881726736</x:v>
      </x:c>
      <x:c r="O1632" s="23" t="n">
        <x:v>2502.425534545075</x:v>
      </x:c>
      <x:c r="P1632" s="23" t="n">
        <x:v>979.7862772131339</x:v>
      </x:c>
      <x:c r="Q1632" s="23" t="n">
        <x:v>249.42968147934937</x:v>
      </x:c>
      <x:c r="R1632" s="23" t="n">
        <x:v>2504.1116505003356</x:v>
      </x:c>
      <x:c r="S1632" s="23" t="n">
        <x:v>982.3718090785593</x:v>
      </x:c>
      <x:c r="T1632" s="23" t="n">
        <x:v>-0.5623073379179857</x:v>
      </x:c>
      <x:c r="U1632" s="23" t="n">
        <x:v>1.6861159552604477</x:v>
      </x:c>
      <x:c r="V1632" s="23" t="n">
        <x:v>2.5855318654254233</x:v>
      </x:c>
    </x:row>
    <x:row r="1633">
      <x:c r="A1633" s="23" t="n">
        <x:v>1632</x:v>
      </x:c>
      <x:c r="B1633" s="23" t="str">
        <x:v>Train</x:v>
      </x:c>
      <x:c r="C1633" s="23" t="str">
        <x:v>Switching</x:v>
      </x:c>
      <x:c r="D1633" s="23" t="n">
        <x:v>1013.0085756885819</x:v>
      </x:c>
      <x:c r="E1633" s="23" t="n">
        <x:v>1184.3856751918793</x:v>
      </x:c>
      <x:c r="F1633" s="23" t="n">
        <x:v>577.3495047353208</x:v>
      </x:c>
      <x:c r="G1633" s="23" t="n">
        <x:v>222.9979681270197</x:v>
      </x:c>
      <x:c r="H1633" s="23" t="n">
        <x:v>8.168398620095104</x:v>
      </x:c>
      <x:c r="I1633" s="23" t="n">
        <x:v>0.8119755747448654</x:v>
      </x:c>
      <x:c r="J1633" s="23" t="n">
        <x:v>7</x:v>
      </x:c>
      <x:c r="K1633" s="23" t="n">
        <x:v>178.22643354527787</x:v>
      </x:c>
      <x:c r="L1633" s="23" t="n">
        <x:v>10775</x:v>
      </x:c>
      <x:c r="M1633" s="23" t="n">
        <x:v>1195</x:v>
      </x:c>
      <x:c r="N1633" s="23" t="n">
        <x:v>249.99671721820334</x:v>
      </x:c>
      <x:c r="O1633" s="23" t="n">
        <x:v>2495.910388898947</x:v>
      </x:c>
      <x:c r="P1633" s="23" t="n">
        <x:v>1013.0085756885819</x:v>
      </x:c>
      <x:c r="Q1633" s="23" t="n">
        <x:v>255.51429618100826</x:v>
      </x:c>
      <x:c r="R1633" s="23" t="n">
        <x:v>2556.4284574011676</x:v>
      </x:c>
      <x:c r="S1633" s="23" t="n">
        <x:v>1011.4482047047268</x:v>
      </x:c>
      <x:c r="T1633" s="23" t="n">
        <x:v>5.517578962804919</x:v>
      </x:c>
      <x:c r="U1633" s="23" t="n">
        <x:v>60.51806850222056</x:v>
      </x:c>
      <x:c r="V1633" s="23" t="n">
        <x:v>-1.5603709838551367</x:v>
      </x:c>
    </x:row>
    <x:row r="1634">
      <x:c r="A1634" s="23" t="n">
        <x:v>1633</x:v>
      </x:c>
      <x:c r="B1634" s="23" t="str">
        <x:v>Train</x:v>
      </x:c>
      <x:c r="C1634" s="23" t="str">
        <x:v>Switching</x:v>
      </x:c>
      <x:c r="D1634" s="23" t="n">
        <x:v>1018.592646624893</x:v>
      </x:c>
      <x:c r="E1634" s="23" t="n">
        <x:v>862.3118154122494</x:v>
      </x:c>
      <x:c r="F1634" s="23" t="n">
        <x:v>490.30354265123606</x:v>
      </x:c>
      <x:c r="G1634" s="23" t="n">
        <x:v>110.47421114752069</x:v>
      </x:c>
      <x:c r="H1634" s="23" t="n">
        <x:v>20.788804167881608</x:v>
      </x:c>
      <x:c r="I1634" s="23" t="n">
        <x:v>0.794616940796841</x:v>
      </x:c>
      <x:c r="J1634" s="23" t="n">
        <x:v>7</x:v>
      </x:c>
      <x:c r="K1634" s="23" t="n">
        <x:v>183.12375153518255</x:v>
      </x:c>
      <x:c r="L1634" s="23" t="n">
        <x:v>14615</x:v>
      </x:c>
      <x:c r="M1634" s="23" t="n">
        <x:v>1200</x:v>
      </x:c>
      <x:c r="N1634" s="23" t="n">
        <x:v>249.96832607985712</x:v>
      </x:c>
      <x:c r="O1634" s="23" t="n">
        <x:v>2503.316937000291</x:v>
      </x:c>
      <x:c r="P1634" s="23" t="n">
        <x:v>1018.592646624893</x:v>
      </x:c>
      <x:c r="Q1634" s="23" t="n">
        <x:v>246.6069845976669</x:v>
      </x:c>
      <x:c r="R1634" s="23" t="n">
        <x:v>2497.5429627962444</x:v>
      </x:c>
      <x:c r="S1634" s="23" t="n">
        <x:v>1019.3932624566086</x:v>
      </x:c>
      <x:c r="T1634" s="23" t="n">
        <x:v>-3.3613414821902268</x:v>
      </x:c>
      <x:c r="U1634" s="23" t="n">
        <x:v>-5.773974204046681</x:v>
      </x:c>
      <x:c r="V1634" s="23" t="n">
        <x:v>0.8006158317156178</x:v>
      </x:c>
    </x:row>
    <x:row r="1635">
      <x:c r="A1635" s="23" t="n">
        <x:v>1634</x:v>
      </x:c>
      <x:c r="B1635" s="23" t="str">
        <x:v>Train</x:v>
      </x:c>
      <x:c r="C1635" s="23" t="str">
        <x:v>Switching</x:v>
      </x:c>
      <x:c r="D1635" s="23" t="n">
        <x:v>1092.2168144606985</x:v>
      </x:c>
      <x:c r="E1635" s="23" t="n">
        <x:v>940.1683571981266</x:v>
      </x:c>
      <x:c r="F1635" s="23" t="n">
        <x:v>742.7442424930632</x:v>
      </x:c>
      <x:c r="G1635" s="23" t="n">
        <x:v>270.4143469873816</x:v>
      </x:c>
      <x:c r="H1635" s="23" t="n">
        <x:v>29.994382478762418</x:v>
      </x:c>
      <x:c r="I1635" s="23" t="n">
        <x:v>0.8049194099614397</x:v>
      </x:c>
      <x:c r="J1635" s="23" t="n">
        <x:v>7</x:v>
      </x:c>
      <x:c r="K1635" s="23" t="n">
        <x:v>193.8467026181668</x:v>
      </x:c>
      <x:c r="L1635" s="23" t="n">
        <x:v>10950</x:v>
      </x:c>
      <x:c r="M1635" s="23" t="n">
        <x:v>1195</x:v>
      </x:c>
      <x:c r="N1635" s="23" t="n">
        <x:v>250.0374093441812</x:v>
      </x:c>
      <x:c r="O1635" s="23" t="n">
        <x:v>2495.7283288769136</x:v>
      </x:c>
      <x:c r="P1635" s="23" t="n">
        <x:v>1092.2168144606985</x:v>
      </x:c>
      <x:c r="Q1635" s="23" t="n">
        <x:v>252.28805628870964</x:v>
      </x:c>
      <x:c r="R1635" s="23" t="n">
        <x:v>2502.6468200839427</x:v>
      </x:c>
      <x:c r="S1635" s="23" t="n">
        <x:v>1072.5384422833597</x:v>
      </x:c>
      <x:c r="T1635" s="23" t="n">
        <x:v>2.2506469445284267</x:v>
      </x:c>
      <x:c r="U1635" s="23" t="n">
        <x:v>6.918491207029092</x:v>
      </x:c>
      <x:c r="V1635" s="23" t="n">
        <x:v>-19.678372177338815</x:v>
      </x:c>
    </x:row>
    <x:row r="1636">
      <x:c r="A1636" s="23" t="n">
        <x:v>1635</x:v>
      </x:c>
      <x:c r="B1636" s="23" t="str">
        <x:v>Validation</x:v>
      </x:c>
      <x:c r="C1636" s="23" t="str">
        <x:v>Switching</x:v>
      </x:c>
      <x:c r="D1636" s="23" t="n">
        <x:v>1075.4266015952453</x:v>
      </x:c>
      <x:c r="E1636" s="23" t="n">
        <x:v>814.1989269875921</x:v>
      </x:c>
      <x:c r="F1636" s="23" t="n">
        <x:v>548.392741009593</x:v>
      </x:c>
      <x:c r="G1636" s="23" t="n">
        <x:v>187.2851137141697</x:v>
      </x:c>
      <x:c r="H1636" s="23" t="n">
        <x:v>13.53714229632169</x:v>
      </x:c>
      <x:c r="I1636" s="23" t="n">
        <x:v>0.8376454372028821</x:v>
      </x:c>
      <x:c r="J1636" s="23" t="n">
        <x:v>7</x:v>
      </x:c>
      <x:c r="K1636" s="23" t="n">
        <x:v>183.40978752237035</x:v>
      </x:c>
      <x:c r="L1636" s="23" t="n">
        <x:v>13800</x:v>
      </x:c>
      <x:c r="M1636" s="23" t="n">
        <x:v>1200</x:v>
      </x:c>
      <x:c r="N1636" s="23" t="n">
        <x:v>250.02951471306952</x:v>
      </x:c>
      <x:c r="O1636" s="23" t="n">
        <x:v>2503.822142721698</x:v>
      </x:c>
      <x:c r="P1636" s="23" t="n">
        <x:v>1075.4266015952453</x:v>
      </x:c>
      <x:c r="Q1636" s="23" t="n">
        <x:v>252.02355458229874</x:v>
      </x:c>
      <x:c r="R1636" s="23" t="n">
        <x:v>2494.761606007476</x:v>
      </x:c>
      <x:c r="S1636" s="23" t="n">
        <x:v>1082.8738830959257</x:v>
      </x:c>
      <x:c r="T1636" s="23" t="n">
        <x:v>1.9940398692292263</x:v>
      </x:c>
      <x:c r="U1636" s="23" t="n">
        <x:v>-9.060536714222053</x:v>
      </x:c>
      <x:c r="V1636" s="23" t="n">
        <x:v>7.447281500680447</x:v>
      </x:c>
    </x:row>
    <x:row r="1637">
      <x:c r="A1637" s="23" t="n">
        <x:v>1636</x:v>
      </x:c>
      <x:c r="B1637" s="23" t="str">
        <x:v>Validation</x:v>
      </x:c>
      <x:c r="C1637" s="23" t="str">
        <x:v>Switching</x:v>
      </x:c>
      <x:c r="D1637" s="23" t="n">
        <x:v>1066.3444820209406</x:v>
      </x:c>
      <x:c r="E1637" s="23" t="n">
        <x:v>965.4997759032995</x:v>
      </x:c>
      <x:c r="F1637" s="23" t="n">
        <x:v>699.4951519183815</x:v>
      </x:c>
      <x:c r="G1637" s="23" t="n">
        <x:v>275.1088331406936</x:v>
      </x:c>
      <x:c r="H1637" s="23" t="n">
        <x:v>15.876044548582286</x:v>
      </x:c>
      <x:c r="I1637" s="23" t="n">
        <x:v>0.8289636683277786</x:v>
      </x:c>
      <x:c r="J1637" s="23" t="n">
        <x:v>7</x:v>
      </x:c>
      <x:c r="K1637" s="23" t="n">
        <x:v>183.7655036321292</x:v>
      </x:c>
      <x:c r="L1637" s="23" t="n">
        <x:v>11025</x:v>
      </x:c>
      <x:c r="M1637" s="23" t="n">
        <x:v>1195</x:v>
      </x:c>
      <x:c r="N1637" s="23" t="n">
        <x:v>250.0453673757006</x:v>
      </x:c>
      <x:c r="O1637" s="23" t="n">
        <x:v>2495.6516747965916</x:v>
      </x:c>
      <x:c r="P1637" s="23" t="n">
        <x:v>1066.3444820209406</x:v>
      </x:c>
      <x:c r="Q1637" s="23" t="n">
        <x:v>252.60489784207718</x:v>
      </x:c>
      <x:c r="R1637" s="23" t="n">
        <x:v>2529.3917232609942</x:v>
      </x:c>
      <x:c r="S1637" s="23" t="n">
        <x:v>1064.5344772755932</x:v>
      </x:c>
      <x:c r="T1637" s="23" t="n">
        <x:v>2.5595304663765717</x:v>
      </x:c>
      <x:c r="U1637" s="23" t="n">
        <x:v>33.74004846440266</x:v>
      </x:c>
      <x:c r="V1637" s="23" t="n">
        <x:v>-1.8100047453474417</x:v>
      </x:c>
    </x:row>
    <x:row r="1638">
      <x:c r="A1638" s="23" t="n">
        <x:v>1637</x:v>
      </x:c>
      <x:c r="B1638" s="23" t="str">
        <x:v>Validation</x:v>
      </x:c>
      <x:c r="C1638" s="23" t="str">
        <x:v>Switching</x:v>
      </x:c>
      <x:c r="D1638" s="23" t="n">
        <x:v>989.0672145877033</x:v>
      </x:c>
      <x:c r="E1638" s="23" t="n">
        <x:v>993.3444356429391</x:v>
      </x:c>
      <x:c r="F1638" s="23" t="n">
        <x:v>627.0355356857181</x:v>
      </x:c>
      <x:c r="G1638" s="23" t="n">
        <x:v>248.41528686927631</x:v>
      </x:c>
      <x:c r="H1638" s="23" t="n">
        <x:v>9.266590632498264</x:v>
      </x:c>
      <x:c r="I1638" s="23" t="n">
        <x:v>0.8439829009235837</x:v>
      </x:c>
      <x:c r="J1638" s="23" t="n">
        <x:v>6</x:v>
      </x:c>
      <x:c r="K1638" s="23" t="n">
        <x:v>195.31738804687305</x:v>
      </x:c>
      <x:c r="L1638" s="23" t="n">
        <x:v>13350</x:v>
      </x:c>
      <x:c r="M1638" s="23" t="n">
        <x:v>1200</x:v>
      </x:c>
      <x:c r="N1638" s="23" t="n">
        <x:v>249.9833768014728</x:v>
      </x:c>
      <x:c r="O1638" s="23" t="n">
        <x:v>2504.124540820304</x:v>
      </x:c>
      <x:c r="P1638" s="23" t="n">
        <x:v>989.0672145877033</x:v>
      </x:c>
      <x:c r="Q1638" s="23" t="n">
        <x:v>254.56155298998775</x:v>
      </x:c>
      <x:c r="R1638" s="23" t="n">
        <x:v>2478.7175757664963</x:v>
      </x:c>
      <x:c r="S1638" s="23" t="n">
        <x:v>984.4308588175976</x:v>
      </x:c>
      <x:c r="T1638" s="23" t="n">
        <x:v>4.578176188514959</x:v>
      </x:c>
      <x:c r="U1638" s="23" t="n">
        <x:v>-25.406965053807653</x:v>
      </x:c>
      <x:c r="V1638" s="23" t="n">
        <x:v>-4.636355770105752</x:v>
      </x:c>
    </x:row>
    <x:row r="1639">
      <x:c r="A1639" s="23" t="n">
        <x:v>1638</x:v>
      </x:c>
      <x:c r="B1639" s="23" t="str">
        <x:v>Hidden Test</x:v>
      </x:c>
      <x:c r="C1639" s="23" t="str">
        <x:v>Switching</x:v>
      </x:c>
      <x:c r="D1639" s="23" t="n">
        <x:v>1056.7157465149648</x:v>
      </x:c>
      <x:c r="E1639" s="23" t="n">
        <x:v>657.9714104300365</x:v>
      </x:c>
      <x:c r="F1639" s="23" t="n">
        <x:v>697.9324546642601</x:v>
      </x:c>
      <x:c r="G1639" s="23" t="n">
        <x:v>307.2045104764402</x:v>
      </x:c>
      <x:c r="H1639" s="23" t="n">
        <x:v>20.91996550420299</x:v>
      </x:c>
      <x:c r="I1639" s="23" t="n">
        <x:v>0.8433730237325654</x:v>
      </x:c>
      <x:c r="J1639" s="23" t="n">
        <x:v>7</x:v>
      </x:c>
      <x:c r="K1639" s="23" t="n">
        <x:v>178.9948078860418</x:v>
      </x:c>
      <x:c r="L1639" s="23" t="n">
        <x:v>12860</x:v>
      </x:c>
      <x:c r="M1639" s="23" t="n">
        <x:v>1200</x:v>
      </x:c>
      <x:c r="N1639" s="23" t="n">
        <x:v>250.02122178672855</x:v>
      </x:c>
      <x:c r="O1639" s="23" t="n">
        <x:v>2504.4812864758724</x:v>
      </x:c>
      <x:c r="P1639" s="23" t="n">
        <x:v>1056.7157465149648</x:v>
      </x:c>
      <x:c r="Q1639" s="23" t="n">
        <x:v>250.1857684052558</x:v>
      </x:c>
      <x:c r="R1639" s="23" t="n">
        <x:v>2511.8421411323457</x:v>
      </x:c>
      <x:c r="S1639" s="23" t="n">
        <x:v>1050.6807109747017</x:v>
      </x:c>
      <x:c r="T1639" s="23" t="n">
        <x:v>0.16454661852725394</x:v>
      </x:c>
      <x:c r="U1639" s="23" t="n">
        <x:v>7.360854656473293</x:v>
      </x:c>
      <x:c r="V1639" s="23" t="n">
        <x:v>-6.035035540263152</x:v>
      </x:c>
    </x:row>
    <x:row r="1640">
      <x:c r="A1640" s="23" t="n">
        <x:v>1639</x:v>
      </x:c>
      <x:c r="B1640" s="23" t="str">
        <x:v>Hidden Test</x:v>
      </x:c>
      <x:c r="C1640" s="23" t="str">
        <x:v>Switching</x:v>
      </x:c>
      <x:c r="D1640" s="23" t="n">
        <x:v>1089.422372286208</x:v>
      </x:c>
      <x:c r="E1640" s="23" t="n">
        <x:v>641.7728837695904</x:v>
      </x:c>
      <x:c r="F1640" s="23" t="n">
        <x:v>573.2620060443878</x:v>
      </x:c>
      <x:c r="G1640" s="23" t="n">
        <x:v>133.14888985594735</x:v>
      </x:c>
      <x:c r="H1640" s="23" t="n">
        <x:v>26.911592829041183</x:v>
      </x:c>
      <x:c r="I1640" s="23" t="n">
        <x:v>0.835332175565418</x:v>
      </x:c>
      <x:c r="J1640" s="23" t="n">
        <x:v>7</x:v>
      </x:c>
      <x:c r="K1640" s="23" t="n">
        <x:v>186.31123285070942</x:v>
      </x:c>
      <x:c r="L1640" s="23" t="n">
        <x:v>15865</x:v>
      </x:c>
      <x:c r="M1640" s="23" t="n">
        <x:v>1200</x:v>
      </x:c>
      <x:c r="N1640" s="23" t="n">
        <x:v>250.03716377407312</x:v>
      </x:c>
      <x:c r="O1640" s="23" t="n">
        <x:v>2502.6480474182144</x:v>
      </x:c>
      <x:c r="P1640" s="23" t="n">
        <x:v>1089.422372286208</x:v>
      </x:c>
      <x:c r="Q1640" s="23" t="n">
        <x:v>249.06970510108684</x:v>
      </x:c>
      <x:c r="R1640" s="23" t="n">
        <x:v>2459.2038211031586</x:v>
      </x:c>
      <x:c r="S1640" s="23" t="n">
        <x:v>1087.385015933898</x:v>
      </x:c>
      <x:c r="T1640" s="23" t="n">
        <x:v>-0.9674586729862824</x:v>
      </x:c>
      <x:c r="U1640" s="23" t="n">
        <x:v>-43.44422631505586</x:v>
      </x:c>
      <x:c r="V1640" s="23" t="n">
        <x:v>-2.037356352309871</x:v>
      </x:c>
    </x:row>
    <x:row r="1641">
      <x:c r="A1641" s="23" t="n">
        <x:v>1640</x:v>
      </x:c>
      <x:c r="B1641" s="23" t="str">
        <x:v>Hidden Test</x:v>
      </x:c>
      <x:c r="C1641" s="23" t="str">
        <x:v>Switching</x:v>
      </x:c>
      <x:c r="D1641" s="23" t="n">
        <x:v>990.177062980365</x:v>
      </x:c>
      <x:c r="E1641" s="23" t="n">
        <x:v>865.0595479644835</x:v>
      </x:c>
      <x:c r="F1641" s="23" t="n">
        <x:v>656.1660087667406</x:v>
      </x:c>
      <x:c r="G1641" s="23" t="n">
        <x:v>248.85602998081595</x:v>
      </x:c>
      <x:c r="H1641" s="23" t="n">
        <x:v>20.524231357034296</x:v>
      </x:c>
      <x:c r="I1641" s="23" t="n">
        <x:v>0.8198870183620602</x:v>
      </x:c>
      <x:c r="J1641" s="23" t="n">
        <x:v>7</x:v>
      </x:c>
      <x:c r="K1641" s="23" t="n">
        <x:v>172.52848620855517</x:v>
      </x:c>
      <x:c r="L1641" s="23" t="n">
        <x:v>12080</x:v>
      </x:c>
      <x:c r="M1641" s="23" t="n">
        <x:v>1200</x:v>
      </x:c>
      <x:c r="N1641" s="23" t="n">
        <x:v>249.96293195710237</x:v>
      </x:c>
      <x:c r="O1641" s="23" t="n">
        <x:v>2505.103998932568</x:v>
      </x:c>
      <x:c r="P1641" s="23" t="n">
        <x:v>990.177062980365</x:v>
      </x:c>
      <x:c r="Q1641" s="23" t="n">
        <x:v>250.52070191426805</x:v>
      </x:c>
      <x:c r="R1641" s="23" t="n">
        <x:v>2515.585863653132</x:v>
      </x:c>
      <x:c r="S1641" s="23" t="n">
        <x:v>991.5476098282535</x:v>
      </x:c>
      <x:c r="T1641" s="23" t="n">
        <x:v>0.5577699571656751</x:v>
      </x:c>
      <x:c r="U1641" s="23" t="n">
        <x:v>10.481864720563863</x:v>
      </x:c>
      <x:c r="V1641" s="23" t="n">
        <x:v>1.3705468478884768</x:v>
      </x:c>
    </x:row>
    <x:row r="1642">
      <x:c r="A1642" s="23" t="n">
        <x:v>1641</x:v>
      </x:c>
      <x:c r="B1642" s="23" t="str">
        <x:v>Train</x:v>
      </x:c>
      <x:c r="C1642" s="23" t="str">
        <x:v>Switching</x:v>
      </x:c>
      <x:c r="D1642" s="23" t="n">
        <x:v>1003.2991727814078</x:v>
      </x:c>
      <x:c r="E1642" s="23" t="n">
        <x:v>777.5980648002587</x:v>
      </x:c>
      <x:c r="F1642" s="23" t="n">
        <x:v>640.6189741566777</x:v>
      </x:c>
      <x:c r="G1642" s="23" t="n">
        <x:v>231.49083320284262</x:v>
      </x:c>
      <x:c r="H1642" s="23" t="n">
        <x:v>15.757548024877906</x:v>
      </x:c>
      <x:c r="I1642" s="23" t="n">
        <x:v>0.7957896532234736</x:v>
      </x:c>
      <x:c r="J1642" s="23" t="n">
        <x:v>7</x:v>
      </x:c>
      <x:c r="K1642" s="23" t="n">
        <x:v>180.10846543921744</x:v>
      </x:c>
      <x:c r="L1642" s="23" t="n">
        <x:v>12965</x:v>
      </x:c>
      <x:c r="M1642" s="23" t="n">
        <x:v>1200</x:v>
      </x:c>
      <x:c r="N1642" s="23" t="n">
        <x:v>250.03148980300898</x:v>
      </x:c>
      <x:c r="O1642" s="23" t="n">
        <x:v>2504.4032794654163</x:v>
      </x:c>
      <x:c r="P1642" s="23" t="n">
        <x:v>1003.2991727814078</x:v>
      </x:c>
      <x:c r="Q1642" s="23" t="n">
        <x:v>253.95925273135697</x:v>
      </x:c>
      <x:c r="R1642" s="23" t="n">
        <x:v>2469.1139174341183</x:v>
      </x:c>
      <x:c r="S1642" s="23" t="n">
        <x:v>1007.9722255028506</x:v>
      </x:c>
      <x:c r="T1642" s="23" t="n">
        <x:v>3.9277629283479882</x:v>
      </x:c>
      <x:c r="U1642" s="23" t="n">
        <x:v>-35.28936203129797</x:v>
      </x:c>
      <x:c r="V1642" s="23" t="n">
        <x:v>4.673052721442787</x:v>
      </x:c>
    </x:row>
    <x:row r="1643">
      <x:c r="A1643" s="23" t="n">
        <x:v>1642</x:v>
      </x:c>
      <x:c r="B1643" s="23" t="str">
        <x:v>Train</x:v>
      </x:c>
      <x:c r="C1643" s="23" t="str">
        <x:v>Switching</x:v>
      </x:c>
      <x:c r="D1643" s="23" t="n">
        <x:v>1065.2713943854906</x:v>
      </x:c>
      <x:c r="E1643" s="23" t="n">
        <x:v>1046.982053318061</x:v>
      </x:c>
      <x:c r="F1643" s="23" t="n">
        <x:v>476.6113401390612</x:v>
      </x:c>
      <x:c r="G1643" s="23" t="n">
        <x:v>227.10760000161827</x:v>
      </x:c>
      <x:c r="H1643" s="23" t="n">
        <x:v>15.648052443284541</x:v>
      </x:c>
      <x:c r="I1643" s="23" t="n">
        <x:v>0.833548443284817</x:v>
      </x:c>
      <x:c r="J1643" s="23" t="n">
        <x:v>7</x:v>
      </x:c>
      <x:c r="K1643" s="23" t="n">
        <x:v>182.57082596140907</x:v>
      </x:c>
      <x:c r="L1643" s="23" t="n">
        <x:v>12215</x:v>
      </x:c>
      <x:c r="M1643" s="23" t="n">
        <x:v>1200</x:v>
      </x:c>
      <x:c r="N1643" s="23" t="n">
        <x:v>249.9888417320721</x:v>
      </x:c>
      <x:c r="O1643" s="23" t="n">
        <x:v>2504.991180623122</x:v>
      </x:c>
      <x:c r="P1643" s="23" t="n">
        <x:v>1065.2713943854906</x:v>
      </x:c>
      <x:c r="Q1643" s="23" t="n">
        <x:v>251.90746447717967</x:v>
      </x:c>
      <x:c r="R1643" s="23" t="n">
        <x:v>2479.791298160745</x:v>
      </x:c>
      <x:c r="S1643" s="23" t="n">
        <x:v>1065.4791192036305</x:v>
      </x:c>
      <x:c r="T1643" s="23" t="n">
        <x:v>1.9186227451075695</x:v>
      </x:c>
      <x:c r="U1643" s="23" t="n">
        <x:v>-25.19988246237699</x:v>
      </x:c>
      <x:c r="V1643" s="23" t="n">
        <x:v>0.20772481813992272</x:v>
      </x:c>
    </x:row>
    <x:row r="1644">
      <x:c r="A1644" s="23" t="n">
        <x:v>1643</x:v>
      </x:c>
      <x:c r="B1644" s="23" t="str">
        <x:v>Train</x:v>
      </x:c>
      <x:c r="C1644" s="23" t="str">
        <x:v>Switching</x:v>
      </x:c>
      <x:c r="D1644" s="23" t="n">
        <x:v>1017.2170168487355</x:v>
      </x:c>
      <x:c r="E1644" s="23" t="n">
        <x:v>774.9814620823599</x:v>
      </x:c>
      <x:c r="F1644" s="23" t="n">
        <x:v>394.07189078629017</x:v>
      </x:c>
      <x:c r="G1644" s="23" t="n">
        <x:v>116.52389923809096</x:v>
      </x:c>
      <x:c r="H1644" s="23" t="n">
        <x:v>8.210872338153422</x:v>
      </x:c>
      <x:c r="I1644" s="23" t="n">
        <x:v>0.8519568734499626</x:v>
      </x:c>
      <x:c r="J1644" s="23" t="n">
        <x:v>6</x:v>
      </x:c>
      <x:c r="K1644" s="23" t="n">
        <x:v>198.9961871993119</x:v>
      </x:c>
      <x:c r="L1644" s="23" t="n">
        <x:v>19410</x:v>
      </x:c>
      <x:c r="M1644" s="23" t="n">
        <x:v>1200</x:v>
      </x:c>
      <x:c r="N1644" s="23" t="n">
        <x:v>250.02975289982166</x:v>
      </x:c>
      <x:c r="O1644" s="23" t="n">
        <x:v>2501.2145162571114</x:v>
      </x:c>
      <x:c r="P1644" s="23" t="n">
        <x:v>1017.2170168487355</x:v>
      </x:c>
      <x:c r="Q1644" s="23" t="n">
        <x:v>248.72458074231824</x:v>
      </x:c>
      <x:c r="R1644" s="23" t="n">
        <x:v>2522.6157108440757</x:v>
      </x:c>
      <x:c r="S1644" s="23" t="n">
        <x:v>1035.3843873551234</x:v>
      </x:c>
      <x:c r="T1644" s="23" t="n">
        <x:v>-1.3051721575034207</x:v>
      </x:c>
      <x:c r="U1644" s="23" t="n">
        <x:v>21.401194586964266</x:v>
      </x:c>
      <x:c r="V1644" s="23" t="n">
        <x:v>18.167370506387897</x:v>
      </x:c>
    </x:row>
    <x:row r="1645">
      <x:c r="A1645" s="23" t="n">
        <x:v>1644</x:v>
      </x:c>
      <x:c r="B1645" s="23" t="str">
        <x:v>Train</x:v>
      </x:c>
      <x:c r="C1645" s="23" t="str">
        <x:v>Switching</x:v>
      </x:c>
      <x:c r="D1645" s="23" t="n">
        <x:v>1001.0563230491243</x:v>
      </x:c>
      <x:c r="E1645" s="23" t="n">
        <x:v>1083.3120049443096</x:v>
      </x:c>
      <x:c r="F1645" s="23" t="n">
        <x:v>484.4456057064235</x:v>
      </x:c>
      <x:c r="G1645" s="23" t="n">
        <x:v>183.91604609321803</x:v>
      </x:c>
      <x:c r="H1645" s="23" t="n">
        <x:v>22.57634701160714</x:v>
      </x:c>
      <x:c r="I1645" s="23" t="n">
        <x:v>0.8574640615656972</x:v>
      </x:c>
      <x:c r="J1645" s="23" t="n">
        <x:v>6</x:v>
      </x:c>
      <x:c r="K1645" s="23" t="n">
        <x:v>194.57692512912885</x:v>
      </x:c>
      <x:c r="L1645" s="23" t="n">
        <x:v>14245</x:v>
      </x:c>
      <x:c r="M1645" s="23" t="n">
        <x:v>1200</x:v>
      </x:c>
      <x:c r="N1645" s="23" t="n">
        <x:v>250.0255156269809</x:v>
      </x:c>
      <x:c r="O1645" s="23" t="n">
        <x:v>2503.5401508776895</x:v>
      </x:c>
      <x:c r="P1645" s="23" t="n">
        <x:v>1001.0563230491243</x:v>
      </x:c>
      <x:c r="Q1645" s="23" t="n">
        <x:v>248.98636786563992</x:v>
      </x:c>
      <x:c r="R1645" s="23" t="n">
        <x:v>2480.097317312832</x:v>
      </x:c>
      <x:c r="S1645" s="23" t="n">
        <x:v>995.8110064334232</x:v>
      </x:c>
      <x:c r="T1645" s="23" t="n">
        <x:v>-1.0391477613409847</x:v>
      </x:c>
      <x:c r="U1645" s="23" t="n">
        <x:v>-23.442833564857665</x:v>
      </x:c>
      <x:c r="V1645" s="23" t="n">
        <x:v>-5.2453166157010855</x:v>
      </x:c>
    </x:row>
    <x:row r="1646">
      <x:c r="A1646" s="23" t="n">
        <x:v>1645</x:v>
      </x:c>
      <x:c r="B1646" s="23" t="str">
        <x:v>Train</x:v>
      </x:c>
      <x:c r="C1646" s="23" t="str">
        <x:v>Switching</x:v>
      </x:c>
      <x:c r="D1646" s="23" t="n">
        <x:v>1004.2152976151556</x:v>
      </x:c>
      <x:c r="E1646" s="23" t="n">
        <x:v>832.58327197982</x:v>
      </x:c>
      <x:c r="F1646" s="23" t="n">
        <x:v>457.2223952040076</x:v>
      </x:c>
      <x:c r="G1646" s="23" t="n">
        <x:v>112.37758745672181</x:v>
      </x:c>
      <x:c r="H1646" s="23" t="n">
        <x:v>17.924498591572046</x:v>
      </x:c>
      <x:c r="I1646" s="23" t="n">
        <x:v>0.7938551922910847</x:v>
      </x:c>
      <x:c r="J1646" s="23" t="n">
        <x:v>7</x:v>
      </x:c>
      <x:c r="K1646" s="23" t="n">
        <x:v>180.71221253426526</x:v>
      </x:c>
      <x:c r="L1646" s="23" t="n">
        <x:v>15250</x:v>
      </x:c>
      <x:c r="M1646" s="23" t="n">
        <x:v>1200</x:v>
      </x:c>
      <x:c r="N1646" s="23" t="n">
        <x:v>249.9710647768612</x:v>
      </x:c>
      <x:c r="O1646" s="23" t="n">
        <x:v>2502.962389161913</x:v>
      </x:c>
      <x:c r="P1646" s="23" t="n">
        <x:v>1004.2152976151556</x:v>
      </x:c>
      <x:c r="Q1646" s="23" t="n">
        <x:v>249.62437413986632</x:v>
      </x:c>
      <x:c r="R1646" s="23" t="n">
        <x:v>2505.9486416688346</x:v>
      </x:c>
      <x:c r="S1646" s="23" t="n">
        <x:v>1009.5417847722068</x:v>
      </x:c>
      <x:c r="T1646" s="23" t="n">
        <x:v>-0.3466906369948788</x:v>
      </x:c>
      <x:c r="U1646" s="23" t="n">
        <x:v>2.9862525069215735</x:v>
      </x:c>
      <x:c r="V1646" s="23" t="n">
        <x:v>5.326487157051247</x:v>
      </x:c>
    </x:row>
    <x:row r="1647">
      <x:c r="A1647" s="23" t="n">
        <x:v>1646</x:v>
      </x:c>
      <x:c r="B1647" s="23" t="str">
        <x:v>Train</x:v>
      </x:c>
      <x:c r="C1647" s="23" t="str">
        <x:v>Switching</x:v>
      </x:c>
      <x:c r="D1647" s="23" t="n">
        <x:v>1079.0579958003946</x:v>
      </x:c>
      <x:c r="E1647" s="23" t="n">
        <x:v>798.7693399889395</x:v>
      </x:c>
      <x:c r="F1647" s="23" t="n">
        <x:v>466.3626288063824</x:v>
      </x:c>
      <x:c r="G1647" s="23" t="n">
        <x:v>204.46320801973343</x:v>
      </x:c>
      <x:c r="H1647" s="23" t="n">
        <x:v>23.870451519731432</x:v>
      </x:c>
      <x:c r="I1647" s="23" t="n">
        <x:v>0.8043480157060549</x:v>
      </x:c>
      <x:c r="J1647" s="23" t="n">
        <x:v>7</x:v>
      </x:c>
      <x:c r="K1647" s="23" t="n">
        <x:v>191.6473208700412</x:v>
      </x:c>
      <x:c r="L1647" s="23" t="n">
        <x:v>14550</x:v>
      </x:c>
      <x:c r="M1647" s="23" t="n">
        <x:v>1200</x:v>
      </x:c>
      <x:c r="N1647" s="23" t="n">
        <x:v>249.96319807105496</x:v>
      </x:c>
      <x:c r="O1647" s="23" t="n">
        <x:v>2503.3548074432756</x:v>
      </x:c>
      <x:c r="P1647" s="23" t="n">
        <x:v>1079.0579958003946</x:v>
      </x:c>
      <x:c r="Q1647" s="23" t="n">
        <x:v>249.20969617659736</x:v>
      </x:c>
      <x:c r="R1647" s="23" t="n">
        <x:v>2505.7956438402302</x:v>
      </x:c>
      <x:c r="S1647" s="23" t="n">
        <x:v>1076.1008471681162</x:v>
      </x:c>
      <x:c r="T1647" s="23" t="n">
        <x:v>-0.7535018944575995</x:v>
      </x:c>
      <x:c r="U1647" s="23" t="n">
        <x:v>2.440836396954637</x:v>
      </x:c>
      <x:c r="V1647" s="23" t="n">
        <x:v>-2.957148632278404</x:v>
      </x:c>
    </x:row>
    <x:row r="1648">
      <x:c r="A1648" s="23" t="n">
        <x:v>1647</x:v>
      </x:c>
      <x:c r="B1648" s="23" t="str">
        <x:v>Train</x:v>
      </x:c>
      <x:c r="C1648" s="23" t="str">
        <x:v>Switching</x:v>
      </x:c>
      <x:c r="D1648" s="23" t="n">
        <x:v>1031.3243897864595</x:v>
      </x:c>
      <x:c r="E1648" s="23" t="n">
        <x:v>883.0511772190221</x:v>
      </x:c>
      <x:c r="F1648" s="23" t="n">
        <x:v>697.2028769552708</x:v>
      </x:c>
      <x:c r="G1648" s="23" t="n">
        <x:v>306.9944757572375</x:v>
      </x:c>
      <x:c r="H1648" s="23" t="n">
        <x:v>11.412359192036092</x:v>
      </x:c>
      <x:c r="I1648" s="23" t="n">
        <x:v>0.7975651522516274</x:v>
      </x:c>
      <x:c r="J1648" s="23" t="n">
        <x:v>7</x:v>
      </x:c>
      <x:c r="K1648" s="23" t="n">
        <x:v>184.72729816221644</x:v>
      </x:c>
      <x:c r="L1648" s="23" t="n">
        <x:v>11330</x:v>
      </x:c>
      <x:c r="M1648" s="23" t="n">
        <x:v>1195</x:v>
      </x:c>
      <x:c r="N1648" s="23" t="n">
        <x:v>249.96202749967463</x:v>
      </x:c>
      <x:c r="O1648" s="23" t="n">
        <x:v>2495.345275929344</x:v>
      </x:c>
      <x:c r="P1648" s="23" t="n">
        <x:v>1031.3243897864595</x:v>
      </x:c>
      <x:c r="Q1648" s="23" t="n">
        <x:v>252.5643657089319</x:v>
      </x:c>
      <x:c r="R1648" s="23" t="n">
        <x:v>2461.912467234713</x:v>
      </x:c>
      <x:c r="S1648" s="23" t="n">
        <x:v>1025.5236667494385</x:v>
      </x:c>
      <x:c r="T1648" s="23" t="n">
        <x:v>2.6023382092572547</x:v>
      </x:c>
      <x:c r="U1648" s="23" t="n">
        <x:v>-33.43280869463115</x:v>
      </x:c>
      <x:c r="V1648" s="23" t="n">
        <x:v>-5.800723037021044</x:v>
      </x:c>
    </x:row>
    <x:row r="1649">
      <x:c r="A1649" s="23" t="n">
        <x:v>1648</x:v>
      </x:c>
      <x:c r="B1649" s="23" t="str">
        <x:v>Train</x:v>
      </x:c>
      <x:c r="C1649" s="23" t="str">
        <x:v>Switching</x:v>
      </x:c>
      <x:c r="D1649" s="23" t="n">
        <x:v>982.3587056132965</x:v>
      </x:c>
      <x:c r="E1649" s="23" t="n">
        <x:v>859.4417290762067</x:v>
      </x:c>
      <x:c r="F1649" s="23" t="n">
        <x:v>594.636772479862</x:v>
      </x:c>
      <x:c r="G1649" s="23" t="n">
        <x:v>153.83701961953193</x:v>
      </x:c>
      <x:c r="H1649" s="23" t="n">
        <x:v>18.92072912445292</x:v>
      </x:c>
      <x:c r="I1649" s="23" t="n">
        <x:v>0.7958525580819696</x:v>
      </x:c>
      <x:c r="J1649" s="23" t="n">
        <x:v>7</x:v>
      </x:c>
      <x:c r="K1649" s="23" t="n">
        <x:v>176.33537332966958</x:v>
      </x:c>
      <x:c r="L1649" s="23" t="n">
        <x:v>13300</x:v>
      </x:c>
      <x:c r="M1649" s="23" t="n">
        <x:v>1200</x:v>
      </x:c>
      <x:c r="N1649" s="23" t="n">
        <x:v>249.9943057284454</x:v>
      </x:c>
      <x:c r="O1649" s="23" t="n">
        <x:v>2504.1599978318673</x:v>
      </x:c>
      <x:c r="P1649" s="23" t="n">
        <x:v>982.3587056132965</x:v>
      </x:c>
      <x:c r="Q1649" s="23" t="n">
        <x:v>251.79943657816438</x:v>
      </x:c>
      <x:c r="R1649" s="23" t="n">
        <x:v>2499.6928595897225</x:v>
      </x:c>
      <x:c r="S1649" s="23" t="n">
        <x:v>980.8575125906955</x:v>
      </x:c>
      <x:c r="T1649" s="23" t="n">
        <x:v>1.805130849718978</x:v>
      </x:c>
      <x:c r="U1649" s="23" t="n">
        <x:v>-4.467138242144756</x:v>
      </x:c>
      <x:c r="V1649" s="23" t="n">
        <x:v>-1.5011930226010008</x:v>
      </x:c>
    </x:row>
    <x:row r="1650">
      <x:c r="A1650" s="23" t="n">
        <x:v>1649</x:v>
      </x:c>
      <x:c r="B1650" s="23" t="str">
        <x:v>Train</x:v>
      </x:c>
      <x:c r="C1650" s="23" t="str">
        <x:v>Switching</x:v>
      </x:c>
      <x:c r="D1650" s="23" t="n">
        <x:v>1003.3823114819825</x:v>
      </x:c>
      <x:c r="E1650" s="23" t="n">
        <x:v>1152.1955521195196</x:v>
      </x:c>
      <x:c r="F1650" s="23" t="n">
        <x:v>691.4374927058816</x:v>
      </x:c>
      <x:c r="G1650" s="23" t="n">
        <x:v>165.60840418795124</x:v>
      </x:c>
      <x:c r="H1650" s="23" t="n">
        <x:v>20.143818961456418</x:v>
      </x:c>
      <x:c r="I1650" s="23" t="n">
        <x:v>0.8137055434216746</x:v>
      </x:c>
      <x:c r="J1650" s="23" t="n">
        <x:v>7</x:v>
      </x:c>
      <x:c r="K1650" s="23" t="n">
        <x:v>176.15749501835535</x:v>
      </x:c>
      <x:c r="L1650" s="23" t="n">
        <x:v>10645</x:v>
      </x:c>
      <x:c r="M1650" s="23" t="n">
        <x:v>1195</x:v>
      </x:c>
      <x:c r="N1650" s="23" t="n">
        <x:v>250.03067069554712</x:v>
      </x:c>
      <x:c r="O1650" s="23" t="n">
        <x:v>2496.0524621716504</x:v>
      </x:c>
      <x:c r="P1650" s="23" t="n">
        <x:v>1003.3823114819825</x:v>
      </x:c>
      <x:c r="Q1650" s="23" t="n">
        <x:v>252.66752875001788</x:v>
      </x:c>
      <x:c r="R1650" s="23" t="n">
        <x:v>2524.417748660627</x:v>
      </x:c>
      <x:c r="S1650" s="23" t="n">
        <x:v>990.4509185190652</x:v>
      </x:c>
      <x:c r="T1650" s="23" t="n">
        <x:v>2.636858054470764</x:v>
      </x:c>
      <x:c r="U1650" s="23" t="n">
        <x:v>28.36528648897638</x:v>
      </x:c>
      <x:c r="V1650" s="23" t="n">
        <x:v>-12.931392962917243</x:v>
      </x:c>
    </x:row>
    <x:row r="1651">
      <x:c r="A1651" s="23" t="n">
        <x:v>1650</x:v>
      </x:c>
      <x:c r="B1651" s="23" t="str">
        <x:v>Train</x:v>
      </x:c>
      <x:c r="C1651" s="23" t="str">
        <x:v>Switching</x:v>
      </x:c>
      <x:c r="D1651" s="23" t="n">
        <x:v>997.6811468251981</x:v>
      </x:c>
      <x:c r="E1651" s="23" t="n">
        <x:v>1234.0941046597436</x:v>
      </x:c>
      <x:c r="F1651" s="23" t="n">
        <x:v>468.77104127779603</x:v>
      </x:c>
      <x:c r="G1651" s="23" t="n">
        <x:v>243.69382035918534</x:v>
      </x:c>
      <x:c r="H1651" s="23" t="n">
        <x:v>9.350832224357873</x:v>
      </x:c>
      <x:c r="I1651" s="23" t="n">
        <x:v>0.8256419149274007</x:v>
      </x:c>
      <x:c r="J1651" s="23" t="n">
        <x:v>7</x:v>
      </x:c>
      <x:c r="K1651" s="23" t="n">
        <x:v>172.62432483265806</x:v>
      </x:c>
      <x:c r="L1651" s="23" t="n">
        <x:v>10985</x:v>
      </x:c>
      <x:c r="M1651" s="23" t="n">
        <x:v>1195</x:v>
      </x:c>
      <x:c r="N1651" s="23" t="n">
        <x:v>249.96694221209188</x:v>
      </x:c>
      <x:c r="O1651" s="23" t="n">
        <x:v>2495.6890952668787</x:v>
      </x:c>
      <x:c r="P1651" s="23" t="n">
        <x:v>997.6811468251981</x:v>
      </x:c>
      <x:c r="Q1651" s="23" t="n">
        <x:v>254.91980280244172</x:v>
      </x:c>
      <x:c r="R1651" s="23" t="n">
        <x:v>2487.1716930356506</x:v>
      </x:c>
      <x:c r="S1651" s="23" t="n">
        <x:v>991.7017820992008</x:v>
      </x:c>
      <x:c r="T1651" s="23" t="n">
        <x:v>4.952860590349843</x:v>
      </x:c>
      <x:c r="U1651" s="23" t="n">
        <x:v>-8.517402231228061</x:v>
      </x:c>
      <x:c r="V1651" s="23" t="n">
        <x:v>-5.979364725997243</x:v>
      </x:c>
    </x:row>
    <x:row r="1652">
      <x:c r="A1652" s="23" t="n">
        <x:v>1651</x:v>
      </x:c>
      <x:c r="B1652" s="23" t="str">
        <x:v>Train</x:v>
      </x:c>
      <x:c r="C1652" s="23" t="str">
        <x:v>Switching</x:v>
      </x:c>
      <x:c r="D1652" s="23" t="n">
        <x:v>964.064978598617</x:v>
      </x:c>
      <x:c r="E1652" s="23" t="n">
        <x:v>1223.6189219751395</x:v>
      </x:c>
      <x:c r="F1652" s="23" t="n">
        <x:v>497.41221629083157</x:v>
      </x:c>
      <x:c r="G1652" s="23" t="n">
        <x:v>213.5929284687154</x:v>
      </x:c>
      <x:c r="H1652" s="23" t="n">
        <x:v>14.888321590609848</x:v>
      </x:c>
      <x:c r="I1652" s="23" t="n">
        <x:v>0.8049198803748004</x:v>
      </x:c>
      <x:c r="J1652" s="23" t="n">
        <x:v>6</x:v>
      </x:c>
      <x:c r="K1652" s="23" t="n">
        <x:v>199.6192420521226</x:v>
      </x:c>
      <x:c r="L1652" s="23" t="n">
        <x:v>12895</x:v>
      </x:c>
      <x:c r="M1652" s="23" t="n">
        <x:v>1200</x:v>
      </x:c>
      <x:c r="N1652" s="23" t="n">
        <x:v>249.96911464988796</x:v>
      </x:c>
      <x:c r="O1652" s="23" t="n">
        <x:v>2504.4530002433794</x:v>
      </x:c>
      <x:c r="P1652" s="23" t="n">
        <x:v>964.064978598617</x:v>
      </x:c>
      <x:c r="Q1652" s="23" t="n">
        <x:v>249.61353987148</x:v>
      </x:c>
      <x:c r="R1652" s="23" t="n">
        <x:v>2536.751520913099</x:v>
      </x:c>
      <x:c r="S1652" s="23" t="n">
        <x:v>957.4996308458593</x:v>
      </x:c>
      <x:c r="T1652" s="23" t="n">
        <x:v>-0.3555747784079699</x:v>
      </x:c>
      <x:c r="U1652" s="23" t="n">
        <x:v>32.29852066971944</x:v>
      </x:c>
      <x:c r="V1652" s="23" t="n">
        <x:v>-6.565347752757702</x:v>
      </x:c>
    </x:row>
    <x:row r="1653">
      <x:c r="A1653" s="23" t="n">
        <x:v>1652</x:v>
      </x:c>
      <x:c r="B1653" s="23" t="str">
        <x:v>Train</x:v>
      </x:c>
      <x:c r="C1653" s="23" t="str">
        <x:v>Switching</x:v>
      </x:c>
      <x:c r="D1653" s="23" t="n">
        <x:v>985.9319904237054</x:v>
      </x:c>
      <x:c r="E1653" s="23" t="n">
        <x:v>954.337594890967</x:v>
      </x:c>
      <x:c r="F1653" s="23" t="n">
        <x:v>619.8954272083938</x:v>
      </x:c>
      <x:c r="G1653" s="23" t="n">
        <x:v>192.750775530003</x:v>
      </x:c>
      <x:c r="H1653" s="23" t="n">
        <x:v>11.841734289657325</x:v>
      </x:c>
      <x:c r="I1653" s="23" t="n">
        <x:v>0.840788141284138</x:v>
      </x:c>
      <x:c r="J1653" s="23" t="n">
        <x:v>6</x:v>
      </x:c>
      <x:c r="K1653" s="23" t="n">
        <x:v>195.43805429151448</x:v>
      </x:c>
      <x:c r="L1653" s="23" t="n">
        <x:v>14120</x:v>
      </x:c>
      <x:c r="M1653" s="23" t="n">
        <x:v>1200</x:v>
      </x:c>
      <x:c r="N1653" s="23" t="n">
        <x:v>249.99740022976746</x:v>
      </x:c>
      <x:c r="O1653" s="23" t="n">
        <x:v>2503.6165423566513</x:v>
      </x:c>
      <x:c r="P1653" s="23" t="n">
        <x:v>985.9319904237054</x:v>
      </x:c>
      <x:c r="Q1653" s="23" t="n">
        <x:v>254.18664158156352</x:v>
      </x:c>
      <x:c r="R1653" s="23" t="n">
        <x:v>2499.361212645123</x:v>
      </x:c>
      <x:c r="S1653" s="23" t="n">
        <x:v>985.4578953437886</x:v>
      </x:c>
      <x:c r="T1653" s="23" t="n">
        <x:v>4.189241351796056</x:v>
      </x:c>
      <x:c r="U1653" s="23" t="n">
        <x:v>-4.255329711528248</x:v>
      </x:c>
      <x:c r="V1653" s="23" t="n">
        <x:v>-0.4740950799168786</x:v>
      </x:c>
    </x:row>
    <x:row r="1654">
      <x:c r="A1654" s="23" t="n">
        <x:v>1653</x:v>
      </x:c>
      <x:c r="B1654" s="23" t="str">
        <x:v>Train</x:v>
      </x:c>
      <x:c r="C1654" s="23" t="str">
        <x:v>Switching</x:v>
      </x:c>
      <x:c r="D1654" s="23" t="n">
        <x:v>1088.2303935009986</x:v>
      </x:c>
      <x:c r="E1654" s="23" t="n">
        <x:v>1168.3272644761018</x:v>
      </x:c>
      <x:c r="F1654" s="23" t="n">
        <x:v>376.6746250912547</x:v>
      </x:c>
      <x:c r="G1654" s="23" t="n">
        <x:v>251.7232561786659</x:v>
      </x:c>
      <x:c r="H1654" s="23" t="n">
        <x:v>26.656685262918472</x:v>
      </x:c>
      <x:c r="I1654" s="23" t="n">
        <x:v>0.8098251288221218</x:v>
      </x:c>
      <x:c r="J1654" s="23" t="n">
        <x:v>7</x:v>
      </x:c>
      <x:c r="K1654" s="23" t="n">
        <x:v>191.9692032920407</x:v>
      </x:c>
      <x:c r="L1654" s="23" t="n">
        <x:v>11905</x:v>
      </x:c>
      <x:c r="M1654" s="23" t="n">
        <x:v>1195</x:v>
      </x:c>
      <x:c r="N1654" s="23" t="n">
        <x:v>250.0499180703633</x:v>
      </x:c>
      <x:c r="O1654" s="23" t="n">
        <x:v>2494.8205168500062</x:v>
      </x:c>
      <x:c r="P1654" s="23" t="n">
        <x:v>1088.2303935009986</x:v>
      </x:c>
      <x:c r="Q1654" s="23" t="n">
        <x:v>249.99427809827426</x:v>
      </x:c>
      <x:c r="R1654" s="23" t="n">
        <x:v>2562.0647619143742</x:v>
      </x:c>
      <x:c r="S1654" s="23" t="n">
        <x:v>1075.1413344439989</x:v>
      </x:c>
      <x:c r="T1654" s="23" t="n">
        <x:v>-0.0556399720890397</x:v>
      </x:c>
      <x:c r="U1654" s="23" t="n">
        <x:v>67.24424506436799</x:v>
      </x:c>
      <x:c r="V1654" s="23" t="n">
        <x:v>-13.089059056999758</x:v>
      </x:c>
    </x:row>
    <x:row r="1655">
      <x:c r="A1655" s="23" t="n">
        <x:v>1654</x:v>
      </x:c>
      <x:c r="B1655" s="23" t="str">
        <x:v>Train</x:v>
      </x:c>
      <x:c r="C1655" s="23" t="str">
        <x:v>Switching</x:v>
      </x:c>
      <x:c r="D1655" s="23" t="n">
        <x:v>978.3764102612622</x:v>
      </x:c>
      <x:c r="E1655" s="23" t="n">
        <x:v>945.3680680831894</x:v>
      </x:c>
      <x:c r="F1655" s="23" t="n">
        <x:v>526.5971404500306</x:v>
      </x:c>
      <x:c r="G1655" s="23" t="n">
        <x:v>111.02173516526818</x:v>
      </x:c>
      <x:c r="H1655" s="23" t="n">
        <x:v>9.121380588505417</x:v>
      </x:c>
      <x:c r="I1655" s="23" t="n">
        <x:v>0.8002377462154254</x:v>
      </x:c>
      <x:c r="J1655" s="23" t="n">
        <x:v>7</x:v>
      </x:c>
      <x:c r="K1655" s="23" t="n">
        <x:v>174.6581678629365</x:v>
      </x:c>
      <x:c r="L1655" s="23" t="n">
        <x:v>13510</x:v>
      </x:c>
      <x:c r="M1655" s="23" t="n">
        <x:v>1200</x:v>
      </x:c>
      <x:c r="N1655" s="23" t="n">
        <x:v>250.00433703508676</x:v>
      </x:c>
      <x:c r="O1655" s="23" t="n">
        <x:v>2504.0148835966575</x:v>
      </x:c>
      <x:c r="P1655" s="23" t="n">
        <x:v>978.3764102612622</x:v>
      </x:c>
      <x:c r="Q1655" s="23" t="n">
        <x:v>253.64242324971067</x:v>
      </x:c>
      <x:c r="R1655" s="23" t="n">
        <x:v>2544.3589374549647</x:v>
      </x:c>
      <x:c r="S1655" s="23" t="n">
        <x:v>985.1757509714492</x:v>
      </x:c>
      <x:c r="T1655" s="23" t="n">
        <x:v>3.638086214623911</x:v>
      </x:c>
      <x:c r="U1655" s="23" t="n">
        <x:v>40.344053858307234</x:v>
      </x:c>
      <x:c r="V1655" s="23" t="n">
        <x:v>6.799340710187039</x:v>
      </x:c>
    </x:row>
    <x:row r="1656">
      <x:c r="A1656" s="23" t="n">
        <x:v>1655</x:v>
      </x:c>
      <x:c r="B1656" s="23" t="str">
        <x:v>Validation</x:v>
      </x:c>
      <x:c r="C1656" s="23" t="str">
        <x:v>Switching</x:v>
      </x:c>
      <x:c r="D1656" s="23" t="n">
        <x:v>1057.831406709738</x:v>
      </x:c>
      <x:c r="E1656" s="23" t="n">
        <x:v>849.876131687779</x:v>
      </x:c>
      <x:c r="F1656" s="23" t="n">
        <x:v>732.4872508645058</x:v>
      </x:c>
      <x:c r="G1656" s="23" t="n">
        <x:v>133.54526912560686</x:v>
      </x:c>
      <x:c r="H1656" s="23" t="n">
        <x:v>29.833529870025814</x:v>
      </x:c>
      <x:c r="I1656" s="23" t="n">
        <x:v>0.7947740003815853</x:v>
      </x:c>
      <x:c r="J1656" s="23" t="n">
        <x:v>7</x:v>
      </x:c>
      <x:c r="K1656" s="23" t="n">
        <x:v>190.14055859219172</x:v>
      </x:c>
      <x:c r="L1656" s="23" t="n">
        <x:v>12465</x:v>
      </x:c>
      <x:c r="M1656" s="23" t="n">
        <x:v>1200</x:v>
      </x:c>
      <x:c r="N1656" s="23" t="n">
        <x:v>250.03580144183874</x:v>
      </x:c>
      <x:c r="O1656" s="23" t="n">
        <x:v>2504.788647443147</x:v>
      </x:c>
      <x:c r="P1656" s="23" t="n">
        <x:v>1057.831406709738</x:v>
      </x:c>
      <x:c r="Q1656" s="23" t="n">
        <x:v>251.3105449117325</x:v>
      </x:c>
      <x:c r="R1656" s="23" t="n">
        <x:v>2479.781059850976</x:v>
      </x:c>
      <x:c r="S1656" s="23" t="n">
        <x:v>1040.0398840139774</x:v>
      </x:c>
      <x:c r="T1656" s="23" t="n">
        <x:v>1.2747434698937639</x:v>
      </x:c>
      <x:c r="U1656" s="23" t="n">
        <x:v>-25.00758759217115</x:v>
      </x:c>
      <x:c r="V1656" s="23" t="n">
        <x:v>-17.791522695760705</x:v>
      </x:c>
    </x:row>
    <x:row r="1657">
      <x:c r="A1657" s="23" t="n">
        <x:v>1656</x:v>
      </x:c>
      <x:c r="B1657" s="23" t="str">
        <x:v>Validation</x:v>
      </x:c>
      <x:c r="C1657" s="23" t="str">
        <x:v>Switching</x:v>
      </x:c>
      <x:c r="D1657" s="23" t="n">
        <x:v>1078.8085504318587</x:v>
      </x:c>
      <x:c r="E1657" s="23" t="n">
        <x:v>763.8770709745586</x:v>
      </x:c>
      <x:c r="F1657" s="23" t="n">
        <x:v>710.0049904547632</x:v>
      </x:c>
      <x:c r="G1657" s="23" t="n">
        <x:v>205.72743988130242</x:v>
      </x:c>
      <x:c r="H1657" s="23" t="n">
        <x:v>10.277916794177145</x:v>
      </x:c>
      <x:c r="I1657" s="23" t="n">
        <x:v>0.8556896644551307</x:v>
      </x:c>
      <x:c r="J1657" s="23" t="n">
        <x:v>7</x:v>
      </x:c>
      <x:c r="K1657" s="23" t="n">
        <x:v>180.10677656447552</x:v>
      </x:c>
      <x:c r="L1657" s="23" t="n">
        <x:v>12735</x:v>
      </x:c>
      <x:c r="M1657" s="23" t="n">
        <x:v>1200</x:v>
      </x:c>
      <x:c r="N1657" s="23" t="n">
        <x:v>250.04731829742622</x:v>
      </x:c>
      <x:c r="O1657" s="23" t="n">
        <x:v>2504.5773428290295</x:v>
      </x:c>
      <x:c r="P1657" s="23" t="n">
        <x:v>1078.8085504318587</x:v>
      </x:c>
      <x:c r="Q1657" s="23" t="n">
        <x:v>249.41265842732102</x:v>
      </x:c>
      <x:c r="R1657" s="23" t="n">
        <x:v>2500.035309186969</x:v>
      </x:c>
      <x:c r="S1657" s="23" t="n">
        <x:v>1080.6401186313806</x:v>
      </x:c>
      <x:c r="T1657" s="23" t="n">
        <x:v>-0.634659870105196</x:v>
      </x:c>
      <x:c r="U1657" s="23" t="n">
        <x:v>-4.542033642060687</x:v>
      </x:c>
      <x:c r="V1657" s="23" t="n">
        <x:v>1.8315681995218256</x:v>
      </x:c>
    </x:row>
    <x:row r="1658">
      <x:c r="A1658" s="23" t="n">
        <x:v>1657</x:v>
      </x:c>
      <x:c r="B1658" s="23" t="str">
        <x:v>Validation</x:v>
      </x:c>
      <x:c r="C1658" s="23" t="str">
        <x:v>Switching</x:v>
      </x:c>
      <x:c r="D1658" s="23" t="n">
        <x:v>1038.6028621345758</x:v>
      </x:c>
      <x:c r="E1658" s="23" t="n">
        <x:v>879.5205867267214</x:v>
      </x:c>
      <x:c r="F1658" s="23" t="n">
        <x:v>631.8864481523633</x:v>
      </x:c>
      <x:c r="G1658" s="23" t="n">
        <x:v>289.086251037661</x:v>
      </x:c>
      <x:c r="H1658" s="23" t="n">
        <x:v>16.89024011604488</x:v>
      </x:c>
      <x:c r="I1658" s="23" t="n">
        <x:v>0.8476629931968638</x:v>
      </x:c>
      <x:c r="J1658" s="23" t="n">
        <x:v>7</x:v>
      </x:c>
      <x:c r="K1658" s="23" t="n">
        <x:v>175.03635128416917</x:v>
      </x:c>
      <x:c r="L1658" s="23" t="n">
        <x:v>11880</x:v>
      </x:c>
      <x:c r="M1658" s="23" t="n">
        <x:v>1195</x:v>
      </x:c>
      <x:c r="N1658" s="23" t="n">
        <x:v>250.0478901489559</x:v>
      </x:c>
      <x:c r="O1658" s="23" t="n">
        <x:v>2494.8423605513285</x:v>
      </x:c>
      <x:c r="P1658" s="23" t="n">
        <x:v>1038.6028621345758</x:v>
      </x:c>
      <x:c r="Q1658" s="23" t="n">
        <x:v>251.18370056396685</x:v>
      </x:c>
      <x:c r="R1658" s="23" t="n">
        <x:v>2497.2437229746656</x:v>
      </x:c>
      <x:c r="S1658" s="23" t="n">
        <x:v>1039.9255662915994</x:v>
      </x:c>
      <x:c r="T1658" s="23" t="n">
        <x:v>1.1358104150109511</x:v>
      </x:c>
      <x:c r="U1658" s="23" t="n">
        <x:v>2.4013624233371047</x:v>
      </x:c>
      <x:c r="V1658" s="23" t="n">
        <x:v>1.3227041570235087</x:v>
      </x:c>
    </x:row>
    <x:row r="1659">
      <x:c r="A1659" s="23" t="n">
        <x:v>1658</x:v>
      </x:c>
      <x:c r="B1659" s="23" t="str">
        <x:v>Hidden Test</x:v>
      </x:c>
      <x:c r="C1659" s="23" t="str">
        <x:v>Switching</x:v>
      </x:c>
      <x:c r="D1659" s="23" t="n">
        <x:v>1031.1356584192254</x:v>
      </x:c>
      <x:c r="E1659" s="23" t="n">
        <x:v>674.70864711795</x:v>
      </x:c>
      <x:c r="F1659" s="23" t="n">
        <x:v>635.7158080674708</x:v>
      </x:c>
      <x:c r="G1659" s="23" t="n">
        <x:v>329.9066849704832</x:v>
      </x:c>
      <x:c r="H1659" s="23" t="n">
        <x:v>28.57593883248046</x:v>
      </x:c>
      <x:c r="I1659" s="23" t="n">
        <x:v>0.8211138225393371</x:v>
      </x:c>
      <x:c r="J1659" s="23" t="n">
        <x:v>7</x:v>
      </x:c>
      <x:c r="K1659" s="23" t="n">
        <x:v>179.39668048010773</x:v>
      </x:c>
      <x:c r="L1659" s="23" t="n">
        <x:v>13035</x:v>
      </x:c>
      <x:c r="M1659" s="23" t="n">
        <x:v>1200</x:v>
      </x:c>
      <x:c r="N1659" s="23" t="n">
        <x:v>249.95291861398712</x:v>
      </x:c>
      <x:c r="O1659" s="23" t="n">
        <x:v>2504.3486956330753</x:v>
      </x:c>
      <x:c r="P1659" s="23" t="n">
        <x:v>1031.1356584192254</x:v>
      </x:c>
      <x:c r="Q1659" s="23" t="n">
        <x:v>249.27240168969414</x:v>
      </x:c>
      <x:c r="R1659" s="23" t="n">
        <x:v>2458.709894654823</x:v>
      </x:c>
      <x:c r="S1659" s="23" t="n">
        <x:v>1023.3217571676038</x:v>
      </x:c>
      <x:c r="T1659" s="23" t="n">
        <x:v>-0.6805169242929878</x:v>
      </x:c>
      <x:c r="U1659" s="23" t="n">
        <x:v>-45.63880097825222</x:v>
      </x:c>
      <x:c r="V1659" s="23" t="n">
        <x:v>-7.813901251621587</x:v>
      </x:c>
    </x:row>
    <x:row r="1660">
      <x:c r="A1660" s="23" t="n">
        <x:v>1659</x:v>
      </x:c>
      <x:c r="B1660" s="23" t="str">
        <x:v>Hidden Test</x:v>
      </x:c>
      <x:c r="C1660" s="23" t="str">
        <x:v>Switching</x:v>
      </x:c>
      <x:c r="D1660" s="23" t="n">
        <x:v>1013.3519832743332</x:v>
      </x:c>
      <x:c r="E1660" s="23" t="n">
        <x:v>1013.2695898995735</x:v>
      </x:c>
      <x:c r="F1660" s="23" t="n">
        <x:v>422.3518583923578</x:v>
      </x:c>
      <x:c r="G1660" s="23" t="n">
        <x:v>312.1985803428106</x:v>
      </x:c>
      <x:c r="H1660" s="23" t="n">
        <x:v>21.28466568235308</x:v>
      </x:c>
      <x:c r="I1660" s="23" t="n">
        <x:v>0.7942585905152373</x:v>
      </x:c>
      <x:c r="J1660" s="23" t="n">
        <x:v>7</x:v>
      </x:c>
      <x:c r="K1660" s="23" t="n">
        <x:v>182.2637750071817</x:v>
      </x:c>
      <x:c r="L1660" s="23" t="n">
        <x:v>12235</x:v>
      </x:c>
      <x:c r="M1660" s="23" t="n">
        <x:v>1200</x:v>
      </x:c>
      <x:c r="N1660" s="23" t="n">
        <x:v>249.98623619765763</x:v>
      </x:c>
      <x:c r="O1660" s="23" t="n">
        <x:v>2504.9744099506884</x:v>
      </x:c>
      <x:c r="P1660" s="23" t="n">
        <x:v>1013.3519832743332</x:v>
      </x:c>
      <x:c r="Q1660" s="23" t="n">
        <x:v>252.91923532026067</x:v>
      </x:c>
      <x:c r="R1660" s="23" t="n">
        <x:v>2498.243535851211</x:v>
      </x:c>
      <x:c r="S1660" s="23" t="n">
        <x:v>1014.5482630445064</x:v>
      </x:c>
      <x:c r="T1660" s="23" t="n">
        <x:v>2.932999122603036</x:v>
      </x:c>
      <x:c r="U1660" s="23" t="n">
        <x:v>-6.730874099477205</x:v>
      </x:c>
      <x:c r="V1660" s="23" t="n">
        <x:v>1.1962797701731915</x:v>
      </x:c>
    </x:row>
    <x:row r="1661">
      <x:c r="A1661" s="23" t="n">
        <x:v>1660</x:v>
      </x:c>
      <x:c r="B1661" s="23" t="str">
        <x:v>Hidden Test</x:v>
      </x:c>
      <x:c r="C1661" s="23" t="str">
        <x:v>Switching</x:v>
      </x:c>
      <x:c r="D1661" s="23" t="n">
        <x:v>1006.0807180008851</x:v>
      </x:c>
      <x:c r="E1661" s="23" t="n">
        <x:v>1001.0093498509377</x:v>
      </x:c>
      <x:c r="F1661" s="23" t="n">
        <x:v>375.54142428562045</x:v>
      </x:c>
      <x:c r="G1661" s="23" t="n">
        <x:v>101.05388219933957</x:v>
      </x:c>
      <x:c r="H1661" s="23" t="n">
        <x:v>9.96106670377776</x:v>
      </x:c>
      <x:c r="I1661" s="23" t="n">
        <x:v>0.8592000943422318</x:v>
      </x:c>
      <x:c r="J1661" s="23" t="n">
        <x:v>6</x:v>
      </x:c>
      <x:c r="K1661" s="23" t="n">
        <x:v>195.15840462655348</x:v>
      </x:c>
      <x:c r="L1661" s="23" t="n">
        <x:v>16885</x:v>
      </x:c>
      <x:c r="M1661" s="23" t="n">
        <x:v>1200</x:v>
      </x:c>
      <x:c r="N1661" s="23" t="n">
        <x:v>249.99273856318862</x:v>
      </x:c>
      <x:c r="O1661" s="23" t="n">
        <x:v>2502.1726561932533</x:v>
      </x:c>
      <x:c r="P1661" s="23" t="n">
        <x:v>1006.0807180008851</x:v>
      </x:c>
      <x:c r="Q1661" s="23" t="n">
        <x:v>249.84841638676372</x:v>
      </x:c>
      <x:c r="R1661" s="23" t="n">
        <x:v>2478.9029137514244</x:v>
      </x:c>
      <x:c r="S1661" s="23" t="n">
        <x:v>1015.3018516610205</x:v>
      </x:c>
      <x:c r="T1661" s="23" t="n">
        <x:v>-0.1443221764249074</x:v>
      </x:c>
      <x:c r="U1661" s="23" t="n">
        <x:v>-23.26974244182884</x:v>
      </x:c>
      <x:c r="V1661" s="23" t="n">
        <x:v>9.221133660135365</x:v>
      </x:c>
    </x:row>
    <x:row r="1662">
      <x:c r="A1662" s="23" t="n">
        <x:v>1661</x:v>
      </x:c>
      <x:c r="B1662" s="23" t="str">
        <x:v>Train</x:v>
      </x:c>
      <x:c r="C1662" s="23" t="str">
        <x:v>Switching</x:v>
      </x:c>
      <x:c r="D1662" s="23" t="n">
        <x:v>951.8507796805352</x:v>
      </x:c>
      <x:c r="E1662" s="23" t="n">
        <x:v>619.3177346955054</x:v>
      </x:c>
      <x:c r="F1662" s="23" t="n">
        <x:v>445.86967285722494</x:v>
      </x:c>
      <x:c r="G1662" s="23" t="n">
        <x:v>306.0249134269543</x:v>
      </x:c>
      <x:c r="H1662" s="23" t="n">
        <x:v>23.667431499809027</x:v>
      </x:c>
      <x:c r="I1662" s="23" t="n">
        <x:v>0.8364886387088336</x:v>
      </x:c>
      <x:c r="J1662" s="23" t="n">
        <x:v>6</x:v>
      </x:c>
      <x:c r="K1662" s="23" t="n">
        <x:v>189.65206372473259</x:v>
      </x:c>
      <x:c r="L1662" s="23" t="n">
        <x:v>18195</x:v>
      </x:c>
      <x:c r="M1662" s="23" t="n">
        <x:v>1200</x:v>
      </x:c>
      <x:c r="N1662" s="23" t="n">
        <x:v>249.9915185235071</x:v>
      </x:c>
      <x:c r="O1662" s="23" t="n">
        <x:v>2501.64180099676</x:v>
      </x:c>
      <x:c r="P1662" s="23" t="n">
        <x:v>951.8507796805352</x:v>
      </x:c>
      <x:c r="Q1662" s="23" t="n">
        <x:v>246.2446484916337</x:v>
      </x:c>
      <x:c r="R1662" s="23" t="n">
        <x:v>2450.699418539769</x:v>
      </x:c>
      <x:c r="S1662" s="23" t="n">
        <x:v>949.8306017459773</x:v>
      </x:c>
      <x:c r="T1662" s="23" t="n">
        <x:v>-3.746870031873385</x:v>
      </x:c>
      <x:c r="U1662" s="23" t="n">
        <x:v>-50.942382456991254</x:v>
      </x:c>
      <x:c r="V1662" s="23" t="n">
        <x:v>-2.0201779345578643</x:v>
      </x:c>
    </x:row>
    <x:row r="1663">
      <x:c r="A1663" s="23" t="n">
        <x:v>1662</x:v>
      </x:c>
      <x:c r="B1663" s="23" t="str">
        <x:v>Train</x:v>
      </x:c>
      <x:c r="C1663" s="23" t="str">
        <x:v>Switching</x:v>
      </x:c>
      <x:c r="D1663" s="23" t="n">
        <x:v>1054.6049002674408</x:v>
      </x:c>
      <x:c r="E1663" s="23" t="n">
        <x:v>847.120717423968</x:v>
      </x:c>
      <x:c r="F1663" s="23" t="n">
        <x:v>698.0703462846577</x:v>
      </x:c>
      <x:c r="G1663" s="23" t="n">
        <x:v>259.7354118898511</x:v>
      </x:c>
      <x:c r="H1663" s="23" t="n">
        <x:v>20.803379388991743</x:v>
      </x:c>
      <x:c r="I1663" s="23" t="n">
        <x:v>0.8481348628131673</x:v>
      </x:c>
      <x:c r="J1663" s="23" t="n">
        <x:v>7</x:v>
      </x:c>
      <x:c r="K1663" s="23" t="n">
        <x:v>177.6343002758237</x:v>
      </x:c>
      <x:c r="L1663" s="23" t="n">
        <x:v>11850</x:v>
      </x:c>
      <x:c r="M1663" s="23" t="n">
        <x:v>1195</x:v>
      </x:c>
      <x:c r="N1663" s="23" t="n">
        <x:v>250.03067095434932</x:v>
      </x:c>
      <x:c r="O1663" s="23" t="n">
        <x:v>2494.868059508088</x:v>
      </x:c>
      <x:c r="P1663" s="23" t="n">
        <x:v>1054.6049002674408</x:v>
      </x:c>
      <x:c r="Q1663" s="23" t="n">
        <x:v>253.55100485200657</x:v>
      </x:c>
      <x:c r="R1663" s="23" t="n">
        <x:v>2515.8681508140367</x:v>
      </x:c>
      <x:c r="S1663" s="23" t="n">
        <x:v>1054.6166800042074</x:v>
      </x:c>
      <x:c r="T1663" s="23" t="n">
        <x:v>3.5203338976572525</x:v>
      </x:c>
      <x:c r="U1663" s="23" t="n">
        <x:v>21.000091305948445</x:v>
      </x:c>
      <x:c r="V1663" s="23" t="n">
        <x:v>0.011779736766584392</x:v>
      </x:c>
    </x:row>
    <x:row r="1664">
      <x:c r="A1664" s="23" t="n">
        <x:v>1663</x:v>
      </x:c>
      <x:c r="B1664" s="23" t="str">
        <x:v>Train</x:v>
      </x:c>
      <x:c r="C1664" s="23" t="str">
        <x:v>Switching</x:v>
      </x:c>
      <x:c r="D1664" s="23" t="n">
        <x:v>1003.9210498565808</x:v>
      </x:c>
      <x:c r="E1664" s="23" t="n">
        <x:v>690.665124647785</x:v>
      </x:c>
      <x:c r="F1664" s="23" t="n">
        <x:v>423.87602254748344</x:v>
      </x:c>
      <x:c r="G1664" s="23" t="n">
        <x:v>193.0362743861042</x:v>
      </x:c>
      <x:c r="H1664" s="23" t="n">
        <x:v>9.200278050266206</x:v>
      </x:c>
      <x:c r="I1664" s="23" t="n">
        <x:v>0.8282299105986022</x:v>
      </x:c>
      <x:c r="J1664" s="23" t="n">
        <x:v>7</x:v>
      </x:c>
      <x:c r="K1664" s="23" t="n">
        <x:v>173.1612092263122</x:v>
      </x:c>
      <x:c r="L1664" s="23" t="n">
        <x:v>16355</x:v>
      </x:c>
      <x:c r="M1664" s="23" t="n">
        <x:v>1200</x:v>
      </x:c>
      <x:c r="N1664" s="23" t="n">
        <x:v>249.99582960951892</x:v>
      </x:c>
      <x:c r="O1664" s="23" t="n">
        <x:v>2502.4116696865094</x:v>
      </x:c>
      <x:c r="P1664" s="23" t="n">
        <x:v>1003.9210498565808</x:v>
      </x:c>
      <x:c r="Q1664" s="23" t="n">
        <x:v>250.2905699223257</x:v>
      </x:c>
      <x:c r="R1664" s="23" t="n">
        <x:v>2478.808087079636</x:v>
      </x:c>
      <x:c r="S1664" s="23" t="n">
        <x:v>1021.6816233934039</x:v>
      </x:c>
      <x:c r="T1664" s="23" t="n">
        <x:v>0.29474031280676627</x:v>
      </x:c>
      <x:c r="U1664" s="23" t="n">
        <x:v>-23.60358260687326</x:v>
      </x:c>
      <x:c r="V1664" s="23" t="n">
        <x:v>17.76057353682313</x:v>
      </x:c>
    </x:row>
    <x:row r="1665">
      <x:c r="A1665" s="23" t="n">
        <x:v>1664</x:v>
      </x:c>
      <x:c r="B1665" s="23" t="str">
        <x:v>Train</x:v>
      </x:c>
      <x:c r="C1665" s="23" t="str">
        <x:v>Switching</x:v>
      </x:c>
      <x:c r="D1665" s="23" t="n">
        <x:v>1078.5320104914717</x:v>
      </x:c>
      <x:c r="E1665" s="23" t="n">
        <x:v>947.4185559898615</x:v>
      </x:c>
      <x:c r="F1665" s="23" t="n">
        <x:v>488.6788963340223</x:v>
      </x:c>
      <x:c r="G1665" s="23" t="n">
        <x:v>195.21723598707467</x:v>
      </x:c>
      <x:c r="H1665" s="23" t="n">
        <x:v>10.529857323970646</x:v>
      </x:c>
      <x:c r="I1665" s="23" t="n">
        <x:v>0.8471317015867681</x:v>
      </x:c>
      <x:c r="J1665" s="23" t="n">
        <x:v>7</x:v>
      </x:c>
      <x:c r="K1665" s="23" t="n">
        <x:v>181.87963124291167</x:v>
      </x:c>
      <x:c r="L1665" s="23" t="n">
        <x:v>13110</x:v>
      </x:c>
      <x:c r="M1665" s="23" t="n">
        <x:v>1200</x:v>
      </x:c>
      <x:c r="N1665" s="23" t="n">
        <x:v>250.00884026376136</x:v>
      </x:c>
      <x:c r="O1665" s="23" t="n">
        <x:v>2504.2962090635956</x:v>
      </x:c>
      <x:c r="P1665" s="23" t="n">
        <x:v>1078.5320104914717</x:v>
      </x:c>
      <x:c r="Q1665" s="23" t="n">
        <x:v>253.97693455386656</x:v>
      </x:c>
      <x:c r="R1665" s="23" t="n">
        <x:v>2480.960159375666</x:v>
      </x:c>
      <x:c r="S1665" s="23" t="n">
        <x:v>1089.5161418360708</x:v>
      </x:c>
      <x:c r="T1665" s="23" t="n">
        <x:v>3.968094290105199</x:v>
      </x:c>
      <x:c r="U1665" s="23" t="n">
        <x:v>-23.336049687929517</x:v>
      </x:c>
      <x:c r="V1665" s="23" t="n">
        <x:v>10.984131344599064</x:v>
      </x:c>
    </x:row>
    <x:row r="1666">
      <x:c r="A1666" s="23" t="n">
        <x:v>1665</x:v>
      </x:c>
      <x:c r="B1666" s="23" t="str">
        <x:v>Train</x:v>
      </x:c>
      <x:c r="C1666" s="23" t="str">
        <x:v>Switching</x:v>
      </x:c>
      <x:c r="D1666" s="23" t="n">
        <x:v>1013.1912286393344</x:v>
      </x:c>
      <x:c r="E1666" s="23" t="n">
        <x:v>1099.4646977051161</x:v>
      </x:c>
      <x:c r="F1666" s="23" t="n">
        <x:v>460.39494816213846</x:v>
      </x:c>
      <x:c r="G1666" s="23" t="n">
        <x:v>108.44798291334882</x:v>
      </x:c>
      <x:c r="H1666" s="23" t="n">
        <x:v>24.524273494258523</x:v>
      </x:c>
      <x:c r="I1666" s="23" t="n">
        <x:v>0.8266912193153986</x:v>
      </x:c>
      <x:c r="J1666" s="23" t="n">
        <x:v>7</x:v>
      </x:c>
      <x:c r="K1666" s="23" t="n">
        <x:v>175.08544993522156</x:v>
      </x:c>
      <x:c r="L1666" s="23" t="n">
        <x:v>12820</x:v>
      </x:c>
      <x:c r="M1666" s="23" t="n">
        <x:v>1200</x:v>
      </x:c>
      <x:c r="N1666" s="23" t="n">
        <x:v>250.0228279075951</x:v>
      </x:c>
      <x:c r="O1666" s="23" t="n">
        <x:v>2504.5115523686572</x:v>
      </x:c>
      <x:c r="P1666" s="23" t="n">
        <x:v>1013.1912286393344</x:v>
      </x:c>
      <x:c r="Q1666" s="23" t="n">
        <x:v>246.8922370935276</x:v>
      </x:c>
      <x:c r="R1666" s="23" t="n">
        <x:v>2511.5880503512767</x:v>
      </x:c>
      <x:c r="S1666" s="23" t="n">
        <x:v>1000.66595538573</x:v>
      </x:c>
      <x:c r="T1666" s="23" t="n">
        <x:v>-3.1305908140674887</x:v>
      </x:c>
      <x:c r="U1666" s="23" t="n">
        <x:v>7.076497982619458</x:v>
      </x:c>
      <x:c r="V1666" s="23" t="n">
        <x:v>-12.525273253604496</x:v>
      </x:c>
    </x:row>
    <x:row r="1667">
      <x:c r="A1667" s="23" t="n">
        <x:v>1666</x:v>
      </x:c>
      <x:c r="B1667" s="23" t="str">
        <x:v>Train</x:v>
      </x:c>
      <x:c r="C1667" s="23" t="str">
        <x:v>Switching</x:v>
      </x:c>
      <x:c r="D1667" s="23" t="n">
        <x:v>1015.0973429554142</x:v>
      </x:c>
      <x:c r="E1667" s="23" t="n">
        <x:v>990.8365792827681</x:v>
      </x:c>
      <x:c r="F1667" s="23" t="n">
        <x:v>571.8922042287886</x:v>
      </x:c>
      <x:c r="G1667" s="23" t="n">
        <x:v>89.7944459412247</x:v>
      </x:c>
      <x:c r="H1667" s="23" t="n">
        <x:v>22.00496330158785</x:v>
      </x:c>
      <x:c r="I1667" s="23" t="n">
        <x:v>0.8559688620129601</x:v>
      </x:c>
      <x:c r="J1667" s="23" t="n">
        <x:v>6</x:v>
      </x:c>
      <x:c r="K1667" s="23" t="n">
        <x:v>197.65075343360732</x:v>
      </x:c>
      <x:c r="L1667" s="23" t="n">
        <x:v>15100</x:v>
      </x:c>
      <x:c r="M1667" s="23" t="n">
        <x:v>1200</x:v>
      </x:c>
      <x:c r="N1667" s="23" t="n">
        <x:v>250.030576674964</x:v>
      </x:c>
      <x:c r="O1667" s="23" t="n">
        <x:v>2503.0454299056773</x:v>
      </x:c>
      <x:c r="P1667" s="23" t="n">
        <x:v>1015.0973429554142</x:v>
      </x:c>
      <x:c r="Q1667" s="23" t="n">
        <x:v>247.12505537031277</x:v>
      </x:c>
      <x:c r="R1667" s="23" t="n">
        <x:v>2523.310100909058</x:v>
      </x:c>
      <x:c r="S1667" s="23" t="n">
        <x:v>1007.0075812170973</x:v>
      </x:c>
      <x:c r="T1667" s="23" t="n">
        <x:v>-2.905521304651245</x:v>
      </x:c>
      <x:c r="U1667" s="23" t="n">
        <x:v>20.2646710033805</x:v>
      </x:c>
      <x:c r="V1667" s="23" t="n">
        <x:v>-8.089761738316952</x:v>
      </x:c>
    </x:row>
    <x:row r="1668">
      <x:c r="A1668" s="23" t="n">
        <x:v>1667</x:v>
      </x:c>
      <x:c r="B1668" s="23" t="str">
        <x:v>Train</x:v>
      </x:c>
      <x:c r="C1668" s="23" t="str">
        <x:v>Switching</x:v>
      </x:c>
      <x:c r="D1668" s="23" t="n">
        <x:v>1011.0648739850149</x:v>
      </x:c>
      <x:c r="E1668" s="23" t="n">
        <x:v>1227.3804453783669</x:v>
      </x:c>
      <x:c r="F1668" s="23" t="n">
        <x:v>712.6385282725096</x:v>
      </x:c>
      <x:c r="G1668" s="23" t="n">
        <x:v>199.18749258620664</x:v>
      </x:c>
      <x:c r="H1668" s="23" t="n">
        <x:v>18.570036296732724</x:v>
      </x:c>
      <x:c r="I1668" s="23" t="n">
        <x:v>0.8309191823075526</x:v>
      </x:c>
      <x:c r="J1668" s="23" t="n">
        <x:v>7</x:v>
      </x:c>
      <x:c r="K1668" s="23" t="n">
        <x:v>173.82898627950422</x:v>
      </x:c>
      <x:c r="L1668" s="23" t="n">
        <x:v>9995</x:v>
      </x:c>
      <x:c r="M1668" s="23" t="n">
        <x:v>1195</x:v>
      </x:c>
      <x:c r="N1668" s="23" t="n">
        <x:v>249.9487533465914</x:v>
      </x:c>
      <x:c r="O1668" s="23" t="n">
        <x:v>2496.8058622284207</x:v>
      </x:c>
      <x:c r="P1668" s="23" t="n">
        <x:v>1011.0648739850149</x:v>
      </x:c>
      <x:c r="Q1668" s="23" t="n">
        <x:v>252.77375467259282</x:v>
      </x:c>
      <x:c r="R1668" s="23" t="n">
        <x:v>2534.7159820159286</x:v>
      </x:c>
      <x:c r="S1668" s="23" t="n">
        <x:v>1000.8385643307431</x:v>
      </x:c>
      <x:c r="T1668" s="23" t="n">
        <x:v>2.825001326001427</x:v>
      </x:c>
      <x:c r="U1668" s="23" t="n">
        <x:v>37.91011978750794</x:v>
      </x:c>
      <x:c r="V1668" s="23" t="n">
        <x:v>-10.226309654271745</x:v>
      </x:c>
    </x:row>
    <x:row r="1669">
      <x:c r="A1669" s="23" t="n">
        <x:v>1668</x:v>
      </x:c>
      <x:c r="B1669" s="23" t="str">
        <x:v>Train</x:v>
      </x:c>
      <x:c r="C1669" s="23" t="str">
        <x:v>Switching</x:v>
      </x:c>
      <x:c r="D1669" s="23" t="n">
        <x:v>1081.117965222802</x:v>
      </x:c>
      <x:c r="E1669" s="23" t="n">
        <x:v>888.0482819397002</x:v>
      </x:c>
      <x:c r="F1669" s="23" t="n">
        <x:v>546.8860688619316</x:v>
      </x:c>
      <x:c r="G1669" s="23" t="n">
        <x:v>253.87474735733122</x:v>
      </x:c>
      <x:c r="H1669" s="23" t="n">
        <x:v>23.21185203595087</x:v>
      </x:c>
      <x:c r="I1669" s="23" t="n">
        <x:v>0.819284298028797</x:v>
      </x:c>
      <x:c r="J1669" s="23" t="n">
        <x:v>7</x:v>
      </x:c>
      <x:c r="K1669" s="23" t="n">
        <x:v>188.51261274609323</x:v>
      </x:c>
      <x:c r="L1669" s="23" t="n">
        <x:v>12665</x:v>
      </x:c>
      <x:c r="M1669" s="23" t="n">
        <x:v>1200</x:v>
      </x:c>
      <x:c r="N1669" s="23" t="n">
        <x:v>250.03523545082274</x:v>
      </x:c>
      <x:c r="O1669" s="23" t="n">
        <x:v>2504.6308955222025</x:v>
      </x:c>
      <x:c r="P1669" s="23" t="n">
        <x:v>1081.117965222802</x:v>
      </x:c>
      <x:c r="Q1669" s="23" t="n">
        <x:v>249.3207248468995</x:v>
      </x:c>
      <x:c r="R1669" s="23" t="n">
        <x:v>2488.800971205743</x:v>
      </x:c>
      <x:c r="S1669" s="23" t="n">
        <x:v>1079.7882257609178</x:v>
      </x:c>
      <x:c r="T1669" s="23" t="n">
        <x:v>-0.7145106039232303</x:v>
      </x:c>
      <x:c r="U1669" s="23" t="n">
        <x:v>-15.82992431645971</x:v>
      </x:c>
      <x:c r="V1669" s="23" t="n">
        <x:v>-1.3297394618841736</x:v>
      </x:c>
    </x:row>
    <x:row r="1670">
      <x:c r="A1670" s="23" t="n">
        <x:v>1669</x:v>
      </x:c>
      <x:c r="B1670" s="23" t="str">
        <x:v>Train</x:v>
      </x:c>
      <x:c r="C1670" s="23" t="str">
        <x:v>Switching</x:v>
      </x:c>
      <x:c r="D1670" s="23" t="n">
        <x:v>985.5480099562556</x:v>
      </x:c>
      <x:c r="E1670" s="23" t="n">
        <x:v>975.6247395533137</x:v>
      </x:c>
      <x:c r="F1670" s="23" t="n">
        <x:v>733.4148688241839</x:v>
      </x:c>
      <x:c r="G1670" s="23" t="n">
        <x:v>160.5979774449952</x:v>
      </x:c>
      <x:c r="H1670" s="23" t="n">
        <x:v>21.853278897702694</x:v>
      </x:c>
      <x:c r="I1670" s="23" t="n">
        <x:v>0.8226158444792964</x:v>
      </x:c>
      <x:c r="J1670" s="23" t="n">
        <x:v>6</x:v>
      </x:c>
      <x:c r="K1670" s="23" t="n">
        <x:v>199.6776536237869</x:v>
      </x:c>
      <x:c r="L1670" s="23" t="n">
        <x:v>13345</x:v>
      </x:c>
      <x:c r="M1670" s="23" t="n">
        <x:v>1200</x:v>
      </x:c>
      <x:c r="N1670" s="23" t="n">
        <x:v>250.00271183449618</x:v>
      </x:c>
      <x:c r="O1670" s="23" t="n">
        <x:v>2504.1287436982198</x:v>
      </x:c>
      <x:c r="P1670" s="23" t="n">
        <x:v>985.5480099562556</x:v>
      </x:c>
      <x:c r="Q1670" s="23" t="n">
        <x:v>248.11158978206547</x:v>
      </x:c>
      <x:c r="R1670" s="23" t="n">
        <x:v>2482.3310909018314</x:v>
      </x:c>
      <x:c r="S1670" s="23" t="n">
        <x:v>975.9373540087972</x:v>
      </x:c>
      <x:c r="T1670" s="23" t="n">
        <x:v>-1.8911220524307168</x:v>
      </x:c>
      <x:c r="U1670" s="23" t="n">
        <x:v>-21.79765279638832</x:v>
      </x:c>
      <x:c r="V1670" s="23" t="n">
        <x:v>-9.610655947458326</x:v>
      </x:c>
    </x:row>
    <x:row r="1671">
      <x:c r="A1671" s="23" t="n">
        <x:v>1670</x:v>
      </x:c>
      <x:c r="B1671" s="23" t="str">
        <x:v>Train</x:v>
      </x:c>
      <x:c r="C1671" s="23" t="str">
        <x:v>Switching</x:v>
      </x:c>
      <x:c r="D1671" s="23" t="n">
        <x:v>1008.565437712241</x:v>
      </x:c>
      <x:c r="E1671" s="23" t="n">
        <x:v>689.3453765427694</x:v>
      </x:c>
      <x:c r="F1671" s="23" t="n">
        <x:v>575.436329562217</x:v>
      </x:c>
      <x:c r="G1671" s="23" t="n">
        <x:v>143.0573364906013</x:v>
      </x:c>
      <x:c r="H1671" s="23" t="n">
        <x:v>14.339432998094708</x:v>
      </x:c>
      <x:c r="I1671" s="23" t="n">
        <x:v>0.8024238831689582</x:v>
      </x:c>
      <x:c r="J1671" s="23" t="n">
        <x:v>7</x:v>
      </x:c>
      <x:c r="K1671" s="23" t="n">
        <x:v>179.55693971498704</x:v>
      </x:c>
      <x:c r="L1671" s="23" t="n">
        <x:v>15190</x:v>
      </x:c>
      <x:c r="M1671" s="23" t="n">
        <x:v>1200</x:v>
      </x:c>
      <x:c r="N1671" s="23" t="n">
        <x:v>249.99180893220569</x:v>
      </x:c>
      <x:c r="O1671" s="23" t="n">
        <x:v>2502.9953126347577</x:v>
      </x:c>
      <x:c r="P1671" s="23" t="n">
        <x:v>1008.565437712241</x:v>
      </x:c>
      <x:c r="Q1671" s="23" t="n">
        <x:v>252.19752952072943</x:v>
      </x:c>
      <x:c r="R1671" s="23" t="n">
        <x:v>2475.427292543082</x:v>
      </x:c>
      <x:c r="S1671" s="23" t="n">
        <x:v>1020.5394855741368</x:v>
      </x:c>
      <x:c r="T1671" s="23" t="n">
        <x:v>2.2057205885237465</x:v>
      </x:c>
      <x:c r="U1671" s="23" t="n">
        <x:v>-27.568020091675862</x:v>
      </x:c>
      <x:c r="V1671" s="23" t="n">
        <x:v>11.974047861895883</x:v>
      </x:c>
    </x:row>
    <x:row r="1672">
      <x:c r="A1672" s="23" t="n">
        <x:v>1671</x:v>
      </x:c>
      <x:c r="B1672" s="23" t="str">
        <x:v>Train</x:v>
      </x:c>
      <x:c r="C1672" s="23" t="str">
        <x:v>Switching</x:v>
      </x:c>
      <x:c r="D1672" s="23" t="n">
        <x:v>1024.6118395822123</x:v>
      </x:c>
      <x:c r="E1672" s="23" t="n">
        <x:v>849.9933704850264</x:v>
      </x:c>
      <x:c r="F1672" s="23" t="n">
        <x:v>422.8927820920944</x:v>
      </x:c>
      <x:c r="G1672" s="23" t="n">
        <x:v>300.33689537784085</x:v>
      </x:c>
      <x:c r="H1672" s="23" t="n">
        <x:v>15.02202984970063</x:v>
      </x:c>
      <x:c r="I1672" s="23" t="n">
        <x:v>0.8327288538194262</x:v>
      </x:c>
      <x:c r="J1672" s="23" t="n">
        <x:v>7</x:v>
      </x:c>
      <x:c r="K1672" s="23" t="n">
        <x:v>175.77524697139467</x:v>
      </x:c>
      <x:c r="L1672" s="23" t="n">
        <x:v>13595</x:v>
      </x:c>
      <x:c r="M1672" s="23" t="n">
        <x:v>1200</x:v>
      </x:c>
      <x:c r="N1672" s="23" t="n">
        <x:v>250.0256676857226</x:v>
      </x:c>
      <x:c r="O1672" s="23" t="n">
        <x:v>2503.9580460067555</x:v>
      </x:c>
      <x:c r="P1672" s="23" t="n">
        <x:v>1024.6118395822123</x:v>
      </x:c>
      <x:c r="Q1672" s="23" t="n">
        <x:v>251.3675425759076</x:v>
      </x:c>
      <x:c r="R1672" s="23" t="n">
        <x:v>2539.5177080241237</x:v>
      </x:c>
      <x:c r="S1672" s="23" t="n">
        <x:v>1028.7457264952593</x:v>
      </x:c>
      <x:c r="T1672" s="23" t="n">
        <x:v>1.3418748901850108</x:v>
      </x:c>
      <x:c r="U1672" s="23" t="n">
        <x:v>35.55966201736828</x:v>
      </x:c>
      <x:c r="V1672" s="23" t="n">
        <x:v>4.133886913047036</x:v>
      </x:c>
    </x:row>
    <x:row r="1673">
      <x:c r="A1673" s="23" t="n">
        <x:v>1672</x:v>
      </x:c>
      <x:c r="B1673" s="23" t="str">
        <x:v>Train</x:v>
      </x:c>
      <x:c r="C1673" s="23" t="str">
        <x:v>Switching</x:v>
      </x:c>
      <x:c r="D1673" s="23" t="n">
        <x:v>1085.8903338084929</x:v>
      </x:c>
      <x:c r="E1673" s="23" t="n">
        <x:v>1004.2687025852501</x:v>
      </x:c>
      <x:c r="F1673" s="23" t="n">
        <x:v>605.7630128227174</x:v>
      </x:c>
      <x:c r="G1673" s="23" t="n">
        <x:v>94.59120179060847</x:v>
      </x:c>
      <x:c r="H1673" s="23" t="n">
        <x:v>28.167620507534593</x:v>
      </x:c>
      <x:c r="I1673" s="23" t="n">
        <x:v>0.8591052708867938</x:v>
      </x:c>
      <x:c r="J1673" s="23" t="n">
        <x:v>7</x:v>
      </x:c>
      <x:c r="K1673" s="23" t="n">
        <x:v>180.56831426949987</x:v>
      </x:c>
      <x:c r="L1673" s="23" t="n">
        <x:v>12545</x:v>
      </x:c>
      <x:c r="M1673" s="23" t="n">
        <x:v>1200</x:v>
      </x:c>
      <x:c r="N1673" s="23" t="n">
        <x:v>249.98541024876556</x:v>
      </x:c>
      <x:c r="O1673" s="23" t="n">
        <x:v>2504.7229509255963</x:v>
      </x:c>
      <x:c r="P1673" s="23" t="n">
        <x:v>1085.8903338084929</x:v>
      </x:c>
      <x:c r="Q1673" s="23" t="n">
        <x:v>249.26777438979238</x:v>
      </x:c>
      <x:c r="R1673" s="23" t="n">
        <x:v>2551.7886678933696</x:v>
      </x:c>
      <x:c r="S1673" s="23" t="n">
        <x:v>1070.7586101605045</x:v>
      </x:c>
      <x:c r="T1673" s="23" t="n">
        <x:v>-0.7176358589731819</x:v>
      </x:c>
      <x:c r="U1673" s="23" t="n">
        <x:v>47.06571696777337</x:v>
      </x:c>
      <x:c r="V1673" s="23" t="n">
        <x:v>-15.131723647988338</x:v>
      </x:c>
    </x:row>
    <x:row r="1674">
      <x:c r="A1674" s="23" t="n">
        <x:v>1673</x:v>
      </x:c>
      <x:c r="B1674" s="23" t="str">
        <x:v>Train</x:v>
      </x:c>
      <x:c r="C1674" s="23" t="str">
        <x:v>Switching</x:v>
      </x:c>
      <x:c r="D1674" s="23" t="n">
        <x:v>1080.5935131385922</x:v>
      </x:c>
      <x:c r="E1674" s="23" t="n">
        <x:v>1045.7579151145183</x:v>
      </x:c>
      <x:c r="F1674" s="23" t="n">
        <x:v>563.6001082137227</x:v>
      </x:c>
      <x:c r="G1674" s="23" t="n">
        <x:v>89.0947724529542</x:v>
      </x:c>
      <x:c r="H1674" s="23" t="n">
        <x:v>11.091813718900084</x:v>
      </x:c>
      <x:c r="I1674" s="23" t="n">
        <x:v>0.8295307422545739</x:v>
      </x:c>
      <x:c r="J1674" s="23" t="n">
        <x:v>7</x:v>
      </x:c>
      <x:c r="K1674" s="23" t="n">
        <x:v>186.0937684568261</x:v>
      </x:c>
      <x:c r="L1674" s="23" t="n">
        <x:v>12590</x:v>
      </x:c>
      <x:c r="M1674" s="23" t="n">
        <x:v>1200</x:v>
      </x:c>
      <x:c r="N1674" s="23" t="n">
        <x:v>249.97361969717798</x:v>
      </x:c>
      <x:c r="O1674" s="23" t="n">
        <x:v>2504.687033414801</x:v>
      </x:c>
      <x:c r="P1674" s="23" t="n">
        <x:v>1080.5935131385922</x:v>
      </x:c>
      <x:c r="Q1674" s="23" t="n">
        <x:v>254.54214696457237</x:v>
      </x:c>
      <x:c r="R1674" s="23" t="n">
        <x:v>2549.9105046881664</x:v>
      </x:c>
      <x:c r="S1674" s="23" t="n">
        <x:v>1083.5751147599544</x:v>
      </x:c>
      <x:c r="T1674" s="23" t="n">
        <x:v>4.568527267394387</x:v>
      </x:c>
      <x:c r="U1674" s="23" t="n">
        <x:v>45.22347127336525</x:v>
      </x:c>
      <x:c r="V1674" s="23" t="n">
        <x:v>2.981601621362188</x:v>
      </x:c>
    </x:row>
    <x:row r="1675">
      <x:c r="A1675" s="23" t="n">
        <x:v>1674</x:v>
      </x:c>
      <x:c r="B1675" s="23" t="str">
        <x:v>Train</x:v>
      </x:c>
      <x:c r="C1675" s="23" t="str">
        <x:v>Switching</x:v>
      </x:c>
      <x:c r="D1675" s="23" t="n">
        <x:v>982.8756601200439</x:v>
      </x:c>
      <x:c r="E1675" s="23" t="n">
        <x:v>1222.1432186895981</x:v>
      </x:c>
      <x:c r="F1675" s="23" t="n">
        <x:v>500.48214504495263</x:v>
      </x:c>
      <x:c r="G1675" s="23" t="n">
        <x:v>196.81758682243526</x:v>
      </x:c>
      <x:c r="H1675" s="23" t="n">
        <x:v>17.03958943905309</x:v>
      </x:c>
      <x:c r="I1675" s="23" t="n">
        <x:v>0.8339235212327913</x:v>
      </x:c>
      <x:c r="J1675" s="23" t="n">
        <x:v>6</x:v>
      </x:c>
      <x:c r="K1675" s="23" t="n">
        <x:v>196.43601103593136</x:v>
      </x:c>
      <x:c r="L1675" s="23" t="n">
        <x:v>13000</x:v>
      </x:c>
      <x:c r="M1675" s="23" t="n">
        <x:v>1200</x:v>
      </x:c>
      <x:c r="N1675" s="23" t="n">
        <x:v>250.0270947666109</x:v>
      </x:c>
      <x:c r="O1675" s="23" t="n">
        <x:v>2504.3772525460986</x:v>
      </x:c>
      <x:c r="P1675" s="23" t="n">
        <x:v>982.8756601200439</x:v>
      </x:c>
      <x:c r="Q1675" s="23" t="n">
        <x:v>252.15615240412527</x:v>
      </x:c>
      <x:c r="R1675" s="23" t="n">
        <x:v>2527.5318110343255</x:v>
      </x:c>
      <x:c r="S1675" s="23" t="n">
        <x:v>984.4494972010766</x:v>
      </x:c>
      <x:c r="T1675" s="23" t="n">
        <x:v>2.1290576375143644</x:v>
      </x:c>
      <x:c r="U1675" s="23" t="n">
        <x:v>23.15455848822694</x:v>
      </x:c>
      <x:c r="V1675" s="23" t="n">
        <x:v>1.573837081032707</x:v>
      </x:c>
    </x:row>
    <x:row r="1676">
      <x:c r="A1676" s="23" t="n">
        <x:v>1675</x:v>
      </x:c>
      <x:c r="B1676" s="23" t="str">
        <x:v>Validation</x:v>
      </x:c>
      <x:c r="C1676" s="23" t="str">
        <x:v>Switching</x:v>
      </x:c>
      <x:c r="D1676" s="23" t="n">
        <x:v>1087.6356842694804</x:v>
      </x:c>
      <x:c r="E1676" s="23" t="n">
        <x:v>915.3316954732873</x:v>
      </x:c>
      <x:c r="F1676" s="23" t="n">
        <x:v>376.98575742542744</x:v>
      </x:c>
      <x:c r="G1676" s="23" t="n">
        <x:v>181.4410929637961</x:v>
      </x:c>
      <x:c r="H1676" s="23" t="n">
        <x:v>11.896864921785891</x:v>
      </x:c>
      <x:c r="I1676" s="23" t="n">
        <x:v>0.854519098836463</x:v>
      </x:c>
      <x:c r="J1676" s="23" t="n">
        <x:v>7</x:v>
      </x:c>
      <x:c r="K1676" s="23" t="n">
        <x:v>181.8292025722731</x:v>
      </x:c>
      <x:c r="L1676" s="23" t="n">
        <x:v>14510</x:v>
      </x:c>
      <x:c r="M1676" s="23" t="n">
        <x:v>1200</x:v>
      </x:c>
      <x:c r="N1676" s="23" t="n">
        <x:v>249.98196919859197</x:v>
      </x:c>
      <x:c r="O1676" s="23" t="n">
        <x:v>2503.3790432471746</x:v>
      </x:c>
      <x:c r="P1676" s="23" t="n">
        <x:v>1087.6356842694804</x:v>
      </x:c>
      <x:c r="Q1676" s="23" t="n">
        <x:v>249.3512257368663</x:v>
      </x:c>
      <x:c r="R1676" s="23" t="n">
        <x:v>2498.7475108134804</x:v>
      </x:c>
      <x:c r="S1676" s="23" t="n">
        <x:v>1096.9448604565057</x:v>
      </x:c>
      <x:c r="T1676" s="23" t="n">
        <x:v>-0.6307434617256718</x:v>
      </x:c>
      <x:c r="U1676" s="23" t="n">
        <x:v>-4.631532433694247</x:v>
      </x:c>
      <x:c r="V1676" s="23" t="n">
        <x:v>9.309176187025287</x:v>
      </x:c>
    </x:row>
    <x:row r="1677">
      <x:c r="A1677" s="23" t="n">
        <x:v>1676</x:v>
      </x:c>
      <x:c r="B1677" s="23" t="str">
        <x:v>Validation</x:v>
      </x:c>
      <x:c r="C1677" s="23" t="str">
        <x:v>Switching</x:v>
      </x:c>
      <x:c r="D1677" s="23" t="n">
        <x:v>1040.4583858675323</x:v>
      </x:c>
      <x:c r="E1677" s="23" t="n">
        <x:v>1163.9675175305456</x:v>
      </x:c>
      <x:c r="F1677" s="23" t="n">
        <x:v>587.2687469236553</x:v>
      </x:c>
      <x:c r="G1677" s="23" t="n">
        <x:v>239.62517901789397</x:v>
      </x:c>
      <x:c r="H1677" s="23" t="n">
        <x:v>22.090714279096574</x:v>
      </x:c>
      <x:c r="I1677" s="23" t="n">
        <x:v>0.8516601638123393</x:v>
      </x:c>
      <x:c r="J1677" s="23" t="n">
        <x:v>7</x:v>
      </x:c>
      <x:c r="K1677" s="23" t="n">
        <x:v>174.52608279978446</x:v>
      </x:c>
      <x:c r="L1677" s="23" t="n">
        <x:v>10740</x:v>
      </x:c>
      <x:c r="M1677" s="23" t="n">
        <x:v>1195</x:v>
      </x:c>
      <x:c r="N1677" s="23" t="n">
        <x:v>249.95446213012247</x:v>
      </x:c>
      <x:c r="O1677" s="23" t="n">
        <x:v>2495.945914290428</x:v>
      </x:c>
      <x:c r="P1677" s="23" t="n">
        <x:v>1040.4583858675323</x:v>
      </x:c>
      <x:c r="Q1677" s="23" t="n">
        <x:v>253.31111942299802</x:v>
      </x:c>
      <x:c r="R1677" s="23" t="n">
        <x:v>2498.286320184075</x:v>
      </x:c>
      <x:c r="S1677" s="23" t="n">
        <x:v>1033.5011761197982</x:v>
      </x:c>
      <x:c r="T1677" s="23" t="n">
        <x:v>3.3566572928755534</x:v>
      </x:c>
      <x:c r="U1677" s="23" t="n">
        <x:v>2.34040589364713</x:v>
      </x:c>
      <x:c r="V1677" s="23" t="n">
        <x:v>-6.957209747734169</x:v>
      </x:c>
    </x:row>
    <x:row r="1678">
      <x:c r="A1678" s="23" t="n">
        <x:v>1677</x:v>
      </x:c>
      <x:c r="B1678" s="23" t="str">
        <x:v>Validation</x:v>
      </x:c>
      <x:c r="C1678" s="23" t="str">
        <x:v>Switching</x:v>
      </x:c>
      <x:c r="D1678" s="23" t="n">
        <x:v>960.2105082478374</x:v>
      </x:c>
      <x:c r="E1678" s="23" t="n">
        <x:v>953.8228525663726</x:v>
      </x:c>
      <x:c r="F1678" s="23" t="n">
        <x:v>557.4536761268973</x:v>
      </x:c>
      <x:c r="G1678" s="23" t="n">
        <x:v>282.9264455777593</x:v>
      </x:c>
      <x:c r="H1678" s="23" t="n">
        <x:v>25.67412354424596</x:v>
      </x:c>
      <x:c r="I1678" s="23" t="n">
        <x:v>0.8208190317475237</x:v>
      </x:c>
      <x:c r="J1678" s="23" t="n">
        <x:v>6</x:v>
      </x:c>
      <x:c r="K1678" s="23" t="n">
        <x:v>194.9699976708121</x:v>
      </x:c>
      <x:c r="L1678" s="23" t="n">
        <x:v>13905</x:v>
      </x:c>
      <x:c r="M1678" s="23" t="n">
        <x:v>1200</x:v>
      </x:c>
      <x:c r="N1678" s="23" t="n">
        <x:v>249.98353381032652</x:v>
      </x:c>
      <x:c r="O1678" s="23" t="n">
        <x:v>2503.7523551604227</x:v>
      </x:c>
      <x:c r="P1678" s="23" t="n">
        <x:v>960.2105082478374</x:v>
      </x:c>
      <x:c r="Q1678" s="23" t="n">
        <x:v>251.39400102069908</x:v>
      </x:c>
      <x:c r="R1678" s="23" t="n">
        <x:v>2510.6376943043806</x:v>
      </x:c>
      <x:c r="S1678" s="23" t="n">
        <x:v>954.9065131214469</x:v>
      </x:c>
      <x:c r="T1678" s="23" t="n">
        <x:v>1.410467210372559</x:v>
      </x:c>
      <x:c r="U1678" s="23" t="n">
        <x:v>6.8853391439579354</x:v>
      </x:c>
      <x:c r="V1678" s="23" t="n">
        <x:v>-5.303995126390532</x:v>
      </x:c>
    </x:row>
    <x:row r="1679">
      <x:c r="A1679" s="23" t="n">
        <x:v>1678</x:v>
      </x:c>
      <x:c r="B1679" s="23" t="str">
        <x:v>Hidden Test</x:v>
      </x:c>
      <x:c r="C1679" s="23" t="str">
        <x:v>Switching</x:v>
      </x:c>
      <x:c r="D1679" s="23" t="n">
        <x:v>985.2297747624107</x:v>
      </x:c>
      <x:c r="E1679" s="23" t="n">
        <x:v>713.7352560414001</x:v>
      </x:c>
      <x:c r="F1679" s="23" t="n">
        <x:v>491.85015009716153</x:v>
      </x:c>
      <x:c r="G1679" s="23" t="n">
        <x:v>89.69854183495045</x:v>
      </x:c>
      <x:c r="H1679" s="23" t="n">
        <x:v>10.144103641156107</x:v>
      </x:c>
      <x:c r="I1679" s="23" t="n">
        <x:v>0.8323397888196633</x:v>
      </x:c>
      <x:c r="J1679" s="23" t="n">
        <x:v>6</x:v>
      </x:c>
      <x:c r="K1679" s="23" t="n">
        <x:v>197.28116409436578</x:v>
      </x:c>
      <x:c r="L1679" s="23" t="n">
        <x:v>19260</x:v>
      </x:c>
      <x:c r="M1679" s="23" t="n">
        <x:v>1200</x:v>
      </x:c>
      <x:c r="N1679" s="23" t="n">
        <x:v>249.97081500159965</x:v>
      </x:c>
      <x:c r="O1679" s="23" t="n">
        <x:v>2501.262948786808</x:v>
      </x:c>
      <x:c r="P1679" s="23" t="n">
        <x:v>985.2297747624107</x:v>
      </x:c>
      <x:c r="Q1679" s="23" t="n">
        <x:v>247.20384544809335</x:v>
      </x:c>
      <x:c r="R1679" s="23" t="n">
        <x:v>2500.620920247173</x:v>
      </x:c>
      <x:c r="S1679" s="23" t="n">
        <x:v>1003.2187683962701</x:v>
      </x:c>
      <x:c r="T1679" s="23" t="n">
        <x:v>-2.7669695535063</x:v>
      </x:c>
      <x:c r="U1679" s="23" t="n">
        <x:v>-0.6420285396347936</x:v>
      </x:c>
      <x:c r="V1679" s="23" t="n">
        <x:v>17.988993633859423</x:v>
      </x:c>
    </x:row>
    <x:row r="1680">
      <x:c r="A1680" s="23" t="n">
        <x:v>1679</x:v>
      </x:c>
      <x:c r="B1680" s="23" t="str">
        <x:v>Hidden Test</x:v>
      </x:c>
      <x:c r="C1680" s="23" t="str">
        <x:v>Switching</x:v>
      </x:c>
      <x:c r="D1680" s="23" t="n">
        <x:v>954.2405335465446</x:v>
      </x:c>
      <x:c r="E1680" s="23" t="n">
        <x:v>1074.550951749552</x:v>
      </x:c>
      <x:c r="F1680" s="23" t="n">
        <x:v>735.4800648987293</x:v>
      </x:c>
      <x:c r="G1680" s="23" t="n">
        <x:v>142.15796660399064</x:v>
      </x:c>
      <x:c r="H1680" s="23" t="n">
        <x:v>12.257308064959943</x:v>
      </x:c>
      <x:c r="I1680" s="23" t="n">
        <x:v>0.7992282999842428</x:v>
      </x:c>
      <x:c r="J1680" s="23" t="n">
        <x:v>6</x:v>
      </x:c>
      <x:c r="K1680" s="23" t="n">
        <x:v>198.99206387906892</x:v>
      </x:c>
      <x:c r="L1680" s="23" t="n">
        <x:v>12780</x:v>
      </x:c>
      <x:c r="M1680" s="23" t="n">
        <x:v>1200</x:v>
      </x:c>
      <x:c r="N1680" s="23" t="n">
        <x:v>249.98906525068594</x:v>
      </x:c>
      <x:c r="O1680" s="23" t="n">
        <x:v>2504.540642150835</x:v>
      </x:c>
      <x:c r="P1680" s="23" t="n">
        <x:v>954.2405335465446</x:v>
      </x:c>
      <x:c r="Q1680" s="23" t="n">
        <x:v>252.02374715274425</x:v>
      </x:c>
      <x:c r="R1680" s="23" t="n">
        <x:v>2519.156590021526</x:v>
      </x:c>
      <x:c r="S1680" s="23" t="n">
        <x:v>953.9659996466986</x:v>
      </x:c>
      <x:c r="T1680" s="23" t="n">
        <x:v>2.03468190205831</x:v>
      </x:c>
      <x:c r="U1680" s="23" t="n">
        <x:v>14.615947870690889</x:v>
      </x:c>
      <x:c r="V1680" s="23" t="n">
        <x:v>-0.2745338998460056</x:v>
      </x:c>
    </x:row>
    <x:row r="1681">
      <x:c r="A1681" s="23" t="n">
        <x:v>1680</x:v>
      </x:c>
      <x:c r="B1681" s="23" t="str">
        <x:v>Hidden Test</x:v>
      </x:c>
      <x:c r="C1681" s="23" t="str">
        <x:v>Switching</x:v>
      </x:c>
      <x:c r="D1681" s="23" t="n">
        <x:v>990.5810721102171</x:v>
      </x:c>
      <x:c r="E1681" s="23" t="n">
        <x:v>1009.3459716066718</x:v>
      </x:c>
      <x:c r="F1681" s="23" t="n">
        <x:v>569.5894016884267</x:v>
      </x:c>
      <x:c r="G1681" s="23" t="n">
        <x:v>169.54538602847606</x:v>
      </x:c>
      <x:c r="H1681" s="23" t="n">
        <x:v>16.15725172450766</x:v>
      </x:c>
      <x:c r="I1681" s="23" t="n">
        <x:v>0.8428825548198075</x:v>
      </x:c>
      <x:c r="J1681" s="23" t="n">
        <x:v>6</x:v>
      </x:c>
      <x:c r="K1681" s="23" t="n">
        <x:v>195.8717076390286</x:v>
      </x:c>
      <x:c r="L1681" s="23" t="n">
        <x:v>14270</x:v>
      </x:c>
      <x:c r="M1681" s="23" t="n">
        <x:v>1200</x:v>
      </x:c>
      <x:c r="N1681" s="23" t="n">
        <x:v>250.00761469359875</x:v>
      </x:c>
      <x:c r="O1681" s="23" t="n">
        <x:v>2503.5242195967207</x:v>
      </x:c>
      <x:c r="P1681" s="23" t="n">
        <x:v>990.5810721102171</x:v>
      </x:c>
      <x:c r="Q1681" s="23" t="n">
        <x:v>252.8313104184926</x:v>
      </x:c>
      <x:c r="R1681" s="23" t="n">
        <x:v>2496.4620461772065</x:v>
      </x:c>
      <x:c r="S1681" s="23" t="n">
        <x:v>986.0012624575601</x:v>
      </x:c>
      <x:c r="T1681" s="23" t="n">
        <x:v>2.823695724893838</x:v>
      </x:c>
      <x:c r="U1681" s="23" t="n">
        <x:v>-7.062173419514238</x:v>
      </x:c>
      <x:c r="V1681" s="23" t="n">
        <x:v>-4.579809652656991</x:v>
      </x:c>
    </x:row>
    <x:row r="1682">
      <x:c r="A1682" s="23" t="n">
        <x:v>1681</x:v>
      </x:c>
      <x:c r="B1682" s="23" t="str">
        <x:v>Train</x:v>
      </x:c>
      <x:c r="C1682" s="23" t="str">
        <x:v>Switching</x:v>
      </x:c>
      <x:c r="D1682" s="23" t="n">
        <x:v>1005.0926097668707</x:v>
      </x:c>
      <x:c r="E1682" s="23" t="n">
        <x:v>1083.9570512413047</x:v>
      </x:c>
      <x:c r="F1682" s="23" t="n">
        <x:v>420.25330159813166</x:v>
      </x:c>
      <x:c r="G1682" s="23" t="n">
        <x:v>124.54363702097908</x:v>
      </x:c>
      <x:c r="H1682" s="23" t="n">
        <x:v>12.965781779959798</x:v>
      </x:c>
      <x:c r="I1682" s="23" t="n">
        <x:v>0.8189888549526222</x:v>
      </x:c>
      <x:c r="J1682" s="23" t="n">
        <x:v>7</x:v>
      </x:c>
      <x:c r="K1682" s="23" t="n">
        <x:v>175.31942915930236</x:v>
      </x:c>
      <x:c r="L1682" s="23" t="n">
        <x:v>13130</x:v>
      </x:c>
      <x:c r="M1682" s="23" t="n">
        <x:v>1200</x:v>
      </x:c>
      <x:c r="N1682" s="23" t="n">
        <x:v>249.99725576179463</x:v>
      </x:c>
      <x:c r="O1682" s="23" t="n">
        <x:v>2504.2813027257753</x:v>
      </x:c>
      <x:c r="P1682" s="23" t="n">
        <x:v>1005.0926097668707</x:v>
      </x:c>
      <x:c r="Q1682" s="23" t="n">
        <x:v>249.2836557728709</x:v>
      </x:c>
      <x:c r="R1682" s="23" t="n">
        <x:v>2519.382502506019</x:v>
      </x:c>
      <x:c r="S1682" s="23" t="n">
        <x:v>1012.356887397216</x:v>
      </x:c>
      <x:c r="T1682" s="23" t="n">
        <x:v>-0.7135999889237326</x:v>
      </x:c>
      <x:c r="U1682" s="23" t="n">
        <x:v>15.10119978024386</x:v>
      </x:c>
      <x:c r="V1682" s="23" t="n">
        <x:v>7.264277630345305</x:v>
      </x:c>
    </x:row>
    <x:row r="1683">
      <x:c r="A1683" s="23" t="n">
        <x:v>1682</x:v>
      </x:c>
      <x:c r="B1683" s="23" t="str">
        <x:v>Train</x:v>
      </x:c>
      <x:c r="C1683" s="23" t="str">
        <x:v>Switching</x:v>
      </x:c>
      <x:c r="D1683" s="23" t="n">
        <x:v>1037.0763342478313</x:v>
      </x:c>
      <x:c r="E1683" s="23" t="n">
        <x:v>1122.9209580691531</x:v>
      </x:c>
      <x:c r="F1683" s="23" t="n">
        <x:v>449.18414736166596</x:v>
      </x:c>
      <x:c r="G1683" s="23" t="n">
        <x:v>197.07147886045277</x:v>
      </x:c>
      <x:c r="H1683" s="23" t="n">
        <x:v>26.688312575686723</x:v>
      </x:c>
      <x:c r="I1683" s="23" t="n">
        <x:v>0.8049021738255396</x:v>
      </x:c>
      <x:c r="J1683" s="23" t="n">
        <x:v>7</x:v>
      </x:c>
      <x:c r="K1683" s="23" t="n">
        <x:v>184.0643085000742</x:v>
      </x:c>
      <x:c r="L1683" s="23" t="n">
        <x:v>12090</x:v>
      </x:c>
      <x:c r="M1683" s="23" t="n">
        <x:v>1200</x:v>
      </x:c>
      <x:c r="N1683" s="23" t="n">
        <x:v>250.04210022694195</x:v>
      </x:c>
      <x:c r="O1683" s="23" t="n">
        <x:v>2505.0987307324767</x:v>
      </x:c>
      <x:c r="P1683" s="23" t="n">
        <x:v>1037.0763342478313</x:v>
      </x:c>
      <x:c r="Q1683" s="23" t="n">
        <x:v>252.27326264140112</x:v>
      </x:c>
      <x:c r="R1683" s="23" t="n">
        <x:v>2535.281284276731</x:v>
      </x:c>
      <x:c r="S1683" s="23" t="n">
        <x:v>1029.245741385454</x:v>
      </x:c>
      <x:c r="T1683" s="23" t="n">
        <x:v>2.2311624144591633</x:v>
      </x:c>
      <x:c r="U1683" s="23" t="n">
        <x:v>30.18255354425446</x:v>
      </x:c>
      <x:c r="V1683" s="23" t="n">
        <x:v>-7.830592862377216</x:v>
      </x:c>
    </x:row>
    <x:row r="1684">
      <x:c r="A1684" s="23" t="n">
        <x:v>1683</x:v>
      </x:c>
      <x:c r="B1684" s="23" t="str">
        <x:v>Train</x:v>
      </x:c>
      <x:c r="C1684" s="23" t="str">
        <x:v>Switching</x:v>
      </x:c>
      <x:c r="D1684" s="23" t="n">
        <x:v>965.6564818462357</x:v>
      </x:c>
      <x:c r="E1684" s="23" t="n">
        <x:v>993.7063060351647</x:v>
      </x:c>
      <x:c r="F1684" s="23" t="n">
        <x:v>499.22914765775204</x:v>
      </x:c>
      <x:c r="G1684" s="23" t="n">
        <x:v>168.39513052953407</x:v>
      </x:c>
      <x:c r="H1684" s="23" t="n">
        <x:v>26.80222660023719</x:v>
      </x:c>
      <x:c r="I1684" s="23" t="n">
        <x:v>0.8581712665851229</x:v>
      </x:c>
      <x:c r="J1684" s="23" t="n">
        <x:v>6</x:v>
      </x:c>
      <x:c r="K1684" s="23" t="n">
        <x:v>187.541523750619</x:v>
      </x:c>
      <x:c r="L1684" s="23" t="n">
        <x:v>15020</x:v>
      </x:c>
      <x:c r="M1684" s="23" t="n">
        <x:v>1200</x:v>
      </x:c>
      <x:c r="N1684" s="23" t="n">
        <x:v>250.0315382919176</x:v>
      </x:c>
      <x:c r="O1684" s="23" t="n">
        <x:v>2503.0893750830364</x:v>
      </x:c>
      <x:c r="P1684" s="23" t="n">
        <x:v>965.6564818462357</x:v>
      </x:c>
      <x:c r="Q1684" s="23" t="n">
        <x:v>251.39746486009633</x:v>
      </x:c>
      <x:c r="R1684" s="23" t="n">
        <x:v>2471.5467669440063</x:v>
      </x:c>
      <x:c r="S1684" s="23" t="n">
        <x:v>952.2852041599984</x:v>
      </x:c>
      <x:c r="T1684" s="23" t="n">
        <x:v>1.365926568178736</x:v>
      </x:c>
      <x:c r="U1684" s="23" t="n">
        <x:v>-31.542608139030108</x:v>
      </x:c>
      <x:c r="V1684" s="23" t="n">
        <x:v>-13.37127768623725</x:v>
      </x:c>
    </x:row>
    <x:row r="1685">
      <x:c r="A1685" s="23" t="n">
        <x:v>1684</x:v>
      </x:c>
      <x:c r="B1685" s="23" t="str">
        <x:v>Train</x:v>
      </x:c>
      <x:c r="C1685" s="23" t="str">
        <x:v>Switching</x:v>
      </x:c>
      <x:c r="D1685" s="23" t="n">
        <x:v>982.9837967990898</x:v>
      </x:c>
      <x:c r="E1685" s="23" t="n">
        <x:v>1205.7012035045773</x:v>
      </x:c>
      <x:c r="F1685" s="23" t="n">
        <x:v>564.8970085196197</x:v>
      </x:c>
      <x:c r="G1685" s="23" t="n">
        <x:v>290.95831820275635</x:v>
      </x:c>
      <x:c r="H1685" s="23" t="n">
        <x:v>25.918862387072295</x:v>
      </x:c>
      <x:c r="I1685" s="23" t="n">
        <x:v>0.8205719810910523</x:v>
      </x:c>
      <x:c r="J1685" s="23" t="n">
        <x:v>6</x:v>
      </x:c>
      <x:c r="K1685" s="23" t="n">
        <x:v>199.65418826757295</x:v>
      </x:c>
      <x:c r="L1685" s="23" t="n">
        <x:v>12105</x:v>
      </x:c>
      <x:c r="M1685" s="23" t="n">
        <x:v>1200</x:v>
      </x:c>
      <x:c r="N1685" s="23" t="n">
        <x:v>250.0512657675468</x:v>
      </x:c>
      <x:c r="O1685" s="23" t="n">
        <x:v>2505.0863424632203</x:v>
      </x:c>
      <x:c r="P1685" s="23" t="n">
        <x:v>982.9837967990898</x:v>
      </x:c>
      <x:c r="Q1685" s="23" t="n">
        <x:v>249.00587059402517</x:v>
      </x:c>
      <x:c r="R1685" s="23" t="n">
        <x:v>2495.7330918509306</x:v>
      </x:c>
      <x:c r="S1685" s="23" t="n">
        <x:v>964.2595445453292</x:v>
      </x:c>
      <x:c r="T1685" s="23" t="n">
        <x:v>-1.0453951735216265</x:v>
      </x:c>
      <x:c r="U1685" s="23" t="n">
        <x:v>-9.353250612289685</x:v>
      </x:c>
      <x:c r="V1685" s="23" t="n">
        <x:v>-18.724252253760596</x:v>
      </x:c>
    </x:row>
    <x:row r="1686">
      <x:c r="A1686" s="23" t="n">
        <x:v>1685</x:v>
      </x:c>
      <x:c r="B1686" s="23" t="str">
        <x:v>Train</x:v>
      </x:c>
      <x:c r="C1686" s="23" t="str">
        <x:v>Switching</x:v>
      </x:c>
      <x:c r="D1686" s="23" t="n">
        <x:v>1024.702162342146</x:v>
      </x:c>
      <x:c r="E1686" s="23" t="n">
        <x:v>1042.7919451030903</x:v>
      </x:c>
      <x:c r="F1686" s="23" t="n">
        <x:v>452.07194071263075</x:v>
      </x:c>
      <x:c r="G1686" s="23" t="n">
        <x:v>199.7136755217798</x:v>
      </x:c>
      <x:c r="H1686" s="23" t="n">
        <x:v>26.899309769272804</x:v>
      </x:c>
      <x:c r="I1686" s="23" t="n">
        <x:v>0.8115956179634668</x:v>
      </x:c>
      <x:c r="J1686" s="23" t="n">
        <x:v>7</x:v>
      </x:c>
      <x:c r="K1686" s="23" t="n">
        <x:v>180.36817837812004</x:v>
      </x:c>
      <x:c r="L1686" s="23" t="n">
        <x:v>12620</x:v>
      </x:c>
      <x:c r="M1686" s="23" t="n">
        <x:v>1200</x:v>
      </x:c>
      <x:c r="N1686" s="23" t="n">
        <x:v>249.99793519122434</x:v>
      </x:c>
      <x:c r="O1686" s="23" t="n">
        <x:v>2504.664474900058</x:v>
      </x:c>
      <x:c r="P1686" s="23" t="n">
        <x:v>1024.702162342146</x:v>
      </x:c>
      <x:c r="Q1686" s="23" t="n">
        <x:v>251.4059346977815</x:v>
      </x:c>
      <x:c r="R1686" s="23" t="n">
        <x:v>2512.0125295016805</x:v>
      </x:c>
      <x:c r="S1686" s="23" t="n">
        <x:v>1013.2787386512451</x:v>
      </x:c>
      <x:c r="T1686" s="23" t="n">
        <x:v>1.4079995065571609</x:v>
      </x:c>
      <x:c r="U1686" s="23" t="n">
        <x:v>7.348054601622607</x:v>
      </x:c>
      <x:c r="V1686" s="23" t="n">
        <x:v>-11.423423690900904</x:v>
      </x:c>
    </x:row>
    <x:row r="1687">
      <x:c r="A1687" s="23" t="n">
        <x:v>1686</x:v>
      </x:c>
      <x:c r="B1687" s="23" t="str">
        <x:v>Train</x:v>
      </x:c>
      <x:c r="C1687" s="23" t="str">
        <x:v>Switching</x:v>
      </x:c>
      <x:c r="D1687" s="23" t="n">
        <x:v>976.3561626081355</x:v>
      </x:c>
      <x:c r="E1687" s="23" t="n">
        <x:v>716.8938448419794</x:v>
      </x:c>
      <x:c r="F1687" s="23" t="n">
        <x:v>707.2490942664444</x:v>
      </x:c>
      <x:c r="G1687" s="23" t="n">
        <x:v>169.41315161064267</x:v>
      </x:c>
      <x:c r="H1687" s="23" t="n">
        <x:v>28.69774944195524</x:v>
      </x:c>
      <x:c r="I1687" s="23" t="n">
        <x:v>0.8364016189193353</x:v>
      </x:c>
      <x:c r="J1687" s="23" t="n">
        <x:v>6</x:v>
      </x:c>
      <x:c r="K1687" s="23" t="n">
        <x:v>194.55489255461333</x:v>
      </x:c>
      <x:c r="L1687" s="23" t="n">
        <x:v>15655</x:v>
      </x:c>
      <x:c r="M1687" s="23" t="n">
        <x:v>1200</x:v>
      </x:c>
      <x:c r="N1687" s="23" t="n">
        <x:v>249.9707861919462</x:v>
      </x:c>
      <x:c r="O1687" s="23" t="n">
        <x:v>2502.7512074702518</x:v>
      </x:c>
      <x:c r="P1687" s="23" t="n">
        <x:v>976.3561626081355</x:v>
      </x:c>
      <x:c r="Q1687" s="23" t="n">
        <x:v>245.54723639797774</x:v>
      </x:c>
      <x:c r="R1687" s="23" t="n">
        <x:v>2494.2995560017453</x:v>
      </x:c>
      <x:c r="S1687" s="23" t="n">
        <x:v>962.3233737342716</x:v>
      </x:c>
      <x:c r="T1687" s="23" t="n">
        <x:v>-4.423549793968448</x:v>
      </x:c>
      <x:c r="U1687" s="23" t="n">
        <x:v>-8.451651468506498</x:v>
      </x:c>
      <x:c r="V1687" s="23" t="n">
        <x:v>-14.032788873863865</x:v>
      </x:c>
    </x:row>
    <x:row r="1688">
      <x:c r="A1688" s="23" t="n">
        <x:v>1687</x:v>
      </x:c>
      <x:c r="B1688" s="23" t="str">
        <x:v>Train</x:v>
      </x:c>
      <x:c r="C1688" s="23" t="str">
        <x:v>Switching</x:v>
      </x:c>
      <x:c r="D1688" s="23" t="n">
        <x:v>987.6144704641774</x:v>
      </x:c>
      <x:c r="E1688" s="23" t="n">
        <x:v>1084.7248504054733</x:v>
      </x:c>
      <x:c r="F1688" s="23" t="n">
        <x:v>494.6556016802788</x:v>
      </x:c>
      <x:c r="G1688" s="23" t="n">
        <x:v>179.88378448178992</x:v>
      </x:c>
      <x:c r="H1688" s="23" t="n">
        <x:v>18.153575922362506</x:v>
      </x:c>
      <x:c r="I1688" s="23" t="n">
        <x:v>0.7968589368066751</x:v>
      </x:c>
      <x:c r="J1688" s="23" t="n">
        <x:v>7</x:v>
      </x:c>
      <x:c r="K1688" s="23" t="n">
        <x:v>177.0549026660557</x:v>
      </x:c>
      <x:c r="L1688" s="23" t="n">
        <x:v>12155</x:v>
      </x:c>
      <x:c r="M1688" s="23" t="n">
        <x:v>1200</x:v>
      </x:c>
      <x:c r="N1688" s="23" t="n">
        <x:v>249.977731323829</x:v>
      </x:c>
      <x:c r="O1688" s="23" t="n">
        <x:v>2505.041028973907</x:v>
      </x:c>
      <x:c r="P1688" s="23" t="n">
        <x:v>987.6144704641774</x:v>
      </x:c>
      <x:c r="Q1688" s="23" t="n">
        <x:v>250.4281168650784</x:v>
      </x:c>
      <x:c r="R1688" s="23" t="n">
        <x:v>2515.3423102561205</x:v>
      </x:c>
      <x:c r="S1688" s="23" t="n">
        <x:v>991.8605730764725</x:v>
      </x:c>
      <x:c r="T1688" s="23" t="n">
        <x:v>0.45038554124940333</x:v>
      </x:c>
      <x:c r="U1688" s="23" t="n">
        <x:v>10.301281282213495</x:v>
      </x:c>
      <x:c r="V1688" s="23" t="n">
        <x:v>4.24610261229509</x:v>
      </x:c>
    </x:row>
    <x:row r="1689">
      <x:c r="A1689" s="23" t="n">
        <x:v>1688</x:v>
      </x:c>
      <x:c r="B1689" s="23" t="str">
        <x:v>Train</x:v>
      </x:c>
      <x:c r="C1689" s="23" t="str">
        <x:v>Switching</x:v>
      </x:c>
      <x:c r="D1689" s="23" t="n">
        <x:v>1081.9935495848767</x:v>
      </x:c>
      <x:c r="E1689" s="23" t="n">
        <x:v>1026.9761725328863</x:v>
      </x:c>
      <x:c r="F1689" s="23" t="n">
        <x:v>391.2489137612283</x:v>
      </x:c>
      <x:c r="G1689" s="23" t="n">
        <x:v>294.1284985700622</x:v>
      </x:c>
      <x:c r="H1689" s="23" t="n">
        <x:v>12.232740690466017</x:v>
      </x:c>
      <x:c r="I1689" s="23" t="n">
        <x:v>0.8151086606550962</x:v>
      </x:c>
      <x:c r="J1689" s="23" t="n">
        <x:v>7</x:v>
      </x:c>
      <x:c r="K1689" s="23" t="n">
        <x:v>189.63178106747972</x:v>
      </x:c>
      <x:c r="L1689" s="23" t="n">
        <x:v>12490</x:v>
      </x:c>
      <x:c r="M1689" s="23" t="n">
        <x:v>1200</x:v>
      </x:c>
      <x:c r="N1689" s="23" t="n">
        <x:v>250.0177855259363</x:v>
      </x:c>
      <x:c r="O1689" s="23" t="n">
        <x:v>2504.767952688211</x:v>
      </x:c>
      <x:c r="P1689" s="23" t="n">
        <x:v>1081.9935495848767</x:v>
      </x:c>
      <x:c r="Q1689" s="23" t="n">
        <x:v>250.66709192200662</x:v>
      </x:c>
      <x:c r="R1689" s="23" t="n">
        <x:v>2555.536256938445</x:v>
      </x:c>
      <x:c r="S1689" s="23" t="n">
        <x:v>1082.2041379513362</x:v>
      </x:c>
      <x:c r="T1689" s="23" t="n">
        <x:v>0.6493063960703296</x:v>
      </x:c>
      <x:c r="U1689" s="23" t="n">
        <x:v>50.768304250233996</x:v>
      </x:c>
      <x:c r="V1689" s="23" t="n">
        <x:v>0.21058836645943302</x:v>
      </x:c>
    </x:row>
    <x:row r="1690">
      <x:c r="A1690" s="23" t="n">
        <x:v>1689</x:v>
      </x:c>
      <x:c r="B1690" s="23" t="str">
        <x:v>Train</x:v>
      </x:c>
      <x:c r="C1690" s="23" t="str">
        <x:v>Switching</x:v>
      </x:c>
      <x:c r="D1690" s="23" t="n">
        <x:v>1070.304298400879</x:v>
      </x:c>
      <x:c r="E1690" s="23" t="n">
        <x:v>1240.058981848415</x:v>
      </x:c>
      <x:c r="F1690" s="23" t="n">
        <x:v>430.12640941888094</x:v>
      </x:c>
      <x:c r="G1690" s="23" t="n">
        <x:v>146.2907199584879</x:v>
      </x:c>
      <x:c r="H1690" s="23" t="n">
        <x:v>18.529718784615397</x:v>
      </x:c>
      <x:c r="I1690" s="23" t="n">
        <x:v>0.8006700915587135</x:v>
      </x:c>
      <x:c r="J1690" s="23" t="n">
        <x:v>7</x:v>
      </x:c>
      <x:c r="K1690" s="23" t="n">
        <x:v>190.9658118484324</x:v>
      </x:c>
      <x:c r="L1690" s="23" t="n">
        <x:v>11775</x:v>
      </x:c>
      <x:c r="M1690" s="23" t="n">
        <x:v>1195</x:v>
      </x:c>
      <x:c r="N1690" s="23" t="n">
        <x:v>250.0379518754193</x:v>
      </x:c>
      <x:c r="O1690" s="23" t="n">
        <x:v>2494.9350121105895</x:v>
      </x:c>
      <x:c r="P1690" s="23" t="n">
        <x:v>1070.304298400879</x:v>
      </x:c>
      <x:c r="Q1690" s="23" t="n">
        <x:v>251.74350576039814</x:v>
      </x:c>
      <x:c r="R1690" s="23" t="n">
        <x:v>2521.495097633503</x:v>
      </x:c>
      <x:c r="S1690" s="23" t="n">
        <x:v>1071.7056593194986</x:v>
      </x:c>
      <x:c r="T1690" s="23" t="n">
        <x:v>1.7055538849788263</x:v>
      </x:c>
      <x:c r="U1690" s="23" t="n">
        <x:v>26.560085522913596</x:v>
      </x:c>
      <x:c r="V1690" s="23" t="n">
        <x:v>1.40136091861973</x:v>
      </x:c>
    </x:row>
    <x:row r="1691">
      <x:c r="A1691" s="23" t="n">
        <x:v>1690</x:v>
      </x:c>
      <x:c r="B1691" s="23" t="str">
        <x:v>Train</x:v>
      </x:c>
      <x:c r="C1691" s="23" t="str">
        <x:v>Switching</x:v>
      </x:c>
      <x:c r="D1691" s="23" t="n">
        <x:v>1094.4255730719306</x:v>
      </x:c>
      <x:c r="E1691" s="23" t="n">
        <x:v>1087.1869215974584</x:v>
      </x:c>
      <x:c r="F1691" s="23" t="n">
        <x:v>450.99457958713174</x:v>
      </x:c>
      <x:c r="G1691" s="23" t="n">
        <x:v>140.63403724692762</x:v>
      </x:c>
      <x:c r="H1691" s="23" t="n">
        <x:v>23.8281583157368</x:v>
      </x:c>
      <x:c r="I1691" s="23" t="n">
        <x:v>0.8104081729101017</x:v>
      </x:c>
      <x:c r="J1691" s="23" t="n">
        <x:v>7</x:v>
      </x:c>
      <x:c r="K1691" s="23" t="n">
        <x:v>192.92316596144533</x:v>
      </x:c>
      <x:c r="L1691" s="23" t="n">
        <x:v>12740</x:v>
      </x:c>
      <x:c r="M1691" s="23" t="n">
        <x:v>1200</x:v>
      </x:c>
      <x:c r="N1691" s="23" t="n">
        <x:v>250.02756319003936</x:v>
      </x:c>
      <x:c r="O1691" s="23" t="n">
        <x:v>2504.5727210123177</x:v>
      </x:c>
      <x:c r="P1691" s="23" t="n">
        <x:v>1094.4255730719306</x:v>
      </x:c>
      <x:c r="Q1691" s="23" t="n">
        <x:v>250.67878271543574</x:v>
      </x:c>
      <x:c r="R1691" s="23" t="n">
        <x:v>2517.408496700499</x:v>
      </x:c>
      <x:c r="S1691" s="23" t="n">
        <x:v>1087.490302911065</x:v>
      </x:c>
      <x:c r="T1691" s="23" t="n">
        <x:v>0.6512195253963853</x:v>
      </x:c>
      <x:c r="U1691" s="23" t="n">
        <x:v>12.835775688181457</x:v>
      </x:c>
      <x:c r="V1691" s="23" t="n">
        <x:v>-6.935270160865457</x:v>
      </x:c>
    </x:row>
    <x:row r="1692">
      <x:c r="A1692" s="23" t="n">
        <x:v>1691</x:v>
      </x:c>
      <x:c r="B1692" s="23" t="str">
        <x:v>Train</x:v>
      </x:c>
      <x:c r="C1692" s="23" t="str">
        <x:v>Switching</x:v>
      </x:c>
      <x:c r="D1692" s="23" t="n">
        <x:v>1039.469212363474</x:v>
      </x:c>
      <x:c r="E1692" s="23" t="n">
        <x:v>713.1845329538919</x:v>
      </x:c>
      <x:c r="F1692" s="23" t="n">
        <x:v>373.482621088624</x:v>
      </x:c>
      <x:c r="G1692" s="23" t="n">
        <x:v>270.1842068764381</x:v>
      </x:c>
      <x:c r="H1692" s="23" t="n">
        <x:v>23.485183679498732</x:v>
      </x:c>
      <x:c r="I1692" s="23" t="n">
        <x:v>0.842683314185124</x:v>
      </x:c>
      <x:c r="J1692" s="23" t="n">
        <x:v>7</x:v>
      </x:c>
      <x:c r="K1692" s="23" t="n">
        <x:v>176.21756508826337</x:v>
      </x:c>
      <x:c r="L1692" s="23" t="n">
        <x:v>15760</x:v>
      </x:c>
      <x:c r="M1692" s="23" t="n">
        <x:v>1200</x:v>
      </x:c>
      <x:c r="N1692" s="23" t="n">
        <x:v>249.97914075965102</x:v>
      </x:c>
      <x:c r="O1692" s="23" t="n">
        <x:v>2502.6985031421814</x:v>
      </x:c>
      <x:c r="P1692" s="23" t="n">
        <x:v>1039.469212363474</x:v>
      </x:c>
      <x:c r="Q1692" s="23" t="n">
        <x:v>244.66872351617866</x:v>
      </x:c>
      <x:c r="R1692" s="23" t="n">
        <x:v>2444.509709689854</x:v>
      </x:c>
      <x:c r="S1692" s="23" t="n">
        <x:v>1039.9400277546165</x:v>
      </x:c>
      <x:c r="T1692" s="23" t="n">
        <x:v>-5.310417243472358</x:v>
      </x:c>
      <x:c r="U1692" s="23" t="n">
        <x:v>-58.188793452327445</x:v>
      </x:c>
      <x:c r="V1692" s="23" t="n">
        <x:v>0.4708153911424233</x:v>
      </x:c>
    </x:row>
    <x:row r="1693">
      <x:c r="A1693" s="23" t="n">
        <x:v>1692</x:v>
      </x:c>
      <x:c r="B1693" s="23" t="str">
        <x:v>Train</x:v>
      </x:c>
      <x:c r="C1693" s="23" t="str">
        <x:v>Switching</x:v>
      </x:c>
      <x:c r="D1693" s="23" t="n">
        <x:v>1071.0861467174254</x:v>
      </x:c>
      <x:c r="E1693" s="23" t="n">
        <x:v>616.3584135007113</x:v>
      </x:c>
      <x:c r="F1693" s="23" t="n">
        <x:v>744.877817761153</x:v>
      </x:c>
      <x:c r="G1693" s="23" t="n">
        <x:v>138.77254519145936</x:v>
      </x:c>
      <x:c r="H1693" s="23" t="n">
        <x:v>23.822559024672955</x:v>
      </x:c>
      <x:c r="I1693" s="23" t="n">
        <x:v>0.8353537609428168</x:v>
      </x:c>
      <x:c r="J1693" s="23" t="n">
        <x:v>7</x:v>
      </x:c>
      <x:c r="K1693" s="23" t="n">
        <x:v>183.17066831808063</x:v>
      </x:c>
      <x:c r="L1693" s="23" t="n">
        <x:v>14255</x:v>
      </x:c>
      <x:c r="M1693" s="23" t="n">
        <x:v>1200</x:v>
      </x:c>
      <x:c r="N1693" s="23" t="n">
        <x:v>249.9633858834322</x:v>
      </x:c>
      <x:c r="O1693" s="23" t="n">
        <x:v>2503.53185108949</x:v>
      </x:c>
      <x:c r="P1693" s="23" t="n">
        <x:v>1071.0861467174254</x:v>
      </x:c>
      <x:c r="Q1693" s="23" t="n">
        <x:v>245.7863597897592</x:v>
      </x:c>
      <x:c r="R1693" s="23" t="n">
        <x:v>2431.1112526025577</x:v>
      </x:c>
      <x:c r="S1693" s="23" t="n">
        <x:v>1074.3023158014253</x:v>
      </x:c>
      <x:c r="T1693" s="23" t="n">
        <x:v>-4.177026093673021</x:v>
      </x:c>
      <x:c r="U1693" s="23" t="n">
        <x:v>-72.42059848693225</x:v>
      </x:c>
      <x:c r="V1693" s="23" t="n">
        <x:v>3.21616908399983</x:v>
      </x:c>
    </x:row>
    <x:row r="1694">
      <x:c r="A1694" s="23" t="n">
        <x:v>1693</x:v>
      </x:c>
      <x:c r="B1694" s="23" t="str">
        <x:v>Train</x:v>
      </x:c>
      <x:c r="C1694" s="23" t="str">
        <x:v>Switching</x:v>
      </x:c>
      <x:c r="D1694" s="23" t="n">
        <x:v>950.2959176432341</x:v>
      </x:c>
      <x:c r="E1694" s="23" t="n">
        <x:v>1240.1429676334374</x:v>
      </x:c>
      <x:c r="F1694" s="23" t="n">
        <x:v>458.7041413411498</x:v>
      </x:c>
      <x:c r="G1694" s="23" t="n">
        <x:v>114.55816657515243</x:v>
      </x:c>
      <x:c r="H1694" s="23" t="n">
        <x:v>29.228723894804716</x:v>
      </x:c>
      <x:c r="I1694" s="23" t="n">
        <x:v>0.8117461211630144</x:v>
      </x:c>
      <x:c r="J1694" s="23" t="n">
        <x:v>6</x:v>
      </x:c>
      <x:c r="K1694" s="23" t="n">
        <x:v>195.1135321886345</x:v>
      </x:c>
      <x:c r="L1694" s="23" t="n">
        <x:v>13760</x:v>
      </x:c>
      <x:c r="M1694" s="23" t="n">
        <x:v>1200</x:v>
      </x:c>
      <x:c r="N1694" s="23" t="n">
        <x:v>250.0243540841876</x:v>
      </x:c>
      <x:c r="O1694" s="23" t="n">
        <x:v>2503.8481669628827</x:v>
      </x:c>
      <x:c r="P1694" s="23" t="n">
        <x:v>950.2959176432341</x:v>
      </x:c>
      <x:c r="Q1694" s="23" t="n">
        <x:v>250.85462476927148</x:v>
      </x:c>
      <x:c r="R1694" s="23" t="n">
        <x:v>2498.9383659882037</x:v>
      </x:c>
      <x:c r="S1694" s="23" t="n">
        <x:v>943.0407433924888</x:v>
      </x:c>
      <x:c r="T1694" s="23" t="n">
        <x:v>0.8302706850838888</x:v>
      </x:c>
      <x:c r="U1694" s="23" t="n">
        <x:v>-4.909800974679001</x:v>
      </x:c>
      <x:c r="V1694" s="23" t="n">
        <x:v>-7.255174250745313</x:v>
      </x:c>
    </x:row>
    <x:row r="1695">
      <x:c r="A1695" s="23" t="n">
        <x:v>1694</x:v>
      </x:c>
      <x:c r="B1695" s="23" t="str">
        <x:v>Train</x:v>
      </x:c>
      <x:c r="C1695" s="23" t="str">
        <x:v>Switching</x:v>
      </x:c>
      <x:c r="D1695" s="23" t="n">
        <x:v>982.5010702130385</x:v>
      </x:c>
      <x:c r="E1695" s="23" t="n">
        <x:v>726.9950664369389</x:v>
      </x:c>
      <x:c r="F1695" s="23" t="n">
        <x:v>421.63392500951886</x:v>
      </x:c>
      <x:c r="G1695" s="23" t="n">
        <x:v>175.90853657573462</x:v>
      </x:c>
      <x:c r="H1695" s="23" t="n">
        <x:v>26.9957431727089</x:v>
      </x:c>
      <x:c r="I1695" s="23" t="n">
        <x:v>0.8237210639892146</x:v>
      </x:c>
      <x:c r="J1695" s="23" t="n">
        <x:v>6</x:v>
      </x:c>
      <x:c r="K1695" s="23" t="n">
        <x:v>198.79323903143967</x:v>
      </x:c>
      <x:c r="L1695" s="23" t="n">
        <x:v>18835</x:v>
      </x:c>
      <x:c r="M1695" s="23" t="n">
        <x:v>1200</x:v>
      </x:c>
      <x:c r="N1695" s="23" t="n">
        <x:v>249.9760953497068</x:v>
      </x:c>
      <x:c r="O1695" s="23" t="n">
        <x:v>2501.408912449819</x:v>
      </x:c>
      <x:c r="P1695" s="23" t="n">
        <x:v>982.5010702130385</x:v>
      </x:c>
      <x:c r="Q1695" s="23" t="n">
        <x:v>244.13546737734217</x:v>
      </x:c>
      <x:c r="R1695" s="23" t="n">
        <x:v>2515.3284645893978</x:v>
      </x:c>
      <x:c r="S1695" s="23" t="n">
        <x:v>976.2990406011103</x:v>
      </x:c>
      <x:c r="T1695" s="23" t="n">
        <x:v>-5.8406279723646435</x:v>
      </x:c>
      <x:c r="U1695" s="23" t="n">
        <x:v>13.919552139578627</x:v>
      </x:c>
      <x:c r="V1695" s="23" t="n">
        <x:v>-6.202029611928197</x:v>
      </x:c>
    </x:row>
    <x:row r="1696">
      <x:c r="A1696" s="23" t="n">
        <x:v>1695</x:v>
      </x:c>
      <x:c r="B1696" s="23" t="str">
        <x:v>Validation</x:v>
      </x:c>
      <x:c r="C1696" s="23" t="str">
        <x:v>Switching</x:v>
      </x:c>
      <x:c r="D1696" s="23" t="n">
        <x:v>983.0389138543978</x:v>
      </x:c>
      <x:c r="E1696" s="23" t="n">
        <x:v>961.8059790809639</x:v>
      </x:c>
      <x:c r="F1696" s="23" t="n">
        <x:v>658.1685684621334</x:v>
      </x:c>
      <x:c r="G1696" s="23" t="n">
        <x:v>318.0291385925375</x:v>
      </x:c>
      <x:c r="H1696" s="23" t="n">
        <x:v>8.962080827914178</x:v>
      </x:c>
      <x:c r="I1696" s="23" t="n">
        <x:v>0.8243113885237836</x:v>
      </x:c>
      <x:c r="J1696" s="23" t="n">
        <x:v>6</x:v>
      </x:c>
      <x:c r="K1696" s="23" t="n">
        <x:v>198.75962076557644</x:v>
      </x:c>
      <x:c r="L1696" s="23" t="n">
        <x:v>12875</x:v>
      </x:c>
      <x:c r="M1696" s="23" t="n">
        <x:v>1200</x:v>
      </x:c>
      <x:c r="N1696" s="23" t="n">
        <x:v>250.0172527182324</x:v>
      </x:c>
      <x:c r="O1696" s="23" t="n">
        <x:v>2504.469863192342</x:v>
      </x:c>
      <x:c r="P1696" s="23" t="n">
        <x:v>983.0389138543978</x:v>
      </x:c>
      <x:c r="Q1696" s="23" t="n">
        <x:v>251.9749898130257</x:v>
      </x:c>
      <x:c r="R1696" s="23" t="n">
        <x:v>2472.470358806504</x:v>
      </x:c>
      <x:c r="S1696" s="23" t="n">
        <x:v>976.3704265340865</x:v>
      </x:c>
      <x:c r="T1696" s="23" t="n">
        <x:v>1.9577370947932877</x:v>
      </x:c>
      <x:c r="U1696" s="23" t="n">
        <x:v>-31.99950438583801</x:v>
      </x:c>
      <x:c r="V1696" s="23" t="n">
        <x:v>-6.668487320311328</x:v>
      </x:c>
    </x:row>
    <x:row r="1697">
      <x:c r="A1697" s="23" t="n">
        <x:v>1696</x:v>
      </x:c>
      <x:c r="B1697" s="23" t="str">
        <x:v>Validation</x:v>
      </x:c>
      <x:c r="C1697" s="23" t="str">
        <x:v>Switching</x:v>
      </x:c>
      <x:c r="D1697" s="23" t="n">
        <x:v>1097.9393316316418</x:v>
      </x:c>
      <x:c r="E1697" s="23" t="n">
        <x:v>822.7088697254658</x:v>
      </x:c>
      <x:c r="F1697" s="23" t="n">
        <x:v>679.1224389337003</x:v>
      </x:c>
      <x:c r="G1697" s="23" t="n">
        <x:v>218.8083166675642</x:v>
      </x:c>
      <x:c r="H1697" s="23" t="n">
        <x:v>27.563990206923336</x:v>
      </x:c>
      <x:c r="I1697" s="23" t="n">
        <x:v>0.8027039642166347</x:v>
      </x:c>
      <x:c r="J1697" s="23" t="n">
        <x:v>7</x:v>
      </x:c>
      <x:c r="K1697" s="23" t="n">
        <x:v>195.40015116338324</x:v>
      </x:c>
      <x:c r="L1697" s="23" t="n">
        <x:v>12430</x:v>
      </x:c>
      <x:c r="M1697" s="23" t="n">
        <x:v>1200</x:v>
      </x:c>
      <x:c r="N1697" s="23" t="n">
        <x:v>250.0211271459286</x:v>
      </x:c>
      <x:c r="O1697" s="23" t="n">
        <x:v>2504.8161873869517</x:v>
      </x:c>
      <x:c r="P1697" s="23" t="n">
        <x:v>1097.9393316316418</x:v>
      </x:c>
      <x:c r="Q1697" s="23" t="n">
        <x:v>251.54261601386708</x:v>
      </x:c>
      <x:c r="R1697" s="23" t="n">
        <x:v>2479.2871477271406</x:v>
      </x:c>
      <x:c r="S1697" s="23" t="n">
        <x:v>1082.4133815293428</x:v>
      </x:c>
      <x:c r="T1697" s="23" t="n">
        <x:v>1.5214888679384728</x:v>
      </x:c>
      <x:c r="U1697" s="23" t="n">
        <x:v>-25.529039659811133</x:v>
      </x:c>
      <x:c r="V1697" s="23" t="n">
        <x:v>-15.52595010229902</x:v>
      </x:c>
    </x:row>
    <x:row r="1698">
      <x:c r="A1698" s="23" t="n">
        <x:v>1697</x:v>
      </x:c>
      <x:c r="B1698" s="23" t="str">
        <x:v>Validation</x:v>
      </x:c>
      <x:c r="C1698" s="23" t="str">
        <x:v>Switching</x:v>
      </x:c>
      <x:c r="D1698" s="23" t="n">
        <x:v>1084.5483384095132</x:v>
      </x:c>
      <x:c r="E1698" s="23" t="n">
        <x:v>1069.738927425351</x:v>
      </x:c>
      <x:c r="F1698" s="23" t="n">
        <x:v>467.9180705919862</x:v>
      </x:c>
      <x:c r="G1698" s="23" t="n">
        <x:v>124.29957183310762</x:v>
      </x:c>
      <x:c r="H1698" s="23" t="n">
        <x:v>12.736379707232118</x:v>
      </x:c>
      <x:c r="I1698" s="23" t="n">
        <x:v>0.8460816961829551</x:v>
      </x:c>
      <x:c r="J1698" s="23" t="n">
        <x:v>7</x:v>
      </x:c>
      <x:c r="K1698" s="23" t="n">
        <x:v>183.1211780311836</x:v>
      </x:c>
      <x:c r="L1698" s="23" t="n">
        <x:v>12870</x:v>
      </x:c>
      <x:c r="M1698" s="23" t="n">
        <x:v>1200</x:v>
      </x:c>
      <x:c r="N1698" s="23" t="n">
        <x:v>250.04215963892963</x:v>
      </x:c>
      <x:c r="O1698" s="23" t="n">
        <x:v>2504.4745815844135</x:v>
      </x:c>
      <x:c r="P1698" s="23" t="n">
        <x:v>1084.5483384095132</x:v>
      </x:c>
      <x:c r="Q1698" s="23" t="n">
        <x:v>253.9574902618492</x:v>
      </x:c>
      <x:c r="R1698" s="23" t="n">
        <x:v>2525.5370526402553</x:v>
      </x:c>
      <x:c r="S1698" s="23" t="n">
        <x:v>1087.1151544326033</x:v>
      </x:c>
      <x:c r="T1698" s="23" t="n">
        <x:v>3.915330622919555</x:v>
      </x:c>
      <x:c r="U1698" s="23" t="n">
        <x:v>21.062471055841797</x:v>
      </x:c>
      <x:c r="V1698" s="23" t="n">
        <x:v>2.566816023090041</x:v>
      </x:c>
    </x:row>
    <x:row r="1699">
      <x:c r="A1699" s="23" t="n">
        <x:v>1698</x:v>
      </x:c>
      <x:c r="B1699" s="23" t="str">
        <x:v>Hidden Test</x:v>
      </x:c>
      <x:c r="C1699" s="23" t="str">
        <x:v>Switching</x:v>
      </x:c>
      <x:c r="D1699" s="23" t="n">
        <x:v>1089.9692864739336</x:v>
      </x:c>
      <x:c r="E1699" s="23" t="n">
        <x:v>651.9056211458519</x:v>
      </x:c>
      <x:c r="F1699" s="23" t="n">
        <x:v>569.9889116920531</x:v>
      </x:c>
      <x:c r="G1699" s="23" t="n">
        <x:v>291.0383773688227</x:v>
      </x:c>
      <x:c r="H1699" s="23" t="n">
        <x:v>26.841401286888868</x:v>
      </x:c>
      <x:c r="I1699" s="23" t="n">
        <x:v>0.8557699448475614</x:v>
      </x:c>
      <x:c r="J1699" s="23" t="n">
        <x:v>7</x:v>
      </x:c>
      <x:c r="K1699" s="23" t="n">
        <x:v>181.95298748829214</x:v>
      </x:c>
      <x:c r="L1699" s="23" t="n">
        <x:v>14135</x:v>
      </x:c>
      <x:c r="M1699" s="23" t="n">
        <x:v>1200</x:v>
      </x:c>
      <x:c r="N1699" s="23" t="n">
        <x:v>249.994801444631</x:v>
      </x:c>
      <x:c r="O1699" s="23" t="n">
        <x:v>2503.6070850568954</x:v>
      </x:c>
      <x:c r="P1699" s="23" t="n">
        <x:v>1089.9692864739336</x:v>
      </x:c>
      <x:c r="Q1699" s="23" t="n">
        <x:v>245.40761761661784</x:v>
      </x:c>
      <x:c r="R1699" s="23" t="n">
        <x:v>2486.8806567733604</x:v>
      </x:c>
      <x:c r="S1699" s="23" t="n">
        <x:v>1088.8630545526412</x:v>
      </x:c>
      <x:c r="T1699" s="23" t="n">
        <x:v>-4.587183828013167</x:v>
      </x:c>
      <x:c r="U1699" s="23" t="n">
        <x:v>-16.726428283534915</x:v>
      </x:c>
      <x:c r="V1699" s="23" t="n">
        <x:v>-1.1062319212924194</x:v>
      </x:c>
    </x:row>
    <x:row r="1700">
      <x:c r="A1700" s="23" t="n">
        <x:v>1699</x:v>
      </x:c>
      <x:c r="B1700" s="23" t="str">
        <x:v>Hidden Test</x:v>
      </x:c>
      <x:c r="C1700" s="23" t="str">
        <x:v>Switching</x:v>
      </x:c>
      <x:c r="D1700" s="23" t="n">
        <x:v>1026.6305431490764</x:v>
      </x:c>
      <x:c r="E1700" s="23" t="n">
        <x:v>991.0634534084238</x:v>
      </x:c>
      <x:c r="F1700" s="23" t="n">
        <x:v>564.294670149684</x:v>
      </x:c>
      <x:c r="G1700" s="23" t="n">
        <x:v>161.4113073865883</x:v>
      </x:c>
      <x:c r="H1700" s="23" t="n">
        <x:v>26.959129561670125</x:v>
      </x:c>
      <x:c r="I1700" s="23" t="n">
        <x:v>0.8101317911664956</x:v>
      </x:c>
      <x:c r="J1700" s="23" t="n">
        <x:v>7</x:v>
      </x:c>
      <x:c r="K1700" s="23" t="n">
        <x:v>181.03413267238687</x:v>
      </x:c>
      <x:c r="L1700" s="23" t="n">
        <x:v>12455</x:v>
      </x:c>
      <x:c r="M1700" s="23" t="n">
        <x:v>1200</x:v>
      </x:c>
      <x:c r="N1700" s="23" t="n">
        <x:v>249.96047202838673</x:v>
      </x:c>
      <x:c r="O1700" s="23" t="n">
        <x:v>2504.7936582114153</x:v>
      </x:c>
      <x:c r="P1700" s="23" t="n">
        <x:v>1026.6305431490764</x:v>
      </x:c>
      <x:c r="Q1700" s="23" t="n">
        <x:v>250.08582680831668</x:v>
      </x:c>
      <x:c r="R1700" s="23" t="n">
        <x:v>2489.4408450523138</x:v>
      </x:c>
      <x:c r="S1700" s="23" t="n">
        <x:v>1010.5753278530706</x:v>
      </x:c>
      <x:c r="T1700" s="23" t="n">
        <x:v>0.1253547799299497</x:v>
      </x:c>
      <x:c r="U1700" s="23" t="n">
        <x:v>-15.352813159101515</x:v>
      </x:c>
      <x:c r="V1700" s="23" t="n">
        <x:v>-16.055215296005827</x:v>
      </x:c>
    </x:row>
    <x:row r="1701">
      <x:c r="A1701" s="23" t="n">
        <x:v>1700</x:v>
      </x:c>
      <x:c r="B1701" s="23" t="str">
        <x:v>Hidden Test</x:v>
      </x:c>
      <x:c r="C1701" s="23" t="str">
        <x:v>Switching</x:v>
      </x:c>
      <x:c r="D1701" s="23" t="n">
        <x:v>959.085484908428</x:v>
      </x:c>
      <x:c r="E1701" s="23" t="n">
        <x:v>826.1020541656762</x:v>
      </x:c>
      <x:c r="F1701" s="23" t="n">
        <x:v>396.24880282208323</x:v>
      </x:c>
      <x:c r="G1701" s="23" t="n">
        <x:v>319.3403857713565</x:v>
      </x:c>
      <x:c r="H1701" s="23" t="n">
        <x:v>18.088589317630976</x:v>
      </x:c>
      <x:c r="I1701" s="23" t="n">
        <x:v>0.8037690798752011</x:v>
      </x:c>
      <x:c r="J1701" s="23" t="n">
        <x:v>6</x:v>
      </x:c>
      <x:c r="K1701" s="23" t="n">
        <x:v>198.87251801585901</x:v>
      </x:c>
      <x:c r="L1701" s="23" t="n">
        <x:v>16185</x:v>
      </x:c>
      <x:c r="M1701" s="23" t="n">
        <x:v>1200</x:v>
      </x:c>
      <x:c r="N1701" s="23" t="n">
        <x:v>250.02216193222378</x:v>
      </x:c>
      <x:c r="O1701" s="23" t="n">
        <x:v>2502.492422624871</x:v>
      </x:c>
      <x:c r="P1701" s="23" t="n">
        <x:v>959.085484908428</x:v>
      </x:c>
      <x:c r="Q1701" s="23" t="n">
        <x:v>248.11357882735444</x:v>
      </x:c>
      <x:c r="R1701" s="23" t="n">
        <x:v>2519.626397525185</x:v>
      </x:c>
      <x:c r="S1701" s="23" t="n">
        <x:v>957.508009176906</x:v>
      </x:c>
      <x:c r="T1701" s="23" t="n">
        <x:v>-1.9085831048693365</x:v>
      </x:c>
      <x:c r="U1701" s="23" t="n">
        <x:v>17.133974900314115</x:v>
      </x:c>
      <x:c r="V1701" s="23" t="n">
        <x:v>-1.5774757315220995</x:v>
      </x:c>
    </x:row>
    <x:row r="1702">
      <x:c r="A1702" s="23" t="n">
        <x:v>1701</x:v>
      </x:c>
      <x:c r="B1702" s="23" t="str">
        <x:v>Train</x:v>
      </x:c>
      <x:c r="C1702" s="23" t="str">
        <x:v>Switching</x:v>
      </x:c>
      <x:c r="D1702" s="23" t="n">
        <x:v>1071.982370922342</x:v>
      </x:c>
      <x:c r="E1702" s="23" t="n">
        <x:v>779.2687309789471</x:v>
      </x:c>
      <x:c r="F1702" s="23" t="n">
        <x:v>742.5396395847201</x:v>
      </x:c>
      <x:c r="G1702" s="23" t="n">
        <x:v>166.25434088753536</x:v>
      </x:c>
      <x:c r="H1702" s="23" t="n">
        <x:v>13.788887985050678</x:v>
      </x:c>
      <x:c r="I1702" s="23" t="n">
        <x:v>0.8471671287179925</x:v>
      </x:c>
      <x:c r="J1702" s="23" t="n">
        <x:v>7</x:v>
      </x:c>
      <x:c r="K1702" s="23" t="n">
        <x:v>180.7675646420997</x:v>
      </x:c>
      <x:c r="L1702" s="23" t="n">
        <x:v>12670</x:v>
      </x:c>
      <x:c r="M1702" s="23" t="n">
        <x:v>1200</x:v>
      </x:c>
      <x:c r="N1702" s="23" t="n">
        <x:v>250.0231752866593</x:v>
      </x:c>
      <x:c r="O1702" s="23" t="n">
        <x:v>2504.6265506559</x:v>
      </x:c>
      <x:c r="P1702" s="23" t="n">
        <x:v>1071.982370922342</x:v>
      </x:c>
      <x:c r="Q1702" s="23" t="n">
        <x:v>250.45805136103976</x:v>
      </x:c>
      <x:c r="R1702" s="23" t="n">
        <x:v>2459.2819451707373</x:v>
      </x:c>
      <x:c r="S1702" s="23" t="n">
        <x:v>1070.7573070538888</x:v>
      </x:c>
      <x:c r="T1702" s="23" t="n">
        <x:v>0.43487607438046894</x:v>
      </x:c>
      <x:c r="U1702" s="23" t="n">
        <x:v>-45.34460548516245</x:v>
      </x:c>
      <x:c r="V1702" s="23" t="n">
        <x:v>-1.2250638684531623</x:v>
      </x:c>
    </x:row>
    <x:row r="1703">
      <x:c r="A1703" s="23" t="n">
        <x:v>1702</x:v>
      </x:c>
      <x:c r="B1703" s="23" t="str">
        <x:v>Train</x:v>
      </x:c>
      <x:c r="C1703" s="23" t="str">
        <x:v>Switching</x:v>
      </x:c>
      <x:c r="D1703" s="23" t="n">
        <x:v>1034.4059030641802</x:v>
      </x:c>
      <x:c r="E1703" s="23" t="n">
        <x:v>908.5684351390228</x:v>
      </x:c>
      <x:c r="F1703" s="23" t="n">
        <x:v>613.3501318283379</x:v>
      </x:c>
      <x:c r="G1703" s="23" t="n">
        <x:v>187.88047080859542</x:v>
      </x:c>
      <x:c r="H1703" s="23" t="n">
        <x:v>12.372691004071385</x:v>
      </x:c>
      <x:c r="I1703" s="23" t="n">
        <x:v>0.7921860596677289</x:v>
      </x:c>
      <x:c r="J1703" s="23" t="n">
        <x:v>7</x:v>
      </x:c>
      <x:c r="K1703" s="23" t="n">
        <x:v>186.53732928384576</x:v>
      </x:c>
      <x:c r="L1703" s="23" t="n">
        <x:v>12510</x:v>
      </x:c>
      <x:c r="M1703" s="23" t="n">
        <x:v>1200</x:v>
      </x:c>
      <x:c r="N1703" s="23" t="n">
        <x:v>250.04455484345752</x:v>
      </x:c>
      <x:c r="O1703" s="23" t="n">
        <x:v>2504.7530821587015</x:v>
      </x:c>
      <x:c r="P1703" s="23" t="n">
        <x:v>1034.4059030641802</x:v>
      </x:c>
      <x:c r="Q1703" s="23" t="n">
        <x:v>251.31489181348957</x:v>
      </x:c>
      <x:c r="R1703" s="23" t="n">
        <x:v>2524.1702116178685</x:v>
      </x:c>
      <x:c r="S1703" s="23" t="n">
        <x:v>1032.3718636252745</x:v>
      </x:c>
      <x:c r="T1703" s="23" t="n">
        <x:v>1.270336970032048</x:v>
      </x:c>
      <x:c r="U1703" s="23" t="n">
        <x:v>19.417129459166972</x:v>
      </x:c>
      <x:c r="V1703" s="23" t="n">
        <x:v>-2.0340394389056655</x:v>
      </x:c>
    </x:row>
    <x:row r="1704">
      <x:c r="A1704" s="23" t="n">
        <x:v>1703</x:v>
      </x:c>
      <x:c r="B1704" s="23" t="str">
        <x:v>Train</x:v>
      </x:c>
      <x:c r="C1704" s="23" t="str">
        <x:v>Switching</x:v>
      </x:c>
      <x:c r="D1704" s="23" t="n">
        <x:v>1087.2193957911804</x:v>
      </x:c>
      <x:c r="E1704" s="23" t="n">
        <x:v>600.8212123182602</x:v>
      </x:c>
      <x:c r="F1704" s="23" t="n">
        <x:v>431.15583658218384</x:v>
      </x:c>
      <x:c r="G1704" s="23" t="n">
        <x:v>88.3213429315947</x:v>
      </x:c>
      <x:c r="H1704" s="23" t="n">
        <x:v>20.52769811730832</x:v>
      </x:c>
      <x:c r="I1704" s="23" t="n">
        <x:v>0.8405979346460664</x:v>
      </x:c>
      <x:c r="J1704" s="23" t="n">
        <x:v>7</x:v>
      </x:c>
      <x:c r="K1704" s="23" t="n">
        <x:v>184.76973370984243</x:v>
      </x:c>
      <x:c r="L1704" s="23" t="n">
        <x:v>19090</x:v>
      </x:c>
      <x:c r="M1704" s="23" t="n">
        <x:v>1200</x:v>
      </x:c>
      <x:c r="N1704" s="23" t="n">
        <x:v>250.00846242093056</x:v>
      </x:c>
      <x:c r="O1704" s="23" t="n">
        <x:v>2501.3214809985325</x:v>
      </x:c>
      <x:c r="P1704" s="23" t="n">
        <x:v>1087.2193957911804</x:v>
      </x:c>
      <x:c r="Q1704" s="23" t="n">
        <x:v>249.79285055262088</x:v>
      </x:c>
      <x:c r="R1704" s="23" t="n">
        <x:v>2508.075666016161</x:v>
      </x:c>
      <x:c r="S1704" s="23" t="n">
        <x:v>1099.9970619863004</x:v>
      </x:c>
      <x:c r="T1704" s="23" t="n">
        <x:v>-0.21561186830967927</x:v>
      </x:c>
      <x:c r="U1704" s="23" t="n">
        <x:v>6.754185017628515</x:v>
      </x:c>
      <x:c r="V1704" s="23" t="n">
        <x:v>12.777666195119991</x:v>
      </x:c>
    </x:row>
    <x:row r="1705">
      <x:c r="A1705" s="23" t="n">
        <x:v>1704</x:v>
      </x:c>
      <x:c r="B1705" s="23" t="str">
        <x:v>Train</x:v>
      </x:c>
      <x:c r="C1705" s="23" t="str">
        <x:v>Switching</x:v>
      </x:c>
      <x:c r="D1705" s="23" t="n">
        <x:v>1007.7576936106198</x:v>
      </x:c>
      <x:c r="E1705" s="23" t="n">
        <x:v>1078.258788678795</x:v>
      </x:c>
      <x:c r="F1705" s="23" t="n">
        <x:v>358.41215616092086</x:v>
      </x:c>
      <x:c r="G1705" s="23" t="n">
        <x:v>291.6630912059918</x:v>
      </x:c>
      <x:c r="H1705" s="23" t="n">
        <x:v>13.79978491133079</x:v>
      </x:c>
      <x:c r="I1705" s="23" t="n">
        <x:v>0.8096414536330849</x:v>
      </x:c>
      <x:c r="J1705" s="23" t="n">
        <x:v>7</x:v>
      </x:c>
      <x:c r="K1705" s="23" t="n">
        <x:v>177.81375219302896</x:v>
      </x:c>
      <x:c r="L1705" s="23" t="n">
        <x:v>12375</x:v>
      </x:c>
      <x:c r="M1705" s="23" t="n">
        <x:v>1200</x:v>
      </x:c>
      <x:c r="N1705" s="23" t="n">
        <x:v>250.02761545571542</x:v>
      </x:c>
      <x:c r="O1705" s="23" t="n">
        <x:v>2504.860978090629</x:v>
      </x:c>
      <x:c r="P1705" s="23" t="n">
        <x:v>1007.7576936106198</x:v>
      </x:c>
      <x:c r="Q1705" s="23" t="n">
        <x:v>254.5894664865923</x:v>
      </x:c>
      <x:c r="R1705" s="23" t="n">
        <x:v>2552.1082246330957</x:v>
      </x:c>
      <x:c r="S1705" s="23" t="n">
        <x:v>1007.841814569002</x:v>
      </x:c>
      <x:c r="T1705" s="23" t="n">
        <x:v>4.5618510308768805</x:v>
      </x:c>
      <x:c r="U1705" s="23" t="n">
        <x:v>47.247246542466655</x:v>
      </x:c>
      <x:c r="V1705" s="23" t="n">
        <x:v>0.08412095838230016</x:v>
      </x:c>
    </x:row>
    <x:row r="1706">
      <x:c r="A1706" s="23" t="n">
        <x:v>1705</x:v>
      </x:c>
      <x:c r="B1706" s="23" t="str">
        <x:v>Train</x:v>
      </x:c>
      <x:c r="C1706" s="23" t="str">
        <x:v>Switching</x:v>
      </x:c>
      <x:c r="D1706" s="23" t="n">
        <x:v>1083.0945624038577</x:v>
      </x:c>
      <x:c r="E1706" s="23" t="n">
        <x:v>868.2137344381772</x:v>
      </x:c>
      <x:c r="F1706" s="23" t="n">
        <x:v>362.159931845963</x:v>
      </x:c>
      <x:c r="G1706" s="23" t="n">
        <x:v>208.1144316890277</x:v>
      </x:c>
      <x:c r="H1706" s="23" t="n">
        <x:v>28.541327139362693</x:v>
      </x:c>
      <x:c r="I1706" s="23" t="n">
        <x:v>0.840114091646392</x:v>
      </x:c>
      <x:c r="J1706" s="23" t="n">
        <x:v>7</x:v>
      </x:c>
      <x:c r="K1706" s="23" t="n">
        <x:v>184.1747402735487</x:v>
      </x:c>
      <x:c r="L1706" s="23" t="n">
        <x:v>14865</x:v>
      </x:c>
      <x:c r="M1706" s="23" t="n">
        <x:v>1200</x:v>
      </x:c>
      <x:c r="N1706" s="23" t="n">
        <x:v>249.96931056912663</x:v>
      </x:c>
      <x:c r="O1706" s="23" t="n">
        <x:v>2503.1737269159216</x:v>
      </x:c>
      <x:c r="P1706" s="23" t="n">
        <x:v>1083.0945624038577</x:v>
      </x:c>
      <x:c r="Q1706" s="23" t="n">
        <x:v>248.4597485143186</x:v>
      </x:c>
      <x:c r="R1706" s="23" t="n">
        <x:v>2491.360205836169</x:v>
      </x:c>
      <x:c r="S1706" s="23" t="n">
        <x:v>1078.4806737572576</x:v>
      </x:c>
      <x:c r="T1706" s="23" t="n">
        <x:v>-1.5095620548080433</x:v>
      </x:c>
      <x:c r="U1706" s="23" t="n">
        <x:v>-11.813521079752718</x:v>
      </x:c>
      <x:c r="V1706" s="23" t="n">
        <x:v>-4.613888646600117</x:v>
      </x:c>
    </x:row>
    <x:row r="1707">
      <x:c r="A1707" s="23" t="n">
        <x:v>1706</x:v>
      </x:c>
      <x:c r="B1707" s="23" t="str">
        <x:v>Train</x:v>
      </x:c>
      <x:c r="C1707" s="23" t="str">
        <x:v>Switching</x:v>
      </x:c>
      <x:c r="D1707" s="23" t="n">
        <x:v>1040.6473052338697</x:v>
      </x:c>
      <x:c r="E1707" s="23" t="n">
        <x:v>778.336612530984</x:v>
      </x:c>
      <x:c r="F1707" s="23" t="n">
        <x:v>352.1029652096331</x:v>
      </x:c>
      <x:c r="G1707" s="23" t="n">
        <x:v>162.8704710584134</x:v>
      </x:c>
      <x:c r="H1707" s="23" t="n">
        <x:v>10.627283890265971</x:v>
      </x:c>
      <x:c r="I1707" s="23" t="n">
        <x:v>0.7992620829911903</x:v>
      </x:c>
      <x:c r="J1707" s="23" t="n">
        <x:v>7</x:v>
      </x:c>
      <x:c r="K1707" s="23" t="n">
        <x:v>186.00144297015814</x:v>
      </x:c>
      <x:c r="L1707" s="23" t="n">
        <x:v>16535</x:v>
      </x:c>
      <x:c r="M1707" s="23" t="n">
        <x:v>1200</x:v>
      </x:c>
      <x:c r="N1707" s="23" t="n">
        <x:v>249.98945823563253</x:v>
      </x:c>
      <x:c r="O1707" s="23" t="n">
        <x:v>2502.3286164560686</x:v>
      </x:c>
      <x:c r="P1707" s="23" t="n">
        <x:v>1040.6473052338697</x:v>
      </x:c>
      <x:c r="Q1707" s="23" t="n">
        <x:v>250.76911283794533</x:v>
      </x:c>
      <x:c r="R1707" s="23" t="n">
        <x:v>2480.2849035157956</x:v>
      </x:c>
      <x:c r="S1707" s="23" t="n">
        <x:v>1057.392646987139</x:v>
      </x:c>
      <x:c r="T1707" s="23" t="n">
        <x:v>0.779654602312803</x:v>
      </x:c>
      <x:c r="U1707" s="23" t="n">
        <x:v>-22.043712940273053</x:v>
      </x:c>
      <x:c r="V1707" s="23" t="n">
        <x:v>16.74534175326926</x:v>
      </x:c>
    </x:row>
    <x:row r="1708">
      <x:c r="A1708" s="23" t="n">
        <x:v>1707</x:v>
      </x:c>
      <x:c r="B1708" s="23" t="str">
        <x:v>Train</x:v>
      </x:c>
      <x:c r="C1708" s="23" t="str">
        <x:v>Switching</x:v>
      </x:c>
      <x:c r="D1708" s="23" t="n">
        <x:v>991.251706960611</x:v>
      </x:c>
      <x:c r="E1708" s="23" t="n">
        <x:v>959.401497116778</x:v>
      </x:c>
      <x:c r="F1708" s="23" t="n">
        <x:v>491.8046075850725</x:v>
      </x:c>
      <x:c r="G1708" s="23" t="n">
        <x:v>210.54233248112723</x:v>
      </x:c>
      <x:c r="H1708" s="23" t="n">
        <x:v>11.079132453538477</x:v>
      </x:c>
      <x:c r="I1708" s="23" t="n">
        <x:v>0.7968113867077046</x:v>
      </x:c>
      <x:c r="J1708" s="23" t="n">
        <x:v>7</x:v>
      </x:c>
      <x:c r="K1708" s="23" t="n">
        <x:v>177.71757415987426</x:v>
      </x:c>
      <x:c r="L1708" s="23" t="n">
        <x:v>12870</x:v>
      </x:c>
      <x:c r="M1708" s="23" t="n">
        <x:v>1200</x:v>
      </x:c>
      <x:c r="N1708" s="23" t="n">
        <x:v>250.01080761618292</x:v>
      </x:c>
      <x:c r="O1708" s="23" t="n">
        <x:v>2504.4733700025295</x:v>
      </x:c>
      <x:c r="P1708" s="23" t="n">
        <x:v>991.251706960611</x:v>
      </x:c>
      <x:c r="Q1708" s="23" t="n">
        <x:v>253.0728656057511</x:v>
      </x:c>
      <x:c r="R1708" s="23" t="n">
        <x:v>2530.084033292036</x:v>
      </x:c>
      <x:c r="S1708" s="23" t="n">
        <x:v>997.2960613956277</x:v>
      </x:c>
      <x:c r="T1708" s="23" t="n">
        <x:v>3.0620579895681885</x:v>
      </x:c>
      <x:c r="U1708" s="23" t="n">
        <x:v>25.610663289506647</x:v>
      </x:c>
      <x:c r="V1708" s="23" t="n">
        <x:v>6.044354435016658</x:v>
      </x:c>
    </x:row>
    <x:row r="1709">
      <x:c r="A1709" s="23" t="n">
        <x:v>1708</x:v>
      </x:c>
      <x:c r="B1709" s="23" t="str">
        <x:v>Train</x:v>
      </x:c>
      <x:c r="C1709" s="23" t="str">
        <x:v>Switching</x:v>
      </x:c>
      <x:c r="D1709" s="23" t="n">
        <x:v>956.0229299939238</x:v>
      </x:c>
      <x:c r="E1709" s="23" t="n">
        <x:v>1046.152771404013</x:v>
      </x:c>
      <x:c r="F1709" s="23" t="n">
        <x:v>624.0095059387386</x:v>
      </x:c>
      <x:c r="G1709" s="23" t="n">
        <x:v>184.56241748761386</x:v>
      </x:c>
      <x:c r="H1709" s="23" t="n">
        <x:v>13.89472960261628</x:v>
      </x:c>
      <x:c r="I1709" s="23" t="n">
        <x:v>0.8472259235754609</x:v>
      </x:c>
      <x:c r="J1709" s="23" t="n">
        <x:v>6</x:v>
      </x:c>
      <x:c r="K1709" s="23" t="n">
        <x:v>188.06926295002046</x:v>
      </x:c>
      <x:c r="L1709" s="23" t="n">
        <x:v>13450</x:v>
      </x:c>
      <x:c r="M1709" s="23" t="n">
        <x:v>1200</x:v>
      </x:c>
      <x:c r="N1709" s="23" t="n">
        <x:v>249.95975181800478</x:v>
      </x:c>
      <x:c r="O1709" s="23" t="n">
        <x:v>2504.054334337325</x:v>
      </x:c>
      <x:c r="P1709" s="23" t="n">
        <x:v>956.0229299939238</x:v>
      </x:c>
      <x:c r="Q1709" s="23" t="n">
        <x:v>251.6984334706395</x:v>
      </x:c>
      <x:c r="R1709" s="23" t="n">
        <x:v>2481.3027873858123</x:v>
      </x:c>
      <x:c r="S1709" s="23" t="n">
        <x:v>959.1474860112821</x:v>
      </x:c>
      <x:c r="T1709" s="23" t="n">
        <x:v>1.7386816526347104</x:v>
      </x:c>
      <x:c r="U1709" s="23" t="n">
        <x:v>-22.751546951512864</x:v>
      </x:c>
      <x:c r="V1709" s="23" t="n">
        <x:v>3.1245560173583726</x:v>
      </x:c>
    </x:row>
    <x:row r="1710">
      <x:c r="A1710" s="23" t="n">
        <x:v>1709</x:v>
      </x:c>
      <x:c r="B1710" s="23" t="str">
        <x:v>Train</x:v>
      </x:c>
      <x:c r="C1710" s="23" t="str">
        <x:v>Switching</x:v>
      </x:c>
      <x:c r="D1710" s="23" t="n">
        <x:v>1026.6533640678972</x:v>
      </x:c>
      <x:c r="E1710" s="23" t="n">
        <x:v>1147.0196875627153</x:v>
      </x:c>
      <x:c r="F1710" s="23" t="n">
        <x:v>533.9289298281074</x:v>
      </x:c>
      <x:c r="G1710" s="23" t="n">
        <x:v>327.7183247101493</x:v>
      </x:c>
      <x:c r="H1710" s="23" t="n">
        <x:v>21.504053596407175</x:v>
      </x:c>
      <x:c r="I1710" s="23" t="n">
        <x:v>0.7900192660861649</x:v>
      </x:c>
      <x:c r="J1710" s="23" t="n">
        <x:v>7</x:v>
      </x:c>
      <x:c r="K1710" s="23" t="n">
        <x:v>185.64707544666084</x:v>
      </x:c>
      <x:c r="L1710" s="23" t="n">
        <x:v>10645</x:v>
      </x:c>
      <x:c r="M1710" s="23" t="n">
        <x:v>1195</x:v>
      </x:c>
      <x:c r="N1710" s="23" t="n">
        <x:v>249.95921713284068</x:v>
      </x:c>
      <x:c r="O1710" s="23" t="n">
        <x:v>2496.0491317866777</x:v>
      </x:c>
      <x:c r="P1710" s="23" t="n">
        <x:v>1026.6533640678972</x:v>
      </x:c>
      <x:c r="Q1710" s="23" t="n">
        <x:v>250.49138938677015</x:v>
      </x:c>
      <x:c r="R1710" s="23" t="n">
        <x:v>2518.640027617689</x:v>
      </x:c>
      <x:c r="S1710" s="23" t="n">
        <x:v>1017.1136174236032</x:v>
      </x:c>
      <x:c r="T1710" s="23" t="n">
        <x:v>0.532172253929474</x:v>
      </x:c>
      <x:c r="U1710" s="23" t="n">
        <x:v>22.590895831011494</x:v>
      </x:c>
      <x:c r="V1710" s="23" t="n">
        <x:v>-9.539746644294041</x:v>
      </x:c>
    </x:row>
    <x:row r="1711">
      <x:c r="A1711" s="23" t="n">
        <x:v>1710</x:v>
      </x:c>
      <x:c r="B1711" s="23" t="str">
        <x:v>Train</x:v>
      </x:c>
      <x:c r="C1711" s="23" t="str">
        <x:v>Switching</x:v>
      </x:c>
      <x:c r="D1711" s="23" t="n">
        <x:v>1073.7587219220586</x:v>
      </x:c>
      <x:c r="E1711" s="23" t="n">
        <x:v>695.4092123312876</x:v>
      </x:c>
      <x:c r="F1711" s="23" t="n">
        <x:v>702.3691807873547</x:v>
      </x:c>
      <x:c r="G1711" s="23" t="n">
        <x:v>208.17328795790672</x:v>
      </x:c>
      <x:c r="H1711" s="23" t="n">
        <x:v>25.701651255134493</x:v>
      </x:c>
      <x:c r="I1711" s="23" t="n">
        <x:v>0.8035193804604933</x:v>
      </x:c>
      <x:c r="J1711" s="23" t="n">
        <x:v>7</x:v>
      </x:c>
      <x:c r="K1711" s="23" t="n">
        <x:v>190.90280441501383</x:v>
      </x:c>
      <x:c r="L1711" s="23" t="n">
        <x:v>13315</x:v>
      </x:c>
      <x:c r="M1711" s="23" t="n">
        <x:v>1200</x:v>
      </x:c>
      <x:c r="N1711" s="23" t="n">
        <x:v>249.9707287818205</x:v>
      </x:c>
      <x:c r="O1711" s="23" t="n">
        <x:v>2504.1485659258824</x:v>
      </x:c>
      <x:c r="P1711" s="23" t="n">
        <x:v>1073.7587219220586</x:v>
      </x:c>
      <x:c r="Q1711" s="23" t="n">
        <x:v>249.34903497502125</x:v>
      </x:c>
      <x:c r="R1711" s="23" t="n">
        <x:v>2460.0338419405693</x:v>
      </x:c>
      <x:c r="S1711" s="23" t="n">
        <x:v>1063.750858986561</x:v>
      </x:c>
      <x:c r="T1711" s="23" t="n">
        <x:v>-0.621693806799243</x:v>
      </x:c>
      <x:c r="U1711" s="23" t="n">
        <x:v>-44.11472398531305</x:v>
      </x:c>
      <x:c r="V1711" s="23" t="n">
        <x:v>-10.007862935497542</x:v>
      </x:c>
    </x:row>
    <x:row r="1712">
      <x:c r="A1712" s="23" t="n">
        <x:v>1711</x:v>
      </x:c>
      <x:c r="B1712" s="23" t="str">
        <x:v>Train</x:v>
      </x:c>
      <x:c r="C1712" s="23" t="str">
        <x:v>Switching</x:v>
      </x:c>
      <x:c r="D1712" s="23" t="n">
        <x:v>982.0390606531873</x:v>
      </x:c>
      <x:c r="E1712" s="23" t="n">
        <x:v>828.9904178236611</x:v>
      </x:c>
      <x:c r="F1712" s="23" t="n">
        <x:v>613.7982226908207</x:v>
      </x:c>
      <x:c r="G1712" s="23" t="n">
        <x:v>99.40726715838537</x:v>
      </x:c>
      <x:c r="H1712" s="23" t="n">
        <x:v>24.753774805925786</x:v>
      </x:c>
      <x:c r="I1712" s="23" t="n">
        <x:v>0.8351892287074588</x:v>
      </x:c>
      <x:c r="J1712" s="23" t="n">
        <x:v>6</x:v>
      </x:c>
      <x:c r="K1712" s="23" t="n">
        <x:v>195.9713693013406</x:v>
      </x:c>
      <x:c r="L1712" s="23" t="n">
        <x:v>16180</x:v>
      </x:c>
      <x:c r="M1712" s="23" t="n">
        <x:v>1200</x:v>
      </x:c>
      <x:c r="N1712" s="23" t="n">
        <x:v>250.0268847341799</x:v>
      </x:c>
      <x:c r="O1712" s="23" t="n">
        <x:v>2502.494940700924</x:v>
      </x:c>
      <x:c r="P1712" s="23" t="n">
        <x:v>982.0390606531873</x:v>
      </x:c>
      <x:c r="Q1712" s="23" t="n">
        <x:v>249.53089740354906</x:v>
      </x:c>
      <x:c r="R1712" s="23" t="n">
        <x:v>2522.0470584833124</x:v>
      </x:c>
      <x:c r="S1712" s="23" t="n">
        <x:v>978.3515423224407</x:v>
      </x:c>
      <x:c r="T1712" s="23" t="n">
        <x:v>-0.49598733063083955</x:v>
      </x:c>
      <x:c r="U1712" s="23" t="n">
        <x:v>19.55211778238845</x:v>
      </x:c>
      <x:c r="V1712" s="23" t="n">
        <x:v>-3.687518330746684</x:v>
      </x:c>
    </x:row>
    <x:row r="1713">
      <x:c r="A1713" s="23" t="n">
        <x:v>1712</x:v>
      </x:c>
      <x:c r="B1713" s="23" t="str">
        <x:v>Train</x:v>
      </x:c>
      <x:c r="C1713" s="23" t="str">
        <x:v>Switching</x:v>
      </x:c>
      <x:c r="D1713" s="23" t="n">
        <x:v>979.7960895928554</x:v>
      </x:c>
      <x:c r="E1713" s="23" t="n">
        <x:v>909.5722222700715</x:v>
      </x:c>
      <x:c r="F1713" s="23" t="n">
        <x:v>415.67278346046805</x:v>
      </x:c>
      <x:c r="G1713" s="23" t="n">
        <x:v>132.69795295316726</x:v>
      </x:c>
      <x:c r="H1713" s="23" t="n">
        <x:v>18.48576002707705</x:v>
      </x:c>
      <x:c r="I1713" s="23" t="n">
        <x:v>0.8055990730877967</x:v>
      </x:c>
      <x:c r="J1713" s="23" t="n">
        <x:v>7</x:v>
      </x:c>
      <x:c r="K1713" s="23" t="n">
        <x:v>173.74755584727694</x:v>
      </x:c>
      <x:c r="L1713" s="23" t="n">
        <x:v>14670</x:v>
      </x:c>
      <x:c r="M1713" s="23" t="n">
        <x:v>1200</x:v>
      </x:c>
      <x:c r="N1713" s="23" t="n">
        <x:v>250.02636703490396</x:v>
      </x:c>
      <x:c r="O1713" s="23" t="n">
        <x:v>2503.2869775510894</x:v>
      </x:c>
      <x:c r="P1713" s="23" t="n">
        <x:v>979.7960895928554</x:v>
      </x:c>
      <x:c r="Q1713" s="23" t="n">
        <x:v>249.24132764393636</x:v>
      </x:c>
      <x:c r="R1713" s="23" t="n">
        <x:v>2472.950405996527</x:v>
      </x:c>
      <x:c r="S1713" s="23" t="n">
        <x:v>987.2563578347871</x:v>
      </x:c>
      <x:c r="T1713" s="23" t="n">
        <x:v>-0.7850393909675972</x:v>
      </x:c>
      <x:c r="U1713" s="23" t="n">
        <x:v>-30.336571554562397</x:v>
      </x:c>
      <x:c r="V1713" s="23" t="n">
        <x:v>7.460268241931658</x:v>
      </x:c>
    </x:row>
    <x:row r="1714">
      <x:c r="A1714" s="23" t="n">
        <x:v>1713</x:v>
      </x:c>
      <x:c r="B1714" s="23" t="str">
        <x:v>Train</x:v>
      </x:c>
      <x:c r="C1714" s="23" t="str">
        <x:v>Switching</x:v>
      </x:c>
      <x:c r="D1714" s="23" t="n">
        <x:v>1027.2839699871838</x:v>
      </x:c>
      <x:c r="E1714" s="23" t="n">
        <x:v>970.7301565795206</x:v>
      </x:c>
      <x:c r="F1714" s="23" t="n">
        <x:v>699.122897721827</x:v>
      </x:c>
      <x:c r="G1714" s="23" t="n">
        <x:v>258.5985082970001</x:v>
      </x:c>
      <x:c r="H1714" s="23" t="n">
        <x:v>29.211525039747357</x:v>
      </x:c>
      <x:c r="I1714" s="23" t="n">
        <x:v>0.7928963482310064</x:v>
      </x:c>
      <x:c r="J1714" s="23" t="n">
        <x:v>7</x:v>
      </x:c>
      <x:c r="K1714" s="23" t="n">
        <x:v>185.0870585830415</x:v>
      </x:c>
      <x:c r="L1714" s="23" t="n">
        <x:v>11090</x:v>
      </x:c>
      <x:c r="M1714" s="23" t="n">
        <x:v>1195</x:v>
      </x:c>
      <x:c r="N1714" s="23" t="n">
        <x:v>250.00929583123093</x:v>
      </x:c>
      <x:c r="O1714" s="23" t="n">
        <x:v>2495.5841276435467</x:v>
      </x:c>
      <x:c r="P1714" s="23" t="n">
        <x:v>1027.2839699871838</x:v>
      </x:c>
      <x:c r="Q1714" s="23" t="n">
        <x:v>248.95293451251985</x:v>
      </x:c>
      <x:c r="R1714" s="23" t="n">
        <x:v>2503.8659761939966</x:v>
      </x:c>
      <x:c r="S1714" s="23" t="n">
        <x:v>1012.7170839596608</x:v>
      </x:c>
      <x:c r="T1714" s="23" t="n">
        <x:v>-1.0563613187110832</x:v>
      </x:c>
      <x:c r="U1714" s="23" t="n">
        <x:v>8.281848550449922</x:v>
      </x:c>
      <x:c r="V1714" s="23" t="n">
        <x:v>-14.566886027522969</x:v>
      </x:c>
    </x:row>
    <x:row r="1715">
      <x:c r="A1715" s="23" t="n">
        <x:v>1714</x:v>
      </x:c>
      <x:c r="B1715" s="23" t="str">
        <x:v>Train</x:v>
      </x:c>
      <x:c r="C1715" s="23" t="str">
        <x:v>Switching</x:v>
      </x:c>
      <x:c r="D1715" s="23" t="n">
        <x:v>968.2425997802056</x:v>
      </x:c>
      <x:c r="E1715" s="23" t="n">
        <x:v>811.5071517648175</x:v>
      </x:c>
      <x:c r="F1715" s="23" t="n">
        <x:v>500.91416323557496</x:v>
      </x:c>
      <x:c r="G1715" s="23" t="n">
        <x:v>137.4918028432876</x:v>
      </x:c>
      <x:c r="H1715" s="23" t="n">
        <x:v>16.98873505042866</x:v>
      </x:c>
      <x:c r="I1715" s="23" t="n">
        <x:v>0.8581014414364473</x:v>
      </x:c>
      <x:c r="J1715" s="23" t="n">
        <x:v>6</x:v>
      </x:c>
      <x:c r="K1715" s="23" t="n">
        <x:v>188.05907884258687</x:v>
      </x:c>
      <x:c r="L1715" s="23" t="n">
        <x:v>17210</x:v>
      </x:c>
      <x:c r="M1715" s="23" t="n">
        <x:v>1200</x:v>
      </x:c>
      <x:c r="N1715" s="23" t="n">
        <x:v>250.02945111940656</x:v>
      </x:c>
      <x:c r="O1715" s="23" t="n">
        <x:v>2502.0344864927924</x:v>
      </x:c>
      <x:c r="P1715" s="23" t="n">
        <x:v>968.2425997802056</x:v>
      </x:c>
      <x:c r="Q1715" s="23" t="n">
        <x:v>249.97031644073067</x:v>
      </x:c>
      <x:c r="R1715" s="23" t="n">
        <x:v>2485.935049473267</x:v>
      </x:c>
      <x:c r="S1715" s="23" t="n">
        <x:v>970.7316761628525</x:v>
      </x:c>
      <x:c r="T1715" s="23" t="n">
        <x:v>-0.05913467867588906</x:v>
      </x:c>
      <x:c r="U1715" s="23" t="n">
        <x:v>-16.09943701952534</x:v>
      </x:c>
      <x:c r="V1715" s="23" t="n">
        <x:v>2.4890763826468856</x:v>
      </x:c>
    </x:row>
    <x:row r="1716">
      <x:c r="A1716" s="23" t="n">
        <x:v>1715</x:v>
      </x:c>
      <x:c r="B1716" s="23" t="str">
        <x:v>Validation</x:v>
      </x:c>
      <x:c r="C1716" s="23" t="str">
        <x:v>Switching</x:v>
      </x:c>
      <x:c r="D1716" s="23" t="n">
        <x:v>989.2133457353339</x:v>
      </x:c>
      <x:c r="E1716" s="23" t="n">
        <x:v>728.7879775860347</x:v>
      </x:c>
      <x:c r="F1716" s="23" t="n">
        <x:v>541.8988164514303</x:v>
      </x:c>
      <x:c r="G1716" s="23" t="n">
        <x:v>124.92562887025997</x:v>
      </x:c>
      <x:c r="H1716" s="23" t="n">
        <x:v>20.4442791165784</x:v>
      </x:c>
      <x:c r="I1716" s="23" t="n">
        <x:v>0.8055591483856551</x:v>
      </x:c>
      <x:c r="J1716" s="23" t="n">
        <x:v>7</x:v>
      </x:c>
      <x:c r="K1716" s="23" t="n">
        <x:v>175.42621486094876</x:v>
      </x:c>
      <x:c r="L1716" s="23" t="n">
        <x:v>15325</x:v>
      </x:c>
      <x:c r="M1716" s="23" t="n">
        <x:v>1200</x:v>
      </x:c>
      <x:c r="N1716" s="23" t="n">
        <x:v>250.02331668633047</x:v>
      </x:c>
      <x:c r="O1716" s="23" t="n">
        <x:v>2502.9241390362304</x:v>
      </x:c>
      <x:c r="P1716" s="23" t="n">
        <x:v>989.2133457353339</x:v>
      </x:c>
      <x:c r="Q1716" s="23" t="n">
        <x:v>246.2352482997423</x:v>
      </x:c>
      <x:c r="R1716" s="23" t="n">
        <x:v>2524.8446988578</x:v>
      </x:c>
      <x:c r="S1716" s="23" t="n">
        <x:v>989.3462102438682</x:v>
      </x:c>
      <x:c r="T1716" s="23" t="n">
        <x:v>-3.7880683865881792</x:v>
      </x:c>
      <x:c r="U1716" s="23" t="n">
        <x:v>21.92055982156944</x:v>
      </x:c>
      <x:c r="V1716" s="23" t="n">
        <x:v>0.13286450853433962</x:v>
      </x:c>
    </x:row>
    <x:row r="1717">
      <x:c r="A1717" s="23" t="n">
        <x:v>1716</x:v>
      </x:c>
      <x:c r="B1717" s="23" t="str">
        <x:v>Validation</x:v>
      </x:c>
      <x:c r="C1717" s="23" t="str">
        <x:v>Switching</x:v>
      </x:c>
      <x:c r="D1717" s="23" t="n">
        <x:v>1022.8286386816762</x:v>
      </x:c>
      <x:c r="E1717" s="23" t="n">
        <x:v>925.9178566280752</x:v>
      </x:c>
      <x:c r="F1717" s="23" t="n">
        <x:v>426.15263340994716</x:v>
      </x:c>
      <x:c r="G1717" s="23" t="n">
        <x:v>115.34617589320987</x:v>
      </x:c>
      <x:c r="H1717" s="23" t="n">
        <x:v>21.41521617723629</x:v>
      </x:c>
      <x:c r="I1717" s="23" t="n">
        <x:v>0.82786653066054</x:v>
      </x:c>
      <x:c r="J1717" s="23" t="n">
        <x:v>7</x:v>
      </x:c>
      <x:c r="K1717" s="23" t="n">
        <x:v>176.4999206308533</x:v>
      </x:c>
      <x:c r="L1717" s="23" t="n">
        <x:v>14575</x:v>
      </x:c>
      <x:c r="M1717" s="23" t="n">
        <x:v>1200</x:v>
      </x:c>
      <x:c r="N1717" s="23" t="n">
        <x:v>250.021457689846</x:v>
      </x:c>
      <x:c r="O1717" s="23" t="n">
        <x:v>2503.3421258957187</x:v>
      </x:c>
      <x:c r="P1717" s="23" t="n">
        <x:v>1022.8286386816762</x:v>
      </x:c>
      <x:c r="Q1717" s="23" t="n">
        <x:v>250.27151524783756</x:v>
      </x:c>
      <x:c r="R1717" s="23" t="n">
        <x:v>2536.1472375886788</x:v>
      </x:c>
      <x:c r="S1717" s="23" t="n">
        <x:v>1024.8348653059716</x:v>
      </x:c>
      <x:c r="T1717" s="23" t="n">
        <x:v>0.2500575579915676</x:v>
      </x:c>
      <x:c r="U1717" s="23" t="n">
        <x:v>32.805111692960054</x:v>
      </x:c>
      <x:c r="V1717" s="23" t="n">
        <x:v>2.006226624295323</x:v>
      </x:c>
    </x:row>
    <x:row r="1718">
      <x:c r="A1718" s="23" t="n">
        <x:v>1717</x:v>
      </x:c>
      <x:c r="B1718" s="23" t="str">
        <x:v>Validation</x:v>
      </x:c>
      <x:c r="C1718" s="23" t="str">
        <x:v>Switching</x:v>
      </x:c>
      <x:c r="D1718" s="23" t="n">
        <x:v>1088.1605778355151</x:v>
      </x:c>
      <x:c r="E1718" s="23" t="n">
        <x:v>692.0047126594</x:v>
      </x:c>
      <x:c r="F1718" s="23" t="n">
        <x:v>594.7898892685771</x:v>
      </x:c>
      <x:c r="G1718" s="23" t="n">
        <x:v>195.5387296457775</x:v>
      </x:c>
      <x:c r="H1718" s="23" t="n">
        <x:v>22.34229552745819</x:v>
      </x:c>
      <x:c r="I1718" s="23" t="n">
        <x:v>0.8302701655612328</x:v>
      </x:c>
      <x:c r="J1718" s="23" t="n">
        <x:v>7</x:v>
      </x:c>
      <x:c r="K1718" s="23" t="n">
        <x:v>187.23003374965265</x:v>
      </x:c>
      <x:c r="L1718" s="23" t="n">
        <x:v>14425</x:v>
      </x:c>
      <x:c r="M1718" s="23" t="n">
        <x:v>1200</x:v>
      </x:c>
      <x:c r="N1718" s="23" t="n">
        <x:v>249.96373751149758</x:v>
      </x:c>
      <x:c r="O1718" s="23" t="n">
        <x:v>2503.428958789757</x:v>
      </x:c>
      <x:c r="P1718" s="23" t="n">
        <x:v>1088.1605778355151</x:v>
      </x:c>
      <x:c r="Q1718" s="23" t="n">
        <x:v>249.26527532406527</x:v>
      </x:c>
      <x:c r="R1718" s="23" t="n">
        <x:v>2497.842776376869</x:v>
      </x:c>
      <x:c r="S1718" s="23" t="n">
        <x:v>1081.9578406701683</x:v>
      </x:c>
      <x:c r="T1718" s="23" t="n">
        <x:v>-0.6984621874323125</x:v>
      </x:c>
      <x:c r="U1718" s="23" t="n">
        <x:v>-5.586182412887865</x:v>
      </x:c>
      <x:c r="V1718" s="23" t="n">
        <x:v>-6.202737165346889</x:v>
      </x:c>
    </x:row>
    <x:row r="1719">
      <x:c r="A1719" s="23" t="n">
        <x:v>1718</x:v>
      </x:c>
      <x:c r="B1719" s="23" t="str">
        <x:v>Hidden Test</x:v>
      </x:c>
      <x:c r="C1719" s="23" t="str">
        <x:v>Switching</x:v>
      </x:c>
      <x:c r="D1719" s="23" t="n">
        <x:v>993.3309615706094</x:v>
      </x:c>
      <x:c r="E1719" s="23" t="n">
        <x:v>1051.6135627171025</x:v>
      </x:c>
      <x:c r="F1719" s="23" t="n">
        <x:v>638.5697645135224</x:v>
      </x:c>
      <x:c r="G1719" s="23" t="n">
        <x:v>131.06503749266267</x:v>
      </x:c>
      <x:c r="H1719" s="23" t="n">
        <x:v>15.968353143427521</x:v>
      </x:c>
      <x:c r="I1719" s="23" t="n">
        <x:v>0.8352122334903107</x:v>
      </x:c>
      <x:c r="J1719" s="23" t="n">
        <x:v>6</x:v>
      </x:c>
      <x:c r="K1719" s="23" t="n">
        <x:v>198.21927125028017</x:v>
      </x:c>
      <x:c r="L1719" s="23" t="n">
        <x:v>13700</x:v>
      </x:c>
      <x:c r="M1719" s="23" t="n">
        <x:v>1200</x:v>
      </x:c>
      <x:c r="N1719" s="23" t="n">
        <x:v>250.01045354104593</x:v>
      </x:c>
      <x:c r="O1719" s="23" t="n">
        <x:v>2503.887300840623</x:v>
      </x:c>
      <x:c r="P1719" s="23" t="n">
        <x:v>993.3309615706094</x:v>
      </x:c>
      <x:c r="Q1719" s="23" t="n">
        <x:v>253.1067253170564</x:v>
      </x:c>
      <x:c r="R1719" s="23" t="n">
        <x:v>2555.7003382805983</x:v>
      </x:c>
      <x:c r="S1719" s="23" t="n">
        <x:v>988.899360704256</x:v>
      </x:c>
      <x:c r="T1719" s="23" t="n">
        <x:v>3.096271776010468</x:v>
      </x:c>
      <x:c r="U1719" s="23" t="n">
        <x:v>51.81303743997523</x:v>
      </x:c>
      <x:c r="V1719" s="23" t="n">
        <x:v>-4.431600866353392</x:v>
      </x:c>
    </x:row>
    <x:row r="1720">
      <x:c r="A1720" s="23" t="n">
        <x:v>1719</x:v>
      </x:c>
      <x:c r="B1720" s="23" t="str">
        <x:v>Hidden Test</x:v>
      </x:c>
      <x:c r="C1720" s="23" t="str">
        <x:v>Switching</x:v>
      </x:c>
      <x:c r="D1720" s="23" t="n">
        <x:v>1053.2110088737682</x:v>
      </x:c>
      <x:c r="E1720" s="23" t="n">
        <x:v>989.8084877175279</x:v>
      </x:c>
      <x:c r="F1720" s="23" t="n">
        <x:v>673.9767387509346</x:v>
      </x:c>
      <x:c r="G1720" s="23" t="n">
        <x:v>252.18536784639582</x:v>
      </x:c>
      <x:c r="H1720" s="23" t="n">
        <x:v>21.94197333883494</x:v>
      </x:c>
      <x:c r="I1720" s="23" t="n">
        <x:v>0.7975260170153342</x:v>
      </x:c>
      <x:c r="J1720" s="23" t="n">
        <x:v>7</x:v>
      </x:c>
      <x:c r="K1720" s="23" t="n">
        <x:v>188.65681161910302</x:v>
      </x:c>
      <x:c r="L1720" s="23" t="n">
        <x:v>11160</x:v>
      </x:c>
      <x:c r="M1720" s="23" t="n">
        <x:v>1195</x:v>
      </x:c>
      <x:c r="N1720" s="23" t="n">
        <x:v>249.95887644891897</x:v>
      </x:c>
      <x:c r="O1720" s="23" t="n">
        <x:v>2495.5117761568604</x:v>
      </x:c>
      <x:c r="P1720" s="23" t="n">
        <x:v>1053.2110088737682</x:v>
      </x:c>
      <x:c r="Q1720" s="23" t="n">
        <x:v>252.96971079849845</x:v>
      </x:c>
      <x:c r="R1720" s="23" t="n">
        <x:v>2509.1280729533964</x:v>
      </x:c>
      <x:c r="S1720" s="23" t="n">
        <x:v>1038.6388475915871</x:v>
      </x:c>
      <x:c r="T1720" s="23" t="n">
        <x:v>3.0108343495794827</x:v>
      </x:c>
      <x:c r="U1720" s="23" t="n">
        <x:v>13.616296796536062</x:v>
      </x:c>
      <x:c r="V1720" s="23" t="n">
        <x:v>-14.572161282181014</x:v>
      </x:c>
    </x:row>
    <x:row r="1721">
      <x:c r="A1721" s="23" t="n">
        <x:v>1720</x:v>
      </x:c>
      <x:c r="B1721" s="23" t="str">
        <x:v>Hidden Test</x:v>
      </x:c>
      <x:c r="C1721" s="23" t="str">
        <x:v>Switching</x:v>
      </x:c>
      <x:c r="D1721" s="23" t="n">
        <x:v>983.2656211103313</x:v>
      </x:c>
      <x:c r="E1721" s="23" t="n">
        <x:v>788.0184370093048</x:v>
      </x:c>
      <x:c r="F1721" s="23" t="n">
        <x:v>468.34282791242003</x:v>
      </x:c>
      <x:c r="G1721" s="23" t="n">
        <x:v>261.28631880972534</x:v>
      </x:c>
      <x:c r="H1721" s="23" t="n">
        <x:v>22.857370113488287</x:v>
      </x:c>
      <x:c r="I1721" s="23" t="n">
        <x:v>0.8064870665688068</x:v>
      </x:c>
      <x:c r="J1721" s="23" t="n">
        <x:v>7</x:v>
      </x:c>
      <x:c r="K1721" s="23" t="n">
        <x:v>174.17082446106627</x:v>
      </x:c>
      <x:c r="L1721" s="23" t="n">
        <x:v>14090</x:v>
      </x:c>
      <x:c r="M1721" s="23" t="n">
        <x:v>1200</x:v>
      </x:c>
      <x:c r="N1721" s="23" t="n">
        <x:v>249.97540435118788</x:v>
      </x:c>
      <x:c r="O1721" s="23" t="n">
        <x:v>2503.6345301144174</x:v>
      </x:c>
      <x:c r="P1721" s="23" t="n">
        <x:v>983.2656211103313</x:v>
      </x:c>
      <x:c r="Q1721" s="23" t="n">
        <x:v>245.6874704532845</x:v>
      </x:c>
      <x:c r="R1721" s="23" t="n">
        <x:v>2522.4078745203233</x:v>
      </x:c>
      <x:c r="S1721" s="23" t="n">
        <x:v>985.7996125087212</x:v>
      </x:c>
      <x:c r="T1721" s="23" t="n">
        <x:v>-4.287933897903372</x:v>
      </x:c>
      <x:c r="U1721" s="23" t="n">
        <x:v>18.773344405905846</x:v>
      </x:c>
      <x:c r="V1721" s="23" t="n">
        <x:v>2.533991398389958</x:v>
      </x:c>
    </x:row>
    <x:row r="1722">
      <x:c r="A1722" s="23" t="n">
        <x:v>1721</x:v>
      </x:c>
      <x:c r="B1722" s="23" t="str">
        <x:v>Train</x:v>
      </x:c>
      <x:c r="C1722" s="23" t="str">
        <x:v>Switching</x:v>
      </x:c>
      <x:c r="D1722" s="23" t="n">
        <x:v>1000.5248215049505</x:v>
      </x:c>
      <x:c r="E1722" s="23" t="n">
        <x:v>1093.6781360185705</x:v>
      </x:c>
      <x:c r="F1722" s="23" t="n">
        <x:v>351.7233805730939</x:v>
      </x:c>
      <x:c r="G1722" s="23" t="n">
        <x:v>270.2972614043392</x:v>
      </x:c>
      <x:c r="H1722" s="23" t="n">
        <x:v>17.508932484313846</x:v>
      </x:c>
      <x:c r="I1722" s="23" t="n">
        <x:v>0.8060266524297186</x:v>
      </x:c>
      <x:c r="J1722" s="23" t="n">
        <x:v>7</x:v>
      </x:c>
      <x:c r="K1722" s="23" t="n">
        <x:v>177.3292693572723</x:v>
      </x:c>
      <x:c r="L1722" s="23" t="n">
        <x:v>12465</x:v>
      </x:c>
      <x:c r="M1722" s="23" t="n">
        <x:v>1200</x:v>
      </x:c>
      <x:c r="N1722" s="23" t="n">
        <x:v>250.00492466528235</x:v>
      </x:c>
      <x:c r="O1722" s="23" t="n">
        <x:v>2504.7874257264702</x:v>
      </x:c>
      <x:c r="P1722" s="23" t="n">
        <x:v>1000.5248215049505</x:v>
      </x:c>
      <x:c r="Q1722" s="23" t="n">
        <x:v>253.1163203598748</x:v>
      </x:c>
      <x:c r="R1722" s="23" t="n">
        <x:v>2529.821614447633</x:v>
      </x:c>
      <x:c r="S1722" s="23" t="n">
        <x:v>1000.5670013828393</x:v>
      </x:c>
      <x:c r="T1722" s="23" t="n">
        <x:v>3.11139569459246</x:v>
      </x:c>
      <x:c r="U1722" s="23" t="n">
        <x:v>25.034188721162536</x:v>
      </x:c>
      <x:c r="V1722" s="23" t="n">
        <x:v>0.042179877888770534</x:v>
      </x:c>
    </x:row>
    <x:row r="1723">
      <x:c r="A1723" s="23" t="n">
        <x:v>1722</x:v>
      </x:c>
      <x:c r="B1723" s="23" t="str">
        <x:v>Train</x:v>
      </x:c>
      <x:c r="C1723" s="23" t="str">
        <x:v>Switching</x:v>
      </x:c>
      <x:c r="D1723" s="23" t="n">
        <x:v>981.7054989398457</x:v>
      </x:c>
      <x:c r="E1723" s="23" t="n">
        <x:v>1167.809851304628</x:v>
      </x:c>
      <x:c r="F1723" s="23" t="n">
        <x:v>378.42278042808175</x:v>
      </x:c>
      <x:c r="G1723" s="23" t="n">
        <x:v>156.8870261963457</x:v>
      </x:c>
      <x:c r="H1723" s="23" t="n">
        <x:v>24.394088965374976</x:v>
      </x:c>
      <x:c r="I1723" s="23" t="n">
        <x:v>0.8413182287709788</x:v>
      </x:c>
      <x:c r="J1723" s="23" t="n">
        <x:v>6</x:v>
      </x:c>
      <x:c r="K1723" s="23" t="n">
        <x:v>194.47763944881842</x:v>
      </x:c>
      <x:c r="L1723" s="23" t="n">
        <x:v>14650</x:v>
      </x:c>
      <x:c r="M1723" s="23" t="n">
        <x:v>1200</x:v>
      </x:c>
      <x:c r="N1723" s="23" t="n">
        <x:v>250.00662327063145</x:v>
      </x:c>
      <x:c r="O1723" s="23" t="n">
        <x:v>2503.297885845202</x:v>
      </x:c>
      <x:c r="P1723" s="23" t="n">
        <x:v>981.7054989398457</x:v>
      </x:c>
      <x:c r="Q1723" s="23" t="n">
        <x:v>250.75984487255226</x:v>
      </x:c>
      <x:c r="R1723" s="23" t="n">
        <x:v>2527.571106643932</x:v>
      </x:c>
      <x:c r="S1723" s="23" t="n">
        <x:v>970.2173250558322</x:v>
      </x:c>
      <x:c r="T1723" s="23" t="n">
        <x:v>0.7532216019208136</x:v>
      </x:c>
      <x:c r="U1723" s="23" t="n">
        <x:v>24.273220798730108</x:v>
      </x:c>
      <x:c r="V1723" s="23" t="n">
        <x:v>-11.488173884013463</x:v>
      </x:c>
    </x:row>
    <x:row r="1724">
      <x:c r="A1724" s="23" t="n">
        <x:v>1723</x:v>
      </x:c>
      <x:c r="B1724" s="23" t="str">
        <x:v>Train</x:v>
      </x:c>
      <x:c r="C1724" s="23" t="str">
        <x:v>Switching</x:v>
      </x:c>
      <x:c r="D1724" s="23" t="n">
        <x:v>985.2553543401882</x:v>
      </x:c>
      <x:c r="E1724" s="23" t="n">
        <x:v>617.7376233623363</x:v>
      </x:c>
      <x:c r="F1724" s="23" t="n">
        <x:v>701.367000117898</x:v>
      </x:c>
      <x:c r="G1724" s="23" t="n">
        <x:v>111.4365208032541</x:v>
      </x:c>
      <x:c r="H1724" s="23" t="n">
        <x:v>24.175018616952002</x:v>
      </x:c>
      <x:c r="I1724" s="23" t="n">
        <x:v>0.8474537009256893</x:v>
      </x:c>
      <x:c r="J1724" s="23" t="n">
        <x:v>6</x:v>
      </x:c>
      <x:c r="K1724" s="23" t="n">
        <x:v>193.76778406182655</x:v>
      </x:c>
      <x:c r="L1724" s="23" t="n">
        <x:v>17440</x:v>
      </x:c>
      <x:c r="M1724" s="23" t="n">
        <x:v>1200</x:v>
      </x:c>
      <x:c r="N1724" s="23" t="n">
        <x:v>249.9858305896126</x:v>
      </x:c>
      <x:c r="O1724" s="23" t="n">
        <x:v>2501.9378280935166</x:v>
      </x:c>
      <x:c r="P1724" s="23" t="n">
        <x:v>985.2553543401882</x:v>
      </x:c>
      <x:c r="Q1724" s="23" t="n">
        <x:v>249.0394183414661</x:v>
      </x:c>
      <x:c r="R1724" s="23" t="n">
        <x:v>2442.030254237616</x:v>
      </x:c>
      <x:c r="S1724" s="23" t="n">
        <x:v>984.1930070720948</x:v>
      </x:c>
      <x:c r="T1724" s="23" t="n">
        <x:v>-0.946412248146487</x:v>
      </x:c>
      <x:c r="U1724" s="23" t="n">
        <x:v>-59.90757385590041</x:v>
      </x:c>
      <x:c r="V1724" s="23" t="n">
        <x:v>-1.06234726809339</x:v>
      </x:c>
    </x:row>
    <x:row r="1725">
      <x:c r="A1725" s="23" t="n">
        <x:v>1724</x:v>
      </x:c>
      <x:c r="B1725" s="23" t="str">
        <x:v>Train</x:v>
      </x:c>
      <x:c r="C1725" s="23" t="str">
        <x:v>Switching</x:v>
      </x:c>
      <x:c r="D1725" s="23" t="n">
        <x:v>1053.8647745153867</x:v>
      </x:c>
      <x:c r="E1725" s="23" t="n">
        <x:v>813.2451530080289</x:v>
      </x:c>
      <x:c r="F1725" s="23" t="n">
        <x:v>375.6953055970371</x:v>
      </x:c>
      <x:c r="G1725" s="23" t="n">
        <x:v>188.1100607989356</x:v>
      </x:c>
      <x:c r="H1725" s="23" t="n">
        <x:v>26.301214050035924</x:v>
      </x:c>
      <x:c r="I1725" s="23" t="n">
        <x:v>0.8075322364270687</x:v>
      </x:c>
      <x:c r="J1725" s="23" t="n">
        <x:v>7</x:v>
      </x:c>
      <x:c r="K1725" s="23" t="n">
        <x:v>186.43479957057065</x:v>
      </x:c>
      <x:c r="L1725" s="23" t="n">
        <x:v>15530</x:v>
      </x:c>
      <x:c r="M1725" s="23" t="n">
        <x:v>1200</x:v>
      </x:c>
      <x:c r="N1725" s="23" t="n">
        <x:v>249.99810552820236</x:v>
      </x:c>
      <x:c r="O1725" s="23" t="n">
        <x:v>2502.8160864835545</x:v>
      </x:c>
      <x:c r="P1725" s="23" t="n">
        <x:v>1053.8647745153867</x:v>
      </x:c>
      <x:c r="Q1725" s="23" t="n">
        <x:v>244.6101060175024</x:v>
      </x:c>
      <x:c r="R1725" s="23" t="n">
        <x:v>2477.145945370767</x:v>
      </x:c>
      <x:c r="S1725" s="23" t="n">
        <x:v>1048.7968570593782</x:v>
      </x:c>
      <x:c r="T1725" s="23" t="n">
        <x:v>-5.387999510699956</x:v>
      </x:c>
      <x:c r="U1725" s="23" t="n">
        <x:v>-25.670141112787405</x:v>
      </x:c>
      <x:c r="V1725" s="23" t="n">
        <x:v>-5.067917456008445</x:v>
      </x:c>
    </x:row>
    <x:row r="1726">
      <x:c r="A1726" s="23" t="n">
        <x:v>1725</x:v>
      </x:c>
      <x:c r="B1726" s="23" t="str">
        <x:v>Train</x:v>
      </x:c>
      <x:c r="C1726" s="23" t="str">
        <x:v>Switching</x:v>
      </x:c>
      <x:c r="D1726" s="23" t="n">
        <x:v>999.2491255979985</x:v>
      </x:c>
      <x:c r="E1726" s="23" t="n">
        <x:v>973.5168856452219</x:v>
      </x:c>
      <x:c r="F1726" s="23" t="n">
        <x:v>410.014027915895</x:v>
      </x:c>
      <x:c r="G1726" s="23" t="n">
        <x:v>170.1524338987656</x:v>
      </x:c>
      <x:c r="H1726" s="23" t="n">
        <x:v>11.43660556897521</x:v>
      </x:c>
      <x:c r="I1726" s="23" t="n">
        <x:v>0.8316124350228348</x:v>
      </x:c>
      <x:c r="J1726" s="23" t="n">
        <x:v>7</x:v>
      </x:c>
      <x:c r="K1726" s="23" t="n">
        <x:v>171.65432967763243</x:v>
      </x:c>
      <x:c r="L1726" s="23" t="n">
        <x:v>13765</x:v>
      </x:c>
      <x:c r="M1726" s="23" t="n">
        <x:v>1200</x:v>
      </x:c>
      <x:c r="N1726" s="23" t="n">
        <x:v>250.00786320755844</x:v>
      </x:c>
      <x:c r="O1726" s="23" t="n">
        <x:v>2503.844301502233</x:v>
      </x:c>
      <x:c r="P1726" s="23" t="n">
        <x:v>999.2491255979985</x:v>
      </x:c>
      <x:c r="Q1726" s="23" t="n">
        <x:v>250.3102164492753</x:v>
      </x:c>
      <x:c r="R1726" s="23" t="n">
        <x:v>2474.1724610844794</x:v>
      </x:c>
      <x:c r="S1726" s="23" t="n">
        <x:v>1008.1129324159282</x:v>
      </x:c>
      <x:c r="T1726" s="23" t="n">
        <x:v>0.30235324171684397</x:v>
      </x:c>
      <x:c r="U1726" s="23" t="n">
        <x:v>-29.67184041775363</x:v>
      </x:c>
      <x:c r="V1726" s="23" t="n">
        <x:v>8.863806817929685</x:v>
      </x:c>
    </x:row>
    <x:row r="1727">
      <x:c r="A1727" s="23" t="n">
        <x:v>1726</x:v>
      </x:c>
      <x:c r="B1727" s="23" t="str">
        <x:v>Train</x:v>
      </x:c>
      <x:c r="C1727" s="23" t="str">
        <x:v>Switching</x:v>
      </x:c>
      <x:c r="D1727" s="23" t="n">
        <x:v>986.4891495672055</x:v>
      </x:c>
      <x:c r="E1727" s="23" t="n">
        <x:v>760.7387105701491</x:v>
      </x:c>
      <x:c r="F1727" s="23" t="n">
        <x:v>415.01905219629407</x:v>
      </x:c>
      <x:c r="G1727" s="23" t="n">
        <x:v>287.6776409521699</x:v>
      </x:c>
      <x:c r="H1727" s="23" t="n">
        <x:v>24.220415534917265</x:v>
      </x:c>
      <x:c r="I1727" s="23" t="n">
        <x:v>0.8293328522471711</x:v>
      </x:c>
      <x:c r="J1727" s="23" t="n">
        <x:v>6</x:v>
      </x:c>
      <x:c r="K1727" s="23" t="n">
        <x:v>198.24954216597143</x:v>
      </x:c>
      <x:c r="L1727" s="23" t="n">
        <x:v>17050</x:v>
      </x:c>
      <x:c r="M1727" s="23" t="n">
        <x:v>1200</x:v>
      </x:c>
      <x:c r="N1727" s="23" t="n">
        <x:v>250.01526204</x:v>
      </x:c>
      <x:c r="O1727" s="23" t="n">
        <x:v>2502.101957290394</x:v>
      </x:c>
      <x:c r="P1727" s="23" t="n">
        <x:v>986.4891495672055</x:v>
      </x:c>
      <x:c r="Q1727" s="23" t="n">
        <x:v>247.0337118829616</x:v>
      </x:c>
      <x:c r="R1727" s="23" t="n">
        <x:v>2463.045765688968</x:v>
      </x:c>
      <x:c r="S1727" s="23" t="n">
        <x:v>985.3403197916099</x:v>
      </x:c>
      <x:c r="T1727" s="23" t="n">
        <x:v>-2.981550157038413</x:v>
      </x:c>
      <x:c r="U1727" s="23" t="n">
        <x:v>-39.05619160142578</x:v>
      </x:c>
      <x:c r="V1727" s="23" t="n">
        <x:v>-1.1488297755955728</x:v>
      </x:c>
    </x:row>
    <x:row r="1728">
      <x:c r="A1728" s="23" t="n">
        <x:v>1727</x:v>
      </x:c>
      <x:c r="B1728" s="23" t="str">
        <x:v>Train</x:v>
      </x:c>
      <x:c r="C1728" s="23" t="str">
        <x:v>Switching</x:v>
      </x:c>
      <x:c r="D1728" s="23" t="n">
        <x:v>980.80564069096</x:v>
      </x:c>
      <x:c r="E1728" s="23" t="n">
        <x:v>792.7523697842844</x:v>
      </x:c>
      <x:c r="F1728" s="23" t="n">
        <x:v>744.9288420379162</x:v>
      </x:c>
      <x:c r="G1728" s="23" t="n">
        <x:v>220.7627197331749</x:v>
      </x:c>
      <x:c r="H1728" s="23" t="n">
        <x:v>19.007115340791643</x:v>
      </x:c>
      <x:c r="I1728" s="23" t="n">
        <x:v>0.795905857400503</x:v>
      </x:c>
      <x:c r="J1728" s="23" t="n">
        <x:v>7</x:v>
      </x:c>
      <x:c r="K1728" s="23" t="n">
        <x:v>176.0448050789674</x:v>
      </x:c>
      <x:c r="L1728" s="23" t="n">
        <x:v>12160</x:v>
      </x:c>
      <x:c r="M1728" s="23" t="n">
        <x:v>1200</x:v>
      </x:c>
      <x:c r="N1728" s="23" t="n">
        <x:v>249.96397438205406</x:v>
      </x:c>
      <x:c r="O1728" s="23" t="n">
        <x:v>2505.03625381437</x:v>
      </x:c>
      <x:c r="P1728" s="23" t="n">
        <x:v>980.80564069096</x:v>
      </x:c>
      <x:c r="Q1728" s="23" t="n">
        <x:v>248.95440453364614</x:v>
      </x:c>
      <x:c r="R1728" s="23" t="n">
        <x:v>2467.426864942385</x:v>
      </x:c>
      <x:c r="S1728" s="23" t="n">
        <x:v>978.8634558134123</x:v>
      </x:c>
      <x:c r="T1728" s="23" t="n">
        <x:v>-1.0095698484079207</x:v>
      </x:c>
      <x:c r="U1728" s="23" t="n">
        <x:v>-37.609388871985175</x:v>
      </x:c>
      <x:c r="V1728" s="23" t="n">
        <x:v>-1.9421848775476747</x:v>
      </x:c>
    </x:row>
    <x:row r="1729">
      <x:c r="A1729" s="23" t="n">
        <x:v>1728</x:v>
      </x:c>
      <x:c r="B1729" s="23" t="str">
        <x:v>Train</x:v>
      </x:c>
      <x:c r="C1729" s="23" t="str">
        <x:v>Switching</x:v>
      </x:c>
      <x:c r="D1729" s="23" t="n">
        <x:v>1074.4715059059672</x:v>
      </x:c>
      <x:c r="E1729" s="23" t="n">
        <x:v>1114.7060792893171</x:v>
      </x:c>
      <x:c r="F1729" s="23" t="n">
        <x:v>559.2758356593549</x:v>
      </x:c>
      <x:c r="G1729" s="23" t="n">
        <x:v>176.73629805911332</x:v>
      </x:c>
      <x:c r="H1729" s="23" t="n">
        <x:v>12.007857815828174</x:v>
      </x:c>
      <x:c r="I1729" s="23" t="n">
        <x:v>0.8368503216188401</x:v>
      </x:c>
      <x:c r="J1729" s="23" t="n">
        <x:v>7</x:v>
      </x:c>
      <x:c r="K1729" s="23" t="n">
        <x:v>183.4210078550354</x:v>
      </x:c>
      <x:c r="L1729" s="23" t="n">
        <x:v>11555</x:v>
      </x:c>
      <x:c r="M1729" s="23" t="n">
        <x:v>1195</x:v>
      </x:c>
      <x:c r="N1729" s="23" t="n">
        <x:v>249.9915321423146</x:v>
      </x:c>
      <x:c r="O1729" s="23" t="n">
        <x:v>2495.133511691304</x:v>
      </x:c>
      <x:c r="P1729" s="23" t="n">
        <x:v>1074.4715059059672</x:v>
      </x:c>
      <x:c r="Q1729" s="23" t="n">
        <x:v>253.78468499967806</x:v>
      </x:c>
      <x:c r="R1729" s="23" t="n">
        <x:v>2513.164455868729</x:v>
      </x:c>
      <x:c r="S1729" s="23" t="n">
        <x:v>1069.9167305058338</x:v>
      </x:c>
      <x:c r="T1729" s="23" t="n">
        <x:v>3.7931528573634523</x:v>
      </x:c>
      <x:c r="U1729" s="23" t="n">
        <x:v>18.03094417742477</x:v>
      </x:c>
      <x:c r="V1729" s="23" t="n">
        <x:v>-4.554775400133394</x:v>
      </x:c>
    </x:row>
    <x:row r="1730">
      <x:c r="A1730" s="23" t="n">
        <x:v>1729</x:v>
      </x:c>
      <x:c r="B1730" s="23" t="str">
        <x:v>Train</x:v>
      </x:c>
      <x:c r="C1730" s="23" t="str">
        <x:v>Switching</x:v>
      </x:c>
      <x:c r="D1730" s="23" t="n">
        <x:v>1001.1637317948043</x:v>
      </x:c>
      <x:c r="E1730" s="23" t="n">
        <x:v>1016.329084651079</x:v>
      </x:c>
      <x:c r="F1730" s="23" t="n">
        <x:v>733.4295505657792</x:v>
      </x:c>
      <x:c r="G1730" s="23" t="n">
        <x:v>184.42668298492208</x:v>
      </x:c>
      <x:c r="H1730" s="23" t="n">
        <x:v>19.749097416177392</x:v>
      </x:c>
      <x:c r="I1730" s="23" t="n">
        <x:v>0.8331777756963857</x:v>
      </x:c>
      <x:c r="J1730" s="23" t="n">
        <x:v>7</x:v>
      </x:c>
      <x:c r="K1730" s="23" t="n">
        <x:v>171.66011195732983</x:v>
      </x:c>
      <x:c r="L1730" s="23" t="n">
        <x:v>11055</x:v>
      </x:c>
      <x:c r="M1730" s="23" t="n">
        <x:v>1195</x:v>
      </x:c>
      <x:c r="N1730" s="23" t="n">
        <x:v>249.96100725935239</x:v>
      </x:c>
      <x:c r="O1730" s="23" t="n">
        <x:v>2495.6173659094234</x:v>
      </x:c>
      <x:c r="P1730" s="23" t="n">
        <x:v>1001.1637317948043</x:v>
      </x:c>
      <x:c r="Q1730" s="23" t="n">
        <x:v>251.30614350937378</x:v>
      </x:c>
      <x:c r="R1730" s="23" t="n">
        <x:v>2514.7406152363433</x:v>
      </x:c>
      <x:c r="S1730" s="23" t="n">
        <x:v>994.2090027986707</x:v>
      </x:c>
      <x:c r="T1730" s="23" t="n">
        <x:v>1.3451362500213975</x:v>
      </x:c>
      <x:c r="U1730" s="23" t="n">
        <x:v>19.123249326919904</x:v>
      </x:c>
      <x:c r="V1730" s="23" t="n">
        <x:v>-6.954728996133667</x:v>
      </x:c>
    </x:row>
    <x:row r="1731">
      <x:c r="A1731" s="23" t="n">
        <x:v>1730</x:v>
      </x:c>
      <x:c r="B1731" s="23" t="str">
        <x:v>Train</x:v>
      </x:c>
      <x:c r="C1731" s="23" t="str">
        <x:v>Switching</x:v>
      </x:c>
      <x:c r="D1731" s="23" t="n">
        <x:v>1068.8529086881317</x:v>
      </x:c>
      <x:c r="E1731" s="23" t="n">
        <x:v>700.7253363030031</x:v>
      </x:c>
      <x:c r="F1731" s="23" t="n">
        <x:v>530.8331930078566</x:v>
      </x:c>
      <x:c r="G1731" s="23" t="n">
        <x:v>245.63661978580058</x:v>
      </x:c>
      <x:c r="H1731" s="23" t="n">
        <x:v>17.11380385654047</x:v>
      </x:c>
      <x:c r="I1731" s="23" t="n">
        <x:v>0.8395021018246189</x:v>
      </x:c>
      <x:c r="J1731" s="23" t="n">
        <x:v>7</x:v>
      </x:c>
      <x:c r="K1731" s="23" t="n">
        <x:v>181.88551563821144</x:v>
      </x:c>
      <x:c r="L1731" s="23" t="n">
        <x:v>14475</x:v>
      </x:c>
      <x:c r="M1731" s="23" t="n">
        <x:v>1200</x:v>
      </x:c>
      <x:c r="N1731" s="23" t="n">
        <x:v>249.96060604404116</x:v>
      </x:c>
      <x:c r="O1731" s="23" t="n">
        <x:v>2503.3990484019214</x:v>
      </x:c>
      <x:c r="P1731" s="23" t="n">
        <x:v>1068.8529086881317</x:v>
      </x:c>
      <x:c r="Q1731" s="23" t="n">
        <x:v>247.80556493008584</x:v>
      </x:c>
      <x:c r="R1731" s="23" t="n">
        <x:v>2507.251274449462</x:v>
      </x:c>
      <x:c r="S1731" s="23" t="n">
        <x:v>1069.1980689489585</x:v>
      </x:c>
      <x:c r="T1731" s="23" t="n">
        <x:v>-2.1550411139553205</x:v>
      </x:c>
      <x:c r="U1731" s="23" t="n">
        <x:v>3.8522260475406256</x:v>
      </x:c>
      <x:c r="V1731" s="23" t="n">
        <x:v>0.34516026082678763</x:v>
      </x:c>
    </x:row>
    <x:row r="1732">
      <x:c r="A1732" s="23" t="n">
        <x:v>1731</x:v>
      </x:c>
      <x:c r="B1732" s="23" t="str">
        <x:v>Train</x:v>
      </x:c>
      <x:c r="C1732" s="23" t="str">
        <x:v>Switching</x:v>
      </x:c>
      <x:c r="D1732" s="23" t="n">
        <x:v>1041.941724321805</x:v>
      </x:c>
      <x:c r="E1732" s="23" t="n">
        <x:v>747.710109280888</x:v>
      </x:c>
      <x:c r="F1732" s="23" t="n">
        <x:v>518.0584322661161</x:v>
      </x:c>
      <x:c r="G1732" s="23" t="n">
        <x:v>302.7468413184397</x:v>
      </x:c>
      <x:c r="H1732" s="23" t="n">
        <x:v>29.565506075508893</x:v>
      </x:c>
      <x:c r="I1732" s="23" t="n">
        <x:v>0.812889464951586</x:v>
      </x:c>
      <x:c r="J1732" s="23" t="n">
        <x:v>7</x:v>
      </x:c>
      <x:c r="K1732" s="23" t="n">
        <x:v>183.11077234728705</x:v>
      </x:c>
      <x:c r="L1732" s="23" t="n">
        <x:v>13635</x:v>
      </x:c>
      <x:c r="M1732" s="23" t="n">
        <x:v>1200</x:v>
      </x:c>
      <x:c r="N1732" s="23" t="n">
        <x:v>250.01125433166658</x:v>
      </x:c>
      <x:c r="O1732" s="23" t="n">
        <x:v>2503.930641746736</x:v>
      </x:c>
      <x:c r="P1732" s="23" t="n">
        <x:v>1041.941724321805</x:v>
      </x:c>
      <x:c r="Q1732" s="23" t="n">
        <x:v>246.50419068059227</x:v>
      </x:c>
      <x:c r="R1732" s="23" t="n">
        <x:v>2453.3456522138904</x:v>
      </x:c>
      <x:c r="S1732" s="23" t="n">
        <x:v>1038.8948219119807</x:v>
      </x:c>
      <x:c r="T1732" s="23" t="n">
        <x:v>-3.5070636510743043</x:v>
      </x:c>
      <x:c r="U1732" s="23" t="n">
        <x:v>-50.58498953284561</x:v>
      </x:c>
      <x:c r="V1732" s="23" t="n">
        <x:v>-3.04690240982427</x:v>
      </x:c>
    </x:row>
    <x:row r="1733">
      <x:c r="A1733" s="23" t="n">
        <x:v>1732</x:v>
      </x:c>
      <x:c r="B1733" s="23" t="str">
        <x:v>Train</x:v>
      </x:c>
      <x:c r="C1733" s="23" t="str">
        <x:v>Switching</x:v>
      </x:c>
      <x:c r="D1733" s="23" t="n">
        <x:v>1092.8434766246937</x:v>
      </x:c>
      <x:c r="E1733" s="23" t="n">
        <x:v>917.8019617218524</x:v>
      </x:c>
      <x:c r="F1733" s="23" t="n">
        <x:v>727.7103069238365</x:v>
      </x:c>
      <x:c r="G1733" s="23" t="n">
        <x:v>294.4122425233945</x:v>
      </x:c>
      <x:c r="H1733" s="23" t="n">
        <x:v>16.536285690497607</x:v>
      </x:c>
      <x:c r="I1733" s="23" t="n">
        <x:v>0.8286033166013659</x:v>
      </x:c>
      <x:c r="J1733" s="23" t="n">
        <x:v>7</x:v>
      </x:c>
      <x:c r="K1733" s="23" t="n">
        <x:v>188.41403785471306</x:v>
      </x:c>
      <x:c r="L1733" s="23" t="n">
        <x:v>11025</x:v>
      </x:c>
      <x:c r="M1733" s="23" t="n">
        <x:v>1195</x:v>
      </x:c>
      <x:c r="N1733" s="23" t="n">
        <x:v>250.02228311780428</x:v>
      </x:c>
      <x:c r="O1733" s="23" t="n">
        <x:v>2495.650635695399</x:v>
      </x:c>
      <x:c r="P1733" s="23" t="n">
        <x:v>1092.8434766246937</x:v>
      </x:c>
      <x:c r="Q1733" s="23" t="n">
        <x:v>253.76403702466567</x:v>
      </x:c>
      <x:c r="R1733" s="23" t="n">
        <x:v>2542.499205109885</x:v>
      </x:c>
      <x:c r="S1733" s="23" t="n">
        <x:v>1091.1401675959519</x:v>
      </x:c>
      <x:c r="T1733" s="23" t="n">
        <x:v>3.7417539068613905</x:v>
      </x:c>
      <x:c r="U1733" s="23" t="n">
        <x:v>46.848569414486064</x:v>
      </x:c>
      <x:c r="V1733" s="23" t="n">
        <x:v>-1.7033090287418418</x:v>
      </x:c>
    </x:row>
    <x:row r="1734">
      <x:c r="A1734" s="23" t="n">
        <x:v>1733</x:v>
      </x:c>
      <x:c r="B1734" s="23" t="str">
        <x:v>Train</x:v>
      </x:c>
      <x:c r="C1734" s="23" t="str">
        <x:v>Switching</x:v>
      </x:c>
      <x:c r="D1734" s="23" t="n">
        <x:v>950.3661470953375</x:v>
      </x:c>
      <x:c r="E1734" s="23" t="n">
        <x:v>801.0842712479644</x:v>
      </x:c>
      <x:c r="F1734" s="23" t="n">
        <x:v>503.87273859232664</x:v>
      </x:c>
      <x:c r="G1734" s="23" t="n">
        <x:v>276.6453635250218</x:v>
      </x:c>
      <x:c r="H1734" s="23" t="n">
        <x:v>24.080986253917217</x:v>
      </x:c>
      <x:c r="I1734" s="23" t="n">
        <x:v>0.811756626686547</x:v>
      </x:c>
      <x:c r="J1734" s="23" t="n">
        <x:v>6</x:v>
      </x:c>
      <x:c r="K1734" s="23" t="n">
        <x:v>195.12542631867612</x:v>
      </x:c>
      <x:c r="L1734" s="23" t="n">
        <x:v>15775</x:v>
      </x:c>
      <x:c r="M1734" s="23" t="n">
        <x:v>1200</x:v>
      </x:c>
      <x:c r="N1734" s="23" t="n">
        <x:v>249.99730105129956</x:v>
      </x:c>
      <x:c r="O1734" s="23" t="n">
        <x:v>2502.6915632021432</x:v>
      </x:c>
      <x:c r="P1734" s="23" t="n">
        <x:v>950.3661470953375</x:v>
      </x:c>
      <x:c r="Q1734" s="23" t="n">
        <x:v>248.79713289817894</x:v>
      </x:c>
      <x:c r="R1734" s="23" t="n">
        <x:v>2472.1157590440293</x:v>
      </x:c>
      <x:c r="S1734" s="23" t="n">
        <x:v>952.01320639104</x:v>
      </x:c>
      <x:c r="T1734" s="23" t="n">
        <x:v>-1.2001681531206145</x:v>
      </x:c>
      <x:c r="U1734" s="23" t="n">
        <x:v>-30.575804158113897</x:v>
      </x:c>
      <x:c r="V1734" s="23" t="n">
        <x:v>1.6470592957024337</x:v>
      </x:c>
    </x:row>
    <x:row r="1735">
      <x:c r="A1735" s="23" t="n">
        <x:v>1734</x:v>
      </x:c>
      <x:c r="B1735" s="23" t="str">
        <x:v>Train</x:v>
      </x:c>
      <x:c r="C1735" s="23" t="str">
        <x:v>Switching</x:v>
      </x:c>
      <x:c r="D1735" s="23" t="n">
        <x:v>1006.0816249926575</x:v>
      </x:c>
      <x:c r="E1735" s="23" t="n">
        <x:v>1043.0880959844217</x:v>
      </x:c>
      <x:c r="F1735" s="23" t="n">
        <x:v>606.2539395876229</x:v>
      </x:c>
      <x:c r="G1735" s="23" t="n">
        <x:v>319.51204819604754</x:v>
      </x:c>
      <x:c r="H1735" s="23" t="n">
        <x:v>16.891565694008023</x:v>
      </x:c>
      <x:c r="I1735" s="23" t="n">
        <x:v>0.7982100903382525</x:v>
      </x:c>
      <x:c r="J1735" s="23" t="n">
        <x:v>7</x:v>
      </x:c>
      <x:c r="K1735" s="23" t="n">
        <x:v>180.06029761740626</x:v>
      </x:c>
      <x:c r="L1735" s="23" t="n">
        <x:v>10860</x:v>
      </x:c>
      <x:c r="M1735" s="23" t="n">
        <x:v>1195</x:v>
      </x:c>
      <x:c r="N1735" s="23" t="n">
        <x:v>249.95318387816343</x:v>
      </x:c>
      <x:c r="O1735" s="23" t="n">
        <x:v>2495.8183388366288</x:v>
      </x:c>
      <x:c r="P1735" s="23" t="n">
        <x:v>1006.0816249926575</x:v>
      </x:c>
      <x:c r="Q1735" s="23" t="n">
        <x:v>251.5962872929187</x:v>
      </x:c>
      <x:c r="R1735" s="23" t="n">
        <x:v>2479.7654750346937</x:v>
      </x:c>
      <x:c r="S1735" s="23" t="n">
        <x:v>996.5206563129962</x:v>
      </x:c>
      <x:c r="T1735" s="23" t="n">
        <x:v>1.6431034147552737</x:v>
      </x:c>
      <x:c r="U1735" s="23" t="n">
        <x:v>-16.05286380193502</x:v>
      </x:c>
      <x:c r="V1735" s="23" t="n">
        <x:v>-9.5609686796613</x:v>
      </x:c>
    </x:row>
    <x:row r="1736">
      <x:c r="A1736" s="23" t="n">
        <x:v>1735</x:v>
      </x:c>
      <x:c r="B1736" s="23" t="str">
        <x:v>Validation</x:v>
      </x:c>
      <x:c r="C1736" s="23" t="str">
        <x:v>Switching</x:v>
      </x:c>
      <x:c r="D1736" s="23" t="n">
        <x:v>1001.6529998974875</x:v>
      </x:c>
      <x:c r="E1736" s="23" t="n">
        <x:v>1228.613098722417</x:v>
      </x:c>
      <x:c r="F1736" s="23" t="n">
        <x:v>547.9046851396561</x:v>
      </x:c>
      <x:c r="G1736" s="23" t="n">
        <x:v>199.0370469703339</x:v>
      </x:c>
      <x:c r="H1736" s="23" t="n">
        <x:v>25.56702536623925</x:v>
      </x:c>
      <x:c r="I1736" s="23" t="n">
        <x:v>0.8157448379672133</x:v>
      </x:c>
      <x:c r="J1736" s="23" t="n">
        <x:v>7</x:v>
      </x:c>
      <x:c r="K1736" s="23" t="n">
        <x:v>175.41427054104426</x:v>
      </x:c>
      <x:c r="L1736" s="23" t="n">
        <x:v>10825</x:v>
      </x:c>
      <x:c r="M1736" s="23" t="n">
        <x:v>1195</x:v>
      </x:c>
      <x:c r="N1736" s="23" t="n">
        <x:v>249.995808737958</x:v>
      </x:c>
      <x:c r="O1736" s="23" t="n">
        <x:v>2495.85718269882</x:v>
      </x:c>
      <x:c r="P1736" s="23" t="n">
        <x:v>1001.6529998974875</x:v>
      </x:c>
      <x:c r="Q1736" s="23" t="n">
        <x:v>252.9042630844025</x:v>
      </x:c>
      <x:c r="R1736" s="23" t="n">
        <x:v>2548.9851540746185</x:v>
      </x:c>
      <x:c r="S1736" s="23" t="n">
        <x:v>990.0078883903732</x:v>
      </x:c>
      <x:c r="T1736" s="23" t="n">
        <x:v>2.9084543464445005</x:v>
      </x:c>
      <x:c r="U1736" s="23" t="n">
        <x:v>53.12797137579855</x:v>
      </x:c>
      <x:c r="V1736" s="23" t="n">
        <x:v>-11.64511150711428</x:v>
      </x:c>
    </x:row>
    <x:row r="1737">
      <x:c r="A1737" s="23" t="n">
        <x:v>1736</x:v>
      </x:c>
      <x:c r="B1737" s="23" t="str">
        <x:v>Validation</x:v>
      </x:c>
      <x:c r="C1737" s="23" t="str">
        <x:v>Switching</x:v>
      </x:c>
      <x:c r="D1737" s="23" t="n">
        <x:v>1017.4185466836207</x:v>
      </x:c>
      <x:c r="E1737" s="23" t="n">
        <x:v>997.9245816357434</x:v>
      </x:c>
      <x:c r="F1737" s="23" t="n">
        <x:v>576.2716419063509</x:v>
      </x:c>
      <x:c r="G1737" s="23" t="n">
        <x:v>141.98209861759096</x:v>
      </x:c>
      <x:c r="H1737" s="23" t="n">
        <x:v>13.431222615297884</x:v>
      </x:c>
      <x:c r="I1737" s="23" t="n">
        <x:v>0.8441457130853087</x:v>
      </x:c>
      <x:c r="J1737" s="23" t="n">
        <x:v>7</x:v>
      </x:c>
      <x:c r="K1737" s="23" t="n">
        <x:v>172.18058969684085</x:v>
      </x:c>
      <x:c r="L1737" s="23" t="n">
        <x:v>12460</x:v>
      </x:c>
      <x:c r="M1737" s="23" t="n">
        <x:v>1200</x:v>
      </x:c>
      <x:c r="N1737" s="23" t="n">
        <x:v>249.9743938012018</x:v>
      </x:c>
      <x:c r="O1737" s="23" t="n">
        <x:v>2504.7902172489557</x:v>
      </x:c>
      <x:c r="P1737" s="23" t="n">
        <x:v>1017.4185466836207</x:v>
      </x:c>
      <x:c r="Q1737" s="23" t="n">
        <x:v>250.45701783210166</x:v>
      </x:c>
      <x:c r="R1737" s="23" t="n">
        <x:v>2525.9151648720863</x:v>
      </x:c>
      <x:c r="S1737" s="23" t="n">
        <x:v>1023.5085775537447</x:v>
      </x:c>
      <x:c r="T1737" s="23" t="n">
        <x:v>0.4826240308998422</x:v>
      </x:c>
      <x:c r="U1737" s="23" t="n">
        <x:v>21.124947623130538</x:v>
      </x:c>
      <x:c r="V1737" s="23" t="n">
        <x:v>6.0900308701239965</x:v>
      </x:c>
    </x:row>
    <x:row r="1738">
      <x:c r="A1738" s="23" t="n">
        <x:v>1737</x:v>
      </x:c>
      <x:c r="B1738" s="23" t="str">
        <x:v>Validation</x:v>
      </x:c>
      <x:c r="C1738" s="23" t="str">
        <x:v>Switching</x:v>
      </x:c>
      <x:c r="D1738" s="23" t="n">
        <x:v>1082.2317639365792</x:v>
      </x:c>
      <x:c r="E1738" s="23" t="n">
        <x:v>653.1991653493606</x:v>
      </x:c>
      <x:c r="F1738" s="23" t="n">
        <x:v>377.1675856783986</x:v>
      </x:c>
      <x:c r="G1738" s="23" t="n">
        <x:v>92.4865784891881</x:v>
      </x:c>
      <x:c r="H1738" s="23" t="n">
        <x:v>10.73475039564073</x:v>
      </x:c>
      <x:c r="I1738" s="23" t="n">
        <x:v>0.7950775431958027</x:v>
      </x:c>
      <x:c r="J1738" s="23" t="n">
        <x:v>7</x:v>
      </x:c>
      <x:c r="K1738" s="23" t="n">
        <x:v>194.45215001771388</x:v>
      </x:c>
      <x:c r="L1738" s="23" t="n">
        <x:v>19045</x:v>
      </x:c>
      <x:c r="M1738" s="23" t="n">
        <x:v>1200</x:v>
      </x:c>
      <x:c r="N1738" s="23" t="n">
        <x:v>249.98779810199315</x:v>
      </x:c>
      <x:c r="O1738" s="23" t="n">
        <x:v>2501.3363538017843</x:v>
      </x:c>
      <x:c r="P1738" s="23" t="n">
        <x:v>1082.2317639365792</x:v>
      </x:c>
      <x:c r="Q1738" s="23" t="n">
        <x:v>250.83860861965184</x:v>
      </x:c>
      <x:c r="R1738" s="23" t="n">
        <x:v>2475.443163430571</x:v>
      </x:c>
      <x:c r="S1738" s="23" t="n">
        <x:v>1103.0481912861296</x:v>
      </x:c>
      <x:c r="T1738" s="23" t="n">
        <x:v>0.8508105176586866</x:v>
      </x:c>
      <x:c r="U1738" s="23" t="n">
        <x:v>-25.893190371213223</x:v>
      </x:c>
      <x:c r="V1738" s="23" t="n">
        <x:v>20.816427349550395</x:v>
      </x:c>
    </x:row>
    <x:row r="1739">
      <x:c r="A1739" s="23" t="n">
        <x:v>1738</x:v>
      </x:c>
      <x:c r="B1739" s="23" t="str">
        <x:v>Hidden Test</x:v>
      </x:c>
      <x:c r="C1739" s="23" t="str">
        <x:v>Switching</x:v>
      </x:c>
      <x:c r="D1739" s="23" t="n">
        <x:v>1047.442530898843</x:v>
      </x:c>
      <x:c r="E1739" s="23" t="n">
        <x:v>1094.6699008578435</x:v>
      </x:c>
      <x:c r="F1739" s="23" t="n">
        <x:v>639.3351287581027</x:v>
      </x:c>
      <x:c r="G1739" s="23" t="n">
        <x:v>111.01454372517765</x:v>
      </x:c>
      <x:c r="H1739" s="23" t="n">
        <x:v>11.73218071879819</x:v>
      </x:c>
      <x:c r="I1739" s="23" t="n">
        <x:v>0.8514232594193891</x:v>
      </x:c>
      <x:c r="J1739" s="23" t="n">
        <x:v>7</x:v>
      </x:c>
      <x:c r="K1739" s="23" t="n">
        <x:v>175.74648756166658</x:v>
      </x:c>
      <x:c r="L1739" s="23" t="n">
        <x:v>11590</x:v>
      </x:c>
      <x:c r="M1739" s="23" t="n">
        <x:v>1195</x:v>
      </x:c>
      <x:c r="N1739" s="23" t="n">
        <x:v>249.97665330768345</x:v>
      </x:c>
      <x:c r="O1739" s="23" t="n">
        <x:v>2495.1004769905817</x:v>
      </x:c>
      <x:c r="P1739" s="23" t="n">
        <x:v>1047.442530898843</x:v>
      </x:c>
      <x:c r="Q1739" s="23" t="n">
        <x:v>252.85197169739996</x:v>
      </x:c>
      <x:c r="R1739" s="23" t="n">
        <x:v>2524.0434057668112</x:v>
      </x:c>
      <x:c r="S1739" s="23" t="n">
        <x:v>1042.0559679275543</x:v>
      </x:c>
      <x:c r="T1739" s="23" t="n">
        <x:v>2.8753183897165115</x:v>
      </x:c>
      <x:c r="U1739" s="23" t="n">
        <x:v>28.942928776229564</x:v>
      </x:c>
      <x:c r="V1739" s="23" t="n">
        <x:v>-5.38656297128864</x:v>
      </x:c>
    </x:row>
    <x:row r="1740">
      <x:c r="A1740" s="23" t="n">
        <x:v>1739</x:v>
      </x:c>
      <x:c r="B1740" s="23" t="str">
        <x:v>Hidden Test</x:v>
      </x:c>
      <x:c r="C1740" s="23" t="str">
        <x:v>Switching</x:v>
      </x:c>
      <x:c r="D1740" s="23" t="n">
        <x:v>1030.5003876565024</x:v>
      </x:c>
      <x:c r="E1740" s="23" t="n">
        <x:v>1003.7545877159573</x:v>
      </x:c>
      <x:c r="F1740" s="23" t="n">
        <x:v>386.0382068902254</x:v>
      </x:c>
      <x:c r="G1740" s="23" t="n">
        <x:v>199.21946349320933</x:v>
      </x:c>
      <x:c r="H1740" s="23" t="n">
        <x:v>15.610946417786181</x:v>
      </x:c>
      <x:c r="I1740" s="23" t="n">
        <x:v>0.8020258757355623</x:v>
      </x:c>
      <x:c r="J1740" s="23" t="n">
        <x:v>7</x:v>
      </x:c>
      <x:c r="K1740" s="23" t="n">
        <x:v>183.5531066360812</x:v>
      </x:c>
      <x:c r="L1740" s="23" t="n">
        <x:v>13460</x:v>
      </x:c>
      <x:c r="M1740" s="23" t="n">
        <x:v>1200</x:v>
      </x:c>
      <x:c r="N1740" s="23" t="n">
        <x:v>250.0272932496088</x:v>
      </x:c>
      <x:c r="O1740" s="23" t="n">
        <x:v>2504.049958156848</x:v>
      </x:c>
      <x:c r="P1740" s="23" t="n">
        <x:v>1030.5003876565024</x:v>
      </x:c>
      <x:c r="Q1740" s="23" t="n">
        <x:v>251.79571292091174</x:v>
      </x:c>
      <x:c r="R1740" s="23" t="n">
        <x:v>2473.0910786951504</x:v>
      </x:c>
      <x:c r="S1740" s="23" t="n">
        <x:v>1040.2812603948785</x:v>
      </x:c>
      <x:c r="T1740" s="23" t="n">
        <x:v>1.7684196713029507</x:v>
      </x:c>
      <x:c r="U1740" s="23" t="n">
        <x:v>-30.958879461697506</x:v>
      </x:c>
      <x:c r="V1740" s="23" t="n">
        <x:v>9.780872738376047</x:v>
      </x:c>
    </x:row>
    <x:row r="1741">
      <x:c r="A1741" s="23" t="n">
        <x:v>1740</x:v>
      </x:c>
      <x:c r="B1741" s="23" t="str">
        <x:v>Hidden Test</x:v>
      </x:c>
      <x:c r="C1741" s="23" t="str">
        <x:v>Switching</x:v>
      </x:c>
      <x:c r="D1741" s="23" t="n">
        <x:v>1033.1198284751736</x:v>
      </x:c>
      <x:c r="E1741" s="23" t="n">
        <x:v>677.5789482053369</x:v>
      </x:c>
      <x:c r="F1741" s="23" t="n">
        <x:v>351.35733587667346</x:v>
      </x:c>
      <x:c r="G1741" s="23" t="n">
        <x:v>213.7045681430027</x:v>
      </x:c>
      <x:c r="H1741" s="23" t="n">
        <x:v>21.66685977904126</x:v>
      </x:c>
      <x:c r="I1741" s="23" t="n">
        <x:v>0.8567138310894371</x:v>
      </x:c>
      <x:c r="J1741" s="23" t="n">
        <x:v>7</x:v>
      </x:c>
      <x:c r="K1741" s="23" t="n">
        <x:v>172.2728658849179</x:v>
      </x:c>
      <x:c r="L1741" s="23" t="n">
        <x:v>17210</x:v>
      </x:c>
      <x:c r="M1741" s="23" t="n">
        <x:v>1200</x:v>
      </x:c>
      <x:c r="N1741" s="23" t="n">
        <x:v>250.00095103312015</x:v>
      </x:c>
      <x:c r="O1741" s="23" t="n">
        <x:v>2502.033660928972</x:v>
      </x:c>
      <x:c r="P1741" s="23" t="n">
        <x:v>1033.1198284751736</x:v>
      </x:c>
      <x:c r="Q1741" s="23" t="n">
        <x:v>248.49653243000864</x:v>
      </x:c>
      <x:c r="R1741" s="23" t="n">
        <x:v>2455.189109025812</x:v>
      </x:c>
      <x:c r="S1741" s="23" t="n">
        <x:v>1038.0581927317287</x:v>
      </x:c>
      <x:c r="T1741" s="23" t="n">
        <x:v>-1.5044186031115032</x:v>
      </x:c>
      <x:c r="U1741" s="23" t="n">
        <x:v>-46.84455190316021</x:v>
      </x:c>
      <x:c r="V1741" s="23" t="n">
        <x:v>4.938364256555133</x:v>
      </x:c>
    </x:row>
    <x:row r="1742">
      <x:c r="A1742" s="23" t="n">
        <x:v>1741</x:v>
      </x:c>
      <x:c r="B1742" s="23" t="str">
        <x:v>Train</x:v>
      </x:c>
      <x:c r="C1742" s="23" t="str">
        <x:v>Switching</x:v>
      </x:c>
      <x:c r="D1742" s="23" t="n">
        <x:v>955.3444021847099</x:v>
      </x:c>
      <x:c r="E1742" s="23" t="n">
        <x:v>714.645700796973</x:v>
      </x:c>
      <x:c r="F1742" s="23" t="n">
        <x:v>681.4235469326377</x:v>
      </x:c>
      <x:c r="G1742" s="23" t="n">
        <x:v>126.17827368201688</x:v>
      </x:c>
      <x:c r="H1742" s="23" t="n">
        <x:v>25.601544607430696</x:v>
      </x:c>
      <x:c r="I1742" s="23" t="n">
        <x:v>0.7970992058538832</x:v>
      </x:c>
      <x:c r="J1742" s="23" t="n">
        <x:v>6</x:v>
      </x:c>
      <x:c r="K1742" s="23" t="n">
        <x:v>199.75439175129785</x:v>
      </x:c>
      <x:c r="L1742" s="23" t="n">
        <x:v>16390</x:v>
      </x:c>
      <x:c r="M1742" s="23" t="n">
        <x:v>1200</x:v>
      </x:c>
      <x:c r="N1742" s="23" t="n">
        <x:v>249.99590494986677</x:v>
      </x:c>
      <x:c r="O1742" s="23" t="n">
        <x:v>2502.395406232835</x:v>
      </x:c>
      <x:c r="P1742" s="23" t="n">
        <x:v>955.3444021847099</x:v>
      </x:c>
      <x:c r="Q1742" s="23" t="n">
        <x:v>249.69181967267224</x:v>
      </x:c>
      <x:c r="R1742" s="23" t="n">
        <x:v>2463.2605005114065</x:v>
      </x:c>
      <x:c r="S1742" s="23" t="n">
        <x:v>952.8091567526413</x:v>
      </x:c>
      <x:c r="T1742" s="23" t="n">
        <x:v>-0.30408527719453105</x:v>
      </x:c>
      <x:c r="U1742" s="23" t="n">
        <x:v>-39.13490572142837</x:v>
      </x:c>
      <x:c r="V1742" s="23" t="n">
        <x:v>-2.535245432068564</x:v>
      </x:c>
    </x:row>
    <x:row r="1743">
      <x:c r="A1743" s="23" t="n">
        <x:v>1742</x:v>
      </x:c>
      <x:c r="B1743" s="23" t="str">
        <x:v>Train</x:v>
      </x:c>
      <x:c r="C1743" s="23" t="str">
        <x:v>Switching</x:v>
      </x:c>
      <x:c r="D1743" s="23" t="n">
        <x:v>982.7002572012134</x:v>
      </x:c>
      <x:c r="E1743" s="23" t="n">
        <x:v>951.1215311242267</x:v>
      </x:c>
      <x:c r="F1743" s="23" t="n">
        <x:v>731.562299001962</x:v>
      </x:c>
      <x:c r="G1743" s="23" t="n">
        <x:v>130.10839365422726</x:v>
      </x:c>
      <x:c r="H1743" s="23" t="n">
        <x:v>28.50085803354159</x:v>
      </x:c>
      <x:c r="I1743" s="23" t="n">
        <x:v>0.84699201523792</x:v>
      </x:c>
      <x:c r="J1743" s="23" t="n">
        <x:v>6</x:v>
      </x:c>
      <x:c r="K1743" s="23" t="n">
        <x:v>193.37062599603786</x:v>
      </x:c>
      <x:c r="L1743" s="23" t="n">
        <x:v>13765</x:v>
      </x:c>
      <x:c r="M1743" s="23" t="n">
        <x:v>1200</x:v>
      </x:c>
      <x:c r="N1743" s="23" t="n">
        <x:v>250.0306316737571</x:v>
      </x:c>
      <x:c r="O1743" s="23" t="n">
        <x:v>2503.8451080797745</x:v>
      </x:c>
      <x:c r="P1743" s="23" t="n">
        <x:v>982.7002572012134</x:v>
      </x:c>
      <x:c r="Q1743" s="23" t="n">
        <x:v>248.42585722134888</x:v>
      </x:c>
      <x:c r="R1743" s="23" t="n">
        <x:v>2494.138262781963</x:v>
      </x:c>
      <x:c r="S1743" s="23" t="n">
        <x:v>970.8153215087831</x:v>
      </x:c>
      <x:c r="T1743" s="23" t="n">
        <x:v>-1.6047744524082361</x:v>
      </x:c>
      <x:c r="U1743" s="23" t="n">
        <x:v>-9.70684529781147</x:v>
      </x:c>
      <x:c r="V1743" s="23" t="n">
        <x:v>-11.884935692430304</x:v>
      </x:c>
    </x:row>
    <x:row r="1744">
      <x:c r="A1744" s="23" t="n">
        <x:v>1743</x:v>
      </x:c>
      <x:c r="B1744" s="23" t="str">
        <x:v>Train</x:v>
      </x:c>
      <x:c r="C1744" s="23" t="str">
        <x:v>Switching</x:v>
      </x:c>
      <x:c r="D1744" s="23" t="n">
        <x:v>1043.6201175907627</x:v>
      </x:c>
      <x:c r="E1744" s="23" t="n">
        <x:v>650.4528273944743</x:v>
      </x:c>
      <x:c r="F1744" s="23" t="n">
        <x:v>439.8233659565449</x:v>
      </x:c>
      <x:c r="G1744" s="23" t="n">
        <x:v>162.9037543735467</x:v>
      </x:c>
      <x:c r="H1744" s="23" t="n">
        <x:v>23.907374649308622</x:v>
      </x:c>
      <x:c r="I1744" s="23" t="n">
        <x:v>0.8472142958431506</x:v>
      </x:c>
      <x:c r="J1744" s="23" t="n">
        <x:v>7</x:v>
      </x:c>
      <x:c r="K1744" s="23" t="n">
        <x:v>175.97506198697738</x:v>
      </x:c>
      <x:c r="L1744" s="23" t="n">
        <x:v>17065</x:v>
      </x:c>
      <x:c r="M1744" s="23" t="n">
        <x:v>1200</x:v>
      </x:c>
      <x:c r="N1744" s="23" t="n">
        <x:v>249.99709758038264</x:v>
      </x:c>
      <x:c r="O1744" s="23" t="n">
        <x:v>2502.095011111694</x:v>
      </x:c>
      <x:c r="P1744" s="23" t="n">
        <x:v>1043.6201175907627</x:v>
      </x:c>
      <x:c r="Q1744" s="23" t="n">
        <x:v>249.47584485892423</x:v>
      </x:c>
      <x:c r="R1744" s="23" t="n">
        <x:v>2474.015876836187</x:v>
      </x:c>
      <x:c r="S1744" s="23" t="n">
        <x:v>1043.2451161191807</x:v>
      </x:c>
      <x:c r="T1744" s="23" t="n">
        <x:v>-0.52125272145841</x:v>
      </x:c>
      <x:c r="U1744" s="23" t="n">
        <x:v>-28.07913427550693</x:v>
      </x:c>
      <x:c r="V1744" s="23" t="n">
        <x:v>-0.3750014715819816</x:v>
      </x:c>
    </x:row>
    <x:row r="1745">
      <x:c r="A1745" s="23" t="n">
        <x:v>1744</x:v>
      </x:c>
      <x:c r="B1745" s="23" t="str">
        <x:v>Train</x:v>
      </x:c>
      <x:c r="C1745" s="23" t="str">
        <x:v>Switching</x:v>
      </x:c>
      <x:c r="D1745" s="23" t="n">
        <x:v>1038.7915998580866</x:v>
      </x:c>
      <x:c r="E1745" s="23" t="n">
        <x:v>1133.7105689570308</x:v>
      </x:c>
      <x:c r="F1745" s="23" t="n">
        <x:v>496.60762092098594</x:v>
      </x:c>
      <x:c r="G1745" s="23" t="n">
        <x:v>170.40043328423053</x:v>
      </x:c>
      <x:c r="H1745" s="23" t="n">
        <x:v>15.940189579036087</x:v>
      </x:c>
      <x:c r="I1745" s="23" t="n">
        <x:v>0.8448944468703121</x:v>
      </x:c>
      <x:c r="J1745" s="23" t="n">
        <x:v>7</x:v>
      </x:c>
      <x:c r="K1745" s="23" t="n">
        <x:v>175.64182192157935</x:v>
      </x:c>
      <x:c r="L1745" s="23" t="n">
        <x:v>11875</x:v>
      </x:c>
      <x:c r="M1745" s="23" t="n">
        <x:v>1195</x:v>
      </x:c>
      <x:c r="N1745" s="23" t="n">
        <x:v>249.97390867128888</x:v>
      </x:c>
      <x:c r="O1745" s="23" t="n">
        <x:v>2494.843666818947</x:v>
      </x:c>
      <x:c r="P1745" s="23" t="n">
        <x:v>1038.7915998580866</x:v>
      </x:c>
      <x:c r="Q1745" s="23" t="n">
        <x:v>250.93677532704248</x:v>
      </x:c>
      <x:c r="R1745" s="23" t="n">
        <x:v>2554.708191500667</x:v>
      </x:c>
      <x:c r="S1745" s="23" t="n">
        <x:v>1042.2975302066077</x:v>
      </x:c>
      <x:c r="T1745" s="23" t="n">
        <x:v>0.9628666557536008</x:v>
      </x:c>
      <x:c r="U1745" s="23" t="n">
        <x:v>59.86452468172001</x:v>
      </x:c>
      <x:c r="V1745" s="23" t="n">
        <x:v>3.505930348521133</x:v>
      </x:c>
    </x:row>
    <x:row r="1746">
      <x:c r="A1746" s="23" t="n">
        <x:v>1745</x:v>
      </x:c>
      <x:c r="B1746" s="23" t="str">
        <x:v>Train</x:v>
      </x:c>
      <x:c r="C1746" s="23" t="str">
        <x:v>Switching</x:v>
      </x:c>
      <x:c r="D1746" s="23" t="n">
        <x:v>1088.0655230022967</x:v>
      </x:c>
      <x:c r="E1746" s="23" t="n">
        <x:v>817.037573212292</x:v>
      </x:c>
      <x:c r="F1746" s="23" t="n">
        <x:v>639.2279217019677</x:v>
      </x:c>
      <x:c r="G1746" s="23" t="n">
        <x:v>80.49884809413925</x:v>
      </x:c>
      <x:c r="H1746" s="23" t="n">
        <x:v>21.564398350194097</x:v>
      </x:c>
      <x:c r="I1746" s="23" t="n">
        <x:v>0.8388643025537021</x:v>
      </x:c>
      <x:c r="J1746" s="23" t="n">
        <x:v>7</x:v>
      </x:c>
      <x:c r="K1746" s="23" t="n">
        <x:v>185.29568058180683</x:v>
      </x:c>
      <x:c r="L1746" s="23" t="n">
        <x:v>13915</x:v>
      </x:c>
      <x:c r="M1746" s="23" t="n">
        <x:v>1200</x:v>
      </x:c>
      <x:c r="N1746" s="23" t="n">
        <x:v>249.9803086364947</x:v>
      </x:c>
      <x:c r="O1746" s="23" t="n">
        <x:v>2503.74581259352</x:v>
      </x:c>
      <x:c r="P1746" s="23" t="n">
        <x:v>1088.0655230022967</x:v>
      </x:c>
      <x:c r="Q1746" s="23" t="n">
        <x:v>251.95928339700313</x:v>
      </x:c>
      <x:c r="R1746" s="23" t="n">
        <x:v>2475.9007213394875</x:v>
      </x:c>
      <x:c r="S1746" s="23" t="n">
        <x:v>1092.2761724545874</x:v>
      </x:c>
      <x:c r="T1746" s="23" t="n">
        <x:v>1.9789747605084358</x:v>
      </x:c>
      <x:c r="U1746" s="23" t="n">
        <x:v>-27.845091254032468</x:v>
      </x:c>
      <x:c r="V1746" s="23" t="n">
        <x:v>4.210649452290681</x:v>
      </x:c>
    </x:row>
    <x:row r="1747">
      <x:c r="A1747" s="23" t="n">
        <x:v>1746</x:v>
      </x:c>
      <x:c r="B1747" s="23" t="str">
        <x:v>Train</x:v>
      </x:c>
      <x:c r="C1747" s="23" t="str">
        <x:v>Switching</x:v>
      </x:c>
      <x:c r="D1747" s="23" t="n">
        <x:v>975.6220820941962</x:v>
      </x:c>
      <x:c r="E1747" s="23" t="n">
        <x:v>736.9681642623618</x:v>
      </x:c>
      <x:c r="F1747" s="23" t="n">
        <x:v>495.884917024523</x:v>
      </x:c>
      <x:c r="G1747" s="23" t="n">
        <x:v>321.2108958233148</x:v>
      </x:c>
      <x:c r="H1747" s="23" t="n">
        <x:v>19.03408207045868</x:v>
      </x:c>
      <x:c r="I1747" s="23" t="n">
        <x:v>0.8175285361194984</x:v>
      </x:c>
      <x:c r="J1747" s="23" t="n">
        <x:v>6</x:v>
      </x:c>
      <x:c r="K1747" s="23" t="n">
        <x:v>198.89664172562274</x:v>
      </x:c>
      <x:c r="L1747" s="23" t="n">
        <x:v>16055</x:v>
      </x:c>
      <x:c r="M1747" s="23" t="n">
        <x:v>1200</x:v>
      </x:c>
      <x:c r="N1747" s="23" t="n">
        <x:v>250.0043939420212</x:v>
      </x:c>
      <x:c r="O1747" s="23" t="n">
        <x:v>2502.5541576201886</x:v>
      </x:c>
      <x:c r="P1747" s="23" t="n">
        <x:v>975.6220820941962</x:v>
      </x:c>
      <x:c r="Q1747" s="23" t="n">
        <x:v>248.69003712268446</x:v>
      </x:c>
      <x:c r="R1747" s="23" t="n">
        <x:v>2446.2146303099435</x:v>
      </x:c>
      <x:c r="S1747" s="23" t="n">
        <x:v>982.6092523414687</x:v>
      </x:c>
      <x:c r="T1747" s="23" t="n">
        <x:v>-1.3143568193367514</x:v>
      </x:c>
      <x:c r="U1747" s="23" t="n">
        <x:v>-56.3395273102451</x:v>
      </x:c>
      <x:c r="V1747" s="23" t="n">
        <x:v>6.987170247272502</x:v>
      </x:c>
    </x:row>
    <x:row r="1748">
      <x:c r="A1748" s="23" t="n">
        <x:v>1747</x:v>
      </x:c>
      <x:c r="B1748" s="23" t="str">
        <x:v>Train</x:v>
      </x:c>
      <x:c r="C1748" s="23" t="str">
        <x:v>Switching</x:v>
      </x:c>
      <x:c r="D1748" s="23" t="n">
        <x:v>1063.5380605002865</x:v>
      </x:c>
      <x:c r="E1748" s="23" t="n">
        <x:v>710.7792198308744</x:v>
      </x:c>
      <x:c r="F1748" s="23" t="n">
        <x:v>555.7434882968664</x:v>
      </x:c>
      <x:c r="G1748" s="23" t="n">
        <x:v>126.4278316940181</x:v>
      </x:c>
      <x:c r="H1748" s="23" t="n">
        <x:v>16.409938124008477</x:v>
      </x:c>
      <x:c r="I1748" s="23" t="n">
        <x:v>0.7946116019482725</x:v>
      </x:c>
      <x:c r="J1748" s="23" t="n">
        <x:v>7</x:v>
      </x:c>
      <x:c r="K1748" s="23" t="n">
        <x:v>191.20537413546177</x:v>
      </x:c>
      <x:c r="L1748" s="23" t="n">
        <x:v>15355</x:v>
      </x:c>
      <x:c r="M1748" s="23" t="n">
        <x:v>1200</x:v>
      </x:c>
      <x:c r="N1748" s="23" t="n">
        <x:v>250.03487095284652</x:v>
      </x:c>
      <x:c r="O1748" s="23" t="n">
        <x:v>2502.90864368241</x:v>
      </x:c>
      <x:c r="P1748" s="23" t="n">
        <x:v>1063.5380605002865</x:v>
      </x:c>
      <x:c r="Q1748" s="23" t="n">
        <x:v>247.67217104489282</x:v>
      </x:c>
      <x:c r="R1748" s="23" t="n">
        <x:v>2463.8328441638837</x:v>
      </x:c>
      <x:c r="S1748" s="23" t="n">
        <x:v>1075.4238534851252</x:v>
      </x:c>
      <x:c r="T1748" s="23" t="n">
        <x:v>-2.362699907953697</x:v>
      </x:c>
      <x:c r="U1748" s="23" t="n">
        <x:v>-39.07579951852631</x:v>
      </x:c>
      <x:c r="V1748" s="23" t="n">
        <x:v>11.885792984838645</x:v>
      </x:c>
    </x:row>
    <x:row r="1749">
      <x:c r="A1749" s="23" t="n">
        <x:v>1748</x:v>
      </x:c>
      <x:c r="B1749" s="23" t="str">
        <x:v>Train</x:v>
      </x:c>
      <x:c r="C1749" s="23" t="str">
        <x:v>Switching</x:v>
      </x:c>
      <x:c r="D1749" s="23" t="n">
        <x:v>1002.3598266183399</x:v>
      </x:c>
      <x:c r="E1749" s="23" t="n">
        <x:v>928.5190484020859</x:v>
      </x:c>
      <x:c r="F1749" s="23" t="n">
        <x:v>486.9142550043762</x:v>
      </x:c>
      <x:c r="G1749" s="23" t="n">
        <x:v>139.2114677419886</x:v>
      </x:c>
      <x:c r="H1749" s="23" t="n">
        <x:v>10.407699957024306</x:v>
      </x:c>
      <x:c r="I1749" s="23" t="n">
        <x:v>0.8153414677269757</x:v>
      </x:c>
      <x:c r="J1749" s="23" t="n">
        <x:v>7</x:v>
      </x:c>
      <x:c r="K1749" s="23" t="n">
        <x:v>175.62489657821132</x:v>
      </x:c>
      <x:c r="L1749" s="23" t="n">
        <x:v>13755</x:v>
      </x:c>
      <x:c r="M1749" s="23" t="n">
        <x:v>1200</x:v>
      </x:c>
      <x:c r="N1749" s="23" t="n">
        <x:v>249.9808085326343</x:v>
      </x:c>
      <x:c r="O1749" s="23" t="n">
        <x:v>2503.8498981418093</x:v>
      </x:c>
      <x:c r="P1749" s="23" t="n">
        <x:v>1002.3598266183399</x:v>
      </x:c>
      <x:c r="Q1749" s="23" t="n">
        <x:v>249.3371128913782</x:v>
      </x:c>
      <x:c r="R1749" s="23" t="n">
        <x:v>2534.1952495953747</x:v>
      </x:c>
      <x:c r="S1749" s="23" t="n">
        <x:v>1011.6810611638967</x:v>
      </x:c>
      <x:c r="T1749" s="23" t="n">
        <x:v>-0.6436956412561017</x:v>
      </x:c>
      <x:c r="U1749" s="23" t="n">
        <x:v>30.3453514535654</x:v>
      </x:c>
      <x:c r="V1749" s="23" t="n">
        <x:v>9.321234545556877</x:v>
      </x:c>
    </x:row>
    <x:row r="1750">
      <x:c r="A1750" s="23" t="n">
        <x:v>1749</x:v>
      </x:c>
      <x:c r="B1750" s="23" t="str">
        <x:v>Train</x:v>
      </x:c>
      <x:c r="C1750" s="23" t="str">
        <x:v>Switching</x:v>
      </x:c>
      <x:c r="D1750" s="23" t="n">
        <x:v>1023.9608645904809</x:v>
      </x:c>
      <x:c r="E1750" s="23" t="n">
        <x:v>1005.351553473156</x:v>
      </x:c>
      <x:c r="F1750" s="23" t="n">
        <x:v>594.9163613840938</x:v>
      </x:c>
      <x:c r="G1750" s="23" t="n">
        <x:v>268.03752987878397</x:v>
      </x:c>
      <x:c r="H1750" s="23" t="n">
        <x:v>28.102585896849632</x:v>
      </x:c>
      <x:c r="I1750" s="23" t="n">
        <x:v>0.8217655196622946</x:v>
      </x:c>
      <x:c r="J1750" s="23" t="n">
        <x:v>7</x:v>
      </x:c>
      <x:c r="K1750" s="23" t="n">
        <x:v>178.0071322206848</x:v>
      </x:c>
      <x:c r="L1750" s="23" t="n">
        <x:v>11445</x:v>
      </x:c>
      <x:c r="M1750" s="23" t="n">
        <x:v>1195</x:v>
      </x:c>
      <x:c r="N1750" s="23" t="n">
        <x:v>249.96514772556554</x:v>
      </x:c>
      <x:c r="O1750" s="23" t="n">
        <x:v>2495.235463906335</x:v>
      </x:c>
      <x:c r="P1750" s="23" t="n">
        <x:v>1023.9608645904809</x:v>
      </x:c>
      <x:c r="Q1750" s="23" t="n">
        <x:v>248.40981829200726</x:v>
      </x:c>
      <x:c r="R1750" s="23" t="n">
        <x:v>2479.027515182549</x:v>
      </x:c>
      <x:c r="S1750" s="23" t="n">
        <x:v>1008.7607185001066</x:v>
      </x:c>
      <x:c r="T1750" s="23" t="n">
        <x:v>-1.5553294335582848</x:v>
      </x:c>
      <x:c r="U1750" s="23" t="n">
        <x:v>-16.207948723786103</x:v>
      </x:c>
      <x:c r="V1750" s="23" t="n">
        <x:v>-15.200146090374346</x:v>
      </x:c>
    </x:row>
    <x:row r="1751">
      <x:c r="A1751" s="23" t="n">
        <x:v>1750</x:v>
      </x:c>
      <x:c r="B1751" s="23" t="str">
        <x:v>Train</x:v>
      </x:c>
      <x:c r="C1751" s="23" t="str">
        <x:v>Switching</x:v>
      </x:c>
      <x:c r="D1751" s="23" t="n">
        <x:v>1052.3171645705588</x:v>
      </x:c>
      <x:c r="E1751" s="23" t="n">
        <x:v>1092.9903564741835</x:v>
      </x:c>
      <x:c r="F1751" s="23" t="n">
        <x:v>643.2642293162644</x:v>
      </x:c>
      <x:c r="G1751" s="23" t="n">
        <x:v>164.83115257695317</x:v>
      </x:c>
      <x:c r="H1751" s="23" t="n">
        <x:v>19.726892864797264</x:v>
      </x:c>
      <x:c r="I1751" s="23" t="n">
        <x:v>0.8330795020377264</x:v>
      </x:c>
      <x:c r="J1751" s="23" t="n">
        <x:v>7</x:v>
      </x:c>
      <x:c r="K1751" s="23" t="n">
        <x:v>180.452193508984</x:v>
      </x:c>
      <x:c r="L1751" s="23" t="n">
        <x:v>11250</x:v>
      </x:c>
      <x:c r="M1751" s="23" t="n">
        <x:v>1195</x:v>
      </x:c>
      <x:c r="N1751" s="23" t="n">
        <x:v>250.01706108571955</x:v>
      </x:c>
      <x:c r="O1751" s="23" t="n">
        <x:v>2495.4254894656005</x:v>
      </x:c>
      <x:c r="P1751" s="23" t="n">
        <x:v>1052.3171645705588</x:v>
      </x:c>
      <x:c r="Q1751" s="23" t="n">
        <x:v>252.16661221740483</x:v>
      </x:c>
      <x:c r="R1751" s="23" t="n">
        <x:v>2560.5098298037437</x:v>
      </x:c>
      <x:c r="S1751" s="23" t="n">
        <x:v>1042.0800962813014</x:v>
      </x:c>
      <x:c r="T1751" s="23" t="n">
        <x:v>2.1495511316852856</x:v>
      </x:c>
      <x:c r="U1751" s="23" t="n">
        <x:v>65.08434033814319</x:v>
      </x:c>
      <x:c r="V1751" s="23" t="n">
        <x:v>-10.237068289257422</x:v>
      </x:c>
    </x:row>
    <x:row r="1752">
      <x:c r="A1752" s="23" t="n">
        <x:v>1751</x:v>
      </x:c>
      <x:c r="B1752" s="23" t="str">
        <x:v>Train</x:v>
      </x:c>
      <x:c r="C1752" s="23" t="str">
        <x:v>Switching</x:v>
      </x:c>
      <x:c r="D1752" s="23" t="n">
        <x:v>1031.7633559228852</x:v>
      </x:c>
      <x:c r="E1752" s="23" t="n">
        <x:v>970.1868580770679</x:v>
      </x:c>
      <x:c r="F1752" s="23" t="n">
        <x:v>585.9291777014732</x:v>
      </x:c>
      <x:c r="G1752" s="23" t="n">
        <x:v>148.08795867254958</x:v>
      </x:c>
      <x:c r="H1752" s="23" t="n">
        <x:v>22.82152485381812</x:v>
      </x:c>
      <x:c r="I1752" s="23" t="n">
        <x:v>0.8022525359294378</x:v>
      </x:c>
      <x:c r="J1752" s="23" t="n">
        <x:v>7</x:v>
      </x:c>
      <x:c r="K1752" s="23" t="n">
        <x:v>183.7261442384582</x:v>
      </x:c>
      <x:c r="L1752" s="23" t="n">
        <x:v>12550</x:v>
      </x:c>
      <x:c r="M1752" s="23" t="n">
        <x:v>1200</x:v>
      </x:c>
      <x:c r="N1752" s="23" t="n">
        <x:v>250.0234582105639</x:v>
      </x:c>
      <x:c r="O1752" s="23" t="n">
        <x:v>2504.7205122924984</x:v>
      </x:c>
      <x:c r="P1752" s="23" t="n">
        <x:v>1031.7633559228852</x:v>
      </x:c>
      <x:c r="Q1752" s="23" t="n">
        <x:v>249.13947555900572</x:v>
      </x:c>
      <x:c r="R1752" s="23" t="n">
        <x:v>2540.7184321165587</x:v>
      </x:c>
      <x:c r="S1752" s="23" t="n">
        <x:v>1023.6678380326158</x:v>
      </x:c>
      <x:c r="T1752" s="23" t="n">
        <x:v>-0.8839826515581706</x:v>
      </x:c>
      <x:c r="U1752" s="23" t="n">
        <x:v>35.99791982406032</x:v>
      </x:c>
      <x:c r="V1752" s="23" t="n">
        <x:v>-8.095517890269434</x:v>
      </x:c>
    </x:row>
    <x:row r="1753">
      <x:c r="A1753" s="23" t="n">
        <x:v>1752</x:v>
      </x:c>
      <x:c r="B1753" s="23" t="str">
        <x:v>Train</x:v>
      </x:c>
      <x:c r="C1753" s="23" t="str">
        <x:v>Switching</x:v>
      </x:c>
      <x:c r="D1753" s="23" t="n">
        <x:v>1017.3110443050973</x:v>
      </x:c>
      <x:c r="E1753" s="23" t="n">
        <x:v>1039.539264794439</x:v>
      </x:c>
      <x:c r="F1753" s="23" t="n">
        <x:v>656.5699360333383</x:v>
      </x:c>
      <x:c r="G1753" s="23" t="n">
        <x:v>215.7519259909168</x:v>
      </x:c>
      <x:c r="H1753" s="23" t="n">
        <x:v>10.959178110118955</x:v>
      </x:c>
      <x:c r="I1753" s="23" t="n">
        <x:v>0.8127094036806375</x:v>
      </x:c>
      <x:c r="J1753" s="23" t="n">
        <x:v>7</x:v>
      </x:c>
      <x:c r="K1753" s="23" t="n">
        <x:v>178.8217886101284</x:v>
      </x:c>
      <x:c r="L1753" s="23" t="n">
        <x:v>11185</x:v>
      </x:c>
      <x:c r="M1753" s="23" t="n">
        <x:v>1195</x:v>
      </x:c>
      <x:c r="N1753" s="23" t="n">
        <x:v>249.9812009567858</x:v>
      </x:c>
      <x:c r="O1753" s="23" t="n">
        <x:v>2495.487953799806</x:v>
      </x:c>
      <x:c r="P1753" s="23" t="n">
        <x:v>1017.3110443050973</x:v>
      </x:c>
      <x:c r="Q1753" s="23" t="n">
        <x:v>253.1661387578389</x:v>
      </x:c>
      <x:c r="R1753" s="23" t="n">
        <x:v>2506.711367133265</x:v>
      </x:c>
      <x:c r="S1753" s="23" t="n">
        <x:v>1019.0201893957911</x:v>
      </x:c>
      <x:c r="T1753" s="23" t="n">
        <x:v>3.1849378010530813</x:v>
      </x:c>
      <x:c r="U1753" s="23" t="n">
        <x:v>11.22341333345912</x:v>
      </x:c>
      <x:c r="V1753" s="23" t="n">
        <x:v>1.7091450906938235</x:v>
      </x:c>
    </x:row>
    <x:row r="1754">
      <x:c r="A1754" s="23" t="n">
        <x:v>1753</x:v>
      </x:c>
      <x:c r="B1754" s="23" t="str">
        <x:v>Train</x:v>
      </x:c>
      <x:c r="C1754" s="23" t="str">
        <x:v>Switching</x:v>
      </x:c>
      <x:c r="D1754" s="23" t="n">
        <x:v>1037.8032498061657</x:v>
      </x:c>
      <x:c r="E1754" s="23" t="n">
        <x:v>772.439816815313</x:v>
      </x:c>
      <x:c r="F1754" s="23" t="n">
        <x:v>528.1715022400022</x:v>
      </x:c>
      <x:c r="G1754" s="23" t="n">
        <x:v>213.87076795333996</x:v>
      </x:c>
      <x:c r="H1754" s="23" t="n">
        <x:v>12.315918324515224</x:v>
      </x:c>
      <x:c r="I1754" s="23" t="n">
        <x:v>0.8318173926067539</x:v>
      </x:c>
      <x:c r="J1754" s="23" t="n">
        <x:v>7</x:v>
      </x:c>
      <x:c r="K1754" s="23" t="n">
        <x:v>178.2333579856464</x:v>
      </x:c>
      <x:c r="L1754" s="23" t="n">
        <x:v>14120</x:v>
      </x:c>
      <x:c r="M1754" s="23" t="n">
        <x:v>1200</x:v>
      </x:c>
      <x:c r="N1754" s="23" t="n">
        <x:v>249.98491394345226</x:v>
      </x:c>
      <x:c r="O1754" s="23" t="n">
        <x:v>2503.616103124895</x:v>
      </x:c>
      <x:c r="P1754" s="23" t="n">
        <x:v>1037.8032498061657</x:v>
      </x:c>
      <x:c r="Q1754" s="23" t="n">
        <x:v>248.0196178957833</x:v>
      </x:c>
      <x:c r="R1754" s="23" t="n">
        <x:v>2510.6865660772637</x:v>
      </x:c>
      <x:c r="S1754" s="23" t="n">
        <x:v>1045.726254637634</x:v>
      </x:c>
      <x:c r="T1754" s="23" t="n">
        <x:v>-1.965296047668943</x:v>
      </x:c>
      <x:c r="U1754" s="23" t="n">
        <x:v>7.070462952368871</x:v>
      </x:c>
      <x:c r="V1754" s="23" t="n">
        <x:v>7.9230048314682335</x:v>
      </x:c>
    </x:row>
    <x:row r="1755">
      <x:c r="A1755" s="23" t="n">
        <x:v>1754</x:v>
      </x:c>
      <x:c r="B1755" s="23" t="str">
        <x:v>Train</x:v>
      </x:c>
      <x:c r="C1755" s="23" t="str">
        <x:v>Switching</x:v>
      </x:c>
      <x:c r="D1755" s="23" t="n">
        <x:v>971.7535121948458</x:v>
      </x:c>
      <x:c r="E1755" s="23" t="n">
        <x:v>817.9507272550836</x:v>
      </x:c>
      <x:c r="F1755" s="23" t="n">
        <x:v>403.9867387153208</x:v>
      </x:c>
      <x:c r="G1755" s="23" t="n">
        <x:v>311.6795678343624</x:v>
      </x:c>
      <x:c r="H1755" s="23" t="n">
        <x:v>29.26665070326999</x:v>
      </x:c>
      <x:c r="I1755" s="23" t="n">
        <x:v>0.8503124959813432</x:v>
      </x:c>
      <x:c r="J1755" s="23" t="n">
        <x:v>6</x:v>
      </x:c>
      <x:c r="K1755" s="23" t="n">
        <x:v>190.46987956142485</x:v>
      </x:c>
      <x:c r="L1755" s="23" t="n">
        <x:v>16270</x:v>
      </x:c>
      <x:c r="M1755" s="23" t="n">
        <x:v>1200</x:v>
      </x:c>
      <x:c r="N1755" s="23" t="n">
        <x:v>250.01915621828817</x:v>
      </x:c>
      <x:c r="O1755" s="23" t="n">
        <x:v>2502.452135551872</x:v>
      </x:c>
      <x:c r="P1755" s="23" t="n">
        <x:v>971.7535121948458</x:v>
      </x:c>
      <x:c r="Q1755" s="23" t="n">
        <x:v>249.80017308806597</x:v>
      </x:c>
      <x:c r="R1755" s="23" t="n">
        <x:v>2482.919261500633</x:v>
      </x:c>
      <x:c r="S1755" s="23" t="n">
        <x:v>969.4588022199046</x:v>
      </x:c>
      <x:c r="T1755" s="23" t="n">
        <x:v>-0.21898313022219895</x:v>
      </x:c>
      <x:c r="U1755" s="23" t="n">
        <x:v>-19.53287405123865</x:v>
      </x:c>
      <x:c r="V1755" s="23" t="n">
        <x:v>-2.29470997494127</x:v>
      </x:c>
    </x:row>
    <x:row r="1756">
      <x:c r="A1756" s="23" t="n">
        <x:v>1755</x:v>
      </x:c>
      <x:c r="B1756" s="23" t="str">
        <x:v>Validation</x:v>
      </x:c>
      <x:c r="C1756" s="23" t="str">
        <x:v>Switching</x:v>
      </x:c>
      <x:c r="D1756" s="23" t="n">
        <x:v>999.6300869388506</x:v>
      </x:c>
      <x:c r="E1756" s="23" t="n">
        <x:v>625.4457068280317</x:v>
      </x:c>
      <x:c r="F1756" s="23" t="n">
        <x:v>669.1397611051798</x:v>
      </x:c>
      <x:c r="G1756" s="23" t="n">
        <x:v>208.30049282638356</x:v>
      </x:c>
      <x:c r="H1756" s="23" t="n">
        <x:v>24.44181697908789</x:v>
      </x:c>
      <x:c r="I1756" s="23" t="n">
        <x:v>0.8491837644088083</x:v>
      </x:c>
      <x:c r="J1756" s="23" t="n">
        <x:v>6</x:v>
      </x:c>
      <x:c r="K1756" s="23" t="n">
        <x:v>196.19430030647945</x:v>
      </x:c>
      <x:c r="L1756" s="23" t="n">
        <x:v>16600</x:v>
      </x:c>
      <x:c r="M1756" s="23" t="n">
        <x:v>1200</x:v>
      </x:c>
      <x:c r="N1756" s="23" t="n">
        <x:v>249.97853989655758</x:v>
      </x:c>
      <x:c r="O1756" s="23" t="n">
        <x:v>2502.298799789806</x:v>
      </x:c>
      <x:c r="P1756" s="23" t="n">
        <x:v>999.6300869388506</x:v>
      </x:c>
      <x:c r="Q1756" s="23" t="n">
        <x:v>249.70564563465499</x:v>
      </x:c>
      <x:c r="R1756" s="23" t="n">
        <x:v>2469.7008565347987</x:v>
      </x:c>
      <x:c r="S1756" s="23" t="n">
        <x:v>1002.3203790086171</x:v>
      </x:c>
      <x:c r="T1756" s="23" t="n">
        <x:v>-0.2728942619025929</x:v>
      </x:c>
      <x:c r="U1756" s="23" t="n">
        <x:v>-32.59794325500707</x:v>
      </x:c>
      <x:c r="V1756" s="23" t="n">
        <x:v>2.6902920697665422</x:v>
      </x:c>
    </x:row>
    <x:row r="1757">
      <x:c r="A1757" s="23" t="n">
        <x:v>1756</x:v>
      </x:c>
      <x:c r="B1757" s="23" t="str">
        <x:v>Validation</x:v>
      </x:c>
      <x:c r="C1757" s="23" t="str">
        <x:v>Switching</x:v>
      </x:c>
      <x:c r="D1757" s="23" t="n">
        <x:v>1081.5833494416438</x:v>
      </x:c>
      <x:c r="E1757" s="23" t="n">
        <x:v>1077.2713750135154</x:v>
      </x:c>
      <x:c r="F1757" s="23" t="n">
        <x:v>527.8083409182727</x:v>
      </x:c>
      <x:c r="G1757" s="23" t="n">
        <x:v>156.93386066239327</x:v>
      </x:c>
      <x:c r="H1757" s="23" t="n">
        <x:v>20.622373576741666</x:v>
      </x:c>
      <x:c r="I1757" s="23" t="n">
        <x:v>0.8522723860293627</x:v>
      </x:c>
      <x:c r="J1757" s="23" t="n">
        <x:v>7</x:v>
      </x:c>
      <x:c r="K1757" s="23" t="n">
        <x:v>181.29404354275147</x:v>
      </x:c>
      <x:c r="L1757" s="23" t="n">
        <x:v>12135</x:v>
      </x:c>
      <x:c r="M1757" s="23" t="n">
        <x:v>1200</x:v>
      </x:c>
      <x:c r="N1757" s="23" t="n">
        <x:v>249.9564930391759</x:v>
      </x:c>
      <x:c r="O1757" s="23" t="n">
        <x:v>2505.05703343207</x:v>
      </x:c>
      <x:c r="P1757" s="23" t="n">
        <x:v>1081.5833494416438</x:v>
      </x:c>
      <x:c r="Q1757" s="23" t="n">
        <x:v>252.51643220928707</x:v>
      </x:c>
      <x:c r="R1757" s="23" t="n">
        <x:v>2497.556302946097</x:v>
      </x:c>
      <x:c r="S1757" s="23" t="n">
        <x:v>1077.596552199776</x:v>
      </x:c>
      <x:c r="T1757" s="23" t="n">
        <x:v>2.5599391701111642</x:v>
      </x:c>
      <x:c r="U1757" s="23" t="n">
        <x:v>-7.500730485973236</x:v>
      </x:c>
      <x:c r="V1757" s="23" t="n">
        <x:v>-3.986797241867862</x:v>
      </x:c>
    </x:row>
    <x:row r="1758">
      <x:c r="A1758" s="23" t="n">
        <x:v>1757</x:v>
      </x:c>
      <x:c r="B1758" s="23" t="str">
        <x:v>Validation</x:v>
      </x:c>
      <x:c r="C1758" s="23" t="str">
        <x:v>Switching</x:v>
      </x:c>
      <x:c r="D1758" s="23" t="n">
        <x:v>1081.3703156542033</x:v>
      </x:c>
      <x:c r="E1758" s="23" t="n">
        <x:v>1076.989537558984</x:v>
      </x:c>
      <x:c r="F1758" s="23" t="n">
        <x:v>635.1997232064605</x:v>
      </x:c>
      <x:c r="G1758" s="23" t="n">
        <x:v>182.3108892259188</x:v>
      </x:c>
      <x:c r="H1758" s="23" t="n">
        <x:v>16.08770738169551</x:v>
      </x:c>
      <x:c r="I1758" s="23" t="n">
        <x:v>0.7910277658351698</x:v>
      </x:c>
      <x:c r="J1758" s="23" t="n">
        <x:v>7</x:v>
      </x:c>
      <x:c r="K1758" s="23" t="n">
        <x:v>195.2921001474381</x:v>
      </x:c>
      <x:c r="L1758" s="23" t="n">
        <x:v>11290</x:v>
      </x:c>
      <x:c r="M1758" s="23" t="n">
        <x:v>1195</x:v>
      </x:c>
      <x:c r="N1758" s="23" t="n">
        <x:v>250.03674418653839</x:v>
      </x:c>
      <x:c r="O1758" s="23" t="n">
        <x:v>2495.387313171992</x:v>
      </x:c>
      <x:c r="P1758" s="23" t="n">
        <x:v>1081.3703156542033</x:v>
      </x:c>
      <x:c r="Q1758" s="23" t="n">
        <x:v>251.65240649802396</x:v>
      </x:c>
      <x:c r="R1758" s="23" t="n">
        <x:v>2511.1449957633</x:v>
      </x:c>
      <x:c r="S1758" s="23" t="n">
        <x:v>1078.451867461336</x:v>
      </x:c>
      <x:c r="T1758" s="23" t="n">
        <x:v>1.615662311485579</x:v>
      </x:c>
      <x:c r="U1758" s="23" t="n">
        <x:v>15.757682591307912</x:v>
      </x:c>
      <x:c r="V1758" s="23" t="n">
        <x:v>-2.918448192867345</x:v>
      </x:c>
    </x:row>
    <x:row r="1759">
      <x:c r="A1759" s="23" t="n">
        <x:v>1758</x:v>
      </x:c>
      <x:c r="B1759" s="23" t="str">
        <x:v>Hidden Test</x:v>
      </x:c>
      <x:c r="C1759" s="23" t="str">
        <x:v>Switching</x:v>
      </x:c>
      <x:c r="D1759" s="23" t="n">
        <x:v>1043.2964332518168</x:v>
      </x:c>
      <x:c r="E1759" s="23" t="n">
        <x:v>734.1975970892236</x:v>
      </x:c>
      <x:c r="F1759" s="23" t="n">
        <x:v>539.9933059699833</x:v>
      </x:c>
      <x:c r="G1759" s="23" t="n">
        <x:v>268.77929728478193</x:v>
      </x:c>
      <x:c r="H1759" s="23" t="n">
        <x:v>22.857035147491843</x:v>
      </x:c>
      <x:c r="I1759" s="23" t="n">
        <x:v>0.8524348271964118</x:v>
      </x:c>
      <x:c r="J1759" s="23" t="n">
        <x:v>7</x:v>
      </x:c>
      <x:c r="K1759" s="23" t="n">
        <x:v>174.84309985033158</x:v>
      </x:c>
      <x:c r="L1759" s="23" t="n">
        <x:v>13860</x:v>
      </x:c>
      <x:c r="M1759" s="23" t="n">
        <x:v>1200</x:v>
      </x:c>
      <x:c r="N1759" s="23" t="n">
        <x:v>249.99776975406394</x:v>
      </x:c>
      <x:c r="O1759" s="23" t="n">
        <x:v>2503.7819381302425</x:v>
      </x:c>
      <x:c r="P1759" s="23" t="n">
        <x:v>1043.2964332518168</x:v>
      </x:c>
      <x:c r="Q1759" s="23" t="n">
        <x:v>248.95388474053064</x:v>
      </x:c>
      <x:c r="R1759" s="23" t="n">
        <x:v>2443.9249136820467</x:v>
      </x:c>
      <x:c r="S1759" s="23" t="n">
        <x:v>1037.2764202615374</x:v>
      </x:c>
      <x:c r="T1759" s="23" t="n">
        <x:v>-1.0438850135332984</x:v>
      </x:c>
      <x:c r="U1759" s="23" t="n">
        <x:v>-59.857024448195716</x:v>
      </x:c>
      <x:c r="V1759" s="23" t="n">
        <x:v>-6.020012990279383</x:v>
      </x:c>
    </x:row>
    <x:row r="1760">
      <x:c r="A1760" s="23" t="n">
        <x:v>1759</x:v>
      </x:c>
      <x:c r="B1760" s="23" t="str">
        <x:v>Hidden Test</x:v>
      </x:c>
      <x:c r="C1760" s="23" t="str">
        <x:v>Switching</x:v>
      </x:c>
      <x:c r="D1760" s="23" t="n">
        <x:v>1016.3557518506423</x:v>
      </x:c>
      <x:c r="E1760" s="23" t="n">
        <x:v>1220.7906737108715</x:v>
      </x:c>
      <x:c r="F1760" s="23" t="n">
        <x:v>657.4478588998318</x:v>
      </x:c>
      <x:c r="G1760" s="23" t="n">
        <x:v>293.6015197611414</x:v>
      </x:c>
      <x:c r="H1760" s="23" t="n">
        <x:v>19.3253718232736</x:v>
      </x:c>
      <x:c r="I1760" s="23" t="n">
        <x:v>0.8209515496506357</x:v>
      </x:c>
      <x:c r="J1760" s="23" t="n">
        <x:v>7</x:v>
      </x:c>
      <x:c r="K1760" s="23" t="n">
        <x:v>176.86022871580508</x:v>
      </x:c>
      <x:c r="L1760" s="23" t="n">
        <x:v>9845</x:v>
      </x:c>
      <x:c r="M1760" s="23" t="n">
        <x:v>1195</x:v>
      </x:c>
      <x:c r="N1760" s="23" t="n">
        <x:v>249.95342192232994</x:v>
      </x:c>
      <x:c r="O1760" s="23" t="n">
        <x:v>2496.995037332397</x:v>
      </x:c>
      <x:c r="P1760" s="23" t="n">
        <x:v>1016.3557518506423</x:v>
      </x:c>
      <x:c r="Q1760" s="23" t="n">
        <x:v>254.93977565412902</x:v>
      </x:c>
      <x:c r="R1760" s="23" t="n">
        <x:v>2568.2259255063504</x:v>
      </x:c>
      <x:c r="S1760" s="23" t="n">
        <x:v>1008.4962103700052</x:v>
      </x:c>
      <x:c r="T1760" s="23" t="n">
        <x:v>4.986353731799085</x:v>
      </x:c>
      <x:c r="U1760" s="23" t="n">
        <x:v>71.23088817395364</x:v>
      </x:c>
      <x:c r="V1760" s="23" t="n">
        <x:v>-7.859541480637063</x:v>
      </x:c>
    </x:row>
    <x:row r="1761">
      <x:c r="A1761" s="23" t="n">
        <x:v>1760</x:v>
      </x:c>
      <x:c r="B1761" s="23" t="str">
        <x:v>Hidden Test</x:v>
      </x:c>
      <x:c r="C1761" s="23" t="str">
        <x:v>Switching</x:v>
      </x:c>
      <x:c r="D1761" s="23" t="n">
        <x:v>957.4632501113228</x:v>
      </x:c>
      <x:c r="E1761" s="23" t="n">
        <x:v>1041.1408975720406</x:v>
      </x:c>
      <x:c r="F1761" s="23" t="n">
        <x:v>445.9847896359861</x:v>
      </x:c>
      <x:c r="G1761" s="23" t="n">
        <x:v>315.247518052347</x:v>
      </x:c>
      <x:c r="H1761" s="23" t="n">
        <x:v>24.19227069756016</x:v>
      </x:c>
      <x:c r="I1761" s="23" t="n">
        <x:v>0.7981974827777595</x:v>
      </x:c>
      <x:c r="J1761" s="23" t="n">
        <x:v>6</x:v>
      </x:c>
      <x:c r="K1761" s="23" t="n">
        <x:v>199.92196391869342</x:v>
      </x:c>
      <x:c r="L1761" s="23" t="n">
        <x:v>13845</x:v>
      </x:c>
      <x:c r="M1761" s="23" t="n">
        <x:v>1200</x:v>
      </x:c>
      <x:c r="N1761" s="23" t="n">
        <x:v>250.03825534555963</x:v>
      </x:c>
      <x:c r="O1761" s="23" t="n">
        <x:v>2503.793121344967</x:v>
      </x:c>
      <x:c r="P1761" s="23" t="n">
        <x:v>957.4632501113228</x:v>
      </x:c>
      <x:c r="Q1761" s="23" t="n">
        <x:v>250.50223539178856</x:v>
      </x:c>
      <x:c r="R1761" s="23" t="n">
        <x:v>2521.456988450627</x:v>
      </x:c>
      <x:c r="S1761" s="23" t="n">
        <x:v>948.7941833903367</x:v>
      </x:c>
      <x:c r="T1761" s="23" t="n">
        <x:v>0.46398004622892586</x:v>
      </x:c>
      <x:c r="U1761" s="23" t="n">
        <x:v>17.663867105659847</x:v>
      </x:c>
      <x:c r="V1761" s="23" t="n">
        <x:v>-8.669066720986166</x:v>
      </x:c>
    </x:row>
    <x:row r="1762">
      <x:c r="A1762" s="23" t="n">
        <x:v>1761</x:v>
      </x:c>
      <x:c r="B1762" s="23" t="str">
        <x:v>Train</x:v>
      </x:c>
      <x:c r="C1762" s="23" t="str">
        <x:v>Switching</x:v>
      </x:c>
      <x:c r="D1762" s="23" t="n">
        <x:v>955.7559146545827</x:v>
      </x:c>
      <x:c r="E1762" s="23" t="n">
        <x:v>1030.0859994604252</x:v>
      </x:c>
      <x:c r="F1762" s="23" t="n">
        <x:v>658.7360287085176</x:v>
      </x:c>
      <x:c r="G1762" s="23" t="n">
        <x:v>162.8832714469172</x:v>
      </x:c>
      <x:c r="H1762" s="23" t="n">
        <x:v>15.605151230469346</x:v>
      </x:c>
      <x:c r="I1762" s="23" t="n">
        <x:v>0.8394626121525653</x:v>
      </x:c>
      <x:c r="J1762" s="23" t="n">
        <x:v>6</x:v>
      </x:c>
      <x:c r="K1762" s="23" t="n">
        <x:v>189.75550564898813</x:v>
      </x:c>
      <x:c r="L1762" s="23" t="n">
        <x:v>13475</x:v>
      </x:c>
      <x:c r="M1762" s="23" t="n">
        <x:v>1200</x:v>
      </x:c>
      <x:c r="N1762" s="23" t="n">
        <x:v>250.01672661709205</x:v>
      </x:c>
      <x:c r="O1762" s="23" t="n">
        <x:v>2504.039268762963</x:v>
      </x:c>
      <x:c r="P1762" s="23" t="n">
        <x:v>955.7559146545827</x:v>
      </x:c>
      <x:c r="Q1762" s="23" t="n">
        <x:v>250.04367944117737</x:v>
      </x:c>
      <x:c r="R1762" s="23" t="n">
        <x:v>2529.996593694876</x:v>
      </x:c>
      <x:c r="S1762" s="23" t="n">
        <x:v>957.2651405958771</x:v>
      </x:c>
      <x:c r="T1762" s="23" t="n">
        <x:v>0.02695282408532762</x:v>
      </x:c>
      <x:c r="U1762" s="23" t="n">
        <x:v>25.957324931913263</x:v>
      </x:c>
      <x:c r="V1762" s="23" t="n">
        <x:v>1.5092259412944031</x:v>
      </x:c>
    </x:row>
    <x:row r="1763">
      <x:c r="A1763" s="23" t="n">
        <x:v>1762</x:v>
      </x:c>
      <x:c r="B1763" s="23" t="str">
        <x:v>Train</x:v>
      </x:c>
      <x:c r="C1763" s="23" t="str">
        <x:v>Switching</x:v>
      </x:c>
      <x:c r="D1763" s="23" t="n">
        <x:v>1043.6122232698835</x:v>
      </x:c>
      <x:c r="E1763" s="23" t="n">
        <x:v>909.1768282698467</x:v>
      </x:c>
      <x:c r="F1763" s="23" t="n">
        <x:v>604.4738763011992</x:v>
      </x:c>
      <x:c r="G1763" s="23" t="n">
        <x:v>219.61090170778334</x:v>
      </x:c>
      <x:c r="H1763" s="23" t="n">
        <x:v>20.77602843241766</x:v>
      </x:c>
      <x:c r="I1763" s="23" t="n">
        <x:v>0.8215635263035074</x:v>
      </x:c>
      <x:c r="J1763" s="23" t="n">
        <x:v>7</x:v>
      </x:c>
      <x:c r="K1763" s="23" t="n">
        <x:v>181.4679640634988</x:v>
      </x:c>
      <x:c r="L1763" s="23" t="n">
        <x:v>12340</x:v>
      </x:c>
      <x:c r="M1763" s="23" t="n">
        <x:v>1200</x:v>
      </x:c>
      <x:c r="N1763" s="23" t="n">
        <x:v>250.031461791951</x:v>
      </x:c>
      <x:c r="O1763" s="23" t="n">
        <x:v>2504.8896624624704</x:v>
      </x:c>
      <x:c r="P1763" s="23" t="n">
        <x:v>1043.6122232698835</x:v>
      </x:c>
      <x:c r="Q1763" s="23" t="n">
        <x:v>247.71389070935905</x:v>
      </x:c>
      <x:c r="R1763" s="23" t="n">
        <x:v>2487.0205964689626</x:v>
      </x:c>
      <x:c r="S1763" s="23" t="n">
        <x:v>1044.7653599029004</x:v>
      </x:c>
      <x:c r="T1763" s="23" t="n">
        <x:v>-2.3175710825919396</x:v>
      </x:c>
      <x:c r="U1763" s="23" t="n">
        <x:v>-17.869065993507775</x:v>
      </x:c>
      <x:c r="V1763" s="23" t="n">
        <x:v>1.1531366330168566</x:v>
      </x:c>
    </x:row>
    <x:row r="1764">
      <x:c r="A1764" s="23" t="n">
        <x:v>1763</x:v>
      </x:c>
      <x:c r="B1764" s="23" t="str">
        <x:v>Train</x:v>
      </x:c>
      <x:c r="C1764" s="23" t="str">
        <x:v>Switching</x:v>
      </x:c>
      <x:c r="D1764" s="23" t="n">
        <x:v>969.7852827375755</x:v>
      </x:c>
      <x:c r="E1764" s="23" t="n">
        <x:v>743.6888211988844</x:v>
      </x:c>
      <x:c r="F1764" s="23" t="n">
        <x:v>619.8770802468061</x:v>
      </x:c>
      <x:c r="G1764" s="23" t="n">
        <x:v>105.8906275848858</x:v>
      </x:c>
      <x:c r="H1764" s="23" t="n">
        <x:v>21.718999822624028</x:v>
      </x:c>
      <x:c r="I1764" s="23" t="n">
        <x:v>0.851642154834699</x:v>
      </x:c>
      <x:c r="J1764" s="23" t="n">
        <x:v>6</x:v>
      </x:c>
      <x:c r="K1764" s="23" t="n">
        <x:v>189.7873179934765</x:v>
      </x:c>
      <x:c r="L1764" s="23" t="n">
        <x:v>16980</x:v>
      </x:c>
      <x:c r="M1764" s="23" t="n">
        <x:v>1200</x:v>
      </x:c>
      <x:c r="N1764" s="23" t="n">
        <x:v>250.0131910840415</x:v>
      </x:c>
      <x:c r="O1764" s="23" t="n">
        <x:v>2502.1320002972507</x:v>
      </x:c>
      <x:c r="P1764" s="23" t="n">
        <x:v>969.7852827375755</x:v>
      </x:c>
      <x:c r="Q1764" s="23" t="n">
        <x:v>249.41952973525278</x:v>
      </x:c>
      <x:c r="R1764" s="23" t="n">
        <x:v>2458.4995481620404</x:v>
      </x:c>
      <x:c r="S1764" s="23" t="n">
        <x:v>976.4299843413194</x:v>
      </x:c>
      <x:c r="T1764" s="23" t="n">
        <x:v>-0.5936613487887143</x:v>
      </x:c>
      <x:c r="U1764" s="23" t="n">
        <x:v>-43.632452135210315</x:v>
      </x:c>
      <x:c r="V1764" s="23" t="n">
        <x:v>6.644701603743897</x:v>
      </x:c>
    </x:row>
    <x:row r="1765">
      <x:c r="A1765" s="23" t="n">
        <x:v>1764</x:v>
      </x:c>
      <x:c r="B1765" s="23" t="str">
        <x:v>Train</x:v>
      </x:c>
      <x:c r="C1765" s="23" t="str">
        <x:v>Switching</x:v>
      </x:c>
      <x:c r="D1765" s="23" t="n">
        <x:v>958.582125918474</x:v>
      </x:c>
      <x:c r="E1765" s="23" t="n">
        <x:v>1027.0701237488538</x:v>
      </x:c>
      <x:c r="F1765" s="23" t="n">
        <x:v>627.6475342921913</x:v>
      </x:c>
      <x:c r="G1765" s="23" t="n">
        <x:v>177.77806175407022</x:v>
      </x:c>
      <x:c r="H1765" s="23" t="n">
        <x:v>15.678720451425761</x:v>
      </x:c>
      <x:c r="I1765" s="23" t="n">
        <x:v>0.8579410609416664</x:v>
      </x:c>
      <x:c r="J1765" s="23" t="n">
        <x:v>6</x:v>
      </x:c>
      <x:c r="K1765" s="23" t="n">
        <x:v>186.2175561077869</x:v>
      </x:c>
      <x:c r="L1765" s="23" t="n">
        <x:v>13615</x:v>
      </x:c>
      <x:c r="M1765" s="23" t="n">
        <x:v>1200</x:v>
      </x:c>
      <x:c r="N1765" s="23" t="n">
        <x:v>249.99368148710502</x:v>
      </x:c>
      <x:c r="O1765" s="23" t="n">
        <x:v>2503.9434206434894</x:v>
      </x:c>
      <x:c r="P1765" s="23" t="n">
        <x:v>958.582125918474</x:v>
      </x:c>
      <x:c r="Q1765" s="23" t="n">
        <x:v>254.1952752279453</x:v>
      </x:c>
      <x:c r="R1765" s="23" t="n">
        <x:v>2547.1113608281803</x:v>
      </x:c>
      <x:c r="S1765" s="23" t="n">
        <x:v>955.6787455457063</x:v>
      </x:c>
      <x:c r="T1765" s="23" t="n">
        <x:v>4.201593740840281</x:v>
      </x:c>
      <x:c r="U1765" s="23" t="n">
        <x:v>43.167940184690906</x:v>
      </x:c>
      <x:c r="V1765" s="23" t="n">
        <x:v>-2.9033803727677423</x:v>
      </x:c>
    </x:row>
    <x:row r="1766">
      <x:c r="A1766" s="23" t="n">
        <x:v>1765</x:v>
      </x:c>
      <x:c r="B1766" s="23" t="str">
        <x:v>Train</x:v>
      </x:c>
      <x:c r="C1766" s="23" t="str">
        <x:v>Switching</x:v>
      </x:c>
      <x:c r="D1766" s="23" t="n">
        <x:v>1084.4139380846173</x:v>
      </x:c>
      <x:c r="E1766" s="23" t="n">
        <x:v>798.0354716884904</x:v>
      </x:c>
      <x:c r="F1766" s="23" t="n">
        <x:v>748.1270564720035</x:v>
      </x:c>
      <x:c r="G1766" s="23" t="n">
        <x:v>163.18828168557957</x:v>
      </x:c>
      <x:c r="H1766" s="23" t="n">
        <x:v>10.955892063677311</x:v>
      </x:c>
      <x:c r="I1766" s="23" t="n">
        <x:v>0.8390979614318349</x:v>
      </x:c>
      <x:c r="J1766" s="23" t="n">
        <x:v>7</x:v>
      </x:c>
      <x:c r="K1766" s="23" t="n">
        <x:v>184.6223968949731</x:v>
      </x:c>
      <x:c r="L1766" s="23" t="n">
        <x:v>12510</x:v>
      </x:c>
      <x:c r="M1766" s="23" t="n">
        <x:v>1200</x:v>
      </x:c>
      <x:c r="N1766" s="23" t="n">
        <x:v>249.97897136564026</x:v>
      </x:c>
      <x:c r="O1766" s="23" t="n">
        <x:v>2504.750472934276</x:v>
      </x:c>
      <x:c r="P1766" s="23" t="n">
        <x:v>1084.4139380846173</x:v>
      </x:c>
      <x:c r="Q1766" s="23" t="n">
        <x:v>249.94298260980295</x:v>
      </x:c>
      <x:c r="R1766" s="23" t="n">
        <x:v>2513.745693036237</x:v>
      </x:c>
      <x:c r="S1766" s="23" t="n">
        <x:v>1093.401512916868</x:v>
      </x:c>
      <x:c r="T1766" s="23" t="n">
        <x:v>-0.03598875583730887</x:v>
      </x:c>
      <x:c r="U1766" s="23" t="n">
        <x:v>8.995220101960967</x:v>
      </x:c>
      <x:c r="V1766" s="23" t="n">
        <x:v>8.98757483225063</x:v>
      </x:c>
    </x:row>
    <x:row r="1767">
      <x:c r="A1767" s="23" t="n">
        <x:v>1766</x:v>
      </x:c>
      <x:c r="B1767" s="23" t="str">
        <x:v>Train</x:v>
      </x:c>
      <x:c r="C1767" s="23" t="str">
        <x:v>Switching</x:v>
      </x:c>
      <x:c r="D1767" s="23" t="n">
        <x:v>1022.7808359195478</x:v>
      </x:c>
      <x:c r="E1767" s="23" t="n">
        <x:v>627.3831188445911</x:v>
      </x:c>
      <x:c r="F1767" s="23" t="n">
        <x:v>404.9778309650719</x:v>
      </x:c>
      <x:c r="G1767" s="23" t="n">
        <x:v>122.82145341858268</x:v>
      </x:c>
      <x:c r="H1767" s="23" t="n">
        <x:v>24.61163323977962</x:v>
      </x:c>
      <x:c r="I1767" s="23" t="n">
        <x:v>0.8027652622899041</x:v>
      </x:c>
      <x:c r="J1767" s="23" t="n">
        <x:v>7</x:v>
      </x:c>
      <x:c r="K1767" s="23" t="n">
        <x:v>182.01030220430903</x:v>
      </x:c>
      <x:c r="L1767" s="23" t="n">
        <x:v>18515</x:v>
      </x:c>
      <x:c r="M1767" s="23" t="n">
        <x:v>1200</x:v>
      </x:c>
      <x:c r="N1767" s="23" t="n">
        <x:v>250.02848007876017</x:v>
      </x:c>
      <x:c r="O1767" s="23" t="n">
        <x:v>2501.5245478056722</x:v>
      </x:c>
      <x:c r="P1767" s="23" t="n">
        <x:v>1022.7808359195478</x:v>
      </x:c>
      <x:c r="Q1767" s="23" t="n">
        <x:v>246.64210073592187</x:v>
      </x:c>
      <x:c r="R1767" s="23" t="n">
        <x:v>2460.082459309206</x:v>
      </x:c>
      <x:c r="S1767" s="23" t="n">
        <x:v>1027.3939892885007</x:v>
      </x:c>
      <x:c r="T1767" s="23" t="n">
        <x:v>-3.3863793428382962</x:v>
      </x:c>
      <x:c r="U1767" s="23" t="n">
        <x:v>-41.44208849646611</x:v>
      </x:c>
      <x:c r="V1767" s="23" t="n">
        <x:v>4.613153368952908</x:v>
      </x:c>
    </x:row>
    <x:row r="1768">
      <x:c r="A1768" s="23" t="n">
        <x:v>1767</x:v>
      </x:c>
      <x:c r="B1768" s="23" t="str">
        <x:v>Train</x:v>
      </x:c>
      <x:c r="C1768" s="23" t="str">
        <x:v>Switching</x:v>
      </x:c>
      <x:c r="D1768" s="23" t="n">
        <x:v>972.7893608855084</x:v>
      </x:c>
      <x:c r="E1768" s="23" t="n">
        <x:v>1234.1319691506214</x:v>
      </x:c>
      <x:c r="F1768" s="23" t="n">
        <x:v>454.2428433895111</x:v>
      </x:c>
      <x:c r="G1768" s="23" t="n">
        <x:v>150.82507194718346</x:v>
      </x:c>
      <x:c r="H1768" s="23" t="n">
        <x:v>22.247189330868423</x:v>
      </x:c>
      <x:c r="I1768" s="23" t="n">
        <x:v>0.8473187337047421</x:v>
      </x:c>
      <x:c r="J1768" s="23" t="n">
        <x:v>6</x:v>
      </x:c>
      <x:c r="K1768" s="23" t="n">
        <x:v>191.34660157777333</x:v>
      </x:c>
      <x:c r="L1768" s="23" t="n">
        <x:v>13565</x:v>
      </x:c>
      <x:c r="M1768" s="23" t="n">
        <x:v>1200</x:v>
      </x:c>
      <x:c r="N1768" s="23" t="n">
        <x:v>249.98700985716317</x:v>
      </x:c>
      <x:c r="O1768" s="23" t="n">
        <x:v>2503.9768717436377</x:v>
      </x:c>
      <x:c r="P1768" s="23" t="n">
        <x:v>972.7893608855084</x:v>
      </x:c>
      <x:c r="Q1768" s="23" t="n">
        <x:v>249.29632758331593</x:v>
      </x:c>
      <x:c r="R1768" s="23" t="n">
        <x:v>2542.297376930388</x:v>
      </x:c>
      <x:c r="S1768" s="23" t="n">
        <x:v>964.5904020273848</x:v>
      </x:c>
      <x:c r="T1768" s="23" t="n">
        <x:v>-0.6906822738472442</x:v>
      </x:c>
      <x:c r="U1768" s="23" t="n">
        <x:v>38.320505186750324</x:v>
      </x:c>
      <x:c r="V1768" s="23" t="n">
        <x:v>-8.198958858123547</x:v>
      </x:c>
    </x:row>
    <x:row r="1769">
      <x:c r="A1769" s="23" t="n">
        <x:v>1768</x:v>
      </x:c>
      <x:c r="B1769" s="23" t="str">
        <x:v>Train</x:v>
      </x:c>
      <x:c r="C1769" s="23" t="str">
        <x:v>Switching</x:v>
      </x:c>
      <x:c r="D1769" s="23" t="n">
        <x:v>1097.6060473243706</x:v>
      </x:c>
      <x:c r="E1769" s="23" t="n">
        <x:v>1212.44210684672</x:v>
      </x:c>
      <x:c r="F1769" s="23" t="n">
        <x:v>627.7496731840074</x:v>
      </x:c>
      <x:c r="G1769" s="23" t="n">
        <x:v>185.73987441603094</x:v>
      </x:c>
      <x:c r="H1769" s="23" t="n">
        <x:v>27.666181666310877</x:v>
      </x:c>
      <x:c r="I1769" s="23" t="n">
        <x:v>0.7907369457278401</x:v>
      </x:c>
      <x:c r="J1769" s="23" t="n">
        <x:v>7</x:v>
      </x:c>
      <x:c r="K1769" s="23" t="n">
        <x:v>198.29712618164427</x:v>
      </x:c>
      <x:c r="L1769" s="23" t="n">
        <x:v>10555</x:v>
      </x:c>
      <x:c r="M1769" s="23" t="n">
        <x:v>1195</x:v>
      </x:c>
      <x:c r="N1769" s="23" t="n">
        <x:v>249.97633534384806</x:v>
      </x:c>
      <x:c r="O1769" s="23" t="n">
        <x:v>2496.149214374587</x:v>
      </x:c>
      <x:c r="P1769" s="23" t="n">
        <x:v>1097.6060473243706</x:v>
      </x:c>
      <x:c r="Q1769" s="23" t="n">
        <x:v>247.64297885182225</x:v>
      </x:c>
      <x:c r="R1769" s="23" t="n">
        <x:v>2545.0275229569015</x:v>
      </x:c>
      <x:c r="S1769" s="23" t="n">
        <x:v>1083.8548077460255</x:v>
      </x:c>
      <x:c r="T1769" s="23" t="n">
        <x:v>-2.333356492025814</x:v>
      </x:c>
      <x:c r="U1769" s="23" t="n">
        <x:v>48.87830858231473</x:v>
      </x:c>
      <x:c r="V1769" s="23" t="n">
        <x:v>-13.751239578345121</x:v>
      </x:c>
    </x:row>
    <x:row r="1770">
      <x:c r="A1770" s="23" t="n">
        <x:v>1769</x:v>
      </x:c>
      <x:c r="B1770" s="23" t="str">
        <x:v>Train</x:v>
      </x:c>
      <x:c r="C1770" s="23" t="str">
        <x:v>Switching</x:v>
      </x:c>
      <x:c r="D1770" s="23" t="n">
        <x:v>1048.6533110961318</x:v>
      </x:c>
      <x:c r="E1770" s="23" t="n">
        <x:v>981.6041004261933</x:v>
      </x:c>
      <x:c r="F1770" s="23" t="n">
        <x:v>730.7422103360295</x:v>
      </x:c>
      <x:c r="G1770" s="23" t="n">
        <x:v>218.80423043156043</x:v>
      </x:c>
      <x:c r="H1770" s="23" t="n">
        <x:v>23.0194955971092</x:v>
      </x:c>
      <x:c r="I1770" s="23" t="n">
        <x:v>0.8380526886996813</x:v>
      </x:c>
      <x:c r="J1770" s="23" t="n">
        <x:v>7</x:v>
      </x:c>
      <x:c r="K1770" s="23" t="n">
        <x:v>178.7567988157365</x:v>
      </x:c>
      <x:c r="L1770" s="23" t="n">
        <x:v>11075</x:v>
      </x:c>
      <x:c r="M1770" s="23" t="n">
        <x:v>1195</x:v>
      </x:c>
      <x:c r="N1770" s="23" t="n">
        <x:v>250.0204041696354</x:v>
      </x:c>
      <x:c r="O1770" s="23" t="n">
        <x:v>2495.5997734740204</x:v>
      </x:c>
      <x:c r="P1770" s="23" t="n">
        <x:v>1048.6533110961318</x:v>
      </x:c>
      <x:c r="Q1770" s="23" t="n">
        <x:v>251.86435167506497</x:v>
      </x:c>
      <x:c r="R1770" s="23" t="n">
        <x:v>2524.671976239645</x:v>
      </x:c>
      <x:c r="S1770" s="23" t="n">
        <x:v>1039.4408358263877</x:v>
      </x:c>
      <x:c r="T1770" s="23" t="n">
        <x:v>1.8439475054295542</x:v>
      </x:c>
      <x:c r="U1770" s="23" t="n">
        <x:v>29.072202765624752</x:v>
      </x:c>
      <x:c r="V1770" s="23" t="n">
        <x:v>-9.212475269744118</x:v>
      </x:c>
    </x:row>
    <x:row r="1771">
      <x:c r="A1771" s="23" t="n">
        <x:v>1770</x:v>
      </x:c>
      <x:c r="B1771" s="23" t="str">
        <x:v>Train</x:v>
      </x:c>
      <x:c r="C1771" s="23" t="str">
        <x:v>Switching</x:v>
      </x:c>
      <x:c r="D1771" s="23" t="n">
        <x:v>1076.9612882868387</x:v>
      </x:c>
      <x:c r="E1771" s="23" t="n">
        <x:v>919.7819996858016</x:v>
      </x:c>
      <x:c r="F1771" s="23" t="n">
        <x:v>526.2899638153613</x:v>
      </x:c>
      <x:c r="G1771" s="23" t="n">
        <x:v>296.52934583835304</x:v>
      </x:c>
      <x:c r="H1771" s="23" t="n">
        <x:v>14.019074846524745</x:v>
      </x:c>
      <x:c r="I1771" s="23" t="n">
        <x:v>0.8464849313767627</x:v>
      </x:c>
      <x:c r="J1771" s="23" t="n">
        <x:v>7</x:v>
      </x:c>
      <x:c r="K1771" s="23" t="n">
        <x:v>181.75351611064602</x:v>
      </x:c>
      <x:c r="L1771" s="23" t="n">
        <x:v>12270</x:v>
      </x:c>
      <x:c r="M1771" s="23" t="n">
        <x:v>1200</x:v>
      </x:c>
      <x:c r="N1771" s="23" t="n">
        <x:v>249.9526249109837</x:v>
      </x:c>
      <x:c r="O1771" s="23" t="n">
        <x:v>2504.9440307419272</x:v>
      </x:c>
      <x:c r="P1771" s="23" t="n">
        <x:v>1076.9612882868387</x:v>
      </x:c>
      <x:c r="Q1771" s="23" t="n">
        <x:v>251.10537004930956</x:v>
      </x:c>
      <x:c r="R1771" s="23" t="n">
        <x:v>2542.9779604535734</x:v>
      </x:c>
      <x:c r="S1771" s="23" t="n">
        <x:v>1082.9802983411817</x:v>
      </x:c>
      <x:c r="T1771" s="23" t="n">
        <x:v>1.1527451383258551</x:v>
      </x:c>
      <x:c r="U1771" s="23" t="n">
        <x:v>38.033929711646124</x:v>
      </x:c>
      <x:c r="V1771" s="23" t="n">
        <x:v>6.019010054342971</x:v>
      </x:c>
    </x:row>
    <x:row r="1772">
      <x:c r="A1772" s="23" t="n">
        <x:v>1771</x:v>
      </x:c>
      <x:c r="B1772" s="23" t="str">
        <x:v>Train</x:v>
      </x:c>
      <x:c r="C1772" s="23" t="str">
        <x:v>Switching</x:v>
      </x:c>
      <x:c r="D1772" s="23" t="n">
        <x:v>975.7857790915295</x:v>
      </x:c>
      <x:c r="E1772" s="23" t="n">
        <x:v>1073.86093797395</x:v>
      </x:c>
      <x:c r="F1772" s="23" t="n">
        <x:v>738.4463209658861</x:v>
      </x:c>
      <x:c r="G1772" s="23" t="n">
        <x:v>271.7705817031674</x:v>
      </x:c>
      <x:c r="H1772" s="23" t="n">
        <x:v>28.814328298904</x:v>
      </x:c>
      <x:c r="I1772" s="23" t="n">
        <x:v>0.7931984545919113</x:v>
      </x:c>
      <x:c r="J1772" s="23" t="n">
        <x:v>7</x:v>
      </x:c>
      <x:c r="K1772" s="23" t="n">
        <x:v>175.74160367390684</x:v>
      </x:c>
      <x:c r="L1772" s="23" t="n">
        <x:v>10260</x:v>
      </x:c>
      <x:c r="M1772" s="23" t="n">
        <x:v>1195</x:v>
      </x:c>
      <x:c r="N1772" s="23" t="n">
        <x:v>249.96388326780857</x:v>
      </x:c>
      <x:c r="O1772" s="23" t="n">
        <x:v>2496.4862846179262</x:v>
      </x:c>
      <x:c r="P1772" s="23" t="n">
        <x:v>975.7857790915295</x:v>
      </x:c>
      <x:c r="Q1772" s="23" t="n">
        <x:v>248.1021289897958</x:v>
      </x:c>
      <x:c r="R1772" s="23" t="n">
        <x:v>2510.1526103511965</x:v>
      </x:c>
      <x:c r="S1772" s="23" t="n">
        <x:v>962.5999024228917</x:v>
      </x:c>
      <x:c r="T1772" s="23" t="n">
        <x:v>-1.8617542780127678</x:v>
      </x:c>
      <x:c r="U1772" s="23" t="n">
        <x:v>13.666325733270241</x:v>
      </x:c>
      <x:c r="V1772" s="23" t="n">
        <x:v>-13.185876668637889</x:v>
      </x:c>
    </x:row>
    <x:row r="1773">
      <x:c r="A1773" s="23" t="n">
        <x:v>1772</x:v>
      </x:c>
      <x:c r="B1773" s="23" t="str">
        <x:v>Train</x:v>
      </x:c>
      <x:c r="C1773" s="23" t="str">
        <x:v>Switching</x:v>
      </x:c>
      <x:c r="D1773" s="23" t="n">
        <x:v>1015.7127043581568</x:v>
      </x:c>
      <x:c r="E1773" s="23" t="n">
        <x:v>706.7384795751423</x:v>
      </x:c>
      <x:c r="F1773" s="23" t="n">
        <x:v>732.2516898624599</x:v>
      </x:c>
      <x:c r="G1773" s="23" t="n">
        <x:v>322.80968762468547</x:v>
      </x:c>
      <x:c r="H1773" s="23" t="n">
        <x:v>17.179321605246514</x:v>
      </x:c>
      <x:c r="I1773" s="23" t="n">
        <x:v>0.8456451265886427</x:v>
      </x:c>
      <x:c r="J1773" s="23" t="n">
        <x:v>7</x:v>
      </x:c>
      <x:c r="K1773" s="23" t="n">
        <x:v>171.58712365984192</x:v>
      </x:c>
      <x:c r="L1773" s="23" t="n">
        <x:v>12140</x:v>
      </x:c>
      <x:c r="M1773" s="23" t="n">
        <x:v>1200</x:v>
      </x:c>
      <x:c r="N1773" s="23" t="n">
        <x:v>250.0290675976322</x:v>
      </x:c>
      <x:c r="O1773" s="23" t="n">
        <x:v>2505.055789327931</x:v>
      </x:c>
      <x:c r="P1773" s="23" t="n">
        <x:v>1015.7127043581568</x:v>
      </x:c>
      <x:c r="Q1773" s="23" t="n">
        <x:v>252.66368553983085</x:v>
      </x:c>
      <x:c r="R1773" s="23" t="n">
        <x:v>2516.0708392558313</x:v>
      </x:c>
      <x:c r="S1773" s="23" t="n">
        <x:v>1012.4902439358466</x:v>
      </x:c>
      <x:c r="T1773" s="23" t="n">
        <x:v>2.634617942198645</x:v>
      </x:c>
      <x:c r="U1773" s="23" t="n">
        <x:v>11.015049927900236</x:v>
      </x:c>
      <x:c r="V1773" s="23" t="n">
        <x:v>-3.222460422310178</x:v>
      </x:c>
    </x:row>
    <x:row r="1774">
      <x:c r="A1774" s="23" t="n">
        <x:v>1773</x:v>
      </x:c>
      <x:c r="B1774" s="23" t="str">
        <x:v>Train</x:v>
      </x:c>
      <x:c r="C1774" s="23" t="str">
        <x:v>Switching</x:v>
      </x:c>
      <x:c r="D1774" s="23" t="n">
        <x:v>1034.8029097076505</x:v>
      </x:c>
      <x:c r="E1774" s="23" t="n">
        <x:v>1244.3290660972707</x:v>
      </x:c>
      <x:c r="F1774" s="23" t="n">
        <x:v>375.96291806548834</x:v>
      </x:c>
      <x:c r="G1774" s="23" t="n">
        <x:v>92.88759132148698</x:v>
      </x:c>
      <x:c r="H1774" s="23" t="n">
        <x:v>10.372602436691523</x:v>
      </x:c>
      <x:c r="I1774" s="23" t="n">
        <x:v>0.8512959115975537</x:v>
      </x:c>
      <x:c r="J1774" s="23" t="n">
        <x:v>7</x:v>
      </x:c>
      <x:c r="K1774" s="23" t="n">
        <x:v>173.6517056961721</x:v>
      </x:c>
      <x:c r="L1774" s="23" t="n">
        <x:v>12485</x:v>
      </x:c>
      <x:c r="M1774" s="23" t="n">
        <x:v>1200</x:v>
      </x:c>
      <x:c r="N1774" s="23" t="n">
        <x:v>250.0382071869192</x:v>
      </x:c>
      <x:c r="O1774" s="23" t="n">
        <x:v>2504.772760944809</x:v>
      </x:c>
      <x:c r="P1774" s="23" t="n">
        <x:v>1034.8029097076505</x:v>
      </x:c>
      <x:c r="Q1774" s="23" t="n">
        <x:v>251.16663569678923</x:v>
      </x:c>
      <x:c r="R1774" s="23" t="n">
        <x:v>2503.2404074473584</x:v>
      </x:c>
      <x:c r="S1774" s="23" t="n">
        <x:v>1041.3990414861282</x:v>
      </x:c>
      <x:c r="T1774" s="23" t="n">
        <x:v>1.1284285098700195</x:v>
      </x:c>
      <x:c r="U1774" s="23" t="n">
        <x:v>-1.5323534974504582</x:v>
      </x:c>
      <x:c r="V1774" s="23" t="n">
        <x:v>6.596131778477684</x:v>
      </x:c>
    </x:row>
    <x:row r="1775">
      <x:c r="A1775" s="23" t="n">
        <x:v>1774</x:v>
      </x:c>
      <x:c r="B1775" s="23" t="str">
        <x:v>Train</x:v>
      </x:c>
      <x:c r="C1775" s="23" t="str">
        <x:v>Switching</x:v>
      </x:c>
      <x:c r="D1775" s="23" t="n">
        <x:v>952.45355052175</x:v>
      </x:c>
      <x:c r="E1775" s="23" t="n">
        <x:v>1170.2337846858427</x:v>
      </x:c>
      <x:c r="F1775" s="23" t="n">
        <x:v>469.32208286598325</x:v>
      </x:c>
      <x:c r="G1775" s="23" t="n">
        <x:v>257.75605618953705</x:v>
      </x:c>
      <x:c r="H1775" s="23" t="n">
        <x:v>26.343237648252398</x:v>
      </x:c>
      <x:c r="I1775" s="23" t="n">
        <x:v>0.8435816677613184</x:v>
      </x:c>
      <x:c r="J1775" s="23" t="n">
        <x:v>6</x:v>
      </x:c>
      <x:c r="K1775" s="23" t="n">
        <x:v>188.17651507477515</x:v>
      </x:c>
      <x:c r="L1775" s="23" t="n">
        <x:v>13150</x:v>
      </x:c>
      <x:c r="M1775" s="23" t="n">
        <x:v>1200</x:v>
      </x:c>
      <x:c r="N1775" s="23" t="n">
        <x:v>249.99620798425676</x:v>
      </x:c>
      <x:c r="O1775" s="23" t="n">
        <x:v>2504.2668275746996</x:v>
      </x:c>
      <x:c r="P1775" s="23" t="n">
        <x:v>952.45355052175</x:v>
      </x:c>
      <x:c r="Q1775" s="23" t="n">
        <x:v>252.41569768682774</x:v>
      </x:c>
      <x:c r="R1775" s="23" t="n">
        <x:v>2541.2806957498756</x:v>
      </x:c>
      <x:c r="S1775" s="23" t="n">
        <x:v>944.1724527923053</x:v>
      </x:c>
      <x:c r="T1775" s="23" t="n">
        <x:v>2.419489702570985</x:v>
      </x:c>
      <x:c r="U1775" s="23" t="n">
        <x:v>37.01386817517596</x:v>
      </x:c>
      <x:c r="V1775" s="23" t="n">
        <x:v>-8.281097729444696</x:v>
      </x:c>
    </x:row>
    <x:row r="1776">
      <x:c r="A1776" s="23" t="n">
        <x:v>1775</x:v>
      </x:c>
      <x:c r="B1776" s="23" t="str">
        <x:v>Validation</x:v>
      </x:c>
      <x:c r="C1776" s="23" t="str">
        <x:v>Switching</x:v>
      </x:c>
      <x:c r="D1776" s="23" t="n">
        <x:v>1023.3526008436456</x:v>
      </x:c>
      <x:c r="E1776" s="23" t="n">
        <x:v>1134.4276824151166</x:v>
      </x:c>
      <x:c r="F1776" s="23" t="n">
        <x:v>652.4715103209019</x:v>
      </x:c>
      <x:c r="G1776" s="23" t="n">
        <x:v>258.2150552025996</x:v>
      </x:c>
      <x:c r="H1776" s="23" t="n">
        <x:v>27.69247282948345</x:v>
      </x:c>
      <x:c r="I1776" s="23" t="n">
        <x:v>0.8044136088131927</x:v>
      </x:c>
      <x:c r="J1776" s="23" t="n">
        <x:v>7</x:v>
      </x:c>
      <x:c r="K1776" s="23" t="n">
        <x:v>181.73888045931795</x:v>
      </x:c>
      <x:c r="L1776" s="23" t="n">
        <x:v>10455</x:v>
      </x:c>
      <x:c r="M1776" s="23" t="n">
        <x:v>1195</x:v>
      </x:c>
      <x:c r="N1776" s="23" t="n">
        <x:v>249.95250590099386</x:v>
      </x:c>
      <x:c r="O1776" s="23" t="n">
        <x:v>2496.2604148140163</x:v>
      </x:c>
      <x:c r="P1776" s="23" t="n">
        <x:v>1023.3526008436456</x:v>
      </x:c>
      <x:c r="Q1776" s="23" t="n">
        <x:v>250.0584411247415</x:v>
      </x:c>
      <x:c r="R1776" s="23" t="n">
        <x:v>2543.2483507000316</x:v>
      </x:c>
      <x:c r="S1776" s="23" t="n">
        <x:v>1002.6369373668446</x:v>
      </x:c>
      <x:c r="T1776" s="23" t="n">
        <x:v>0.1059352237476503</x:v>
      </x:c>
      <x:c r="U1776" s="23" t="n">
        <x:v>46.98793588601529</x:v>
      </x:c>
      <x:c r="V1776" s="23" t="n">
        <x:v>-20.71566347680107</x:v>
      </x:c>
    </x:row>
    <x:row r="1777">
      <x:c r="A1777" s="23" t="n">
        <x:v>1776</x:v>
      </x:c>
      <x:c r="B1777" s="23" t="str">
        <x:v>Validation</x:v>
      </x:c>
      <x:c r="C1777" s="23" t="str">
        <x:v>Switching</x:v>
      </x:c>
      <x:c r="D1777" s="23" t="n">
        <x:v>1052.4491947027855</x:v>
      </x:c>
      <x:c r="E1777" s="23" t="n">
        <x:v>1168.6323495581746</x:v>
      </x:c>
      <x:c r="F1777" s="23" t="n">
        <x:v>482.3646171949804</x:v>
      </x:c>
      <x:c r="G1777" s="23" t="n">
        <x:v>273.03978991229087</x:v>
      </x:c>
      <x:c r="H1777" s="23" t="n">
        <x:v>18.148225927259773</x:v>
      </x:c>
      <x:c r="I1777" s="23" t="n">
        <x:v>0.812129760151729</x:v>
      </x:c>
      <x:c r="J1777" s="23" t="n">
        <x:v>7</x:v>
      </x:c>
      <x:c r="K1777" s="23" t="n">
        <x:v>185.13037242897136</x:v>
      </x:c>
      <x:c r="L1777" s="23" t="n">
        <x:v>11115</x:v>
      </x:c>
      <x:c r="M1777" s="23" t="n">
        <x:v>1195</x:v>
      </x:c>
      <x:c r="N1777" s="23" t="n">
        <x:v>249.99895226795928</x:v>
      </x:c>
      <x:c r="O1777" s="23" t="n">
        <x:v>2495.5585352563676</x:v>
      </x:c>
      <x:c r="P1777" s="23" t="n">
        <x:v>1052.4491947027855</x:v>
      </x:c>
      <x:c r="Q1777" s="23" t="n">
        <x:v>250.14931869116728</x:v>
      </x:c>
      <x:c r="R1777" s="23" t="n">
        <x:v>2482.0967705837825</x:v>
      </x:c>
      <x:c r="S1777" s="23" t="n">
        <x:v>1053.685461742081</x:v>
      </x:c>
      <x:c r="T1777" s="23" t="n">
        <x:v>0.15036642320799842</x:v>
      </x:c>
      <x:c r="U1777" s="23" t="n">
        <x:v>-13.461764672585105</x:v>
      </x:c>
      <x:c r="V1777" s="23" t="n">
        <x:v>1.236267039295626</x:v>
      </x:c>
    </x:row>
    <x:row r="1778">
      <x:c r="A1778" s="23" t="n">
        <x:v>1777</x:v>
      </x:c>
      <x:c r="B1778" s="23" t="str">
        <x:v>Validation</x:v>
      </x:c>
      <x:c r="C1778" s="23" t="str">
        <x:v>Switching</x:v>
      </x:c>
      <x:c r="D1778" s="23" t="n">
        <x:v>1029.7651496715844</x:v>
      </x:c>
      <x:c r="E1778" s="23" t="n">
        <x:v>1125.0582562177442</x:v>
      </x:c>
      <x:c r="F1778" s="23" t="n">
        <x:v>533.0000141635537</x:v>
      </x:c>
      <x:c r="G1778" s="23" t="n">
        <x:v>200.62673649052158</x:v>
      </x:c>
      <x:c r="H1778" s="23" t="n">
        <x:v>10.426501320675015</x:v>
      </x:c>
      <x:c r="I1778" s="23" t="n">
        <x:v>0.8514227472175845</x:v>
      </x:c>
      <x:c r="J1778" s="23" t="n">
        <x:v>7</x:v>
      </x:c>
      <x:c r="K1778" s="23" t="n">
        <x:v>172.78056943708393</x:v>
      </x:c>
      <x:c r="L1778" s="23" t="n">
        <x:v>11505</x:v>
      </x:c>
      <x:c r="M1778" s="23" t="n">
        <x:v>1195</x:v>
      </x:c>
      <x:c r="N1778" s="23" t="n">
        <x:v>249.98122929647934</x:v>
      </x:c>
      <x:c r="O1778" s="23" t="n">
        <x:v>2495.17969475716</x:v>
      </x:c>
      <x:c r="P1778" s="23" t="n">
        <x:v>1029.7651496715844</x:v>
      </x:c>
      <x:c r="Q1778" s="23" t="n">
        <x:v>251.93294014242747</x:v>
      </x:c>
      <x:c r="R1778" s="23" t="n">
        <x:v>2477.6883340186996</x:v>
      </x:c>
      <x:c r="S1778" s="23" t="n">
        <x:v>1032.5432992625254</x:v>
      </x:c>
      <x:c r="T1778" s="23" t="n">
        <x:v>1.9517108459481278</x:v>
      </x:c>
      <x:c r="U1778" s="23" t="n">
        <x:v>-17.49136073846057</x:v>
      </x:c>
      <x:c r="V1778" s="23" t="n">
        <x:v>2.778149590940984</x:v>
      </x:c>
    </x:row>
    <x:row r="1779">
      <x:c r="A1779" s="23" t="n">
        <x:v>1778</x:v>
      </x:c>
      <x:c r="B1779" s="23" t="str">
        <x:v>Hidden Test</x:v>
      </x:c>
      <x:c r="C1779" s="23" t="str">
        <x:v>Switching</x:v>
      </x:c>
      <x:c r="D1779" s="23" t="n">
        <x:v>983.500669861678</x:v>
      </x:c>
      <x:c r="E1779" s="23" t="n">
        <x:v>980.950724077411</x:v>
      </x:c>
      <x:c r="F1779" s="23" t="n">
        <x:v>662.2702368535101</x:v>
      </x:c>
      <x:c r="G1779" s="23" t="n">
        <x:v>149.01611131615937</x:v>
      </x:c>
      <x:c r="H1779" s="23" t="n">
        <x:v>16.950086057651788</x:v>
      </x:c>
      <x:c r="I1779" s="23" t="n">
        <x:v>0.844691026234068</x:v>
      </x:c>
      <x:c r="J1779" s="23" t="n">
        <x:v>6</x:v>
      </x:c>
      <x:c r="K1779" s="23" t="n">
        <x:v>194.05530924257448</x:v>
      </x:c>
      <x:c r="L1779" s="23" t="n">
        <x:v>13920</x:v>
      </x:c>
      <x:c r="M1779" s="23" t="n">
        <x:v>1200</x:v>
      </x:c>
      <x:c r="N1779" s="23" t="n">
        <x:v>249.97878290802637</x:v>
      </x:c>
      <x:c r="O1779" s="23" t="n">
        <x:v>2503.742546095684</x:v>
      </x:c>
      <x:c r="P1779" s="23" t="n">
        <x:v>983.500669861678</x:v>
      </x:c>
      <x:c r="Q1779" s="23" t="n">
        <x:v>249.9181797812698</x:v>
      </x:c>
      <x:c r="R1779" s="23" t="n">
        <x:v>2539.123738311522</x:v>
      </x:c>
      <x:c r="S1779" s="23" t="n">
        <x:v>980.5859343799978</x:v>
      </x:c>
      <x:c r="T1779" s="23" t="n">
        <x:v>-0.06060312675657542</x:v>
      </x:c>
      <x:c r="U1779" s="23" t="n">
        <x:v>35.38119221583838</x:v>
      </x:c>
      <x:c r="V1779" s="23" t="n">
        <x:v>-2.9147354816802817</x:v>
      </x:c>
    </x:row>
    <x:row r="1780">
      <x:c r="A1780" s="23" t="n">
        <x:v>1779</x:v>
      </x:c>
      <x:c r="B1780" s="23" t="str">
        <x:v>Hidden Test</x:v>
      </x:c>
      <x:c r="C1780" s="23" t="str">
        <x:v>Switching</x:v>
      </x:c>
      <x:c r="D1780" s="23" t="n">
        <x:v>1060.4018663754687</x:v>
      </x:c>
      <x:c r="E1780" s="23" t="n">
        <x:v>825.5015659728087</x:v>
      </x:c>
      <x:c r="F1780" s="23" t="n">
        <x:v>502.3354288190603</x:v>
      </x:c>
      <x:c r="G1780" s="23" t="n">
        <x:v>220.05139720393345</x:v>
      </x:c>
      <x:c r="H1780" s="23" t="n">
        <x:v>17.76341260690242</x:v>
      </x:c>
      <x:c r="I1780" s="23" t="n">
        <x:v>0.8077004534448498</x:v>
      </x:c>
      <x:c r="J1780" s="23" t="n">
        <x:v>7</x:v>
      </x:c>
      <x:c r="K1780" s="23" t="n">
        <x:v>187.55218009930806</x:v>
      </x:c>
      <x:c r="L1780" s="23" t="n">
        <x:v>13815</x:v>
      </x:c>
      <x:c r="M1780" s="23" t="n">
        <x:v>1200</x:v>
      </x:c>
      <x:c r="N1780" s="23" t="n">
        <x:v>249.98025684856572</x:v>
      </x:c>
      <x:c r="O1780" s="23" t="n">
        <x:v>2503.8105679074856</x:v>
      </x:c>
      <x:c r="P1780" s="23" t="n">
        <x:v>1060.4018663754687</x:v>
      </x:c>
      <x:c r="Q1780" s="23" t="n">
        <x:v>247.29323164737917</x:v>
      </x:c>
      <x:c r="R1780" s="23" t="n">
        <x:v>2484.5878675157687</x:v>
      </x:c>
      <x:c r="S1780" s="23" t="n">
        <x:v>1065.4811227755995</x:v>
      </x:c>
      <x:c r="T1780" s="23" t="n">
        <x:v>-2.687025201186543</x:v>
      </x:c>
      <x:c r="U1780" s="23" t="n">
        <x:v>-19.2227003917169</x:v>
      </x:c>
      <x:c r="V1780" s="23" t="n">
        <x:v>5.0792564001308165</x:v>
      </x:c>
    </x:row>
    <x:row r="1781">
      <x:c r="A1781" s="23" t="n">
        <x:v>1780</x:v>
      </x:c>
      <x:c r="B1781" s="23" t="str">
        <x:v>Hidden Test</x:v>
      </x:c>
      <x:c r="C1781" s="23" t="str">
        <x:v>Switching</x:v>
      </x:c>
      <x:c r="D1781" s="23" t="n">
        <x:v>952.0644211559556</x:v>
      </x:c>
      <x:c r="E1781" s="23" t="n">
        <x:v>1102.8175229672343</x:v>
      </x:c>
      <x:c r="F1781" s="23" t="n">
        <x:v>436.68382642790675</x:v>
      </x:c>
      <x:c r="G1781" s="23" t="n">
        <x:v>261.6325628897175</x:v>
      </x:c>
      <x:c r="H1781" s="23" t="n">
        <x:v>8.066968023311347</x:v>
      </x:c>
      <x:c r="I1781" s="23" t="n">
        <x:v>0.7936352200247347</x:v>
      </x:c>
      <x:c r="J1781" s="23" t="n">
        <x:v>6</x:v>
      </x:c>
      <x:c r="K1781" s="23" t="n">
        <x:v>199.93745176914803</x:v>
      </x:c>
      <x:c r="L1781" s="23" t="n">
        <x:v>13850</x:v>
      </x:c>
      <x:c r="M1781" s="23" t="n">
        <x:v>1200</x:v>
      </x:c>
      <x:c r="N1781" s="23" t="n">
        <x:v>249.95616359002852</x:v>
      </x:c>
      <x:c r="O1781" s="23" t="n">
        <x:v>2503.7869377687366</x:v>
      </x:c>
      <x:c r="P1781" s="23" t="n">
        <x:v>952.0644211559556</x:v>
      </x:c>
      <x:c r="Q1781" s="23" t="n">
        <x:v>254.72096476744673</x:v>
      </x:c>
      <x:c r="R1781" s="23" t="n">
        <x:v>2482.707488046476</x:v>
      </x:c>
      <x:c r="S1781" s="23" t="n">
        <x:v>951.477997874562</x:v>
      </x:c>
      <x:c r="T1781" s="23" t="n">
        <x:v>4.764801177418207</x:v>
      </x:c>
      <x:c r="U1781" s="23" t="n">
        <x:v>-21.079449722260506</x:v>
      </x:c>
      <x:c r="V1781" s="23" t="n">
        <x:v>-0.5864232813936496</x:v>
      </x:c>
    </x:row>
    <x:row r="1782">
      <x:c r="A1782" s="23" t="n">
        <x:v>1781</x:v>
      </x:c>
      <x:c r="B1782" s="23" t="str">
        <x:v>Train</x:v>
      </x:c>
      <x:c r="C1782" s="23" t="str">
        <x:v>Switching</x:v>
      </x:c>
      <x:c r="D1782" s="23" t="n">
        <x:v>1039.1769972164184</x:v>
      </x:c>
      <x:c r="E1782" s="23" t="n">
        <x:v>932.3747038724832</x:v>
      </x:c>
      <x:c r="F1782" s="23" t="n">
        <x:v>723.7892476841807</x:v>
      </x:c>
      <x:c r="G1782" s="23" t="n">
        <x:v>106.20543754892424</x:v>
      </x:c>
      <x:c r="H1782" s="23" t="n">
        <x:v>22.51587423682213</x:v>
      </x:c>
      <x:c r="I1782" s="23" t="n">
        <x:v>0.8305921783135273</x:v>
      </x:c>
      <x:c r="J1782" s="23" t="n">
        <x:v>7</x:v>
      </x:c>
      <x:c r="K1782" s="23" t="n">
        <x:v>178.7325484410775</x:v>
      </x:c>
      <x:c r="L1782" s="23" t="n">
        <x:v>12135</x:v>
      </x:c>
      <x:c r="M1782" s="23" t="n">
        <x:v>1200</x:v>
      </x:c>
      <x:c r="N1782" s="23" t="n">
        <x:v>250.00701447595006</x:v>
      </x:c>
      <x:c r="O1782" s="23" t="n">
        <x:v>2505.0591046878612</x:v>
      </x:c>
      <x:c r="P1782" s="23" t="n">
        <x:v>1039.1769972164184</x:v>
      </x:c>
      <x:c r="Q1782" s="23" t="n">
        <x:v>251.48084189312627</x:v>
      </x:c>
      <x:c r="R1782" s="23" t="n">
        <x:v>2489.8540749374024</x:v>
      </x:c>
      <x:c r="S1782" s="23" t="n">
        <x:v>1027.611926732566</x:v>
      </x:c>
      <x:c r="T1782" s="23" t="n">
        <x:v>1.47382741717621</x:v>
      </x:c>
      <x:c r="U1782" s="23" t="n">
        <x:v>-15.205029750458834</x:v>
      </x:c>
      <x:c r="V1782" s="23" t="n">
        <x:v>-11.565070483852423</x:v>
      </x:c>
    </x:row>
    <x:row r="1783">
      <x:c r="A1783" s="23" t="n">
        <x:v>1782</x:v>
      </x:c>
      <x:c r="B1783" s="23" t="str">
        <x:v>Train</x:v>
      </x:c>
      <x:c r="C1783" s="23" t="str">
        <x:v>Switching</x:v>
      </x:c>
      <x:c r="D1783" s="23" t="n">
        <x:v>953.6748790298589</x:v>
      </x:c>
      <x:c r="E1783" s="23" t="n">
        <x:v>1091.5186108788475</x:v>
      </x:c>
      <x:c r="F1783" s="23" t="n">
        <x:v>700.2875667996705</x:v>
      </x:c>
      <x:c r="G1783" s="23" t="n">
        <x:v>146.59650662913918</x:v>
      </x:c>
      <x:c r="H1783" s="23" t="n">
        <x:v>17.61081977793947</x:v>
      </x:c>
      <x:c r="I1783" s="23" t="n">
        <x:v>0.7931320866709576</x:v>
      </x:c>
      <x:c r="J1783" s="23" t="n">
        <x:v>7</x:v>
      </x:c>
      <x:c r="K1783" s="23" t="n">
        <x:v>171.7737445280761</x:v>
      </x:c>
      <x:c r="L1783" s="23" t="n">
        <x:v>11035</x:v>
      </x:c>
      <x:c r="M1783" s="23" t="n">
        <x:v>1195</x:v>
      </x:c>
      <x:c r="N1783" s="23" t="n">
        <x:v>250.05277455484182</x:v>
      </x:c>
      <x:c r="O1783" s="23" t="n">
        <x:v>2495.6418137487835</x:v>
      </x:c>
      <x:c r="P1783" s="23" t="n">
        <x:v>953.6748790298589</x:v>
      </x:c>
      <x:c r="Q1783" s="23" t="n">
        <x:v>254.47419596505372</x:v>
      </x:c>
      <x:c r="R1783" s="23" t="n">
        <x:v>2496.3715326101956</x:v>
      </x:c>
      <x:c r="S1783" s="23" t="n">
        <x:v>944.2429369940887</x:v>
      </x:c>
      <x:c r="T1783" s="23" t="n">
        <x:v>4.421421410211906</x:v>
      </x:c>
      <x:c r="U1783" s="23" t="n">
        <x:v>0.7297188614120387</x:v>
      </x:c>
      <x:c r="V1783" s="23" t="n">
        <x:v>-9.431942035770135</x:v>
      </x:c>
    </x:row>
    <x:row r="1784">
      <x:c r="A1784" s="23" t="n">
        <x:v>1783</x:v>
      </x:c>
      <x:c r="B1784" s="23" t="str">
        <x:v>Train</x:v>
      </x:c>
      <x:c r="C1784" s="23" t="str">
        <x:v>Switching</x:v>
      </x:c>
      <x:c r="D1784" s="23" t="n">
        <x:v>1030.8825955959037</x:v>
      </x:c>
      <x:c r="E1784" s="23" t="n">
        <x:v>1197.3260259372182</x:v>
      </x:c>
      <x:c r="F1784" s="23" t="n">
        <x:v>477.2414341568947</x:v>
      </x:c>
      <x:c r="G1784" s="23" t="n">
        <x:v>231.63574641337618</x:v>
      </x:c>
      <x:c r="H1784" s="23" t="n">
        <x:v>12.383783201687038</x:v>
      </x:c>
      <x:c r="I1784" s="23" t="n">
        <x:v>0.8088595384708606</x:v>
      </x:c>
      <x:c r="J1784" s="23" t="n">
        <x:v>7</x:v>
      </x:c>
      <x:c r="K1784" s="23" t="n">
        <x:v>182.06985913326366</x:v>
      </x:c>
      <x:c r="L1784" s="23" t="n">
        <x:v>11220</x:v>
      </x:c>
      <x:c r="M1784" s="23" t="n">
        <x:v>1195</x:v>
      </x:c>
      <x:c r="N1784" s="23" t="n">
        <x:v>250.02137287733953</x:v>
      </x:c>
      <x:c r="O1784" s="23" t="n">
        <x:v>2495.455155146947</x:v>
      </x:c>
      <x:c r="P1784" s="23" t="n">
        <x:v>1030.8825955959037</x:v>
      </x:c>
      <x:c r="Q1784" s="23" t="n">
        <x:v>255.0319247060078</x:v>
      </x:c>
      <x:c r="R1784" s="23" t="n">
        <x:v>2554.3916768591794</x:v>
      </x:c>
      <x:c r="S1784" s="23" t="n">
        <x:v>1028.7713512221512</x:v>
      </x:c>
      <x:c r="T1784" s="23" t="n">
        <x:v>5.0105518286682695</x:v>
      </x:c>
      <x:c r="U1784" s="23" t="n">
        <x:v>58.93652171223221</x:v>
      </x:c>
      <x:c r="V1784" s="23" t="n">
        <x:v>-2.11124437375247</x:v>
      </x:c>
    </x:row>
    <x:row r="1785">
      <x:c r="A1785" s="23" t="n">
        <x:v>1784</x:v>
      </x:c>
      <x:c r="B1785" s="23" t="str">
        <x:v>Train</x:v>
      </x:c>
      <x:c r="C1785" s="23" t="str">
        <x:v>Switching</x:v>
      </x:c>
      <x:c r="D1785" s="23" t="n">
        <x:v>989.9098484660499</x:v>
      </x:c>
      <x:c r="E1785" s="23" t="n">
        <x:v>712.3553062789142</x:v>
      </x:c>
      <x:c r="F1785" s="23" t="n">
        <x:v>577.4634412489831</x:v>
      </x:c>
      <x:c r="G1785" s="23" t="n">
        <x:v>254.35759550426155</x:v>
      </x:c>
      <x:c r="H1785" s="23" t="n">
        <x:v>19.939287727233022</x:v>
      </x:c>
      <x:c r="I1785" s="23" t="n">
        <x:v>0.8221289434749633</x:v>
      </x:c>
      <x:c r="J1785" s="23" t="n">
        <x:v>7</x:v>
      </x:c>
      <x:c r="K1785" s="23" t="n">
        <x:v>172.01157283220465</x:v>
      </x:c>
      <x:c r="L1785" s="23" t="n">
        <x:v>13850</x:v>
      </x:c>
      <x:c r="M1785" s="23" t="n">
        <x:v>1200</x:v>
      </x:c>
      <x:c r="N1785" s="23" t="n">
        <x:v>250.0126164098757</x:v>
      </x:c>
      <x:c r="O1785" s="23" t="n">
        <x:v>2503.788959328059</x:v>
      </x:c>
      <x:c r="P1785" s="23" t="n">
        <x:v>989.9098484660499</x:v>
      </x:c>
      <x:c r="Q1785" s="23" t="n">
        <x:v>246.96748439516037</x:v>
      </x:c>
      <x:c r="R1785" s="23" t="n">
        <x:v>2440.354763988274</x:v>
      </x:c>
      <x:c r="S1785" s="23" t="n">
        <x:v>986.2485525216963</x:v>
      </x:c>
      <x:c r="T1785" s="23" t="n">
        <x:v>-3.0451320147153353</x:v>
      </x:c>
      <x:c r="U1785" s="23" t="n">
        <x:v>-63.434195339784765</x:v>
      </x:c>
      <x:c r="V1785" s="23" t="n">
        <x:v>-3.661295944353583</x:v>
      </x:c>
    </x:row>
    <x:row r="1786">
      <x:c r="A1786" s="23" t="n">
        <x:v>1785</x:v>
      </x:c>
      <x:c r="B1786" s="23" t="str">
        <x:v>Train</x:v>
      </x:c>
      <x:c r="C1786" s="23" t="str">
        <x:v>Switching</x:v>
      </x:c>
      <x:c r="D1786" s="23" t="n">
        <x:v>989.8971516638994</x:v>
      </x:c>
      <x:c r="E1786" s="23" t="n">
        <x:v>781.0620418167673</x:v>
      </x:c>
      <x:c r="F1786" s="23" t="n">
        <x:v>472.21491504460573</x:v>
      </x:c>
      <x:c r="G1786" s="23" t="n">
        <x:v>252.43238218361512</x:v>
      </x:c>
      <x:c r="H1786" s="23" t="n">
        <x:v>14.157463414594531</x:v>
      </x:c>
      <x:c r="I1786" s="23" t="n">
        <x:v>0.8122207788866945</x:v>
      </x:c>
      <x:c r="J1786" s="23" t="n">
        <x:v>7</x:v>
      </x:c>
      <x:c r="K1786" s="23" t="n">
        <x:v>174.10768412372252</x:v>
      </x:c>
      <x:c r="L1786" s="23" t="n">
        <x:v>14205</x:v>
      </x:c>
      <x:c r="M1786" s="23" t="n">
        <x:v>1200</x:v>
      </x:c>
      <x:c r="N1786" s="23" t="n">
        <x:v>250.0330447898014</x:v>
      </x:c>
      <x:c r="O1786" s="23" t="n">
        <x:v>2503.5650352044486</x:v>
      </x:c>
      <x:c r="P1786" s="23" t="n">
        <x:v>989.8971516638994</x:v>
      </x:c>
      <x:c r="Q1786" s="23" t="n">
        <x:v>250.8814180044784</x:v>
      </x:c>
      <x:c r="R1786" s="23" t="n">
        <x:v>2529.6282067697375</x:v>
      </x:c>
      <x:c r="S1786" s="23" t="n">
        <x:v>997.9497142326221</x:v>
      </x:c>
      <x:c r="T1786" s="23" t="n">
        <x:v>0.8483732146769967</x:v>
      </x:c>
      <x:c r="U1786" s="23" t="n">
        <x:v>26.06317156528894</x:v>
      </x:c>
      <x:c r="V1786" s="23" t="n">
        <x:v>8.052562568722692</x:v>
      </x:c>
    </x:row>
    <x:row r="1787">
      <x:c r="A1787" s="23" t="n">
        <x:v>1786</x:v>
      </x:c>
      <x:c r="B1787" s="23" t="str">
        <x:v>Train</x:v>
      </x:c>
      <x:c r="C1787" s="23" t="str">
        <x:v>Switching</x:v>
      </x:c>
      <x:c r="D1787" s="23" t="n">
        <x:v>1008.1914390088059</x:v>
      </x:c>
      <x:c r="E1787" s="23" t="n">
        <x:v>1208.5140904644504</x:v>
      </x:c>
      <x:c r="F1787" s="23" t="n">
        <x:v>669.922782573849</x:v>
      </x:c>
      <x:c r="G1787" s="23" t="n">
        <x:v>307.5568281766027</x:v>
      </x:c>
      <x:c r="H1787" s="23" t="n">
        <x:v>15.782513451296836</x:v>
      </x:c>
      <x:c r="I1787" s="23" t="n">
        <x:v>0.8580782304005697</x:v>
      </x:c>
      <x:c r="J1787" s="23" t="n">
        <x:v>6</x:v>
      </x:c>
      <x:c r="K1787" s="23" t="n">
        <x:v>195.82352814501152</x:v>
      </x:c>
      <x:c r="L1787" s="23" t="n">
        <x:v>11415</x:v>
      </x:c>
      <x:c r="M1787" s="23" t="n">
        <x:v>1195</x:v>
      </x:c>
      <x:c r="N1787" s="23" t="n">
        <x:v>250.03072438888702</x:v>
      </x:c>
      <x:c r="O1787" s="23" t="n">
        <x:v>2495.2667873625333</x:v>
      </x:c>
      <x:c r="P1787" s="23" t="n">
        <x:v>1008.1914390088059</x:v>
      </x:c>
      <x:c r="Q1787" s="23" t="n">
        <x:v>254.04901491108535</x:v>
      </x:c>
      <x:c r="R1787" s="23" t="n">
        <x:v>2523.6284121416966</x:v>
      </x:c>
      <x:c r="S1787" s="23" t="n">
        <x:v>1002.1712562781188</x:v>
      </x:c>
      <x:c r="T1787" s="23" t="n">
        <x:v>4.018290522198328</x:v>
      </x:c>
      <x:c r="U1787" s="23" t="n">
        <x:v>28.36162477916332</x:v>
      </x:c>
      <x:c r="V1787" s="23" t="n">
        <x:v>-6.020182730687111</x:v>
      </x:c>
    </x:row>
    <x:row r="1788">
      <x:c r="A1788" s="23" t="n">
        <x:v>1787</x:v>
      </x:c>
      <x:c r="B1788" s="23" t="str">
        <x:v>Train</x:v>
      </x:c>
      <x:c r="C1788" s="23" t="str">
        <x:v>Switching</x:v>
      </x:c>
      <x:c r="D1788" s="23" t="n">
        <x:v>999.4818378938362</x:v>
      </x:c>
      <x:c r="E1788" s="23" t="n">
        <x:v>1213.731879054103</x:v>
      </x:c>
      <x:c r="F1788" s="23" t="n">
        <x:v>571.1856696754694</x:v>
      </x:c>
      <x:c r="G1788" s="23" t="n">
        <x:v>312.0273436489515</x:v>
      </x:c>
      <x:c r="H1788" s="23" t="n">
        <x:v>18.841975250281394</x:v>
      </x:c>
      <x:c r="I1788" s="23" t="n">
        <x:v>0.828331268306356</x:v>
      </x:c>
      <x:c r="J1788" s="23" t="n">
        <x:v>7</x:v>
      </x:c>
      <x:c r="K1788" s="23" t="n">
        <x:v>172.37441729208214</x:v>
      </x:c>
      <x:c r="L1788" s="23" t="n">
        <x:v>10200</x:v>
      </x:c>
      <x:c r="M1788" s="23" t="n">
        <x:v>1195</x:v>
      </x:c>
      <x:c r="N1788" s="23" t="n">
        <x:v>250.03606595390113</x:v>
      </x:c>
      <x:c r="O1788" s="23" t="n">
        <x:v>2496.560874209149</x:v>
      </x:c>
      <x:c r="P1788" s="23" t="n">
        <x:v>999.4818378938362</x:v>
      </x:c>
      <x:c r="Q1788" s="23" t="n">
        <x:v>253.721407929293</x:v>
      </x:c>
      <x:c r="R1788" s="23" t="n">
        <x:v>2541.149485688635</x:v>
      </x:c>
      <x:c r="S1788" s="23" t="n">
        <x:v>992.1640986657433</x:v>
      </x:c>
      <x:c r="T1788" s="23" t="n">
        <x:v>3.6853419753918786</x:v>
      </x:c>
      <x:c r="U1788" s="23" t="n">
        <x:v>44.58861147948619</x:v>
      </x:c>
      <x:c r="V1788" s="23" t="n">
        <x:v>-7.3177392280929325</x:v>
      </x:c>
    </x:row>
    <x:row r="1789">
      <x:c r="A1789" s="23" t="n">
        <x:v>1788</x:v>
      </x:c>
      <x:c r="B1789" s="23" t="str">
        <x:v>Train</x:v>
      </x:c>
      <x:c r="C1789" s="23" t="str">
        <x:v>Switching</x:v>
      </x:c>
      <x:c r="D1789" s="23" t="n">
        <x:v>1040.0023695430718</x:v>
      </x:c>
      <x:c r="E1789" s="23" t="n">
        <x:v>944.8201361577958</x:v>
      </x:c>
      <x:c r="F1789" s="23" t="n">
        <x:v>467.28137684985995</x:v>
      </x:c>
      <x:c r="G1789" s="23" t="n">
        <x:v>253.8926264224574</x:v>
      </x:c>
      <x:c r="H1789" s="23" t="n">
        <x:v>24.10512940166518</x:v>
      </x:c>
      <x:c r="I1789" s="23" t="n">
        <x:v>0.8590798249840736</x:v>
      </x:c>
      <x:c r="J1789" s="23" t="n">
        <x:v>7</x:v>
      </x:c>
      <x:c r="K1789" s="23" t="n">
        <x:v>172.94291258712312</x:v>
      </x:c>
      <x:c r="L1789" s="23" t="n">
        <x:v>12835</x:v>
      </x:c>
      <x:c r="M1789" s="23" t="n">
        <x:v>1200</x:v>
      </x:c>
      <x:c r="N1789" s="23" t="n">
        <x:v>249.96823664237616</x:v>
      </x:c>
      <x:c r="O1789" s="23" t="n">
        <x:v>2504.4980850844504</x:v>
      </x:c>
      <x:c r="P1789" s="23" t="n">
        <x:v>1040.0023695430718</x:v>
      </x:c>
      <x:c r="Q1789" s="23" t="n">
        <x:v>248.9337712676342</x:v>
      </x:c>
      <x:c r="R1789" s="23" t="n">
        <x:v>2490.125412314146</x:v>
      </x:c>
      <x:c r="S1789" s="23" t="n">
        <x:v>1035.4017555960731</x:v>
      </x:c>
      <x:c r="T1789" s="23" t="n">
        <x:v>-1.0344653747419557</x:v>
      </x:c>
      <x:c r="U1789" s="23" t="n">
        <x:v>-14.372672770304234</x:v>
      </x:c>
      <x:c r="V1789" s="23" t="n">
        <x:v>-4.600613946998692</x:v>
      </x:c>
    </x:row>
    <x:row r="1790">
      <x:c r="A1790" s="23" t="n">
        <x:v>1789</x:v>
      </x:c>
      <x:c r="B1790" s="23" t="str">
        <x:v>Train</x:v>
      </x:c>
      <x:c r="C1790" s="23" t="str">
        <x:v>Switching</x:v>
      </x:c>
      <x:c r="D1790" s="23" t="n">
        <x:v>966.0381499212235</x:v>
      </x:c>
      <x:c r="E1790" s="23" t="n">
        <x:v>1193.2672222028486</x:v>
      </x:c>
      <x:c r="F1790" s="23" t="n">
        <x:v>550.9116178378463</x:v>
      </x:c>
      <x:c r="G1790" s="23" t="n">
        <x:v>145.69295638473704</x:v>
      </x:c>
      <x:c r="H1790" s="23" t="n">
        <x:v>19.197410192340612</x:v>
      </x:c>
      <x:c r="I1790" s="23" t="n">
        <x:v>0.8485260491468944</x:v>
      </x:c>
      <x:c r="J1790" s="23" t="n">
        <x:v>6</x:v>
      </x:c>
      <x:c r="K1790" s="23" t="n">
        <x:v>189.7482799521349</x:v>
      </x:c>
      <x:c r="L1790" s="23" t="n">
        <x:v>13200</x:v>
      </x:c>
      <x:c r="M1790" s="23" t="n">
        <x:v>1200</x:v>
      </x:c>
      <x:c r="N1790" s="23" t="n">
        <x:v>249.96250927424686</x:v>
      </x:c>
      <x:c r="O1790" s="23" t="n">
        <x:v>2504.229704315444</x:v>
      </x:c>
      <x:c r="P1790" s="23" t="n">
        <x:v>966.0381499212235</x:v>
      </x:c>
      <x:c r="Q1790" s="23" t="n">
        <x:v>254.2348059019048</x:v>
      </x:c>
      <x:c r="R1790" s="23" t="n">
        <x:v>2565.9848268536425</x:v>
      </x:c>
      <x:c r="S1790" s="23" t="n">
        <x:v>962.6038202538882</x:v>
      </x:c>
      <x:c r="T1790" s="23" t="n">
        <x:v>4.272296627657937</x:v>
      </x:c>
      <x:c r="U1790" s="23" t="n">
        <x:v>61.75512253819852</x:v>
      </x:c>
      <x:c r="V1790" s="23" t="n">
        <x:v>-3.434329667335305</x:v>
      </x:c>
    </x:row>
    <x:row r="1791">
      <x:c r="A1791" s="23" t="n">
        <x:v>1790</x:v>
      </x:c>
      <x:c r="B1791" s="23" t="str">
        <x:v>Train</x:v>
      </x:c>
      <x:c r="C1791" s="23" t="str">
        <x:v>Switching</x:v>
      </x:c>
      <x:c r="D1791" s="23" t="n">
        <x:v>981.9939661887474</x:v>
      </x:c>
      <x:c r="E1791" s="23" t="n">
        <x:v>1215.2489232597873</x:v>
      </x:c>
      <x:c r="F1791" s="23" t="n">
        <x:v>514.5742644555867</x:v>
      </x:c>
      <x:c r="G1791" s="23" t="n">
        <x:v>124.98132783919573</x:v>
      </x:c>
      <x:c r="H1791" s="23" t="n">
        <x:v>17.12899068230763</x:v>
      </x:c>
      <x:c r="I1791" s="23" t="n">
        <x:v>0.8422103384463117</x:v>
      </x:c>
      <x:c r="J1791" s="23" t="n">
        <x:v>6</x:v>
      </x:c>
      <x:c r="K1791" s="23" t="n">
        <x:v>194.3287247380318</x:v>
      </x:c>
      <x:c r="L1791" s="23" t="n">
        <x:v>13450</x:v>
      </x:c>
      <x:c r="M1791" s="23" t="n">
        <x:v>1200</x:v>
      </x:c>
      <x:c r="N1791" s="23" t="n">
        <x:v>249.9705928390087</x:v>
      </x:c>
      <x:c r="O1791" s="23" t="n">
        <x:v>2504.0547326108103</x:v>
      </x:c>
      <x:c r="P1791" s="23" t="n">
        <x:v>981.9939661887474</x:v>
      </x:c>
      <x:c r="Q1791" s="23" t="n">
        <x:v>249.588105598856</x:v>
      </x:c>
      <x:c r="R1791" s="23" t="n">
        <x:v>2574.5972038703926</x:v>
      </x:c>
      <x:c r="S1791" s="23" t="n">
        <x:v>978.4689859476572</x:v>
      </x:c>
      <x:c r="T1791" s="23" t="n">
        <x:v>-0.38248724015269886</x:v>
      </x:c>
      <x:c r="U1791" s="23" t="n">
        <x:v>70.54247125958227</x:v>
      </x:c>
      <x:c r="V1791" s="23" t="n">
        <x:v>-3.5249802410902475</x:v>
      </x:c>
    </x:row>
    <x:row r="1792">
      <x:c r="A1792" s="23" t="n">
        <x:v>1791</x:v>
      </x:c>
      <x:c r="B1792" s="23" t="str">
        <x:v>Train</x:v>
      </x:c>
      <x:c r="C1792" s="23" t="str">
        <x:v>Switching</x:v>
      </x:c>
      <x:c r="D1792" s="23" t="n">
        <x:v>1064.2925188178197</x:v>
      </x:c>
      <x:c r="E1792" s="23" t="n">
        <x:v>774.6135178138502</x:v>
      </x:c>
      <x:c r="F1792" s="23" t="n">
        <x:v>700.2666346728802</x:v>
      </x:c>
      <x:c r="G1792" s="23" t="n">
        <x:v>120.31629062956199</x:v>
      </x:c>
      <x:c r="H1792" s="23" t="n">
        <x:v>10.875590509735048</x:v>
      </x:c>
      <x:c r="I1792" s="23" t="n">
        <x:v>0.7947304476960563</x:v>
      </x:c>
      <x:c r="J1792" s="23" t="n">
        <x:v>7</x:v>
      </x:c>
      <x:c r="K1792" s="23" t="n">
        <x:v>191.31239886847004</x:v>
      </x:c>
      <x:c r="L1792" s="23" t="n">
        <x:v>13405</x:v>
      </x:c>
      <x:c r="M1792" s="23" t="n">
        <x:v>1200</x:v>
      </x:c>
      <x:c r="N1792" s="23" t="n">
        <x:v>249.9746232041641</x:v>
      </x:c>
      <x:c r="O1792" s="23" t="n">
        <x:v>2504.0859575346685</x:v>
      </x:c>
      <x:c r="P1792" s="23" t="n">
        <x:v>1064.2925188178197</x:v>
      </x:c>
      <x:c r="Q1792" s="23" t="n">
        <x:v>249.68856945066474</x:v>
      </x:c>
      <x:c r="R1792" s="23" t="n">
        <x:v>2475.1086334015713</x:v>
      </x:c>
      <x:c r="S1792" s="23" t="n">
        <x:v>1074.1449895554417</x:v>
      </x:c>
      <x:c r="T1792" s="23" t="n">
        <x:v>-0.2860537534993455</x:v>
      </x:c>
      <x:c r="U1792" s="23" t="n">
        <x:v>-28.977324133097227</x:v>
      </x:c>
      <x:c r="V1792" s="23" t="n">
        <x:v>9.85247073762207</x:v>
      </x:c>
    </x:row>
    <x:row r="1793">
      <x:c r="A1793" s="23" t="n">
        <x:v>1792</x:v>
      </x:c>
      <x:c r="B1793" s="23" t="str">
        <x:v>Train</x:v>
      </x:c>
      <x:c r="C1793" s="23" t="str">
        <x:v>Switching</x:v>
      </x:c>
      <x:c r="D1793" s="23" t="n">
        <x:v>1092.3430310445838</x:v>
      </x:c>
      <x:c r="E1793" s="23" t="n">
        <x:v>683.025287464261</x:v>
      </x:c>
      <x:c r="F1793" s="23" t="n">
        <x:v>362.3450039885938</x:v>
      </x:c>
      <x:c r="G1793" s="23" t="n">
        <x:v>243.86956453789026</x:v>
      </x:c>
      <x:c r="H1793" s="23" t="n">
        <x:v>12.041789398994297</x:v>
      </x:c>
      <x:c r="I1793" s="23" t="n">
        <x:v>0.8558409066777677</x:v>
      </x:c>
      <x:c r="J1793" s="23" t="n">
        <x:v>7</x:v>
      </x:c>
      <x:c r="K1793" s="23" t="n">
        <x:v>182.3341268422152</x:v>
      </x:c>
      <x:c r="L1793" s="23" t="n">
        <x:v>16590</x:v>
      </x:c>
      <x:c r="M1793" s="23" t="n">
        <x:v>1200</x:v>
      </x:c>
      <x:c r="N1793" s="23" t="n">
        <x:v>250.03165533289203</x:v>
      </x:c>
      <x:c r="O1793" s="23" t="n">
        <x:v>2502.3049230496936</x:v>
      </x:c>
      <x:c r="P1793" s="23" t="n">
        <x:v>1092.3430310445838</x:v>
      </x:c>
      <x:c r="Q1793" s="23" t="n">
        <x:v>249.52519251328647</x:v>
      </x:c>
      <x:c r="R1793" s="23" t="n">
        <x:v>2448.8326322626294</x:v>
      </x:c>
      <x:c r="S1793" s="23" t="n">
        <x:v>1104.1933838687648</x:v>
      </x:c>
      <x:c r="T1793" s="23" t="n">
        <x:v>-0.5064628196055594</x:v>
      </x:c>
      <x:c r="U1793" s="23" t="n">
        <x:v>-53.47229078706414</x:v>
      </x:c>
      <x:c r="V1793" s="23" t="n">
        <x:v>11.850352824181073</x:v>
      </x:c>
    </x:row>
    <x:row r="1794">
      <x:c r="A1794" s="23" t="n">
        <x:v>1793</x:v>
      </x:c>
      <x:c r="B1794" s="23" t="str">
        <x:v>Train</x:v>
      </x:c>
      <x:c r="C1794" s="23" t="str">
        <x:v>Switching</x:v>
      </x:c>
      <x:c r="D1794" s="23" t="n">
        <x:v>965.2621428482234</x:v>
      </x:c>
      <x:c r="E1794" s="23" t="n">
        <x:v>1049.5167519315146</x:v>
      </x:c>
      <x:c r="F1794" s="23" t="n">
        <x:v>426.8941456452012</x:v>
      </x:c>
      <x:c r="G1794" s="23" t="n">
        <x:v>281.379542297218</x:v>
      </x:c>
      <x:c r="H1794" s="23" t="n">
        <x:v>16.06601575948298</x:v>
      </x:c>
      <x:c r="I1794" s="23" t="n">
        <x:v>0.8475131098483689</x:v>
      </x:c>
      <x:c r="J1794" s="23" t="n">
        <x:v>6</x:v>
      </x:c>
      <x:c r="K1794" s="23" t="n">
        <x:v>189.82246048892415</x:v>
      </x:c>
      <x:c r="L1794" s="23" t="n">
        <x:v>14195</x:v>
      </x:c>
      <x:c r="M1794" s="23" t="n">
        <x:v>1200</x:v>
      </x:c>
      <x:c r="N1794" s="23" t="n">
        <x:v>250.0177834205711</x:v>
      </x:c>
      <x:c r="O1794" s="23" t="n">
        <x:v>2503.570671178795</x:v>
      </x:c>
      <x:c r="P1794" s="23" t="n">
        <x:v>965.2621428482234</x:v>
      </x:c>
      <x:c r="Q1794" s="23" t="n">
        <x:v>250.7337696349833</x:v>
      </x:c>
      <x:c r="R1794" s="23" t="n">
        <x:v>2521.8088052200183</x:v>
      </x:c>
      <x:c r="S1794" s="23" t="n">
        <x:v>970.1322504121148</x:v>
      </x:c>
      <x:c r="T1794" s="23" t="n">
        <x:v>0.7159862144121973</x:v>
      </x:c>
      <x:c r="U1794" s="23" t="n">
        <x:v>18.238134041223475</x:v>
      </x:c>
      <x:c r="V1794" s="23" t="n">
        <x:v>4.870107563891338</x:v>
      </x:c>
    </x:row>
    <x:row r="1795">
      <x:c r="A1795" s="23" t="n">
        <x:v>1794</x:v>
      </x:c>
      <x:c r="B1795" s="23" t="str">
        <x:v>Train</x:v>
      </x:c>
      <x:c r="C1795" s="23" t="str">
        <x:v>Switching</x:v>
      </x:c>
      <x:c r="D1795" s="23" t="n">
        <x:v>995.9549938910641</x:v>
      </x:c>
      <x:c r="E1795" s="23" t="n">
        <x:v>693.6724505620077</x:v>
      </x:c>
      <x:c r="F1795" s="23" t="n">
        <x:v>497.20978969708085</x:v>
      </x:c>
      <x:c r="G1795" s="23" t="n">
        <x:v>123.51420165039599</x:v>
      </x:c>
      <x:c r="H1795" s="23" t="n">
        <x:v>11.125682436395437</x:v>
      </x:c>
      <x:c r="I1795" s="23" t="n">
        <x:v>0.795571161643602</x:v>
      </x:c>
      <x:c r="J1795" s="23" t="n">
        <x:v>7</x:v>
      </x:c>
      <x:c r="K1795" s="23" t="n">
        <x:v>178.83916826200712</x:v>
      </x:c>
      <x:c r="L1795" s="23" t="n">
        <x:v>16270</x:v>
      </x:c>
      <x:c r="M1795" s="23" t="n">
        <x:v>1200</x:v>
      </x:c>
      <x:c r="N1795" s="23" t="n">
        <x:v>249.99354390789446</x:v>
      </x:c>
      <x:c r="O1795" s="23" t="n">
        <x:v>2502.4513645676434</x:v>
      </x:c>
      <x:c r="P1795" s="23" t="n">
        <x:v>995.9549938910641</x:v>
      </x:c>
      <x:c r="Q1795" s="23" t="n">
        <x:v>249.9090259236142</x:v>
      </x:c>
      <x:c r="R1795" s="23" t="n">
        <x:v>2445.6108034479444</x:v>
      </x:c>
      <x:c r="S1795" s="23" t="n">
        <x:v>1006.5630276833608</x:v>
      </x:c>
      <x:c r="T1795" s="23" t="n">
        <x:v>-0.08451798428026791</x:v>
      </x:c>
      <x:c r="U1795" s="23" t="n">
        <x:v>-56.84056111969903</x:v>
      </x:c>
      <x:c r="V1795" s="23" t="n">
        <x:v>10.608033792296737</x:v>
      </x:c>
    </x:row>
    <x:row r="1796">
      <x:c r="A1796" s="23" t="n">
        <x:v>1795</x:v>
      </x:c>
      <x:c r="B1796" s="23" t="str">
        <x:v>Validation</x:v>
      </x:c>
      <x:c r="C1796" s="23" t="str">
        <x:v>Switching</x:v>
      </x:c>
      <x:c r="D1796" s="23" t="n">
        <x:v>1015.916833630763</x:v>
      </x:c>
      <x:c r="E1796" s="23" t="n">
        <x:v>829.274247365538</x:v>
      </x:c>
      <x:c r="F1796" s="23" t="n">
        <x:v>546.947879716754</x:v>
      </x:c>
      <x:c r="G1796" s="23" t="n">
        <x:v>307.44544938905165</x:v>
      </x:c>
      <x:c r="H1796" s="23" t="n">
        <x:v>25.21819478739053</x:v>
      </x:c>
      <x:c r="I1796" s="23" t="n">
        <x:v>0.8436835619877093</x:v>
      </x:c>
      <x:c r="J1796" s="23" t="n">
        <x:v>7</x:v>
      </x:c>
      <x:c r="K1796" s="23" t="n">
        <x:v>172.02062807889624</x:v>
      </x:c>
      <x:c r="L1796" s="23" t="n">
        <x:v>12700</x:v>
      </x:c>
      <x:c r="M1796" s="23" t="n">
        <x:v>1200</x:v>
      </x:c>
      <x:c r="N1796" s="23" t="n">
        <x:v>249.96293156448695</x:v>
      </x:c>
      <x:c r="O1796" s="23" t="n">
        <x:v>2504.600965696155</x:v>
      </x:c>
      <x:c r="P1796" s="23" t="n">
        <x:v>1015.916833630763</x:v>
      </x:c>
      <x:c r="Q1796" s="23" t="n">
        <x:v>251.03759007526054</x:v>
      </x:c>
      <x:c r="R1796" s="23" t="n">
        <x:v>2511.530768895672</x:v>
      </x:c>
      <x:c r="S1796" s="23" t="n">
        <x:v>1006.2055693296439</x:v>
      </x:c>
      <x:c r="T1796" s="23" t="n">
        <x:v>1.0746585107735882</x:v>
      </x:c>
      <x:c r="U1796" s="23" t="n">
        <x:v>6.929803199516755</x:v>
      </x:c>
      <x:c r="V1796" s="23" t="n">
        <x:v>-9.711264301119058</x:v>
      </x:c>
    </x:row>
    <x:row r="1797">
      <x:c r="A1797" s="23" t="n">
        <x:v>1796</x:v>
      </x:c>
      <x:c r="B1797" s="23" t="str">
        <x:v>Validation</x:v>
      </x:c>
      <x:c r="C1797" s="23" t="str">
        <x:v>Switching</x:v>
      </x:c>
      <x:c r="D1797" s="23" t="n">
        <x:v>1066.085368336644</x:v>
      </x:c>
      <x:c r="E1797" s="23" t="n">
        <x:v>743.6099093873054</x:v>
      </x:c>
      <x:c r="F1797" s="23" t="n">
        <x:v>588.6874380521476</x:v>
      </x:c>
      <x:c r="G1797" s="23" t="n">
        <x:v>143.90683760400862</x:v>
      </x:c>
      <x:c r="H1797" s="23" t="n">
        <x:v>15.733422897290438</x:v>
      </x:c>
      <x:c r="I1797" s="23" t="n">
        <x:v>0.8439051156304778</x:v>
      </x:c>
      <x:c r="J1797" s="23" t="n">
        <x:v>7</x:v>
      </x:c>
      <x:c r="K1797" s="23" t="n">
        <x:v>180.4680490040597</x:v>
      </x:c>
      <x:c r="L1797" s="23" t="n">
        <x:v>14485</x:v>
      </x:c>
      <x:c r="M1797" s="23" t="n">
        <x:v>1200</x:v>
      </x:c>
      <x:c r="N1797" s="23" t="n">
        <x:v>249.96546189830156</x:v>
      </x:c>
      <x:c r="O1797" s="23" t="n">
        <x:v>2503.393279801975</x:v>
      </x:c>
      <x:c r="P1797" s="23" t="n">
        <x:v>1066.085368336644</x:v>
      </x:c>
      <x:c r="Q1797" s="23" t="n">
        <x:v>247.82650646347935</x:v>
      </x:c>
      <x:c r="R1797" s="23" t="n">
        <x:v>2446.430507339183</x:v>
      </x:c>
      <x:c r="S1797" s="23" t="n">
        <x:v>1069.8174215375518</x:v>
      </x:c>
      <x:c r="T1797" s="23" t="n">
        <x:v>-2.1389554348222077</x:v>
      </x:c>
      <x:c r="U1797" s="23" t="n">
        <x:v>-56.962772462792145</x:v>
      </x:c>
      <x:c r="V1797" s="23" t="n">
        <x:v>3.732053200907785</x:v>
      </x:c>
    </x:row>
    <x:row r="1798">
      <x:c r="A1798" s="23" t="n">
        <x:v>1797</x:v>
      </x:c>
      <x:c r="B1798" s="23" t="str">
        <x:v>Validation</x:v>
      </x:c>
      <x:c r="C1798" s="23" t="str">
        <x:v>Switching</x:v>
      </x:c>
      <x:c r="D1798" s="23" t="n">
        <x:v>1049.5590934995562</x:v>
      </x:c>
      <x:c r="E1798" s="23" t="n">
        <x:v>1187.2426936286502</x:v>
      </x:c>
      <x:c r="F1798" s="23" t="n">
        <x:v>687.2654838487506</x:v>
      </x:c>
      <x:c r="G1798" s="23" t="n">
        <x:v>157.4565816973336</x:v>
      </x:c>
      <x:c r="H1798" s="23" t="n">
        <x:v>27.85867377370596</x:v>
      </x:c>
      <x:c r="I1798" s="23" t="n">
        <x:v>0.7904985060007311</x:v>
      </x:c>
      <x:c r="J1798" s="23" t="n">
        <x:v>7</x:v>
      </x:c>
      <x:c r="K1798" s="23" t="n">
        <x:v>189.67399965831282</x:v>
      </x:c>
      <x:c r="L1798" s="23" t="n">
        <x:v>10525</x:v>
      </x:c>
      <x:c r="M1798" s="23" t="n">
        <x:v>1195</x:v>
      </x:c>
      <x:c r="N1798" s="23" t="n">
        <x:v>250.00814540937114</x:v>
      </x:c>
      <x:c r="O1798" s="23" t="n">
        <x:v>2496.184187950874</x:v>
      </x:c>
      <x:c r="P1798" s="23" t="n">
        <x:v>1049.5590934995562</x:v>
      </x:c>
      <x:c r="Q1798" s="23" t="n">
        <x:v>248.6462357504019</x:v>
      </x:c>
      <x:c r="R1798" s="23" t="n">
        <x:v>2524.896446096574</x:v>
      </x:c>
      <x:c r="S1798" s="23" t="n">
        <x:v>1032.0329984109292</x:v>
      </x:c>
      <x:c r="T1798" s="23" t="n">
        <x:v>-1.361909658969239</x:v>
      </x:c>
      <x:c r="U1798" s="23" t="n">
        <x:v>28.71225814570016</x:v>
      </x:c>
      <x:c r="V1798" s="23" t="n">
        <x:v>-17.526095088627017</x:v>
      </x:c>
    </x:row>
    <x:row r="1799">
      <x:c r="A1799" s="23" t="n">
        <x:v>1798</x:v>
      </x:c>
      <x:c r="B1799" s="23" t="str">
        <x:v>Hidden Test</x:v>
      </x:c>
      <x:c r="C1799" s="23" t="str">
        <x:v>Switching</x:v>
      </x:c>
      <x:c r="D1799" s="23" t="n">
        <x:v>961.0355182667263</x:v>
      </x:c>
      <x:c r="E1799" s="23" t="n">
        <x:v>952.963513485156</x:v>
      </x:c>
      <x:c r="F1799" s="23" t="n">
        <x:v>716.601884085685</x:v>
      </x:c>
      <x:c r="G1799" s="23" t="n">
        <x:v>139.70932124182582</x:v>
      </x:c>
      <x:c r="H1799" s="23" t="n">
        <x:v>27.09221981326118</x:v>
      </x:c>
      <x:c r="I1799" s="23" t="n">
        <x:v>0.8548396126320585</x:v>
      </x:c>
      <x:c r="J1799" s="23" t="n">
        <x:v>6</x:v>
      </x:c>
      <x:c r="K1799" s="23" t="n">
        <x:v>187.37150690129454</x:v>
      </x:c>
      <x:c r="L1799" s="23" t="n">
        <x:v>13790</x:v>
      </x:c>
      <x:c r="M1799" s="23" t="n">
        <x:v>1200</x:v>
      </x:c>
      <x:c r="N1799" s="23" t="n">
        <x:v>249.9986652175981</x:v>
      </x:c>
      <x:c r="O1799" s="23" t="n">
        <x:v>2503.8275571369873</x:v>
      </x:c>
      <x:c r="P1799" s="23" t="n">
        <x:v>961.0355182667263</x:v>
      </x:c>
      <x:c r="Q1799" s="23" t="n">
        <x:v>251.15173601018617</x:v>
      </x:c>
      <x:c r="R1799" s="23" t="n">
        <x:v>2548.055435923511</x:v>
      </x:c>
      <x:c r="S1799" s="23" t="n">
        <x:v>946.8976734886064</x:v>
      </x:c>
      <x:c r="T1799" s="23" t="n">
        <x:v>1.1530707925880677</x:v>
      </x:c>
      <x:c r="U1799" s="23" t="n">
        <x:v>44.22787878652389</x:v>
      </x:c>
      <x:c r="V1799" s="23" t="n">
        <x:v>-14.13784477811987</x:v>
      </x:c>
    </x:row>
    <x:row r="1800">
      <x:c r="A1800" s="23" t="n">
        <x:v>1799</x:v>
      </x:c>
      <x:c r="B1800" s="23" t="str">
        <x:v>Hidden Test</x:v>
      </x:c>
      <x:c r="C1800" s="23" t="str">
        <x:v>Switching</x:v>
      </x:c>
      <x:c r="D1800" s="23" t="n">
        <x:v>1085.9739377396181</x:v>
      </x:c>
      <x:c r="E1800" s="23" t="n">
        <x:v>834.5470130559988</x:v>
      </x:c>
      <x:c r="F1800" s="23" t="n">
        <x:v>362.52382695674896</x:v>
      </x:c>
      <x:c r="G1800" s="23" t="n">
        <x:v>278.43273231526837</x:v>
      </x:c>
      <x:c r="H1800" s="23" t="n">
        <x:v>12.644117745570838</x:v>
      </x:c>
      <x:c r="I1800" s="23" t="n">
        <x:v>0.8068125417805277</x:v>
      </x:c>
      <x:c r="J1800" s="23" t="n">
        <x:v>7</x:v>
      </x:c>
      <x:c r="K1800" s="23" t="n">
        <x:v>192.2864679575149</x:v>
      </x:c>
      <x:c r="L1800" s="23" t="n">
        <x:v>14495</x:v>
      </x:c>
      <x:c r="M1800" s="23" t="n">
        <x:v>1200</x:v>
      </x:c>
      <x:c r="N1800" s="23" t="n">
        <x:v>250.01924997850293</x:v>
      </x:c>
      <x:c r="O1800" s="23" t="n">
        <x:v>2503.389201395236</x:v>
      </x:c>
      <x:c r="P1800" s="23" t="n">
        <x:v>1085.9739377396181</x:v>
      </x:c>
      <x:c r="Q1800" s="23" t="n">
        <x:v>250.43668781805957</x:v>
      </x:c>
      <x:c r="R1800" s="23" t="n">
        <x:v>2452.8245397131927</x:v>
      </x:c>
      <x:c r="S1800" s="23" t="n">
        <x:v>1098.2950535252555</x:v>
      </x:c>
      <x:c r="T1800" s="23" t="n">
        <x:v>0.4174378395566407</x:v>
      </x:c>
      <x:c r="U1800" s="23" t="n">
        <x:v>-50.56466168204315</x:v>
      </x:c>
      <x:c r="V1800" s="23" t="n">
        <x:v>12.321115785637403</x:v>
      </x:c>
    </x:row>
    <x:row r="1801">
      <x:c r="A1801" s="23" t="n">
        <x:v>1800</x:v>
      </x:c>
      <x:c r="B1801" s="23" t="str">
        <x:v>Hidden Test</x:v>
      </x:c>
      <x:c r="C1801" s="23" t="str">
        <x:v>Switching</x:v>
      </x:c>
      <x:c r="D1801" s="23" t="n">
        <x:v>952.1470998297445</x:v>
      </x:c>
      <x:c r="E1801" s="23" t="n">
        <x:v>759.2686397023499</x:v>
      </x:c>
      <x:c r="F1801" s="23" t="n">
        <x:v>587.5044531188905</x:v>
      </x:c>
      <x:c r="G1801" s="23" t="n">
        <x:v>201.40931899193674</x:v>
      </x:c>
      <x:c r="H1801" s="23" t="n">
        <x:v>21.702660111244768</x:v>
      </x:c>
      <x:c r="I1801" s="23" t="n">
        <x:v>0.8330027980450541</x:v>
      </x:c>
      <x:c r="J1801" s="23" t="n">
        <x:v>6</x:v>
      </x:c>
      <x:c r="K1801" s="23" t="n">
        <x:v>190.5049823090443</x:v>
      </x:c>
      <x:c r="L1801" s="23" t="n">
        <x:v>16115</x:v>
      </x:c>
      <x:c r="M1801" s="23" t="n">
        <x:v>1200</x:v>
      </x:c>
      <x:c r="N1801" s="23" t="n">
        <x:v>249.98904340668622</x:v>
      </x:c>
      <x:c r="O1801" s="23" t="n">
        <x:v>2502.524810961983</x:v>
      </x:c>
      <x:c r="P1801" s="23" t="n">
        <x:v>952.1470998297445</x:v>
      </x:c>
      <x:c r="Q1801" s="23" t="n">
        <x:v>250.21648019060925</x:v>
      </x:c>
      <x:c r="R1801" s="23" t="n">
        <x:v>2504.265431556549</x:v>
      </x:c>
      <x:c r="S1801" s="23" t="n">
        <x:v>948.6953943875419</x:v>
      </x:c>
      <x:c r="T1801" s="23" t="n">
        <x:v>0.22743678392302513</x:v>
      </x:c>
      <x:c r="U1801" s="23" t="n">
        <x:v>1.7406205945662805</x:v>
      </x:c>
      <x:c r="V1801" s="23" t="n">
        <x:v>-3.4517054422026376</x:v>
      </x:c>
    </x:row>
    <x:row r="1802">
      <x:c r="A1802" s="23" t="n">
        <x:v>1801</x:v>
      </x:c>
      <x:c r="B1802" s="23" t="str">
        <x:v>Train</x:v>
      </x:c>
      <x:c r="C1802" s="23" t="str">
        <x:v>Switching</x:v>
      </x:c>
      <x:c r="D1802" s="23" t="n">
        <x:v>1002.2261472418904</x:v>
      </x:c>
      <x:c r="E1802" s="23" t="n">
        <x:v>656.9746822468005</x:v>
      </x:c>
      <x:c r="F1802" s="23" t="n">
        <x:v>526.2529464438558</x:v>
      </x:c>
      <x:c r="G1802" s="23" t="n">
        <x:v>286.31665509426966</x:v>
      </x:c>
      <x:c r="H1802" s="23" t="n">
        <x:v>11.461724853143096</x:v>
      </x:c>
      <x:c r="I1802" s="23" t="n">
        <x:v>0.7987648699549027</x:v>
      </x:c>
      <x:c r="J1802" s="23" t="n">
        <x:v>7</x:v>
      </x:c>
      <x:c r="K1802" s="23" t="n">
        <x:v>179.24569454310395</x:v>
      </x:c>
      <x:c r="L1802" s="23" t="n">
        <x:v>14555</x:v>
      </x:c>
      <x:c r="M1802" s="23" t="n">
        <x:v>1200</x:v>
      </x:c>
      <x:c r="N1802" s="23" t="n">
        <x:v>250.04018215694512</x:v>
      </x:c>
      <x:c r="O1802" s="23" t="n">
        <x:v>2503.354511184769</x:v>
      </x:c>
      <x:c r="P1802" s="23" t="n">
        <x:v>1002.2261472418904</x:v>
      </x:c>
      <x:c r="Q1802" s="23" t="n">
        <x:v>250.47044773548745</x:v>
      </x:c>
      <x:c r="R1802" s="23" t="n">
        <x:v>2513.5096530310207</x:v>
      </x:c>
      <x:c r="S1802" s="23" t="n">
        <x:v>1009.8985000155624</x:v>
      </x:c>
      <x:c r="T1802" s="23" t="n">
        <x:v>0.4302655785423326</x:v>
      </x:c>
      <x:c r="U1802" s="23" t="n">
        <x:v>10.155141846251809</x:v>
      </x:c>
      <x:c r="V1802" s="23" t="n">
        <x:v>7.672352773671946</x:v>
      </x:c>
    </x:row>
    <x:row r="1803">
      <x:c r="A1803" s="23" t="n">
        <x:v>1802</x:v>
      </x:c>
      <x:c r="B1803" s="23" t="str">
        <x:v>Train</x:v>
      </x:c>
      <x:c r="C1803" s="23" t="str">
        <x:v>Switching</x:v>
      </x:c>
      <x:c r="D1803" s="23" t="n">
        <x:v>1017.7472785697319</x:v>
      </x:c>
      <x:c r="E1803" s="23" t="n">
        <x:v>921.8430750304833</x:v>
      </x:c>
      <x:c r="F1803" s="23" t="n">
        <x:v>533.3287985064089</x:v>
      </x:c>
      <x:c r="G1803" s="23" t="n">
        <x:v>244.22566841356456</x:v>
      </x:c>
      <x:c r="H1803" s="23" t="n">
        <x:v>11.496511195320636</x:v>
      </x:c>
      <x:c r="I1803" s="23" t="n">
        <x:v>0.7947437297226861</x:v>
      </x:c>
      <x:c r="J1803" s="23" t="n">
        <x:v>7</x:v>
      </x:c>
      <x:c r="K1803" s="23" t="n">
        <x:v>182.94258001612303</x:v>
      </x:c>
      <x:c r="L1803" s="23" t="n">
        <x:v>12585</x:v>
      </x:c>
      <x:c r="M1803" s="23" t="n">
        <x:v>1200</x:v>
      </x:c>
      <x:c r="N1803" s="23" t="n">
        <x:v>250.01334460636525</x:v>
      </x:c>
      <x:c r="O1803" s="23" t="n">
        <x:v>2504.692532971202</x:v>
      </x:c>
      <x:c r="P1803" s="23" t="n">
        <x:v>1017.7472785697319</x:v>
      </x:c>
      <x:c r="Q1803" s="23" t="n">
        <x:v>249.2386356203036</x:v>
      </x:c>
      <x:c r="R1803" s="23" t="n">
        <x:v>2511.164629046213</x:v>
      </x:c>
      <x:c r="S1803" s="23" t="n">
        <x:v>1022.9419593491089</x:v>
      </x:c>
      <x:c r="T1803" s="23" t="n">
        <x:v>-0.7747089860616541</x:v>
      </x:c>
      <x:c r="U1803" s="23" t="n">
        <x:v>6.472096075010995</x:v>
      </x:c>
      <x:c r="V1803" s="23" t="n">
        <x:v>5.194680779376995</x:v>
      </x:c>
    </x:row>
    <x:row r="1804">
      <x:c r="A1804" s="23" t="n">
        <x:v>1803</x:v>
      </x:c>
      <x:c r="B1804" s="23" t="str">
        <x:v>Train</x:v>
      </x:c>
      <x:c r="C1804" s="23" t="str">
        <x:v>Switching</x:v>
      </x:c>
      <x:c r="D1804" s="23" t="n">
        <x:v>965.4806840000674</x:v>
      </x:c>
      <x:c r="E1804" s="23" t="n">
        <x:v>1124.0967685938813</x:v>
      </x:c>
      <x:c r="F1804" s="23" t="n">
        <x:v>459.03871543705463</x:v>
      </x:c>
      <x:c r="G1804" s="23" t="n">
        <x:v>181.40003281412646</x:v>
      </x:c>
      <x:c r="H1804" s="23" t="n">
        <x:v>25.48004958126694</x:v>
      </x:c>
      <x:c r="I1804" s="23" t="n">
        <x:v>0.8432087619486265</x:v>
      </x:c>
      <x:c r="J1804" s="23" t="n">
        <x:v>6</x:v>
      </x:c>
      <x:c r="K1804" s="23" t="n">
        <x:v>190.83464806684304</x:v>
      </x:c>
      <x:c r="L1804" s="23" t="n">
        <x:v>14140</x:v>
      </x:c>
      <x:c r="M1804" s="23" t="n">
        <x:v>1200</x:v>
      </x:c>
      <x:c r="N1804" s="23" t="n">
        <x:v>250.00495966543335</x:v>
      </x:c>
      <x:c r="O1804" s="23" t="n">
        <x:v>2503.6043264148498</x:v>
      </x:c>
      <x:c r="P1804" s="23" t="n">
        <x:v>965.4806840000674</x:v>
      </x:c>
      <x:c r="Q1804" s="23" t="n">
        <x:v>250.05671808974682</x:v>
      </x:c>
      <x:c r="R1804" s="23" t="n">
        <x:v>2552.7516061555953</x:v>
      </x:c>
      <x:c r="S1804" s="23" t="n">
        <x:v>960.563601359537</x:v>
      </x:c>
      <x:c r="T1804" s="23" t="n">
        <x:v>0.051758424313476326</x:v>
      </x:c>
      <x:c r="U1804" s="23" t="n">
        <x:v>49.14727974074549</x:v>
      </x:c>
      <x:c r="V1804" s="23" t="n">
        <x:v>-4.917082640530452</x:v>
      </x:c>
    </x:row>
    <x:row r="1805">
      <x:c r="A1805" s="23" t="n">
        <x:v>1804</x:v>
      </x:c>
      <x:c r="B1805" s="23" t="str">
        <x:v>Train</x:v>
      </x:c>
      <x:c r="C1805" s="23" t="str">
        <x:v>Switching</x:v>
      </x:c>
      <x:c r="D1805" s="23" t="n">
        <x:v>1006.3589306897484</x:v>
      </x:c>
      <x:c r="E1805" s="23" t="n">
        <x:v>1182.905047154054</x:v>
      </x:c>
      <x:c r="F1805" s="23" t="n">
        <x:v>735.8820210210979</x:v>
      </x:c>
      <x:c r="G1805" s="23" t="n">
        <x:v>308.4170825732872</x:v>
      </x:c>
      <x:c r="H1805" s="23" t="n">
        <x:v>8.298081878107041</x:v>
      </x:c>
      <x:c r="I1805" s="23" t="n">
        <x:v>0.8025098003074527</x:v>
      </x:c>
      <x:c r="J1805" s="23" t="n">
        <x:v>7</x:v>
      </x:c>
      <x:c r="K1805" s="23" t="n">
        <x:v>179.14492941024312</x:v>
      </x:c>
      <x:c r="L1805" s="23" t="n">
        <x:v>9600</x:v>
      </x:c>
      <x:c r="M1805" s="23" t="n">
        <x:v>1195</x:v>
      </x:c>
      <x:c r="N1805" s="23" t="n">
        <x:v>249.94601638497662</x:v>
      </x:c>
      <x:c r="O1805" s="23" t="n">
        <x:v>2497.31597996566</x:v>
      </x:c>
      <x:c r="P1805" s="23" t="n">
        <x:v>1006.3589306897484</x:v>
      </x:c>
      <x:c r="Q1805" s="23" t="n">
        <x:v>256.4382981789241</x:v>
      </x:c>
      <x:c r="R1805" s="23" t="n">
        <x:v>2525.340620439924</x:v>
      </x:c>
      <x:c r="S1805" s="23" t="n">
        <x:v>994.8074812251716</x:v>
      </x:c>
      <x:c r="T1805" s="23" t="n">
        <x:v>6.4922817939474555</x:v>
      </x:c>
      <x:c r="U1805" s="23" t="n">
        <x:v>28.024640474263833</x:v>
      </x:c>
      <x:c r="V1805" s="23" t="n">
        <x:v>-11.551449464576763</x:v>
      </x:c>
    </x:row>
    <x:row r="1806">
      <x:c r="A1806" s="23" t="n">
        <x:v>1805</x:v>
      </x:c>
      <x:c r="B1806" s="23" t="str">
        <x:v>Train</x:v>
      </x:c>
      <x:c r="C1806" s="23" t="str">
        <x:v>Switching</x:v>
      </x:c>
      <x:c r="D1806" s="23" t="n">
        <x:v>1040.266923746094</x:v>
      </x:c>
      <x:c r="E1806" s="23" t="n">
        <x:v>758.8542072917335</x:v>
      </x:c>
      <x:c r="F1806" s="23" t="n">
        <x:v>474.8224338516593</x:v>
      </x:c>
      <x:c r="G1806" s="23" t="n">
        <x:v>177.58382645668462</x:v>
      </x:c>
      <x:c r="H1806" s="23" t="n">
        <x:v>10.441982943564653</x:v>
      </x:c>
      <x:c r="I1806" s="23" t="n">
        <x:v>0.8054401938640513</x:v>
      </x:c>
      <x:c r="J1806" s="23" t="n">
        <x:v>7</x:v>
      </x:c>
      <x:c r="K1806" s="23" t="n">
        <x:v>184.50725661232622</x:v>
      </x:c>
      <x:c r="L1806" s="23" t="n">
        <x:v>15155</x:v>
      </x:c>
      <x:c r="M1806" s="23" t="n">
        <x:v>1200</x:v>
      </x:c>
      <x:c r="N1806" s="23" t="n">
        <x:v>250.02186187119818</x:v>
      </x:c>
      <x:c r="O1806" s="23" t="n">
        <x:v>2503.015229433993</x:v>
      </x:c>
      <x:c r="P1806" s="23" t="n">
        <x:v>1040.266923746094</x:v>
      </x:c>
      <x:c r="Q1806" s="23" t="n">
        <x:v>250.5184400750291</x:v>
      </x:c>
      <x:c r="R1806" s="23" t="n">
        <x:v>2492.081510185381</x:v>
      </x:c>
      <x:c r="S1806" s="23" t="n">
        <x:v>1049.379528280636</x:v>
      </x:c>
      <x:c r="T1806" s="23" t="n">
        <x:v>0.49657820383092144</x:v>
      </x:c>
      <x:c r="U1806" s="23" t="n">
        <x:v>-10.933719248612306</x:v>
      </x:c>
      <x:c r="V1806" s="23" t="n">
        <x:v>9.112604534541788</x:v>
      </x:c>
    </x:row>
    <x:row r="1807">
      <x:c r="A1807" s="23" t="n">
        <x:v>1806</x:v>
      </x:c>
      <x:c r="B1807" s="23" t="str">
        <x:v>Train</x:v>
      </x:c>
      <x:c r="C1807" s="23" t="str">
        <x:v>Switching</x:v>
      </x:c>
      <x:c r="D1807" s="23" t="n">
        <x:v>1075.7615218055435</x:v>
      </x:c>
      <x:c r="E1807" s="23" t="n">
        <x:v>1174.1387952817604</x:v>
      </x:c>
      <x:c r="F1807" s="23" t="n">
        <x:v>461.7911105044186</x:v>
      </x:c>
      <x:c r="G1807" s="23" t="n">
        <x:v>325.3997228294611</x:v>
      </x:c>
      <x:c r="H1807" s="23" t="n">
        <x:v>10.874053771141917</x:v>
      </x:c>
      <x:c r="I1807" s="23" t="n">
        <x:v>0.8458310626400635</x:v>
      </x:c>
      <x:c r="J1807" s="23" t="n">
        <x:v>7</x:v>
      </x:c>
      <x:c r="K1807" s="23" t="n">
        <x:v>181.69138518171127</x:v>
      </x:c>
      <x:c r="L1807" s="23" t="n">
        <x:v>10905</x:v>
      </x:c>
      <x:c r="M1807" s="23" t="n">
        <x:v>1195</x:v>
      </x:c>
      <x:c r="N1807" s="23" t="n">
        <x:v>250.0295196924619</x:v>
      </x:c>
      <x:c r="O1807" s="23" t="n">
        <x:v>2495.7747199839555</x:v>
      </x:c>
      <x:c r="P1807" s="23" t="n">
        <x:v>1075.7615218055435</x:v>
      </x:c>
      <x:c r="Q1807" s="23" t="n">
        <x:v>250.80994306001784</x:v>
      </x:c>
      <x:c r="R1807" s="23" t="n">
        <x:v>2506.5510643687467</x:v>
      </x:c>
      <x:c r="S1807" s="23" t="n">
        <x:v>1073.848242075006</x:v>
      </x:c>
      <x:c r="T1807" s="23" t="n">
        <x:v>0.7804233675559544</x:v>
      </x:c>
      <x:c r="U1807" s="23" t="n">
        <x:v>10.776344384791173</x:v>
      </x:c>
      <x:c r="V1807" s="23" t="n">
        <x:v>-1.913279730537397</x:v>
      </x:c>
    </x:row>
    <x:row r="1808">
      <x:c r="A1808" s="23" t="n">
        <x:v>1807</x:v>
      </x:c>
      <x:c r="B1808" s="23" t="str">
        <x:v>Train</x:v>
      </x:c>
      <x:c r="C1808" s="23" t="str">
        <x:v>Switching</x:v>
      </x:c>
      <x:c r="D1808" s="23" t="n">
        <x:v>1061.0741568962112</x:v>
      </x:c>
      <x:c r="E1808" s="23" t="n">
        <x:v>1017.810734838713</x:v>
      </x:c>
      <x:c r="F1808" s="23" t="n">
        <x:v>421.9086714088917</x:v>
      </x:c>
      <x:c r="G1808" s="23" t="n">
        <x:v>252.31504659866914</x:v>
      </x:c>
      <x:c r="H1808" s="23" t="n">
        <x:v>9.05218458082527</x:v>
      </x:c>
      <x:c r="I1808" s="23" t="n">
        <x:v>0.8432410250394605</x:v>
      </x:c>
      <x:c r="J1808" s="23" t="n">
        <x:v>7</x:v>
      </x:c>
      <x:c r="K1808" s="23" t="n">
        <x:v>179.76120458163308</x:v>
      </x:c>
      <x:c r="L1808" s="23" t="n">
        <x:v>12640</x:v>
      </x:c>
      <x:c r="M1808" s="23" t="n">
        <x:v>1200</x:v>
      </x:c>
      <x:c r="N1808" s="23" t="n">
        <x:v>250.0179315749056</x:v>
      </x:c>
      <x:c r="O1808" s="23" t="n">
        <x:v>2504.6496709569087</x:v>
      </x:c>
      <x:c r="P1808" s="23" t="n">
        <x:v>1061.0741568962112</x:v>
      </x:c>
      <x:c r="Q1808" s="23" t="n">
        <x:v>253.61710248121915</x:v>
      </x:c>
      <x:c r="R1808" s="23" t="n">
        <x:v>2559.828433037205</x:v>
      </x:c>
      <x:c r="S1808" s="23" t="n">
        <x:v>1061.4505314309438</x:v>
      </x:c>
      <x:c r="T1808" s="23" t="n">
        <x:v>3.59917090631356</x:v>
      </x:c>
      <x:c r="U1808" s="23" t="n">
        <x:v>55.17876208029611</x:v>
      </x:c>
      <x:c r="V1808" s="23" t="n">
        <x:v>0.37637453473257665</x:v>
      </x:c>
    </x:row>
    <x:row r="1809">
      <x:c r="A1809" s="23" t="n">
        <x:v>1808</x:v>
      </x:c>
      <x:c r="B1809" s="23" t="str">
        <x:v>Train</x:v>
      </x:c>
      <x:c r="C1809" s="23" t="str">
        <x:v>Switching</x:v>
      </x:c>
      <x:c r="D1809" s="23" t="n">
        <x:v>1001.7442159238271</x:v>
      </x:c>
      <x:c r="E1809" s="23" t="n">
        <x:v>714.490151964128</x:v>
      </x:c>
      <x:c r="F1809" s="23" t="n">
        <x:v>549.1644754074514</x:v>
      </x:c>
      <x:c r="G1809" s="23" t="n">
        <x:v>294.2842357279733</x:v>
      </x:c>
      <x:c r="H1809" s="23" t="n">
        <x:v>10.331304618623108</x:v>
      </x:c>
      <x:c r="I1809" s="23" t="n">
        <x:v>0.8091348469164222</x:v>
      </x:c>
      <x:c r="J1809" s="23" t="n">
        <x:v>7</x:v>
      </x:c>
      <x:c r="K1809" s="23" t="n">
        <x:v>176.86337092750202</x:v>
      </x:c>
      <x:c r="L1809" s="23" t="n">
        <x:v>13725</x:v>
      </x:c>
      <x:c r="M1809" s="23" t="n">
        <x:v>1200</x:v>
      </x:c>
      <x:c r="N1809" s="23" t="n">
        <x:v>249.96411485131685</x:v>
      </x:c>
      <x:c r="O1809" s="23" t="n">
        <x:v>2503.8690737098746</x:v>
      </x:c>
      <x:c r="P1809" s="23" t="n">
        <x:v>1001.7442159238271</x:v>
      </x:c>
      <x:c r="Q1809" s="23" t="n">
        <x:v>250.583682058514</x:v>
      </x:c>
      <x:c r="R1809" s="23" t="n">
        <x:v>2513.8582239431043</x:v>
      </x:c>
      <x:c r="S1809" s="23" t="n">
        <x:v>1002.9631338829103</x:v>
      </x:c>
      <x:c r="T1809" s="23" t="n">
        <x:v>0.6195672071971501</x:v>
      </x:c>
      <x:c r="U1809" s="23" t="n">
        <x:v>9.989150233229793</x:v>
      </x:c>
      <x:c r="V1809" s="23" t="n">
        <x:v>1.2189179590831145</x:v>
      </x:c>
    </x:row>
    <x:row r="1810">
      <x:c r="A1810" s="23" t="n">
        <x:v>1809</x:v>
      </x:c>
      <x:c r="B1810" s="23" t="str">
        <x:v>Train</x:v>
      </x:c>
      <x:c r="C1810" s="23" t="str">
        <x:v>Switching</x:v>
      </x:c>
      <x:c r="D1810" s="23" t="n">
        <x:v>968.9294808544219</x:v>
      </x:c>
      <x:c r="E1810" s="23" t="n">
        <x:v>944.627410674002</x:v>
      </x:c>
      <x:c r="F1810" s="23" t="n">
        <x:v>654.120815731585</x:v>
      </x:c>
      <x:c r="G1810" s="23" t="n">
        <x:v>327.0205035642721</x:v>
      </x:c>
      <x:c r="H1810" s="23" t="n">
        <x:v>17.918683560565114</x:v>
      </x:c>
      <x:c r="I1810" s="23" t="n">
        <x:v>0.7961954615195282</x:v>
      </x:c>
      <x:c r="J1810" s="23" t="n">
        <x:v>7</x:v>
      </x:c>
      <x:c r="K1810" s="23" t="n">
        <x:v>173.84989484962347</x:v>
      </x:c>
      <x:c r="L1810" s="23" t="n">
        <x:v>11105</x:v>
      </x:c>
      <x:c r="M1810" s="23" t="n">
        <x:v>1195</x:v>
      </x:c>
      <x:c r="N1810" s="23" t="n">
        <x:v>249.9988670032844</x:v>
      </x:c>
      <x:c r="O1810" s="23" t="n">
        <x:v>2495.5685754103547</x:v>
      </x:c>
      <x:c r="P1810" s="23" t="n">
        <x:v>968.9294808544219</x:v>
      </x:c>
      <x:c r="Q1810" s="23" t="n">
        <x:v>252.91965565611724</x:v>
      </x:c>
      <x:c r="R1810" s="23" t="n">
        <x:v>2514.608904376611</x:v>
      </x:c>
      <x:c r="S1810" s="23" t="n">
        <x:v>968.0233845479903</x:v>
      </x:c>
      <x:c r="T1810" s="23" t="n">
        <x:v>2.92078865283284</x:v>
      </x:c>
      <x:c r="U1810" s="23" t="n">
        <x:v>19.04032896625631</x:v>
      </x:c>
      <x:c r="V1810" s="23" t="n">
        <x:v>-0.9060963064315501</x:v>
      </x:c>
    </x:row>
    <x:row r="1811">
      <x:c r="A1811" s="23" t="n">
        <x:v>1810</x:v>
      </x:c>
      <x:c r="B1811" s="23" t="str">
        <x:v>Train</x:v>
      </x:c>
      <x:c r="C1811" s="23" t="str">
        <x:v>Switching</x:v>
      </x:c>
      <x:c r="D1811" s="23" t="n">
        <x:v>956.008001754526</x:v>
      </x:c>
      <x:c r="E1811" s="23" t="n">
        <x:v>619.63280972559</x:v>
      </x:c>
      <x:c r="F1811" s="23" t="n">
        <x:v>384.4939508475363</x:v>
      </x:c>
      <x:c r="G1811" s="23" t="n">
        <x:v>166.22605283744633</x:v>
      </x:c>
      <x:c r="H1811" s="23" t="n">
        <x:v>28.20622943388298</x:v>
      </x:c>
      <x:c r="I1811" s="23" t="n">
        <x:v>0.8003152301395312</x:v>
      </x:c>
      <x:c r="J1811" s="23" t="n">
        <x:v>6</x:v>
      </x:c>
      <x:c r="K1811" s="23" t="n">
        <x:v>199.0898847836601</x:v>
      </x:c>
      <x:c r="L1811" s="23" t="n">
        <x:v>21320</x:v>
      </x:c>
      <x:c r="M1811" s="23" t="n">
        <x:v>1200</x:v>
      </x:c>
      <x:c r="N1811" s="23" t="n">
        <x:v>250.01871854996796</x:v>
      </x:c>
      <x:c r="O1811" s="23" t="n">
        <x:v>2500.6395923977934</x:v>
      </x:c>
      <x:c r="P1811" s="23" t="n">
        <x:v>956.008001754526</x:v>
      </x:c>
      <x:c r="Q1811" s="23" t="n">
        <x:v>245.58155969419624</x:v>
      </x:c>
      <x:c r="R1811" s="23" t="n">
        <x:v>2494.4816822487633</x:v>
      </x:c>
      <x:c r="S1811" s="23" t="n">
        <x:v>957.1625123697787</x:v>
      </x:c>
      <x:c r="T1811" s="23" t="n">
        <x:v>-4.437158855771713</x:v>
      </x:c>
      <x:c r="U1811" s="23" t="n">
        <x:v>-6.157910149030158</x:v>
      </x:c>
      <x:c r="V1811" s="23" t="n">
        <x:v>1.1545106152526614</x:v>
      </x:c>
    </x:row>
    <x:row r="1812">
      <x:c r="A1812" s="23" t="n">
        <x:v>1811</x:v>
      </x:c>
      <x:c r="B1812" s="23" t="str">
        <x:v>Train</x:v>
      </x:c>
      <x:c r="C1812" s="23" t="str">
        <x:v>Switching</x:v>
      </x:c>
      <x:c r="D1812" s="23" t="n">
        <x:v>994.5447535952553</x:v>
      </x:c>
      <x:c r="E1812" s="23" t="n">
        <x:v>1212.6827992149629</x:v>
      </x:c>
      <x:c r="F1812" s="23" t="n">
        <x:v>374.49690364301205</x:v>
      </x:c>
      <x:c r="G1812" s="23" t="n">
        <x:v>206.85223360313103</x:v>
      </x:c>
      <x:c r="H1812" s="23" t="n">
        <x:v>10.037661549635231</x:v>
      </x:c>
      <x:c r="I1812" s="23" t="n">
        <x:v>0.802041279047262</x:v>
      </x:c>
      <x:c r="J1812" s="23" t="n">
        <x:v>7</x:v>
      </x:c>
      <x:c r="K1812" s="23" t="n">
        <x:v>177.1452737581691</x:v>
      </x:c>
      <x:c r="L1812" s="23" t="n">
        <x:v>11920</x:v>
      </x:c>
      <x:c r="M1812" s="23" t="n">
        <x:v>1195</x:v>
      </x:c>
      <x:c r="N1812" s="23" t="n">
        <x:v>249.98927250164505</x:v>
      </x:c>
      <x:c r="O1812" s="23" t="n">
        <x:v>2494.8049044639083</x:v>
      </x:c>
      <x:c r="P1812" s="23" t="n">
        <x:v>994.5447535952553</x:v>
      </x:c>
      <x:c r="Q1812" s="23" t="n">
        <x:v>255.2112461408509</x:v>
      </x:c>
      <x:c r="R1812" s="23" t="n">
        <x:v>2552.01862803621</x:v>
      </x:c>
      <x:c r="S1812" s="23" t="n">
        <x:v>1001.8518166760437</x:v>
      </x:c>
      <x:c r="T1812" s="23" t="n">
        <x:v>5.221973639205856</x:v>
      </x:c>
      <x:c r="U1812" s="23" t="n">
        <x:v>57.21372357230166</x:v>
      </x:c>
      <x:c r="V1812" s="23" t="n">
        <x:v>7.307063080788339</x:v>
      </x:c>
    </x:row>
    <x:row r="1813">
      <x:c r="A1813" s="23" t="n">
        <x:v>1812</x:v>
      </x:c>
      <x:c r="B1813" s="23" t="str">
        <x:v>Train</x:v>
      </x:c>
      <x:c r="C1813" s="23" t="str">
        <x:v>Switching</x:v>
      </x:c>
      <x:c r="D1813" s="23" t="n">
        <x:v>1036.0232328413986</x:v>
      </x:c>
      <x:c r="E1813" s="23" t="n">
        <x:v>1063.9072744641453</x:v>
      </x:c>
      <x:c r="F1813" s="23" t="n">
        <x:v>571.2133008055389</x:v>
      </x:c>
      <x:c r="G1813" s="23" t="n">
        <x:v>307.46908047702163</x:v>
      </x:c>
      <x:c r="H1813" s="23" t="n">
        <x:v>10.657424672972411</x:v>
      </x:c>
      <x:c r="I1813" s="23" t="n">
        <x:v>0.8313549652881921</x:v>
      </x:c>
      <x:c r="J1813" s="23" t="n">
        <x:v>7</x:v>
      </x:c>
      <x:c r="K1813" s="23" t="n">
        <x:v>178.026625397055</x:v>
      </x:c>
      <x:c r="L1813" s="23" t="n">
        <x:v>11010</x:v>
      </x:c>
      <x:c r="M1813" s="23" t="n">
        <x:v>1195</x:v>
      </x:c>
      <x:c r="N1813" s="23" t="n">
        <x:v>250.02498122757186</x:v>
      </x:c>
      <x:c r="O1813" s="23" t="n">
        <x:v>2495.6660853919325</x:v>
      </x:c>
      <x:c r="P1813" s="23" t="n">
        <x:v>1036.0232328413986</x:v>
      </x:c>
      <x:c r="Q1813" s="23" t="n">
        <x:v>250.22807062957145</x:v>
      </x:c>
      <x:c r="R1813" s="23" t="n">
        <x:v>2515.784226406819</x:v>
      </x:c>
      <x:c r="S1813" s="23" t="n">
        <x:v>1036.704054996968</x:v>
      </x:c>
      <x:c r="T1813" s="23" t="n">
        <x:v>0.20308940199959125</x:v>
      </x:c>
      <x:c r="U1813" s="23" t="n">
        <x:v>20.118141014886533</x:v>
      </x:c>
      <x:c r="V1813" s="23" t="n">
        <x:v>0.6808221555693308</x:v>
      </x:c>
    </x:row>
    <x:row r="1814">
      <x:c r="A1814" s="23" t="n">
        <x:v>1813</x:v>
      </x:c>
      <x:c r="B1814" s="23" t="str">
        <x:v>Train</x:v>
      </x:c>
      <x:c r="C1814" s="23" t="str">
        <x:v>Switching</x:v>
      </x:c>
      <x:c r="D1814" s="23" t="n">
        <x:v>1052.6017003227025</x:v>
      </x:c>
      <x:c r="E1814" s="23" t="n">
        <x:v>732.7726501855068</x:v>
      </x:c>
      <x:c r="F1814" s="23" t="n">
        <x:v>533.996438793838</x:v>
      </x:c>
      <x:c r="G1814" s="23" t="n">
        <x:v>309.1940639843233</x:v>
      </x:c>
      <x:c r="H1814" s="23" t="n">
        <x:v>13.136603906750679</x:v>
      </x:c>
      <x:c r="I1814" s="23" t="n">
        <x:v>0.8498543895618059</x:v>
      </x:c>
      <x:c r="J1814" s="23" t="n">
        <x:v>7</x:v>
      </x:c>
      <x:c r="K1814" s="23" t="n">
        <x:v>176.93815943247057</x:v>
      </x:c>
      <x:c r="L1814" s="23" t="n">
        <x:v>13570</x:v>
      </x:c>
      <x:c r="M1814" s="23" t="n">
        <x:v>1200</x:v>
      </x:c>
      <x:c r="N1814" s="23" t="n">
        <x:v>250.00052432283906</x:v>
      </x:c>
      <x:c r="O1814" s="23" t="n">
        <x:v>2503.973996706032</x:v>
      </x:c>
      <x:c r="P1814" s="23" t="n">
        <x:v>1052.6017003227025</x:v>
      </x:c>
      <x:c r="Q1814" s="23" t="n">
        <x:v>251.0329614363256</x:v>
      </x:c>
      <x:c r="R1814" s="23" t="n">
        <x:v>2459.2965585055313</x:v>
      </x:c>
      <x:c r="S1814" s="23" t="n">
        <x:v>1054.9733256512332</x:v>
      </x:c>
      <x:c r="T1814" s="23" t="n">
        <x:v>1.0324371134865373</x:v>
      </x:c>
      <x:c r="U1814" s="23" t="n">
        <x:v>-44.677438200500546</x:v>
      </x:c>
      <x:c r="V1814" s="23" t="n">
        <x:v>2.3716253285306266</x:v>
      </x:c>
    </x:row>
    <x:row r="1815">
      <x:c r="A1815" s="23" t="n">
        <x:v>1814</x:v>
      </x:c>
      <x:c r="B1815" s="23" t="str">
        <x:v>Train</x:v>
      </x:c>
      <x:c r="C1815" s="23" t="str">
        <x:v>Switching</x:v>
      </x:c>
      <x:c r="D1815" s="23" t="n">
        <x:v>1025.1079623703845</x:v>
      </x:c>
      <x:c r="E1815" s="23" t="n">
        <x:v>1104.7239606967196</x:v>
      </x:c>
      <x:c r="F1815" s="23" t="n">
        <x:v>444.8448550887406</x:v>
      </x:c>
      <x:c r="G1815" s="23" t="n">
        <x:v>159.2773594148457</x:v>
      </x:c>
      <x:c r="H1815" s="23" t="n">
        <x:v>26.101335054729134</x:v>
      </x:c>
      <x:c r="I1815" s="23" t="n">
        <x:v>0.8152173994993791</x:v>
      </x:c>
      <x:c r="J1815" s="23" t="n">
        <x:v>7</x:v>
      </x:c>
      <x:c r="K1815" s="23" t="n">
        <x:v>179.63796493336767</x:v>
      </x:c>
      <x:c r="L1815" s="23" t="n">
        <x:v>12515</x:v>
      </x:c>
      <x:c r="M1815" s="23" t="n">
        <x:v>1200</x:v>
      </x:c>
      <x:c r="N1815" s="23" t="n">
        <x:v>250.00541548412332</x:v>
      </x:c>
      <x:c r="O1815" s="23" t="n">
        <x:v>2504.7475353550763</x:v>
      </x:c>
      <x:c r="P1815" s="23" t="n">
        <x:v>1025.1079623703845</x:v>
      </x:c>
      <x:c r="Q1815" s="23" t="n">
        <x:v>252.05400629898807</x:v>
      </x:c>
      <x:c r="R1815" s="23" t="n">
        <x:v>2498.239105207666</x:v>
      </x:c>
      <x:c r="S1815" s="23" t="n">
        <x:v>1020.4627936232522</x:v>
      </x:c>
      <x:c r="T1815" s="23" t="n">
        <x:v>2.0485908148647525</x:v>
      </x:c>
      <x:c r="U1815" s="23" t="n">
        <x:v>-6.508430147410309</x:v>
      </x:c>
      <x:c r="V1815" s="23" t="n">
        <x:v>-4.6451687471322884</x:v>
      </x:c>
    </x:row>
    <x:row r="1816">
      <x:c r="A1816" s="23" t="n">
        <x:v>1815</x:v>
      </x:c>
      <x:c r="B1816" s="23" t="str">
        <x:v>Validation</x:v>
      </x:c>
      <x:c r="C1816" s="23" t="str">
        <x:v>Switching</x:v>
      </x:c>
      <x:c r="D1816" s="23" t="n">
        <x:v>1038.6485618771985</x:v>
      </x:c>
      <x:c r="E1816" s="23" t="n">
        <x:v>959.0983057511039</x:v>
      </x:c>
      <x:c r="F1816" s="23" t="n">
        <x:v>725.892023742199</x:v>
      </x:c>
      <x:c r="G1816" s="23" t="n">
        <x:v>183.27917052200064</x:v>
      </x:c>
      <x:c r="H1816" s="23" t="n">
        <x:v>14.1890511168167</x:v>
      </x:c>
      <x:c r="I1816" s="23" t="n">
        <x:v>0.8075118195614778</x:v>
      </x:c>
      <x:c r="J1816" s="23" t="n">
        <x:v>7</x:v>
      </x:c>
      <x:c r="K1816" s="23" t="n">
        <x:v>183.74760887467176</x:v>
      </x:c>
      <x:c r="L1816" s="23" t="n">
        <x:v>11445</x:v>
      </x:c>
      <x:c r="M1816" s="23" t="n">
        <x:v>1195</x:v>
      </x:c>
      <x:c r="N1816" s="23" t="n">
        <x:v>249.95997607333763</x:v>
      </x:c>
      <x:c r="O1816" s="23" t="n">
        <x:v>2495.2352555367665</x:v>
      </x:c>
      <x:c r="P1816" s="23" t="n">
        <x:v>1038.6485618771985</x:v>
      </x:c>
      <x:c r="Q1816" s="23" t="n">
        <x:v>252.65585649522046</x:v>
      </x:c>
      <x:c r="R1816" s="23" t="n">
        <x:v>2521.0917074828244</x:v>
      </x:c>
      <x:c r="S1816" s="23" t="n">
        <x:v>1040.1935272252165</x:v>
      </x:c>
      <x:c r="T1816" s="23" t="n">
        <x:v>2.6958804218828334</x:v>
      </x:c>
      <x:c r="U1816" s="23" t="n">
        <x:v>25.85645194605786</x:v>
      </x:c>
      <x:c r="V1816" s="23" t="n">
        <x:v>1.5449653480179677</x:v>
      </x:c>
    </x:row>
    <x:row r="1817">
      <x:c r="A1817" s="23" t="n">
        <x:v>1816</x:v>
      </x:c>
      <x:c r="B1817" s="23" t="str">
        <x:v>Validation</x:v>
      </x:c>
      <x:c r="C1817" s="23" t="str">
        <x:v>Switching</x:v>
      </x:c>
      <x:c r="D1817" s="23" t="n">
        <x:v>1027.935812890064</x:v>
      </x:c>
      <x:c r="E1817" s="23" t="n">
        <x:v>1225.5644618533552</x:v>
      </x:c>
      <x:c r="F1817" s="23" t="n">
        <x:v>558.8065466843545</x:v>
      </x:c>
      <x:c r="G1817" s="23" t="n">
        <x:v>212.21685274038464</x:v>
      </x:c>
      <x:c r="H1817" s="23" t="n">
        <x:v>13.792572011705488</x:v>
      </x:c>
      <x:c r="I1817" s="23" t="n">
        <x:v>0.8285677074361593</x:v>
      </x:c>
      <x:c r="J1817" s="23" t="n">
        <x:v>7</x:v>
      </x:c>
      <x:c r="K1817" s="23" t="n">
        <x:v>177.23110851664913</x:v>
      </x:c>
      <x:c r="L1817" s="23" t="n">
        <x:v>10710</x:v>
      </x:c>
      <x:c r="M1817" s="23" t="n">
        <x:v>1195</x:v>
      </x:c>
      <x:c r="N1817" s="23" t="n">
        <x:v>249.9729846198093</x:v>
      </x:c>
      <x:c r="O1817" s="23" t="n">
        <x:v>2495.9791100194966</x:v>
      </x:c>
      <x:c r="P1817" s="23" t="n">
        <x:v>1027.935812890064</x:v>
      </x:c>
      <x:c r="Q1817" s="23" t="n">
        <x:v>256.0196473492678</x:v>
      </x:c>
      <x:c r="R1817" s="23" t="n">
        <x:v>2569.802009090499</x:v>
      </x:c>
      <x:c r="S1817" s="23" t="n">
        <x:v>1030.6874836752745</x:v>
      </x:c>
      <x:c r="T1817" s="23" t="n">
        <x:v>6.046662729458518</x:v>
      </x:c>
      <x:c r="U1817" s="23" t="n">
        <x:v>73.82289907100221</x:v>
      </x:c>
      <x:c r="V1817" s="23" t="n">
        <x:v>2.7516707852105355</x:v>
      </x:c>
    </x:row>
    <x:row r="1818">
      <x:c r="A1818" s="23" t="n">
        <x:v>1817</x:v>
      </x:c>
      <x:c r="B1818" s="23" t="str">
        <x:v>Validation</x:v>
      </x:c>
      <x:c r="C1818" s="23" t="str">
        <x:v>Switching</x:v>
      </x:c>
      <x:c r="D1818" s="23" t="n">
        <x:v>1013.7828454375267</x:v>
      </x:c>
      <x:c r="E1818" s="23" t="n">
        <x:v>1146.9190786010586</x:v>
      </x:c>
      <x:c r="F1818" s="23" t="n">
        <x:v>677.8477596119046</x:v>
      </x:c>
      <x:c r="G1818" s="23" t="n">
        <x:v>134.0594966732897</x:v>
      </x:c>
      <x:c r="H1818" s="23" t="n">
        <x:v>24.95910486392677</x:v>
      </x:c>
      <x:c r="I1818" s="23" t="n">
        <x:v>0.8575090280664154</x:v>
      </x:c>
      <x:c r="J1818" s="23" t="n">
        <x:v>6</x:v>
      </x:c>
      <x:c r="K1818" s="23" t="n">
        <x:v>197.04026668257376</x:v>
      </x:c>
      <x:c r="L1818" s="23" t="n">
        <x:v>12735</x:v>
      </x:c>
      <x:c r="M1818" s="23" t="n">
        <x:v>1200</x:v>
      </x:c>
      <x:c r="N1818" s="23" t="n">
        <x:v>249.9561286901497</x:v>
      </x:c>
      <x:c r="O1818" s="23" t="n">
        <x:v>2504.5737598805476</x:v>
      </x:c>
      <x:c r="P1818" s="23" t="n">
        <x:v>1013.7828454375267</x:v>
      </x:c>
      <x:c r="Q1818" s="23" t="n">
        <x:v>251.02715809684096</x:v>
      </x:c>
      <x:c r="R1818" s="23" t="n">
        <x:v>2508.0841249120094</x:v>
      </x:c>
      <x:c r="S1818" s="23" t="n">
        <x:v>998.2669105455506</x:v>
      </x:c>
      <x:c r="T1818" s="23" t="n">
        <x:v>1.0710294066912525</x:v>
      </x:c>
      <x:c r="U1818" s="23" t="n">
        <x:v>3.510365031461788</x:v>
      </x:c>
      <x:c r="V1818" s="23" t="n">
        <x:v>-15.515934891976144</x:v>
      </x:c>
    </x:row>
    <x:row r="1819">
      <x:c r="A1819" s="23" t="n">
        <x:v>1818</x:v>
      </x:c>
      <x:c r="B1819" s="23" t="str">
        <x:v>Hidden Test</x:v>
      </x:c>
      <x:c r="C1819" s="23" t="str">
        <x:v>Switching</x:v>
      </x:c>
      <x:c r="D1819" s="23" t="n">
        <x:v>999.4848555536009</x:v>
      </x:c>
      <x:c r="E1819" s="23" t="n">
        <x:v>879.9357319483534</x:v>
      </x:c>
      <x:c r="F1819" s="23" t="n">
        <x:v>674.7172401286662</x:v>
      </x:c>
      <x:c r="G1819" s="23" t="n">
        <x:v>116.59522323869169</x:v>
      </x:c>
      <x:c r="H1819" s="23" t="n">
        <x:v>27.62209713133052</x:v>
      </x:c>
      <x:c r="I1819" s="23" t="n">
        <x:v>0.8295214378880338</x:v>
      </x:c>
      <x:c r="J1819" s="23" t="n">
        <x:v>7</x:v>
      </x:c>
      <x:c r="K1819" s="23" t="n">
        <x:v>172.12761994060008</x:v>
      </x:c>
      <x:c r="L1819" s="23" t="n">
        <x:v>12795</x:v>
      </x:c>
      <x:c r="M1819" s="23" t="n">
        <x:v>1200</x:v>
      </x:c>
      <x:c r="N1819" s="23" t="n">
        <x:v>249.97516929448835</x:v>
      </x:c>
      <x:c r="O1819" s="23" t="n">
        <x:v>2504.528669994572</x:v>
      </x:c>
      <x:c r="P1819" s="23" t="n">
        <x:v>999.4848555536009</x:v>
      </x:c>
      <x:c r="Q1819" s="23" t="n">
        <x:v>249.97735518499277</x:v>
      </x:c>
      <x:c r="R1819" s="23" t="n">
        <x:v>2494.2443721998757</x:v>
      </x:c>
      <x:c r="S1819" s="23" t="n">
        <x:v>992.8806550499284</x:v>
      </x:c>
      <x:c r="T1819" s="23" t="n">
        <x:v>0.002185890504421195</x:v>
      </x:c>
      <x:c r="U1819" s="23" t="n">
        <x:v>-10.284297794696158</x:v>
      </x:c>
      <x:c r="V1819" s="23" t="n">
        <x:v>-6.604200503672587</x:v>
      </x:c>
    </x:row>
    <x:row r="1820">
      <x:c r="A1820" s="23" t="n">
        <x:v>1819</x:v>
      </x:c>
      <x:c r="B1820" s="23" t="str">
        <x:v>Hidden Test</x:v>
      </x:c>
      <x:c r="C1820" s="23" t="str">
        <x:v>Switching</x:v>
      </x:c>
      <x:c r="D1820" s="23" t="n">
        <x:v>969.6677849395201</x:v>
      </x:c>
      <x:c r="E1820" s="23" t="n">
        <x:v>838.9254857436754</x:v>
      </x:c>
      <x:c r="F1820" s="23" t="n">
        <x:v>533.1394914537668</x:v>
      </x:c>
      <x:c r="G1820" s="23" t="n">
        <x:v>302.7745439740829</x:v>
      </x:c>
      <x:c r="H1820" s="23" t="n">
        <x:v>17.400639914907515</x:v>
      </x:c>
      <x:c r="I1820" s="23" t="n">
        <x:v>0.8451977262902074</x:v>
      </x:c>
      <x:c r="J1820" s="23" t="n">
        <x:v>6</x:v>
      </x:c>
      <x:c r="K1820" s="23" t="n">
        <x:v>191.21123077232355</x:v>
      </x:c>
      <x:c r="L1820" s="23" t="n">
        <x:v>14895</x:v>
      </x:c>
      <x:c r="M1820" s="23" t="n">
        <x:v>1200</x:v>
      </x:c>
      <x:c r="N1820" s="23" t="n">
        <x:v>249.96668781480398</x:v>
      </x:c>
      <x:c r="O1820" s="23" t="n">
        <x:v>2503.1567792748374</x:v>
      </x:c>
      <x:c r="P1820" s="23" t="n">
        <x:v>969.6677849395201</x:v>
      </x:c>
      <x:c r="Q1820" s="23" t="n">
        <x:v>247.89110571133014</x:v>
      </x:c>
      <x:c r="R1820" s="23" t="n">
        <x:v>2473.3887357186068</x:v>
      </x:c>
      <x:c r="S1820" s="23" t="n">
        <x:v>975.6024644976884</x:v>
      </x:c>
      <x:c r="T1820" s="23" t="n">
        <x:v>-2.0755821034738346</x:v>
      </x:c>
      <x:c r="U1820" s="23" t="n">
        <x:v>-29.768043556230623</x:v>
      </x:c>
      <x:c r="V1820" s="23" t="n">
        <x:v>5.934679558168341</x:v>
      </x:c>
    </x:row>
    <x:row r="1821">
      <x:c r="A1821" s="23" t="n">
        <x:v>1820</x:v>
      </x:c>
      <x:c r="B1821" s="23" t="str">
        <x:v>Hidden Test</x:v>
      </x:c>
      <x:c r="C1821" s="23" t="str">
        <x:v>Switching</x:v>
      </x:c>
      <x:c r="D1821" s="23" t="n">
        <x:v>1023.4760828665458</x:v>
      </x:c>
      <x:c r="E1821" s="23" t="n">
        <x:v>653.0557430814952</x:v>
      </x:c>
      <x:c r="F1821" s="23" t="n">
        <x:v>666.4288665167987</x:v>
      </x:c>
      <x:c r="G1821" s="23" t="n">
        <x:v>238.41628971975297</x:v>
      </x:c>
      <x:c r="H1821" s="23" t="n">
        <x:v>24.16232332168147</x:v>
      </x:c>
      <x:c r="I1821" s="23" t="n">
        <x:v>0.8104289185255766</x:v>
      </x:c>
      <x:c r="J1821" s="23" t="n">
        <x:v>7</x:v>
      </x:c>
      <x:c r="K1821" s="23" t="n">
        <x:v>180.4117124138886</x:v>
      </x:c>
      <x:c r="L1821" s="23" t="n">
        <x:v>13725</x:v>
      </x:c>
      <x:c r="M1821" s="23" t="n">
        <x:v>1200</x:v>
      </x:c>
      <x:c r="N1821" s="23" t="n">
        <x:v>249.95832426029233</x:v>
      </x:c>
      <x:c r="O1821" s="23" t="n">
        <x:v>2503.8688527151103</x:v>
      </x:c>
      <x:c r="P1821" s="23" t="n">
        <x:v>1023.4760828665458</x:v>
      </x:c>
      <x:c r="Q1821" s="23" t="n">
        <x:v>245.75162608481585</x:v>
      </x:c>
      <x:c r="R1821" s="23" t="n">
        <x:v>2488.9744075996473</x:v>
      </x:c>
      <x:c r="S1821" s="23" t="n">
        <x:v>1017.309925959368</x:v>
      </x:c>
      <x:c r="T1821" s="23" t="n">
        <x:v>-4.206698175476475</x:v>
      </x:c>
      <x:c r="U1821" s="23" t="n">
        <x:v>-14.894445115462986</x:v>
      </x:c>
      <x:c r="V1821" s="23" t="n">
        <x:v>-6.166156907177765</x:v>
      </x:c>
    </x:row>
    <x:row r="1822">
      <x:c r="A1822" s="23" t="n">
        <x:v>1821</x:v>
      </x:c>
      <x:c r="B1822" s="23" t="str">
        <x:v>Train</x:v>
      </x:c>
      <x:c r="C1822" s="23" t="str">
        <x:v>Switching</x:v>
      </x:c>
      <x:c r="D1822" s="23" t="n">
        <x:v>959.3500405084342</x:v>
      </x:c>
      <x:c r="E1822" s="23" t="n">
        <x:v>650.2124884049408</x:v>
      </x:c>
      <x:c r="F1822" s="23" t="n">
        <x:v>655.0501024350524</x:v>
      </x:c>
      <x:c r="G1822" s="23" t="n">
        <x:v>90.11430920334533</x:v>
      </x:c>
      <x:c r="H1822" s="23" t="n">
        <x:v>14.99984486028552</x:v>
      </x:c>
      <x:c r="I1822" s="23" t="n">
        <x:v>0.7962349705048837</x:v>
      </x:c>
      <x:c r="J1822" s="23" t="n">
        <x:v>7</x:v>
      </x:c>
      <x:c r="K1822" s="23" t="n">
        <x:v>172.1225654030459</x:v>
      </x:c>
      <x:c r="L1822" s="23" t="n">
        <x:v>15325</x:v>
      </x:c>
      <x:c r="M1822" s="23" t="n">
        <x:v>1200</x:v>
      </x:c>
      <x:c r="N1822" s="23" t="n">
        <x:v>249.98101699690207</x:v>
      </x:c>
      <x:c r="O1822" s="23" t="n">
        <x:v>2502.9227680105323</x:v>
      </x:c>
      <x:c r="P1822" s="23" t="n">
        <x:v>959.3500405084342</x:v>
      </x:c>
      <x:c r="Q1822" s="23" t="n">
        <x:v>247.72463095875224</x:v>
      </x:c>
      <x:c r="R1822" s="23" t="n">
        <x:v>2457.9444626905824</x:v>
      </x:c>
      <x:c r="S1822" s="23" t="n">
        <x:v>968.0214092280622</x:v>
      </x:c>
      <x:c r="T1822" s="23" t="n">
        <x:v>-2.2563860381498273</x:v>
      </x:c>
      <x:c r="U1822" s="23" t="n">
        <x:v>-44.97830531994987</x:v>
      </x:c>
      <x:c r="V1822" s="23" t="n">
        <x:v>8.671368719628049</x:v>
      </x:c>
    </x:row>
    <x:row r="1823">
      <x:c r="A1823" s="23" t="n">
        <x:v>1822</x:v>
      </x:c>
      <x:c r="B1823" s="23" t="str">
        <x:v>Train</x:v>
      </x:c>
      <x:c r="C1823" s="23" t="str">
        <x:v>Switching</x:v>
      </x:c>
      <x:c r="D1823" s="23" t="n">
        <x:v>1083.9965432998724</x:v>
      </x:c>
      <x:c r="E1823" s="23" t="n">
        <x:v>953.8011363474652</x:v>
      </x:c>
      <x:c r="F1823" s="23" t="n">
        <x:v>713.0295057781041</x:v>
      </x:c>
      <x:c r="G1823" s="23" t="n">
        <x:v>194.08280488103628</x:v>
      </x:c>
      <x:c r="H1823" s="23" t="n">
        <x:v>29.10342081123963</x:v>
      </x:c>
      <x:c r="I1823" s="23" t="n">
        <x:v>0.8495614856062458</x:v>
      </x:c>
      <x:c r="J1823" s="23" t="n">
        <x:v>7</x:v>
      </x:c>
      <x:c r="K1823" s="23" t="n">
        <x:v>182.27833025214585</x:v>
      </x:c>
      <x:c r="L1823" s="23" t="n">
        <x:v>11490</x:v>
      </x:c>
      <x:c r="M1823" s="23" t="n">
        <x:v>1195</x:v>
      </x:c>
      <x:c r="N1823" s="23" t="n">
        <x:v>249.95511382257772</x:v>
      </x:c>
      <x:c r="O1823" s="23" t="n">
        <x:v>2495.1926129020576</x:v>
      </x:c>
      <x:c r="P1823" s="23" t="n">
        <x:v>1083.9965432998724</x:v>
      </x:c>
      <x:c r="Q1823" s="23" t="n">
        <x:v>250.11109928940922</x:v>
      </x:c>
      <x:c r="R1823" s="23" t="n">
        <x:v>2477.2850157988746</x:v>
      </x:c>
      <x:c r="S1823" s="23" t="n">
        <x:v>1063.245049392969</x:v>
      </x:c>
      <x:c r="T1823" s="23" t="n">
        <x:v>0.1559854668315097</x:v>
      </x:c>
      <x:c r="U1823" s="23" t="n">
        <x:v>-17.90759710318298</x:v>
      </x:c>
      <x:c r="V1823" s="23" t="n">
        <x:v>-20.751493906903534</x:v>
      </x:c>
    </x:row>
    <x:row r="1824">
      <x:c r="A1824" s="23" t="n">
        <x:v>1823</x:v>
      </x:c>
      <x:c r="B1824" s="23" t="str">
        <x:v>Train</x:v>
      </x:c>
      <x:c r="C1824" s="23" t="str">
        <x:v>Switching</x:v>
      </x:c>
      <x:c r="D1824" s="23" t="n">
        <x:v>1054.6879630768672</x:v>
      </x:c>
      <x:c r="E1824" s="23" t="n">
        <x:v>674.3197790463455</x:v>
      </x:c>
      <x:c r="F1824" s="23" t="n">
        <x:v>709.1761849820614</x:v>
      </x:c>
      <x:c r="G1824" s="23" t="n">
        <x:v>226.0840342915617</x:v>
      </x:c>
      <x:c r="H1824" s="23" t="n">
        <x:v>15.585261634550989</x:v>
      </x:c>
      <x:c r="I1824" s="23" t="n">
        <x:v>0.84986828395864</x:v>
      </x:c>
      <x:c r="J1824" s="23" t="n">
        <x:v>7</x:v>
      </x:c>
      <x:c r="K1824" s="23" t="n">
        <x:v>177.28595342935938</x:v>
      </x:c>
      <x:c r="L1824" s="23" t="n">
        <x:v>13285</x:v>
      </x:c>
      <x:c r="M1824" s="23" t="n">
        <x:v>1200</x:v>
      </x:c>
      <x:c r="N1824" s="23" t="n">
        <x:v>249.9707793951221</x:v>
      </x:c>
      <x:c r="O1824" s="23" t="n">
        <x:v>2504.16968708622</x:v>
      </x:c>
      <x:c r="P1824" s="23" t="n">
        <x:v>1054.6879630768672</x:v>
      </x:c>
      <x:c r="Q1824" s="23" t="n">
        <x:v>253.1032757112249</x:v>
      </x:c>
      <x:c r="R1824" s="23" t="n">
        <x:v>2474.633704097316</x:v>
      </x:c>
      <x:c r="S1824" s="23" t="n">
        <x:v>1059.8309975310278</x:v>
      </x:c>
      <x:c r="T1824" s="23" t="n">
        <x:v>3.1324963161028165</x:v>
      </x:c>
      <x:c r="U1824" s="23" t="n">
        <x:v>-29.53598298890438</x:v>
      </x:c>
      <x:c r="V1824" s="23" t="n">
        <x:v>5.14303445416067</x:v>
      </x:c>
    </x:row>
    <x:row r="1825">
      <x:c r="A1825" s="23" t="n">
        <x:v>1824</x:v>
      </x:c>
      <x:c r="B1825" s="23" t="str">
        <x:v>Train</x:v>
      </x:c>
      <x:c r="C1825" s="23" t="str">
        <x:v>Switching</x:v>
      </x:c>
      <x:c r="D1825" s="23" t="n">
        <x:v>1020.633065502625</x:v>
      </x:c>
      <x:c r="E1825" s="23" t="n">
        <x:v>984.6524618566036</x:v>
      </x:c>
      <x:c r="F1825" s="23" t="n">
        <x:v>437.7021818421781</x:v>
      </x:c>
      <x:c r="G1825" s="23" t="n">
        <x:v>185.41127540636808</x:v>
      </x:c>
      <x:c r="H1825" s="23" t="n">
        <x:v>9.07472446700558</x:v>
      </x:c>
      <x:c r="I1825" s="23" t="n">
        <x:v>0.7993448023032398</x:v>
      </x:c>
      <x:c r="J1825" s="23" t="n">
        <x:v>7</x:v>
      </x:c>
      <x:c r="K1825" s="23" t="n">
        <x:v>182.40529396464328</x:v>
      </x:c>
      <x:c r="L1825" s="23" t="n">
        <x:v>13300</x:v>
      </x:c>
      <x:c r="M1825" s="23" t="n">
        <x:v>1200</x:v>
      </x:c>
      <x:c r="N1825" s="23" t="n">
        <x:v>249.97082527925073</x:v>
      </x:c>
      <x:c r="O1825" s="23" t="n">
        <x:v>2504.159126968295</x:v>
      </x:c>
      <x:c r="P1825" s="23" t="n">
        <x:v>1020.633065502625</x:v>
      </x:c>
      <x:c r="Q1825" s="23" t="n">
        <x:v>252.2457342424943</x:v>
      </x:c>
      <x:c r="R1825" s="23" t="n">
        <x:v>2527.5979145193114</x:v>
      </x:c>
      <x:c r="S1825" s="23" t="n">
        <x:v>1030.1569347081386</x:v>
      </x:c>
      <x:c r="T1825" s="23" t="n">
        <x:v>2.2749089632435755</x:v>
      </x:c>
      <x:c r="U1825" s="23" t="n">
        <x:v>23.438787551016503</x:v>
      </x:c>
      <x:c r="V1825" s="23" t="n">
        <x:v>9.52386920551362</x:v>
      </x:c>
    </x:row>
    <x:row r="1826">
      <x:c r="A1826" s="23" t="n">
        <x:v>1825</x:v>
      </x:c>
      <x:c r="B1826" s="23" t="str">
        <x:v>Train</x:v>
      </x:c>
      <x:c r="C1826" s="23" t="str">
        <x:v>Switching</x:v>
      </x:c>
      <x:c r="D1826" s="23" t="n">
        <x:v>1020.8384222351015</x:v>
      </x:c>
      <x:c r="E1826" s="23" t="n">
        <x:v>860.7846721424721</x:v>
      </x:c>
      <x:c r="F1826" s="23" t="n">
        <x:v>602.2105420008302</x:v>
      </x:c>
      <x:c r="G1826" s="23" t="n">
        <x:v>109.28195061394945</x:v>
      </x:c>
      <x:c r="H1826" s="23" t="n">
        <x:v>16.611915612593293</x:v>
      </x:c>
      <x:c r="I1826" s="23" t="n">
        <x:v>0.8409999230806716</x:v>
      </x:c>
      <x:c r="J1826" s="23" t="n">
        <x:v>7</x:v>
      </x:c>
      <x:c r="K1826" s="23" t="n">
        <x:v>173.40555726223448</x:v>
      </x:c>
      <x:c r="L1826" s="23" t="n">
        <x:v>13600</x:v>
      </x:c>
      <x:c r="M1826" s="23" t="n">
        <x:v>1200</x:v>
      </x:c>
      <x:c r="N1826" s="23" t="n">
        <x:v>249.96727701963002</x:v>
      </x:c>
      <x:c r="O1826" s="23" t="n">
        <x:v>2503.952539831485</x:v>
      </x:c>
      <x:c r="P1826" s="23" t="n">
        <x:v>1020.8384222351015</x:v>
      </x:c>
      <x:c r="Q1826" s="23" t="n">
        <x:v>251.94830237748758</x:v>
      </x:c>
      <x:c r="R1826" s="23" t="n">
        <x:v>2517.72430783001</x:v>
      </x:c>
      <x:c r="S1826" s="23" t="n">
        <x:v>1018.7398735911019</x:v>
      </x:c>
      <x:c r="T1826" s="23" t="n">
        <x:v>1.9810253578575612</x:v>
      </x:c>
      <x:c r="U1826" s="23" t="n">
        <x:v>13.771767998524865</x:v>
      </x:c>
      <x:c r="V1826" s="23" t="n">
        <x:v>-2.0985486439996066</x:v>
      </x:c>
    </x:row>
    <x:row r="1827">
      <x:c r="A1827" s="23" t="n">
        <x:v>1826</x:v>
      </x:c>
      <x:c r="B1827" s="23" t="str">
        <x:v>Train</x:v>
      </x:c>
      <x:c r="C1827" s="23" t="str">
        <x:v>Switching</x:v>
      </x:c>
      <x:c r="D1827" s="23" t="n">
        <x:v>1097.4327342235483</x:v>
      </x:c>
      <x:c r="E1827" s="23" t="n">
        <x:v>1065.155806695111</x:v>
      </x:c>
      <x:c r="F1827" s="23" t="n">
        <x:v>671.5897613205016</x:v>
      </x:c>
      <x:c r="G1827" s="23" t="n">
        <x:v>262.4307481292635</x:v>
      </x:c>
      <x:c r="H1827" s="23" t="n">
        <x:v>16.804123290348798</x:v>
      </x:c>
      <x:c r="I1827" s="23" t="n">
        <x:v>0.8043607012042776</x:v>
      </x:c>
      <x:c r="J1827" s="23" t="n">
        <x:v>7</x:v>
      </x:c>
      <x:c r="K1827" s="23" t="n">
        <x:v>194.90771323655588</x:v>
      </x:c>
      <x:c r="L1827" s="23" t="n">
        <x:v>10695</x:v>
      </x:c>
      <x:c r="M1827" s="23" t="n">
        <x:v>1195</x:v>
      </x:c>
      <x:c r="N1827" s="23" t="n">
        <x:v>249.94658785440132</x:v>
      </x:c>
      <x:c r="O1827" s="23" t="n">
        <x:v>2495.9941151499943</x:v>
      </x:c>
      <x:c r="P1827" s="23" t="n">
        <x:v>1097.4327342235483</x:v>
      </x:c>
      <x:c r="Q1827" s="23" t="n">
        <x:v>251.35260749930623</x:v>
      </x:c>
      <x:c r="R1827" s="23" t="n">
        <x:v>2470.1266118576773</x:v>
      </x:c>
      <x:c r="S1827" s="23" t="n">
        <x:v>1088.83806496843</x:v>
      </x:c>
      <x:c r="T1827" s="23" t="n">
        <x:v>1.4060196449049158</x:v>
      </x:c>
      <x:c r="U1827" s="23" t="n">
        <x:v>-25.867503292316997</x:v>
      </x:c>
      <x:c r="V1827" s="23" t="n">
        <x:v>-8.594669255118333</x:v>
      </x:c>
    </x:row>
    <x:row r="1828">
      <x:c r="A1828" s="23" t="n">
        <x:v>1827</x:v>
      </x:c>
      <x:c r="B1828" s="23" t="str">
        <x:v>Train</x:v>
      </x:c>
      <x:c r="C1828" s="23" t="str">
        <x:v>Switching</x:v>
      </x:c>
      <x:c r="D1828" s="23" t="n">
        <x:v>1079.0607422357425</x:v>
      </x:c>
      <x:c r="E1828" s="23" t="n">
        <x:v>1108.647295983974</x:v>
      </x:c>
      <x:c r="F1828" s="23" t="n">
        <x:v>407.7180963009596</x:v>
      </x:c>
      <x:c r="G1828" s="23" t="n">
        <x:v>147.9203399340622</x:v>
      </x:c>
      <x:c r="H1828" s="23" t="n">
        <x:v>22.3304249541834</x:v>
      </x:c>
      <x:c r="I1828" s="23" t="n">
        <x:v>0.8211511375824921</x:v>
      </x:c>
      <x:c r="J1828" s="23" t="n">
        <x:v>7</x:v>
      </x:c>
      <x:c r="K1828" s="23" t="n">
        <x:v>187.72614144935062</x:v>
      </x:c>
      <x:c r="L1828" s="23" t="n">
        <x:v>12850</x:v>
      </x:c>
      <x:c r="M1828" s="23" t="n">
        <x:v>1200</x:v>
      </x:c>
      <x:c r="N1828" s="23" t="n">
        <x:v>250.003695923044</x:v>
      </x:c>
      <x:c r="O1828" s="23" t="n">
        <x:v>2504.4881401043936</x:v>
      </x:c>
      <x:c r="P1828" s="23" t="n">
        <x:v>1079.0607422357425</x:v>
      </x:c>
      <x:c r="Q1828" s="23" t="n">
        <x:v>251.99884496597042</x:v>
      </x:c>
      <x:c r="R1828" s="23" t="n">
        <x:v>2568.5266597033715</x:v>
      </x:c>
      <x:c r="S1828" s="23" t="n">
        <x:v>1077.8716347271213</x:v>
      </x:c>
      <x:c r="T1828" s="23" t="n">
        <x:v>1.995149042926414</x:v>
      </x:c>
      <x:c r="U1828" s="23" t="n">
        <x:v>64.03851959897793</x:v>
      </x:c>
      <x:c r="V1828" s="23" t="n">
        <x:v>-1.1891075086211913</x:v>
      </x:c>
    </x:row>
    <x:row r="1829">
      <x:c r="A1829" s="23" t="n">
        <x:v>1828</x:v>
      </x:c>
      <x:c r="B1829" s="23" t="str">
        <x:v>Train</x:v>
      </x:c>
      <x:c r="C1829" s="23" t="str">
        <x:v>Switching</x:v>
      </x:c>
      <x:c r="D1829" s="23" t="n">
        <x:v>1008.7308894260786</x:v>
      </x:c>
      <x:c r="E1829" s="23" t="n">
        <x:v>682.9059377778322</x:v>
      </x:c>
      <x:c r="F1829" s="23" t="n">
        <x:v>509.70697132870555</x:v>
      </x:c>
      <x:c r="G1829" s="23" t="n">
        <x:v>293.0488142138347</x:v>
      </x:c>
      <x:c r="H1829" s="23" t="n">
        <x:v>20.01167232496664</x:v>
      </x:c>
      <x:c r="I1829" s="23" t="n">
        <x:v>0.7965870334021747</x:v>
      </x:c>
      <x:c r="J1829" s="23" t="n">
        <x:v>7</x:v>
      </x:c>
      <x:c r="K1829" s="23" t="n">
        <x:v>180.9022827796894</x:v>
      </x:c>
      <x:c r="L1829" s="23" t="n">
        <x:v>14395</x:v>
      </x:c>
      <x:c r="M1829" s="23" t="n">
        <x:v>1200</x:v>
      </x:c>
      <x:c r="N1829" s="23" t="n">
        <x:v>250.00392950096892</x:v>
      </x:c>
      <x:c r="O1829" s="23" t="n">
        <x:v>2503.448334023792</x:v>
      </x:c>
      <x:c r="P1829" s="23" t="n">
        <x:v>1008.7308894260786</x:v>
      </x:c>
      <x:c r="Q1829" s="23" t="n">
        <x:v>251.09699716042738</x:v>
      </x:c>
      <x:c r="R1829" s="23" t="n">
        <x:v>2473.0049551519423</x:v>
      </x:c>
      <x:c r="S1829" s="23" t="n">
        <x:v>1016.563135723973</x:v>
      </x:c>
      <x:c r="T1829" s="23" t="n">
        <x:v>1.0930676594584554</x:v>
      </x:c>
      <x:c r="U1829" s="23" t="n">
        <x:v>-30.443378871849745</x:v>
      </x:c>
      <x:c r="V1829" s="23" t="n">
        <x:v>7.832246297894358</x:v>
      </x:c>
    </x:row>
    <x:row r="1830">
      <x:c r="A1830" s="23" t="n">
        <x:v>1829</x:v>
      </x:c>
      <x:c r="B1830" s="23" t="str">
        <x:v>Train</x:v>
      </x:c>
      <x:c r="C1830" s="23" t="str">
        <x:v>Switching</x:v>
      </x:c>
      <x:c r="D1830" s="23" t="n">
        <x:v>1032.9537129495293</x:v>
      </x:c>
      <x:c r="E1830" s="23" t="n">
        <x:v>1095.9825483965687</x:v>
      </x:c>
      <x:c r="F1830" s="23" t="n">
        <x:v>414.50091134756804</x:v>
      </x:c>
      <x:c r="G1830" s="23" t="n">
        <x:v>251.17999988840893</x:v>
      </x:c>
      <x:c r="H1830" s="23" t="n">
        <x:v>25.453149743378162</x:v>
      </x:c>
      <x:c r="I1830" s="23" t="n">
        <x:v>0.8258593834401109</x:v>
      </x:c>
      <x:c r="J1830" s="23" t="n">
        <x:v>7</x:v>
      </x:c>
      <x:c r="K1830" s="23" t="n">
        <x:v>178.68031664297007</x:v>
      </x:c>
      <x:c r="L1830" s="23" t="n">
        <x:v>12140</x:v>
      </x:c>
      <x:c r="M1830" s="23" t="n">
        <x:v>1200</x:v>
      </x:c>
      <x:c r="N1830" s="23" t="n">
        <x:v>250.0099137810359</x:v>
      </x:c>
      <x:c r="O1830" s="23" t="n">
        <x:v>2505.054995331213</x:v>
      </x:c>
      <x:c r="P1830" s="23" t="n">
        <x:v>1032.9537129495293</x:v>
      </x:c>
      <x:c r="Q1830" s="23" t="n">
        <x:v>252.25605510643254</x:v>
      </x:c>
      <x:c r="R1830" s="23" t="n">
        <x:v>2529.1029023479914</x:v>
      </x:c>
      <x:c r="S1830" s="23" t="n">
        <x:v>1027.777675104266</x:v>
      </x:c>
      <x:c r="T1830" s="23" t="n">
        <x:v>2.24614132539665</x:v>
      </x:c>
      <x:c r="U1830" s="23" t="n">
        <x:v>24.04790701677848</x:v>
      </x:c>
      <x:c r="V1830" s="23" t="n">
        <x:v>-5.176037845263181</x:v>
      </x:c>
    </x:row>
    <x:row r="1831">
      <x:c r="A1831" s="23" t="n">
        <x:v>1830</x:v>
      </x:c>
      <x:c r="B1831" s="23" t="str">
        <x:v>Train</x:v>
      </x:c>
      <x:c r="C1831" s="23" t="str">
        <x:v>Switching</x:v>
      </x:c>
      <x:c r="D1831" s="23" t="n">
        <x:v>1074.7214044560678</x:v>
      </x:c>
      <x:c r="E1831" s="23" t="n">
        <x:v>1168.3705396717414</x:v>
      </x:c>
      <x:c r="F1831" s="23" t="n">
        <x:v>704.4561770744622</x:v>
      </x:c>
      <x:c r="G1831" s="23" t="n">
        <x:v>119.10753643140197</x:v>
      </x:c>
      <x:c r="H1831" s="23" t="n">
        <x:v>10.736401586327702</x:v>
      </x:c>
      <x:c r="I1831" s="23" t="n">
        <x:v>0.790139928474091</x:v>
      </x:c>
      <x:c r="J1831" s="23" t="n">
        <x:v>7</x:v>
      </x:c>
      <x:c r="K1831" s="23" t="n">
        <x:v>194.3094174528152</x:v>
      </x:c>
      <x:c r="L1831" s="23" t="n">
        <x:v>10735</x:v>
      </x:c>
      <x:c r="M1831" s="23" t="n">
        <x:v>1195</x:v>
      </x:c>
      <x:c r="N1831" s="23" t="n">
        <x:v>249.97241034294532</x:v>
      </x:c>
      <x:c r="O1831" s="23" t="n">
        <x:v>2495.9521333092866</x:v>
      </x:c>
      <x:c r="P1831" s="23" t="n">
        <x:v>1074.7214044560678</x:v>
      </x:c>
      <x:c r="Q1831" s="23" t="n">
        <x:v>253.8783124517983</x:v>
      </x:c>
      <x:c r="R1831" s="23" t="n">
        <x:v>2534.3379620319147</x:v>
      </x:c>
      <x:c r="S1831" s="23" t="n">
        <x:v>1068.7003138707967</x:v>
      </x:c>
      <x:c r="T1831" s="23" t="n">
        <x:v>3.9059021088529846</x:v>
      </x:c>
      <x:c r="U1831" s="23" t="n">
        <x:v>38.38582872262805</x:v>
      </x:c>
      <x:c r="V1831" s="23" t="n">
        <x:v>-6.021090585271168</x:v>
      </x:c>
    </x:row>
    <x:row r="1832">
      <x:c r="A1832" s="23" t="n">
        <x:v>1831</x:v>
      </x:c>
      <x:c r="B1832" s="23" t="str">
        <x:v>Train</x:v>
      </x:c>
      <x:c r="C1832" s="23" t="str">
        <x:v>Switching</x:v>
      </x:c>
      <x:c r="D1832" s="23" t="n">
        <x:v>1007.0209394441918</x:v>
      </x:c>
      <x:c r="E1832" s="23" t="n">
        <x:v>663.4336698916741</x:v>
      </x:c>
      <x:c r="F1832" s="23" t="n">
        <x:v>616.3511514663696</x:v>
      </x:c>
      <x:c r="G1832" s="23" t="n">
        <x:v>233.01359252771363</x:v>
      </x:c>
      <x:c r="H1832" s="23" t="n">
        <x:v>8.802488344721496</x:v>
      </x:c>
      <x:c r="I1832" s="23" t="n">
        <x:v>0.8380629321164452</x:v>
      </x:c>
      <x:c r="J1832" s="23" t="n">
        <x:v>7</x:v>
      </x:c>
      <x:c r="K1832" s="23" t="n">
        <x:v>171.65791337770844</x:v>
      </x:c>
      <x:c r="L1832" s="23" t="n">
        <x:v>14135</x:v>
      </x:c>
      <x:c r="M1832" s="23" t="n">
        <x:v>1200</x:v>
      </x:c>
      <x:c r="N1832" s="23" t="n">
        <x:v>249.9721969445452</x:v>
      </x:c>
      <x:c r="O1832" s="23" t="n">
        <x:v>2503.606302126912</x:v>
      </x:c>
      <x:c r="P1832" s="23" t="n">
        <x:v>1007.0209394441918</x:v>
      </x:c>
      <x:c r="Q1832" s="23" t="n">
        <x:v>249.58798022553262</x:v>
      </x:c>
      <x:c r="R1832" s="23" t="n">
        <x:v>2454.3440661602694</x:v>
      </x:c>
      <x:c r="S1832" s="23" t="n">
        <x:v>1009.8314439118583</x:v>
      </x:c>
      <x:c r="T1832" s="23" t="n">
        <x:v>-0.3842167190125849</x:v>
      </x:c>
      <x:c r="U1832" s="23" t="n">
        <x:v>-49.26223596664249</x:v>
      </x:c>
      <x:c r="V1832" s="23" t="n">
        <x:v>2.810504467666533</x:v>
      </x:c>
    </x:row>
    <x:row r="1833">
      <x:c r="A1833" s="23" t="n">
        <x:v>1832</x:v>
      </x:c>
      <x:c r="B1833" s="23" t="str">
        <x:v>Train</x:v>
      </x:c>
      <x:c r="C1833" s="23" t="str">
        <x:v>Switching</x:v>
      </x:c>
      <x:c r="D1833" s="23" t="n">
        <x:v>1055.9623584966175</x:v>
      </x:c>
      <x:c r="E1833" s="23" t="n">
        <x:v>1164.1427055932581</x:v>
      </x:c>
      <x:c r="F1833" s="23" t="n">
        <x:v>436.4441848360002</x:v>
      </x:c>
      <x:c r="G1833" s="23" t="n">
        <x:v>205.74458273593336</x:v>
      </x:c>
      <x:c r="H1833" s="23" t="n">
        <x:v>13.332405996974558</x:v>
      </x:c>
      <x:c r="I1833" s="23" t="n">
        <x:v>0.8099996665213257</x:v>
      </x:c>
      <x:c r="J1833" s="23" t="n">
        <x:v>7</x:v>
      </x:c>
      <x:c r="K1833" s="23" t="n">
        <x:v>186.23682420435313</x:v>
      </x:c>
      <x:c r="L1833" s="23" t="n">
        <x:v>11840</x:v>
      </x:c>
      <x:c r="M1833" s="23" t="n">
        <x:v>1195</x:v>
      </x:c>
      <x:c r="N1833" s="23" t="n">
        <x:v>250.01395247152092</x:v>
      </x:c>
      <x:c r="O1833" s="23" t="n">
        <x:v>2494.8762042017074</x:v>
      </x:c>
      <x:c r="P1833" s="23" t="n">
        <x:v>1055.9623584966175</x:v>
      </x:c>
      <x:c r="Q1833" s="23" t="n">
        <x:v>254.56204432162218</x:v>
      </x:c>
      <x:c r="R1833" s="23" t="n">
        <x:v>2510.328339107445</x:v>
      </x:c>
      <x:c r="S1833" s="23" t="n">
        <x:v>1058.522673657295</x:v>
      </x:c>
      <x:c r="T1833" s="23" t="n">
        <x:v>4.548091850101258</x:v>
      </x:c>
      <x:c r="U1833" s="23" t="n">
        <x:v>15.452134905737694</x:v>
      </x:c>
      <x:c r="V1833" s="23" t="n">
        <x:v>2.560315160677419</x:v>
      </x:c>
    </x:row>
    <x:row r="1834">
      <x:c r="A1834" s="23" t="n">
        <x:v>1833</x:v>
      </x:c>
      <x:c r="B1834" s="23" t="str">
        <x:v>Train</x:v>
      </x:c>
      <x:c r="C1834" s="23" t="str">
        <x:v>Switching</x:v>
      </x:c>
      <x:c r="D1834" s="23" t="n">
        <x:v>1012.0359657332301</x:v>
      </x:c>
      <x:c r="E1834" s="23" t="n">
        <x:v>605.5133033893071</x:v>
      </x:c>
      <x:c r="F1834" s="23" t="n">
        <x:v>648.3189346268773</x:v>
      </x:c>
      <x:c r="G1834" s="23" t="n">
        <x:v>216.9293700554408</x:v>
      </x:c>
      <x:c r="H1834" s="23" t="n">
        <x:v>22.846350273117423</x:v>
      </x:c>
      <x:c r="I1834" s="23" t="n">
        <x:v>0.8230331787583418</x:v>
      </x:c>
      <x:c r="J1834" s="23" t="n">
        <x:v>7</x:v>
      </x:c>
      <x:c r="K1834" s="23" t="n">
        <x:v>175.66310844409958</x:v>
      </x:c>
      <x:c r="L1834" s="23" t="n">
        <x:v>14540</x:v>
      </x:c>
      <x:c r="M1834" s="23" t="n">
        <x:v>1200</x:v>
      </x:c>
      <x:c r="N1834" s="23" t="n">
        <x:v>249.9896430805692</x:v>
      </x:c>
      <x:c r="O1834" s="23" t="n">
        <x:v>2503.3615974729064</x:v>
      </x:c>
      <x:c r="P1834" s="23" t="n">
        <x:v>1012.0359657332301</x:v>
      </x:c>
      <x:c r="Q1834" s="23" t="n">
        <x:v>250.37450171367533</x:v>
      </x:c>
      <x:c r="R1834" s="23" t="n">
        <x:v>2511.028334636798</x:v>
      </x:c>
      <x:c r="S1834" s="23" t="n">
        <x:v>1010.6486820332113</x:v>
      </x:c>
      <x:c r="T1834" s="23" t="n">
        <x:v>0.3848586331061199</x:v>
      </x:c>
      <x:c r="U1834" s="23" t="n">
        <x:v>7.666737163891412</x:v>
      </x:c>
      <x:c r="V1834" s="23" t="n">
        <x:v>-1.38728370001877</x:v>
      </x:c>
    </x:row>
    <x:row r="1835">
      <x:c r="A1835" s="23" t="n">
        <x:v>1834</x:v>
      </x:c>
      <x:c r="B1835" s="23" t="str">
        <x:v>Train</x:v>
      </x:c>
      <x:c r="C1835" s="23" t="str">
        <x:v>Switching</x:v>
      </x:c>
      <x:c r="D1835" s="23" t="n">
        <x:v>1023.1879529193975</x:v>
      </x:c>
      <x:c r="E1835" s="23" t="n">
        <x:v>1088.5545429075137</x:v>
      </x:c>
      <x:c r="F1835" s="23" t="n">
        <x:v>537.0629609562457</x:v>
      </x:c>
      <x:c r="G1835" s="23" t="n">
        <x:v>248.44555246643722</x:v>
      </x:c>
      <x:c r="H1835" s="23" t="n">
        <x:v>20.516784687060863</x:v>
      </x:c>
      <x:c r="I1835" s="23" t="n">
        <x:v>0.7907150353165344</x:v>
      </x:c>
      <x:c r="J1835" s="23" t="n">
        <x:v>7</x:v>
      </x:c>
      <x:c r="K1835" s="23" t="n">
        <x:v>184.8576301592648</x:v>
      </x:c>
      <x:c r="L1835" s="23" t="n">
        <x:v>11410</x:v>
      </x:c>
      <x:c r="M1835" s="23" t="n">
        <x:v>1195</x:v>
      </x:c>
      <x:c r="N1835" s="23" t="n">
        <x:v>249.968501466836</x:v>
      </x:c>
      <x:c r="O1835" s="23" t="n">
        <x:v>2495.268840464078</x:v>
      </x:c>
      <x:c r="P1835" s="23" t="n">
        <x:v>1023.1879529193975</x:v>
      </x:c>
      <x:c r="Q1835" s="23" t="n">
        <x:v>248.03189382988958</x:v>
      </x:c>
      <x:c r="R1835" s="23" t="n">
        <x:v>2478.8565144477566</x:v>
      </x:c>
      <x:c r="S1835" s="23" t="n">
        <x:v>1013.6503811754188</x:v>
      </x:c>
      <x:c r="T1835" s="23" t="n">
        <x:v>-1.9366076369464054</x:v>
      </x:c>
      <x:c r="U1835" s="23" t="n">
        <x:v>-16.412326016321458</x:v>
      </x:c>
      <x:c r="V1835" s="23" t="n">
        <x:v>-9.537571743978674</x:v>
      </x:c>
    </x:row>
    <x:row r="1836">
      <x:c r="A1836" s="23" t="n">
        <x:v>1835</x:v>
      </x:c>
      <x:c r="B1836" s="23" t="str">
        <x:v>Validation</x:v>
      </x:c>
      <x:c r="C1836" s="23" t="str">
        <x:v>Switching</x:v>
      </x:c>
      <x:c r="D1836" s="23" t="n">
        <x:v>1055.926655116491</x:v>
      </x:c>
      <x:c r="E1836" s="23" t="n">
        <x:v>1037.744550278876</x:v>
      </x:c>
      <x:c r="F1836" s="23" t="n">
        <x:v>689.075155928731</x:v>
      </x:c>
      <x:c r="G1836" s="23" t="n">
        <x:v>310.2184125292115</x:v>
      </x:c>
      <x:c r="H1836" s="23" t="n">
        <x:v>17.867631749249995</x:v>
      </x:c>
      <x:c r="I1836" s="23" t="n">
        <x:v>0.824780186477583</x:v>
      </x:c>
      <x:c r="J1836" s="23" t="n">
        <x:v>7</x:v>
      </x:c>
      <x:c r="K1836" s="23" t="n">
        <x:v>182.8931726171401</x:v>
      </x:c>
      <x:c r="L1836" s="23" t="n">
        <x:v>10500</x:v>
      </x:c>
      <x:c r="M1836" s="23" t="n">
        <x:v>1195</x:v>
      </x:c>
      <x:c r="N1836" s="23" t="n">
        <x:v>250.03675134888715</x:v>
      </x:c>
      <x:c r="O1836" s="23" t="n">
        <x:v>2496.2135979372206</x:v>
      </x:c>
      <x:c r="P1836" s="23" t="n">
        <x:v>1055.926655116491</x:v>
      </x:c>
      <x:c r="Q1836" s="23" t="n">
        <x:v>254.22299655064663</x:v>
      </x:c>
      <x:c r="R1836" s="23" t="n">
        <x:v>2524.3863018436264</x:v>
      </x:c>
      <x:c r="S1836" s="23" t="n">
        <x:v>1047.7538934982053</x:v>
      </x:c>
      <x:c r="T1836" s="23" t="n">
        <x:v>4.186245201759476</x:v>
      </x:c>
      <x:c r="U1836" s="23" t="n">
        <x:v>28.172703906405786</x:v>
      </x:c>
      <x:c r="V1836" s="23" t="n">
        <x:v>-8.172761618285676</x:v>
      </x:c>
    </x:row>
    <x:row r="1837">
      <x:c r="A1837" s="23" t="n">
        <x:v>1836</x:v>
      </x:c>
      <x:c r="B1837" s="23" t="str">
        <x:v>Validation</x:v>
      </x:c>
      <x:c r="C1837" s="23" t="str">
        <x:v>Switching</x:v>
      </x:c>
      <x:c r="D1837" s="23" t="n">
        <x:v>1016.2096305168234</x:v>
      </x:c>
      <x:c r="E1837" s="23" t="n">
        <x:v>906.1335825826973</x:v>
      </x:c>
      <x:c r="F1837" s="23" t="n">
        <x:v>537.6877824775875</x:v>
      </x:c>
      <x:c r="G1837" s="23" t="n">
        <x:v>267.84730962943286</x:v>
      </x:c>
      <x:c r="H1837" s="23" t="n">
        <x:v>16.98285739449784</x:v>
      </x:c>
      <x:c r="I1837" s="23" t="n">
        <x:v>0.8087665924802423</x:v>
      </x:c>
      <x:c r="J1837" s="23" t="n">
        <x:v>7</x:v>
      </x:c>
      <x:c r="K1837" s="23" t="n">
        <x:v>179.49901208746167</x:v>
      </x:c>
      <x:c r="L1837" s="23" t="n">
        <x:v>12495</x:v>
      </x:c>
      <x:c r="M1837" s="23" t="n">
        <x:v>1200</x:v>
      </x:c>
      <x:c r="N1837" s="23" t="n">
        <x:v>250.01794337925563</x:v>
      </x:c>
      <x:c r="O1837" s="23" t="n">
        <x:v>2504.7639656891038</x:v>
      </x:c>
      <x:c r="P1837" s="23" t="n">
        <x:v>1016.2096305168234</x:v>
      </x:c>
      <x:c r="Q1837" s="23" t="n">
        <x:v>252.26734525981442</x:v>
      </x:c>
      <x:c r="R1837" s="23" t="n">
        <x:v>2480.8594667288453</x:v>
      </x:c>
      <x:c r="S1837" s="23" t="n">
        <x:v>1010.8879218391148</x:v>
      </x:c>
      <x:c r="T1837" s="23" t="n">
        <x:v>2.2494018805587928</x:v>
      </x:c>
      <x:c r="U1837" s="23" t="n">
        <x:v>-23.90449896025848</x:v>
      </x:c>
      <x:c r="V1837" s="23" t="n">
        <x:v>-5.321708677708557</x:v>
      </x:c>
    </x:row>
    <x:row r="1838">
      <x:c r="A1838" s="23" t="n">
        <x:v>1837</x:v>
      </x:c>
      <x:c r="B1838" s="23" t="str">
        <x:v>Validation</x:v>
      </x:c>
      <x:c r="C1838" s="23" t="str">
        <x:v>Switching</x:v>
      </x:c>
      <x:c r="D1838" s="23" t="n">
        <x:v>983.6932314094156</x:v>
      </x:c>
      <x:c r="E1838" s="23" t="n">
        <x:v>866.1617982084863</x:v>
      </x:c>
      <x:c r="F1838" s="23" t="n">
        <x:v>516.5274849161506</x:v>
      </x:c>
      <x:c r="G1838" s="23" t="n">
        <x:v>115.1607779157348</x:v>
      </x:c>
      <x:c r="H1838" s="23" t="n">
        <x:v>12.653191987425089</x:v>
      </x:c>
      <x:c r="I1838" s="23" t="n">
        <x:v>0.8459566132002511</x:v>
      </x:c>
      <x:c r="J1838" s="23" t="n">
        <x:v>6</x:v>
      </x:c>
      <x:c r="K1838" s="23" t="n">
        <x:v>193.80293190374294</x:v>
      </x:c>
      <x:c r="L1838" s="23" t="n">
        <x:v>16655</x:v>
      </x:c>
      <x:c r="M1838" s="23" t="n">
        <x:v>1200</x:v>
      </x:c>
      <x:c r="N1838" s="23" t="n">
        <x:v>249.96612584187366</x:v>
      </x:c>
      <x:c r="O1838" s="23" t="n">
        <x:v>2502.273672664567</x:v>
      </x:c>
      <x:c r="P1838" s="23" t="n">
        <x:v>983.6932314094156</x:v>
      </x:c>
      <x:c r="Q1838" s="23" t="n">
        <x:v>250.97028521492555</x:v>
      </x:c>
      <x:c r="R1838" s="23" t="n">
        <x:v>2500.7693127674124</x:v>
      </x:c>
      <x:c r="S1838" s="23" t="n">
        <x:v>987.9194257689923</x:v>
      </x:c>
      <x:c r="T1838" s="23" t="n">
        <x:v>1.0041593730518912</x:v>
      </x:c>
      <x:c r="U1838" s="23" t="n">
        <x:v>-1.5043598971546999</x:v>
      </x:c>
      <x:c r="V1838" s="23" t="n">
        <x:v>4.2261943595766525</x:v>
      </x:c>
    </x:row>
    <x:row r="1839">
      <x:c r="A1839" s="23" t="n">
        <x:v>1838</x:v>
      </x:c>
      <x:c r="B1839" s="23" t="str">
        <x:v>Hidden Test</x:v>
      </x:c>
      <x:c r="C1839" s="23" t="str">
        <x:v>Switching</x:v>
      </x:c>
      <x:c r="D1839" s="23" t="n">
        <x:v>997.7108409744687</x:v>
      </x:c>
      <x:c r="E1839" s="23" t="n">
        <x:v>916.2606351776049</x:v>
      </x:c>
      <x:c r="F1839" s="23" t="n">
        <x:v>711.361960042268</x:v>
      </x:c>
      <x:c r="G1839" s="23" t="n">
        <x:v>149.3540908396244</x:v>
      </x:c>
      <x:c r="H1839" s="23" t="n">
        <x:v>23.582320074085146</x:v>
      </x:c>
      <x:c r="I1839" s="23" t="n">
        <x:v>0.7980016744835302</x:v>
      </x:c>
      <x:c r="J1839" s="23" t="n">
        <x:v>7</x:v>
      </x:c>
      <x:c r="K1839" s="23" t="n">
        <x:v>178.60879832295575</x:v>
      </x:c>
      <x:c r="L1839" s="23" t="n">
        <x:v>12035</x:v>
      </x:c>
      <x:c r="M1839" s="23" t="n">
        <x:v>1200</x:v>
      </x:c>
      <x:c r="N1839" s="23" t="n">
        <x:v>250.00192387523487</x:v>
      </x:c>
      <x:c r="O1839" s="23" t="n">
        <x:v>2505.1441366848894</x:v>
      </x:c>
      <x:c r="P1839" s="23" t="n">
        <x:v>997.7108409744687</x:v>
      </x:c>
      <x:c r="Q1839" s="23" t="n">
        <x:v>249.7708207591454</x:v>
      </x:c>
      <x:c r="R1839" s="23" t="n">
        <x:v>2484.502350618641</x:v>
      </x:c>
      <x:c r="S1839" s="23" t="n">
        <x:v>988.0372824818893</x:v>
      </x:c>
      <x:c r="T1839" s="23" t="n">
        <x:v>-0.23110311608945722</x:v>
      </x:c>
      <x:c r="U1839" s="23" t="n">
        <x:v>-20.641786066248642</x:v>
      </x:c>
      <x:c r="V1839" s="23" t="n">
        <x:v>-9.673558492579446</x:v>
      </x:c>
    </x:row>
    <x:row r="1840">
      <x:c r="A1840" s="23" t="n">
        <x:v>1839</x:v>
      </x:c>
      <x:c r="B1840" s="23" t="str">
        <x:v>Hidden Test</x:v>
      </x:c>
      <x:c r="C1840" s="23" t="str">
        <x:v>Switching</x:v>
      </x:c>
      <x:c r="D1840" s="23" t="n">
        <x:v>952.0911822328344</x:v>
      </x:c>
      <x:c r="E1840" s="23" t="n">
        <x:v>1078.9039866183884</x:v>
      </x:c>
      <x:c r="F1840" s="23" t="n">
        <x:v>449.5508648455143</x:v>
      </x:c>
      <x:c r="G1840" s="23" t="n">
        <x:v>203.58385551488027</x:v>
      </x:c>
      <x:c r="H1840" s="23" t="n">
        <x:v>27.89837513770908</x:v>
      </x:c>
      <x:c r="I1840" s="23" t="n">
        <x:v>0.8474941519438289</x:v>
      </x:c>
      <x:c r="J1840" s="23" t="n">
        <x:v>6</x:v>
      </x:c>
      <x:c r="K1840" s="23" t="n">
        <x:v>187.2365294102816</x:v>
      </x:c>
      <x:c r="L1840" s="23" t="n">
        <x:v>14405</x:v>
      </x:c>
      <x:c r="M1840" s="23" t="n">
        <x:v>1200</x:v>
      </x:c>
      <x:c r="N1840" s="23" t="n">
        <x:v>249.9998499061861</x:v>
      </x:c>
      <x:c r="O1840" s="23" t="n">
        <x:v>2503.4421803323407</x:v>
      </x:c>
      <x:c r="P1840" s="23" t="n">
        <x:v>952.0911822328344</x:v>
      </x:c>
      <x:c r="Q1840" s="23" t="n">
        <x:v>249.62168426231486</x:v>
      </x:c>
      <x:c r="R1840" s="23" t="n">
        <x:v>2517.7999066723373</x:v>
      </x:c>
      <x:c r="S1840" s="23" t="n">
        <x:v>939.670886629891</x:v>
      </x:c>
      <x:c r="T1840" s="23" t="n">
        <x:v>-0.37816564387125595</x:v>
      </x:c>
      <x:c r="U1840" s="23" t="n">
        <x:v>14.357726339996589</x:v>
      </x:c>
      <x:c r="V1840" s="23" t="n">
        <x:v>-12.420295602943384</x:v>
      </x:c>
    </x:row>
    <x:row r="1841">
      <x:c r="A1841" s="23" t="n">
        <x:v>1840</x:v>
      </x:c>
      <x:c r="B1841" s="23" t="str">
        <x:v>Hidden Test</x:v>
      </x:c>
      <x:c r="C1841" s="23" t="str">
        <x:v>Switching</x:v>
      </x:c>
      <x:c r="D1841" s="23" t="n">
        <x:v>963.7457553180866</x:v>
      </x:c>
      <x:c r="E1841" s="23" t="n">
        <x:v>984.717814065516</x:v>
      </x:c>
      <x:c r="F1841" s="23" t="n">
        <x:v>579.477898683399</x:v>
      </x:c>
      <x:c r="G1841" s="23" t="n">
        <x:v>201.08323362190276</x:v>
      </x:c>
      <x:c r="H1841" s="23" t="n">
        <x:v>19.30461120000109</x:v>
      </x:c>
      <x:c r="I1841" s="23" t="n">
        <x:v>0.8382082911487669</x:v>
      </x:c>
      <x:c r="J1841" s="23" t="n">
        <x:v>6</x:v>
      </x:c>
      <x:c r="K1841" s="23" t="n">
        <x:v>191.62813616753704</x:v>
      </x:c>
      <x:c r="L1841" s="23" t="n">
        <x:v>14135</x:v>
      </x:c>
      <x:c r="M1841" s="23" t="n">
        <x:v>1200</x:v>
      </x:c>
      <x:c r="N1841" s="23" t="n">
        <x:v>250.02169858786615</x:v>
      </x:c>
      <x:c r="O1841" s="23" t="n">
        <x:v>2503.6080358308113</x:v>
      </x:c>
      <x:c r="P1841" s="23" t="n">
        <x:v>963.7457553180866</x:v>
      </x:c>
      <x:c r="Q1841" s="23" t="n">
        <x:v>252.27603349442822</x:v>
      </x:c>
      <x:c r="R1841" s="23" t="n">
        <x:v>2481.825995358519</x:v>
      </x:c>
      <x:c r="S1841" s="23" t="n">
        <x:v>966.5427646310843</x:v>
      </x:c>
      <x:c r="T1841" s="23" t="n">
        <x:v>2.2543349065620646</x:v>
      </x:c>
      <x:c r="U1841" s="23" t="n">
        <x:v>-21.782040472292465</x:v>
      </x:c>
      <x:c r="V1841" s="23" t="n">
        <x:v>2.797009312997716</x:v>
      </x:c>
    </x:row>
    <x:row r="1842">
      <x:c r="A1842" s="23" t="n">
        <x:v>1841</x:v>
      </x:c>
      <x:c r="B1842" s="23" t="str">
        <x:v>Train</x:v>
      </x:c>
      <x:c r="C1842" s="23" t="str">
        <x:v>Switching</x:v>
      </x:c>
      <x:c r="D1842" s="23" t="n">
        <x:v>996.3238974101841</x:v>
      </x:c>
      <x:c r="E1842" s="23" t="n">
        <x:v>1123.2364916591905</x:v>
      </x:c>
      <x:c r="F1842" s="23" t="n">
        <x:v>457.52196703106165</x:v>
      </x:c>
      <x:c r="G1842" s="23" t="n">
        <x:v>265.37472939351574</x:v>
      </x:c>
      <x:c r="H1842" s="23" t="n">
        <x:v>23.880544679239392</x:v>
      </x:c>
      <x:c r="I1842" s="23" t="n">
        <x:v>0.8498999747564085</x:v>
      </x:c>
      <x:c r="J1842" s="23" t="n">
        <x:v>6</x:v>
      </x:c>
      <x:c r="K1842" s="23" t="n">
        <x:v>195.38061870079525</x:v>
      </x:c>
      <x:c r="L1842" s="23" t="n">
        <x:v>13515</x:v>
      </x:c>
      <x:c r="M1842" s="23" t="n">
        <x:v>1200</x:v>
      </x:c>
      <x:c r="N1842" s="23" t="n">
        <x:v>250.0045249264044</x:v>
      </x:c>
      <x:c r="O1842" s="23" t="n">
        <x:v>2504.0114661552625</x:v>
      </x:c>
      <x:c r="P1842" s="23" t="n">
        <x:v>996.3238974101841</x:v>
      </x:c>
      <x:c r="Q1842" s="23" t="n">
        <x:v>249.9161307246487</x:v>
      </x:c>
      <x:c r="R1842" s="23" t="n">
        <x:v>2539.734881796668</x:v>
      </x:c>
      <x:c r="S1842" s="23" t="n">
        <x:v>982.1624121372557</x:v>
      </x:c>
      <x:c r="T1842" s="23" t="n">
        <x:v>-0.08839420175570467</x:v>
      </x:c>
      <x:c r="U1842" s="23" t="n">
        <x:v>35.72341564140561</x:v>
      </x:c>
      <x:c r="V1842" s="23" t="n">
        <x:v>-14.161485272928417</x:v>
      </x:c>
    </x:row>
    <x:row r="1843">
      <x:c r="A1843" s="23" t="n">
        <x:v>1842</x:v>
      </x:c>
      <x:c r="B1843" s="23" t="str">
        <x:v>Train</x:v>
      </x:c>
      <x:c r="C1843" s="23" t="str">
        <x:v>Switching</x:v>
      </x:c>
      <x:c r="D1843" s="23" t="n">
        <x:v>1047.1174664446153</x:v>
      </x:c>
      <x:c r="E1843" s="23" t="n">
        <x:v>973.723649722524</x:v>
      </x:c>
      <x:c r="F1843" s="23" t="n">
        <x:v>603.2298871316016</x:v>
      </x:c>
      <x:c r="G1843" s="23" t="n">
        <x:v>312.6905739028007</x:v>
      </x:c>
      <x:c r="H1843" s="23" t="n">
        <x:v>15.615744621027261</x:v>
      </x:c>
      <x:c r="I1843" s="23" t="n">
        <x:v>0.804346216195263</x:v>
      </x:c>
      <x:c r="J1843" s="23" t="n">
        <x:v>7</x:v>
      </x:c>
      <x:c r="K1843" s="23" t="n">
        <x:v>185.9749029462381</x:v>
      </x:c>
      <x:c r="L1843" s="23" t="n">
        <x:v>11315</x:v>
      </x:c>
      <x:c r="M1843" s="23" t="n">
        <x:v>1195</x:v>
      </x:c>
      <x:c r="N1843" s="23" t="n">
        <x:v>249.94807875638602</x:v>
      </x:c>
      <x:c r="O1843" s="23" t="n">
        <x:v>2495.3591629796315</x:v>
      </x:c>
      <x:c r="P1843" s="23" t="n">
        <x:v>1047.1174664446153</x:v>
      </x:c>
      <x:c r="Q1843" s="23" t="n">
        <x:v>254.52379360028613</x:v>
      </x:c>
      <x:c r="R1843" s="23" t="n">
        <x:v>2536.266288130449</x:v>
      </x:c>
      <x:c r="S1843" s="23" t="n">
        <x:v>1043.7317794980663</x:v>
      </x:c>
      <x:c r="T1843" s="23" t="n">
        <x:v>4.575714843900101</x:v>
      </x:c>
      <x:c r="U1843" s="23" t="n">
        <x:v>40.90712515081759</x:v>
      </x:c>
      <x:c r="V1843" s="23" t="n">
        <x:v>-3.385686946548958</x:v>
      </x:c>
    </x:row>
    <x:row r="1844">
      <x:c r="A1844" s="23" t="n">
        <x:v>1843</x:v>
      </x:c>
      <x:c r="B1844" s="23" t="str">
        <x:v>Train</x:v>
      </x:c>
      <x:c r="C1844" s="23" t="str">
        <x:v>Switching</x:v>
      </x:c>
      <x:c r="D1844" s="23" t="n">
        <x:v>1023.6754623940215</x:v>
      </x:c>
      <x:c r="E1844" s="23" t="n">
        <x:v>965.9569527604617</x:v>
      </x:c>
      <x:c r="F1844" s="23" t="n">
        <x:v>596.3001783937216</x:v>
      </x:c>
      <x:c r="G1844" s="23" t="n">
        <x:v>141.79249909473583</x:v>
      </x:c>
      <x:c r="H1844" s="23" t="n">
        <x:v>27.23439393658191</x:v>
      </x:c>
      <x:c r="I1844" s="23" t="n">
        <x:v>0.8496934049273841</x:v>
      </x:c>
      <x:c r="J1844" s="23" t="n">
        <x:v>7</x:v>
      </x:c>
      <x:c r="K1844" s="23" t="n">
        <x:v>172.1083757064965</x:v>
      </x:c>
      <x:c r="L1844" s="23" t="n">
        <x:v>12550</x:v>
      </x:c>
      <x:c r="M1844" s="23" t="n">
        <x:v>1200</x:v>
      </x:c>
      <x:c r="N1844" s="23" t="n">
        <x:v>250.000916374408</x:v>
      </x:c>
      <x:c r="O1844" s="23" t="n">
        <x:v>2504.719613707605</x:v>
      </x:c>
      <x:c r="P1844" s="23" t="n">
        <x:v>1023.6754623940215</x:v>
      </x:c>
      <x:c r="Q1844" s="23" t="n">
        <x:v>248.77223769192304</x:v>
      </x:c>
      <x:c r="R1844" s="23" t="n">
        <x:v>2502.298273449421</x:v>
      </x:c>
      <x:c r="S1844" s="23" t="n">
        <x:v>1014.2202542531401</x:v>
      </x:c>
      <x:c r="T1844" s="23" t="n">
        <x:v>-1.2286786824849685</x:v>
      </x:c>
      <x:c r="U1844" s="23" t="n">
        <x:v>-2.4213402581840455</x:v>
      </x:c>
      <x:c r="V1844" s="23" t="n">
        <x:v>-9.455208140881382</x:v>
      </x:c>
    </x:row>
    <x:row r="1845">
      <x:c r="A1845" s="23" t="n">
        <x:v>1844</x:v>
      </x:c>
      <x:c r="B1845" s="23" t="str">
        <x:v>Train</x:v>
      </x:c>
      <x:c r="C1845" s="23" t="str">
        <x:v>Switching</x:v>
      </x:c>
      <x:c r="D1845" s="23" t="n">
        <x:v>951.9108222215436</x:v>
      </x:c>
      <x:c r="E1845" s="23" t="n">
        <x:v>802.663547033444</x:v>
      </x:c>
      <x:c r="F1845" s="23" t="n">
        <x:v>592.5046312622726</x:v>
      </x:c>
      <x:c r="G1845" s="23" t="n">
        <x:v>277.36188964452595</x:v>
      </x:c>
      <x:c r="H1845" s="23" t="n">
        <x:v>17.5372242028825</x:v>
      </x:c>
      <x:c r="I1845" s="23" t="n">
        <x:v>0.8450766312517226</x:v>
      </x:c>
      <x:c r="J1845" s="23" t="n">
        <x:v>6</x:v>
      </x:c>
      <x:c r="K1845" s="23" t="n">
        <x:v>187.73658841872893</x:v>
      </x:c>
      <x:c r="L1845" s="23" t="n">
        <x:v>14920</x:v>
      </x:c>
      <x:c r="M1845" s="23" t="n">
        <x:v>1200</x:v>
      </x:c>
      <x:c r="N1845" s="23" t="n">
        <x:v>250.04097805584752</x:v>
      </x:c>
      <x:c r="O1845" s="23" t="n">
        <x:v>2503.145256026994</x:v>
      </x:c>
      <x:c r="P1845" s="23" t="n">
        <x:v>951.9108222215436</x:v>
      </x:c>
      <x:c r="Q1845" s="23" t="n">
        <x:v>250.85812856879247</x:v>
      </x:c>
      <x:c r="R1845" s="23" t="n">
        <x:v>2471.520518733839</x:v>
      </x:c>
      <x:c r="S1845" s="23" t="n">
        <x:v>958.4456430078775</x:v>
      </x:c>
      <x:c r="T1845" s="23" t="n">
        <x:v>0.8171505129449486</x:v>
      </x:c>
      <x:c r="U1845" s="23" t="n">
        <x:v>-31.62473729315525</x:v>
      </x:c>
      <x:c r="V1845" s="23" t="n">
        <x:v>6.534820786333853</x:v>
      </x:c>
    </x:row>
    <x:row r="1846">
      <x:c r="A1846" s="23" t="n">
        <x:v>1845</x:v>
      </x:c>
      <x:c r="B1846" s="23" t="str">
        <x:v>Train</x:v>
      </x:c>
      <x:c r="C1846" s="23" t="str">
        <x:v>Switching</x:v>
      </x:c>
      <x:c r="D1846" s="23" t="n">
        <x:v>994.7464485187083</x:v>
      </x:c>
      <x:c r="E1846" s="23" t="n">
        <x:v>676.4001287403516</x:v>
      </x:c>
      <x:c r="F1846" s="23" t="n">
        <x:v>459.3758253380656</x:v>
      </x:c>
      <x:c r="G1846" s="23" t="n">
        <x:v>136.31127051310614</x:v>
      </x:c>
      <x:c r="H1846" s="23" t="n">
        <x:v>14.737968266010284</x:v>
      </x:c>
      <x:c r="I1846" s="23" t="n">
        <x:v>0.8212501514540054</x:v>
      </x:c>
      <x:c r="J1846" s="23" t="n">
        <x:v>7</x:v>
      </x:c>
      <x:c r="K1846" s="23" t="n">
        <x:v>173.03696717872862</x:v>
      </x:c>
      <x:c r="L1846" s="23" t="n">
        <x:v>16810</x:v>
      </x:c>
      <x:c r="M1846" s="23" t="n">
        <x:v>1200</x:v>
      </x:c>
      <x:c r="N1846" s="23" t="n">
        <x:v>249.976722664237</x:v>
      </x:c>
      <x:c r="O1846" s="23" t="n">
        <x:v>2502.2050741517924</x:v>
      </x:c>
      <x:c r="P1846" s="23" t="n">
        <x:v>994.7464485187083</x:v>
      </x:c>
      <x:c r="Q1846" s="23" t="n">
        <x:v>248.3976886916942</x:v>
      </x:c>
      <x:c r="R1846" s="23" t="n">
        <x:v>2437.5240868879837</x:v>
      </x:c>
      <x:c r="S1846" s="23" t="n">
        <x:v>1005.6237215709651</x:v>
      </x:c>
      <x:c r="T1846" s="23" t="n">
        <x:v>-1.5790339725427884</x:v>
      </x:c>
      <x:c r="U1846" s="23" t="n">
        <x:v>-64.68098726380867</x:v>
      </x:c>
      <x:c r="V1846" s="23" t="n">
        <x:v>10.877273052256783</x:v>
      </x:c>
    </x:row>
    <x:row r="1847">
      <x:c r="A1847" s="23" t="n">
        <x:v>1846</x:v>
      </x:c>
      <x:c r="B1847" s="23" t="str">
        <x:v>Train</x:v>
      </x:c>
      <x:c r="C1847" s="23" t="str">
        <x:v>Switching</x:v>
      </x:c>
      <x:c r="D1847" s="23" t="n">
        <x:v>1071.6640220140107</x:v>
      </x:c>
      <x:c r="E1847" s="23" t="n">
        <x:v>997.1632906934246</x:v>
      </x:c>
      <x:c r="F1847" s="23" t="n">
        <x:v>368.3911723084748</x:v>
      </x:c>
      <x:c r="G1847" s="23" t="n">
        <x:v>242.82122069969773</x:v>
      </x:c>
      <x:c r="H1847" s="23" t="n">
        <x:v>12.52338986704126</x:v>
      </x:c>
      <x:c r="I1847" s="23" t="n">
        <x:v>0.8559016026323661</x:v>
      </x:c>
      <x:c r="J1847" s="23" t="n">
        <x:v>7</x:v>
      </x:c>
      <x:c r="K1847" s="23" t="n">
        <x:v>178.86969695682924</x:v>
      </x:c>
      <x:c r="L1847" s="23" t="n">
        <x:v>13295</x:v>
      </x:c>
      <x:c r="M1847" s="23" t="n">
        <x:v>1200</x:v>
      </x:c>
      <x:c r="N1847" s="23" t="n">
        <x:v>249.9716975226419</x:v>
      </x:c>
      <x:c r="O1847" s="23" t="n">
        <x:v>2504.162676529964</x:v>
      </x:c>
      <x:c r="P1847" s="23" t="n">
        <x:v>1071.6640220140107</x:v>
      </x:c>
      <x:c r="Q1847" s="23" t="n">
        <x:v>252.74837472897596</x:v>
      </x:c>
      <x:c r="R1847" s="23" t="n">
        <x:v>2490.312388607912</x:v>
      </x:c>
      <x:c r="S1847" s="23" t="n">
        <x:v>1081.358510330634</x:v>
      </x:c>
      <x:c r="T1847" s="23" t="n">
        <x:v>2.776677206334057</x:v>
      </x:c>
      <x:c r="U1847" s="23" t="n">
        <x:v>-13.850287922051848</x:v>
      </x:c>
      <x:c r="V1847" s="23" t="n">
        <x:v>9.694488316623392</x:v>
      </x:c>
    </x:row>
    <x:row r="1848">
      <x:c r="A1848" s="23" t="n">
        <x:v>1847</x:v>
      </x:c>
      <x:c r="B1848" s="23" t="str">
        <x:v>Train</x:v>
      </x:c>
      <x:c r="C1848" s="23" t="str">
        <x:v>Switching</x:v>
      </x:c>
      <x:c r="D1848" s="23" t="n">
        <x:v>1073.6098387511447</x:v>
      </x:c>
      <x:c r="E1848" s="23" t="n">
        <x:v>609.78226197185</x:v>
      </x:c>
      <x:c r="F1848" s="23" t="n">
        <x:v>641.109462082386</x:v>
      </x:c>
      <x:c r="G1848" s="23" t="n">
        <x:v>249.87492045154795</x:v>
      </x:c>
      <x:c r="H1848" s="23" t="n">
        <x:v>17.766381333582103</x:v>
      </x:c>
      <x:c r="I1848" s="23" t="n">
        <x:v>0.8507179241231643</x:v>
      </x:c>
      <x:c r="J1848" s="23" t="n">
        <x:v>7</x:v>
      </x:c>
      <x:c r="K1848" s="23" t="n">
        <x:v>180.2863555101274</x:v>
      </x:c>
      <x:c r="L1848" s="23" t="n">
        <x:v>14250</x:v>
      </x:c>
      <x:c r="M1848" s="23" t="n">
        <x:v>1200</x:v>
      </x:c>
      <x:c r="N1848" s="23" t="n">
        <x:v>250.00183136082535</x:v>
      </x:c>
      <x:c r="O1848" s="23" t="n">
        <x:v>2503.5362627909967</x:v>
      </x:c>
      <x:c r="P1848" s="23" t="n">
        <x:v>1073.6098387511447</x:v>
      </x:c>
      <x:c r="Q1848" s="23" t="n">
        <x:v>249.23682969048372</x:v>
      </x:c>
      <x:c r="R1848" s="23" t="n">
        <x:v>2440.5377648386598</x:v>
      </x:c>
      <x:c r="S1848" s="23" t="n">
        <x:v>1075.3670959160731</x:v>
      </x:c>
      <x:c r="T1848" s="23" t="n">
        <x:v>-0.7650016703416327</x:v>
      </x:c>
      <x:c r="U1848" s="23" t="n">
        <x:v>-62.99849795233695</x:v>
      </x:c>
      <x:c r="V1848" s="23" t="n">
        <x:v>1.7572571649284328</x:v>
      </x:c>
    </x:row>
    <x:row r="1849">
      <x:c r="A1849" s="23" t="n">
        <x:v>1848</x:v>
      </x:c>
      <x:c r="B1849" s="23" t="str">
        <x:v>Train</x:v>
      </x:c>
      <x:c r="C1849" s="23" t="str">
        <x:v>Switching</x:v>
      </x:c>
      <x:c r="D1849" s="23" t="n">
        <x:v>979.3564668740146</x:v>
      </x:c>
      <x:c r="E1849" s="23" t="n">
        <x:v>636.545881908387</x:v>
      </x:c>
      <x:c r="F1849" s="23" t="n">
        <x:v>434.6324554644525</x:v>
      </x:c>
      <x:c r="G1849" s="23" t="n">
        <x:v>162.72447308991104</x:v>
      </x:c>
      <x:c r="H1849" s="23" t="n">
        <x:v>9.107654010411352</x:v>
      </x:c>
      <x:c r="I1849" s="23" t="n">
        <x:v>0.8313164670486004</x:v>
      </x:c>
      <x:c r="J1849" s="23" t="n">
        <x:v>6</x:v>
      </x:c>
      <x:c r="K1849" s="23" t="n">
        <x:v>196.3464989353967</x:v>
      </x:c>
      <x:c r="L1849" s="23" t="n">
        <x:v>20220</x:v>
      </x:c>
      <x:c r="M1849" s="23" t="n">
        <x:v>1200</x:v>
      </x:c>
      <x:c r="N1849" s="23" t="n">
        <x:v>249.9942952834759</x:v>
      </x:c>
      <x:c r="O1849" s="23" t="n">
        <x:v>2500.956681463085</x:v>
      </x:c>
      <x:c r="P1849" s="23" t="n">
        <x:v>979.3564668740146</x:v>
      </x:c>
      <x:c r="Q1849" s="23" t="n">
        <x:v>249.99720890681252</x:v>
      </x:c>
      <x:c r="R1849" s="23" t="n">
        <x:v>2518.4460675933474</x:v>
      </x:c>
      <x:c r="S1849" s="23" t="n">
        <x:v>996.0925680784969</x:v>
      </x:c>
      <x:c r="T1849" s="23" t="n">
        <x:v>0.0029136233366102715</x:v>
      </x:c>
      <x:c r="U1849" s="23" t="n">
        <x:v>17.489386130262574</x:v>
      </x:c>
      <x:c r="V1849" s="23" t="n">
        <x:v>16.73610120448234</x:v>
      </x:c>
    </x:row>
    <x:row r="1850">
      <x:c r="A1850" s="23" t="n">
        <x:v>1849</x:v>
      </x:c>
      <x:c r="B1850" s="23" t="str">
        <x:v>Train</x:v>
      </x:c>
      <x:c r="C1850" s="23" t="str">
        <x:v>Switching</x:v>
      </x:c>
      <x:c r="D1850" s="23" t="n">
        <x:v>1015.6553994864225</x:v>
      </x:c>
      <x:c r="E1850" s="23" t="n">
        <x:v>770.0414447463118</x:v>
      </x:c>
      <x:c r="F1850" s="23" t="n">
        <x:v>620.3141765668988</x:v>
      </x:c>
      <x:c r="G1850" s="23" t="n">
        <x:v>329.48575400048867</x:v>
      </x:c>
      <x:c r="H1850" s="23" t="n">
        <x:v>15.365129781886935</x:v>
      </x:c>
      <x:c r="I1850" s="23" t="n">
        <x:v>0.8340481069427915</x:v>
      </x:c>
      <x:c r="J1850" s="23" t="n">
        <x:v>7</x:v>
      </x:c>
      <x:c r="K1850" s="23" t="n">
        <x:v>173.963141082955</x:v>
      </x:c>
      <x:c r="L1850" s="23" t="n">
        <x:v>12435</x:v>
      </x:c>
      <x:c r="M1850" s="23" t="n">
        <x:v>1200</x:v>
      </x:c>
      <x:c r="N1850" s="23" t="n">
        <x:v>250.00536798262476</x:v>
      </x:c>
      <x:c r="O1850" s="23" t="n">
        <x:v>2504.811540613976</x:v>
      </x:c>
      <x:c r="P1850" s="23" t="n">
        <x:v>1015.6553994864225</x:v>
      </x:c>
      <x:c r="Q1850" s="23" t="n">
        <x:v>248.62121783375372</x:v>
      </x:c>
      <x:c r="R1850" s="23" t="n">
        <x:v>2531.987086557249</x:v>
      </x:c>
      <x:c r="S1850" s="23" t="n">
        <x:v>1022.6168956419508</x:v>
      </x:c>
      <x:c r="T1850" s="23" t="n">
        <x:v>-1.3841501488710435</x:v>
      </x:c>
      <x:c r="U1850" s="23" t="n">
        <x:v>27.175545943272937</x:v>
      </x:c>
      <x:c r="V1850" s="23" t="n">
        <x:v>6.961496155528266</x:v>
      </x:c>
    </x:row>
    <x:row r="1851">
      <x:c r="A1851" s="23" t="n">
        <x:v>1850</x:v>
      </x:c>
      <x:c r="B1851" s="23" t="str">
        <x:v>Train</x:v>
      </x:c>
      <x:c r="C1851" s="23" t="str">
        <x:v>Switching</x:v>
      </x:c>
      <x:c r="D1851" s="23" t="n">
        <x:v>968.9430880011059</x:v>
      </x:c>
      <x:c r="E1851" s="23" t="n">
        <x:v>942.1826927224174</x:v>
      </x:c>
      <x:c r="F1851" s="23" t="n">
        <x:v>473.1064395047724</x:v>
      </x:c>
      <x:c r="G1851" s="23" t="n">
        <x:v>230.4024190362543</x:v>
      </x:c>
      <x:c r="H1851" s="23" t="n">
        <x:v>20.80957166524604</x:v>
      </x:c>
      <x:c r="I1851" s="23" t="n">
        <x:v>0.81376687430311</x:v>
      </x:c>
      <x:c r="J1851" s="23" t="n">
        <x:v>6</x:v>
      </x:c>
      <x:c r="K1851" s="23" t="n">
        <x:v>198.4481302524725</x:v>
      </x:c>
      <x:c r="L1851" s="23" t="n">
        <x:v>15160</x:v>
      </x:c>
      <x:c r="M1851" s="23" t="n">
        <x:v>1200</x:v>
      </x:c>
      <x:c r="N1851" s="23" t="n">
        <x:v>249.98629042177387</x:v>
      </x:c>
      <x:c r="O1851" s="23" t="n">
        <x:v>2503.0113425641835</x:v>
      </x:c>
      <x:c r="P1851" s="23" t="n">
        <x:v>968.9430880011059</x:v>
      </x:c>
      <x:c r="Q1851" s="23" t="n">
        <x:v>247.00756970597192</x:v>
      </x:c>
      <x:c r="R1851" s="23" t="n">
        <x:v>2476.184567805071</x:v>
      </x:c>
      <x:c r="S1851" s="23" t="n">
        <x:v>969.6912485391728</x:v>
      </x:c>
      <x:c r="T1851" s="23" t="n">
        <x:v>-2.9787207158019555</x:v>
      </x:c>
      <x:c r="U1851" s="23" t="n">
        <x:v>-26.826774759112595</x:v>
      </x:c>
      <x:c r="V1851" s="23" t="n">
        <x:v>0.748160538066827</x:v>
      </x:c>
    </x:row>
    <x:row r="1852">
      <x:c r="A1852" s="23" t="n">
        <x:v>1851</x:v>
      </x:c>
      <x:c r="B1852" s="23" t="str">
        <x:v>Train</x:v>
      </x:c>
      <x:c r="C1852" s="23" t="str">
        <x:v>Switching</x:v>
      </x:c>
      <x:c r="D1852" s="23" t="n">
        <x:v>963.0138558102772</x:v>
      </x:c>
      <x:c r="E1852" s="23" t="n">
        <x:v>1136.2621225998737</x:v>
      </x:c>
      <x:c r="F1852" s="23" t="n">
        <x:v>511.88599206507206</x:v>
      </x:c>
      <x:c r="G1852" s="23" t="n">
        <x:v>189.6058145049028</x:v>
      </x:c>
      <x:c r="H1852" s="23" t="n">
        <x:v>23.611707457341254</x:v>
      </x:c>
      <x:c r="I1852" s="23" t="n">
        <x:v>0.8299284020322375</x:v>
      </x:c>
      <x:c r="J1852" s="23" t="n">
        <x:v>6</x:v>
      </x:c>
      <x:c r="K1852" s="23" t="n">
        <x:v>193.3929588488506</x:v>
      </x:c>
      <x:c r="L1852" s="23" t="n">
        <x:v>13575</x:v>
      </x:c>
      <x:c r="M1852" s="23" t="n">
        <x:v>1200</x:v>
      </x:c>
      <x:c r="N1852" s="23" t="n">
        <x:v>249.97465122549804</x:v>
      </x:c>
      <x:c r="O1852" s="23" t="n">
        <x:v>2503.969657004985</x:v>
      </x:c>
      <x:c r="P1852" s="23" t="n">
        <x:v>963.0138558102772</x:v>
      </x:c>
      <x:c r="Q1852" s="23" t="n">
        <x:v>252.2842351688547</x:v>
      </x:c>
      <x:c r="R1852" s="23" t="n">
        <x:v>2522.1653303682015</x:v>
      </x:c>
      <x:c r="S1852" s="23" t="n">
        <x:v>956.7706414861393</x:v>
      </x:c>
      <x:c r="T1852" s="23" t="n">
        <x:v>2.309583943356671</x:v>
      </x:c>
      <x:c r="U1852" s="23" t="n">
        <x:v>18.19567336321643</x:v>
      </x:c>
      <x:c r="V1852" s="23" t="n">
        <x:v>-6.243214324137853</x:v>
      </x:c>
    </x:row>
    <x:row r="1853">
      <x:c r="A1853" s="23" t="n">
        <x:v>1852</x:v>
      </x:c>
      <x:c r="B1853" s="23" t="str">
        <x:v>Train</x:v>
      </x:c>
      <x:c r="C1853" s="23" t="str">
        <x:v>Switching</x:v>
      </x:c>
      <x:c r="D1853" s="23" t="n">
        <x:v>1034.9524874589406</x:v>
      </x:c>
      <x:c r="E1853" s="23" t="n">
        <x:v>1139.9237524252385</x:v>
      </x:c>
      <x:c r="F1853" s="23" t="n">
        <x:v>403.8152630440891</x:v>
      </x:c>
      <x:c r="G1853" s="23" t="n">
        <x:v>170.71603219490498</x:v>
      </x:c>
      <x:c r="H1853" s="23" t="n">
        <x:v>22.300547133665532</x:v>
      </x:c>
      <x:c r="I1853" s="23" t="n">
        <x:v>0.8517627818882466</x:v>
      </x:c>
      <x:c r="J1853" s="23" t="n">
        <x:v>7</x:v>
      </x:c>
      <x:c r="K1853" s="23" t="n">
        <x:v>173.58161039099681</x:v>
      </x:c>
      <x:c r="L1853" s="23" t="n">
        <x:v>12475</x:v>
      </x:c>
      <x:c r="M1853" s="23" t="n">
        <x:v>1200</x:v>
      </x:c>
      <x:c r="N1853" s="23" t="n">
        <x:v>250.0242274452136</x:v>
      </x:c>
      <x:c r="O1853" s="23" t="n">
        <x:v>2504.780185723463</x:v>
      </x:c>
      <x:c r="P1853" s="23" t="n">
        <x:v>1034.9524874589406</x:v>
      </x:c>
      <x:c r="Q1853" s="23" t="n">
        <x:v>246.9138841707465</x:v>
      </x:c>
      <x:c r="R1853" s="23" t="n">
        <x:v>2548.1953049541594</x:v>
      </x:c>
      <x:c r="S1853" s="23" t="n">
        <x:v>1026.0600225275373</x:v>
      </x:c>
      <x:c r="T1853" s="23" t="n">
        <x:v>-3.110343274467084</x:v>
      </x:c>
      <x:c r="U1853" s="23" t="n">
        <x:v>43.41511923069629</x:v>
      </x:c>
      <x:c r="V1853" s="23" t="n">
        <x:v>-8.89246493140331</x:v>
      </x:c>
    </x:row>
    <x:row r="1854">
      <x:c r="A1854" s="23" t="n">
        <x:v>1853</x:v>
      </x:c>
      <x:c r="B1854" s="23" t="str">
        <x:v>Train</x:v>
      </x:c>
      <x:c r="C1854" s="23" t="str">
        <x:v>Switching</x:v>
      </x:c>
      <x:c r="D1854" s="23" t="n">
        <x:v>1004.1221495252103</x:v>
      </x:c>
      <x:c r="E1854" s="23" t="n">
        <x:v>1060.8441349933855</x:v>
      </x:c>
      <x:c r="F1854" s="23" t="n">
        <x:v>526.7655676230788</x:v>
      </x:c>
      <x:c r="G1854" s="23" t="n">
        <x:v>80.54687150986865</x:v>
      </x:c>
      <x:c r="H1854" s="23" t="n">
        <x:v>15.947892244905233</x:v>
      </x:c>
      <x:c r="I1854" s="23" t="n">
        <x:v>0.8298759654560127</x:v>
      </x:c>
      <x:c r="J1854" s="23" t="n">
        <x:v>7</x:v>
      </x:c>
      <x:c r="K1854" s="23" t="n">
        <x:v>172.85236268039338</x:v>
      </x:c>
      <x:c r="L1854" s="23" t="n">
        <x:v>12820</x:v>
      </x:c>
      <x:c r="M1854" s="23" t="n">
        <x:v>1200</x:v>
      </x:c>
      <x:c r="N1854" s="23" t="n">
        <x:v>249.99999048063088</x:v>
      </x:c>
      <x:c r="O1854" s="23" t="n">
        <x:v>2504.510673049304</x:v>
      </x:c>
      <x:c r="P1854" s="23" t="n">
        <x:v>1004.1221495252103</x:v>
      </x:c>
      <x:c r="Q1854" s="23" t="n">
        <x:v>253.8884661546909</x:v>
      </x:c>
      <x:c r="R1854" s="23" t="n">
        <x:v>2487.917248452591</x:v>
      </x:c>
      <x:c r="S1854" s="23" t="n">
        <x:v>1006.5578041574182</x:v>
      </x:c>
      <x:c r="T1854" s="23" t="n">
        <x:v>3.888475674060004</x:v>
      </x:c>
      <x:c r="U1854" s="23" t="n">
        <x:v>-16.593424596712794</x:v>
      </x:c>
      <x:c r="V1854" s="23" t="n">
        <x:v>2.4356546322079566</x:v>
      </x:c>
    </x:row>
    <x:row r="1855">
      <x:c r="A1855" s="23" t="n">
        <x:v>1854</x:v>
      </x:c>
      <x:c r="B1855" s="23" t="str">
        <x:v>Train</x:v>
      </x:c>
      <x:c r="C1855" s="23" t="str">
        <x:v>Switching</x:v>
      </x:c>
      <x:c r="D1855" s="23" t="n">
        <x:v>1033.0627095070668</x:v>
      </x:c>
      <x:c r="E1855" s="23" t="n">
        <x:v>781.7939336178824</x:v>
      </x:c>
      <x:c r="F1855" s="23" t="n">
        <x:v>565.8766080625355</x:v>
      </x:c>
      <x:c r="G1855" s="23" t="n">
        <x:v>145.9140506759286</x:v>
      </x:c>
      <x:c r="H1855" s="23" t="n">
        <x:v>20.69121420616284</x:v>
      </x:c>
      <x:c r="I1855" s="23" t="n">
        <x:v>0.817109118285589</x:v>
      </x:c>
      <x:c r="J1855" s="23" t="n">
        <x:v>7</x:v>
      </x:c>
      <x:c r="K1855" s="23" t="n">
        <x:v>180.61282608384388</x:v>
      </x:c>
      <x:c r="L1855" s="23" t="n">
        <x:v>14320</x:v>
      </x:c>
      <x:c r="M1855" s="23" t="n">
        <x:v>1200</x:v>
      </x:c>
      <x:c r="N1855" s="23" t="n">
        <x:v>250.0276865227037</x:v>
      </x:c>
      <x:c r="O1855" s="23" t="n">
        <x:v>2503.494454629025</x:v>
      </x:c>
      <x:c r="P1855" s="23" t="n">
        <x:v>1033.0627095070668</x:v>
      </x:c>
      <x:c r="Q1855" s="23" t="n">
        <x:v>246.1416857803536</x:v>
      </x:c>
      <x:c r="R1855" s="23" t="n">
        <x:v>2513.6487319996018</x:v>
      </x:c>
      <x:c r="S1855" s="23" t="n">
        <x:v>1037.5743889135724</x:v>
      </x:c>
      <x:c r="T1855" s="23" t="n">
        <x:v>-3.8860007423500917</x:v>
      </x:c>
      <x:c r="U1855" s="23" t="n">
        <x:v>10.154277370576892</x:v>
      </x:c>
      <x:c r="V1855" s="23" t="n">
        <x:v>4.511679406505664</x:v>
      </x:c>
    </x:row>
    <x:row r="1856">
      <x:c r="A1856" s="23" t="n">
        <x:v>1855</x:v>
      </x:c>
      <x:c r="B1856" s="23" t="str">
        <x:v>Validation</x:v>
      </x:c>
      <x:c r="C1856" s="23" t="str">
        <x:v>Switching</x:v>
      </x:c>
      <x:c r="D1856" s="23" t="n">
        <x:v>1023.0828561121598</x:v>
      </x:c>
      <x:c r="E1856" s="23" t="n">
        <x:v>931.4145843614824</x:v>
      </x:c>
      <x:c r="F1856" s="23" t="n">
        <x:v>451.2175254523754</x:v>
      </x:c>
      <x:c r="G1856" s="23" t="n">
        <x:v>327.4880027002655</x:v>
      </x:c>
      <x:c r="H1856" s="23" t="n">
        <x:v>10.350625432096422</x:v>
      </x:c>
      <x:c r="I1856" s="23" t="n">
        <x:v>0.7963345408602618</x:v>
      </x:c>
      <x:c r="J1856" s="23" t="n">
        <x:v>7</x:v>
      </x:c>
      <x:c r="K1856" s="23" t="n">
        <x:v>183.534288959036</x:v>
      </x:c>
      <x:c r="L1856" s="23" t="n">
        <x:v>12505</x:v>
      </x:c>
      <x:c r="M1856" s="23" t="n">
        <x:v>1200</x:v>
      </x:c>
      <x:c r="N1856" s="23" t="n">
        <x:v>249.9915047991954</x:v>
      </x:c>
      <x:c r="O1856" s="23" t="n">
        <x:v>2504.7549511989673</x:v>
      </x:c>
      <x:c r="P1856" s="23" t="n">
        <x:v>1023.0828561121598</x:v>
      </x:c>
      <x:c r="Q1856" s="23" t="n">
        <x:v>254.0508954583261</x:v>
      </x:c>
      <x:c r="R1856" s="23" t="n">
        <x:v>2493.731838698822</x:v>
      </x:c>
      <x:c r="S1856" s="23" t="n">
        <x:v>1030.8514652073297</x:v>
      </x:c>
      <x:c r="T1856" s="23" t="n">
        <x:v>4.059390659130685</x:v>
      </x:c>
      <x:c r="U1856" s="23" t="n">
        <x:v>-11.023112500145544</x:v>
      </x:c>
      <x:c r="V1856" s="23" t="n">
        <x:v>7.76860909516995</x:v>
      </x:c>
    </x:row>
    <x:row r="1857">
      <x:c r="A1857" s="23" t="n">
        <x:v>1856</x:v>
      </x:c>
      <x:c r="B1857" s="23" t="str">
        <x:v>Validation</x:v>
      </x:c>
      <x:c r="C1857" s="23" t="str">
        <x:v>Switching</x:v>
      </x:c>
      <x:c r="D1857" s="23" t="n">
        <x:v>979.9493202823214</x:v>
      </x:c>
      <x:c r="E1857" s="23" t="n">
        <x:v>1153.5968836396933</x:v>
      </x:c>
      <x:c r="F1857" s="23" t="n">
        <x:v>507.65202632173896</x:v>
      </x:c>
      <x:c r="G1857" s="23" t="n">
        <x:v>225.96273854840547</x:v>
      </x:c>
      <x:c r="H1857" s="23" t="n">
        <x:v>24.403136448469013</x:v>
      </x:c>
      <x:c r="I1857" s="23" t="n">
        <x:v>0.8087421286385507</x:v>
      </x:c>
      <x:c r="J1857" s="23" t="n">
        <x:v>7</x:v>
      </x:c>
      <x:c r="K1857" s="23" t="n">
        <x:v>173.09937875500276</x:v>
      </x:c>
      <x:c r="L1857" s="23" t="n">
        <x:v>11330</x:v>
      </x:c>
      <x:c r="M1857" s="23" t="n">
        <x:v>1195</x:v>
      </x:c>
      <x:c r="N1857" s="23" t="n">
        <x:v>249.9574845667702</x:v>
      </x:c>
      <x:c r="O1857" s="23" t="n">
        <x:v>2495.3450621297707</x:v>
      </x:c>
      <x:c r="P1857" s="23" t="n">
        <x:v>979.9493202823214</x:v>
      </x:c>
      <x:c r="Q1857" s="23" t="n">
        <x:v>253.08163011012266</x:v>
      </x:c>
      <x:c r="R1857" s="23" t="n">
        <x:v>2481.589800231651</x:v>
      </x:c>
      <x:c r="S1857" s="23" t="n">
        <x:v>965.8831074384875</x:v>
      </x:c>
      <x:c r="T1857" s="23" t="n">
        <x:v>3.124145543352455</x:v>
      </x:c>
      <x:c r="U1857" s="23" t="n">
        <x:v>-13.755261898119443</x:v>
      </x:c>
      <x:c r="V1857" s="23" t="n">
        <x:v>-14.06621284383391</x:v>
      </x:c>
    </x:row>
    <x:row r="1858">
      <x:c r="A1858" s="23" t="n">
        <x:v>1857</x:v>
      </x:c>
      <x:c r="B1858" s="23" t="str">
        <x:v>Validation</x:v>
      </x:c>
      <x:c r="C1858" s="23" t="str">
        <x:v>Switching</x:v>
      </x:c>
      <x:c r="D1858" s="23" t="n">
        <x:v>1087.8595086745918</x:v>
      </x:c>
      <x:c r="E1858" s="23" t="n">
        <x:v>747.7093401714228</x:v>
      </x:c>
      <x:c r="F1858" s="23" t="n">
        <x:v>530.2418584004045</x:v>
      </x:c>
      <x:c r="G1858" s="23" t="n">
        <x:v>313.61320147523656</x:v>
      </x:c>
      <x:c r="H1858" s="23" t="n">
        <x:v>14.441825399175286</x:v>
      </x:c>
      <x:c r="I1858" s="23" t="n">
        <x:v>0.8046874561463483</x:v>
      </x:c>
      <x:c r="J1858" s="23" t="n">
        <x:v>7</x:v>
      </x:c>
      <x:c r="K1858" s="23" t="n">
        <x:v>193.12902177384422</x:v>
      </x:c>
      <x:c r="L1858" s="23" t="n">
        <x:v>13435</x:v>
      </x:c>
      <x:c r="M1858" s="23" t="n">
        <x:v>1200</x:v>
      </x:c>
      <x:c r="N1858" s="23" t="n">
        <x:v>249.9637061464546</x:v>
      </x:c>
      <x:c r="O1858" s="23" t="n">
        <x:v>2504.0648146855538</x:v>
      </x:c>
      <x:c r="P1858" s="23" t="n">
        <x:v>1087.8595086745918</x:v>
      </x:c>
      <x:c r="Q1858" s="23" t="n">
        <x:v>249.16338274272573</x:v>
      </x:c>
      <x:c r="R1858" s="23" t="n">
        <x:v>2465.4833599488193</x:v>
      </x:c>
      <x:c r="S1858" s="23" t="n">
        <x:v>1092.5517102293866</x:v>
      </x:c>
      <x:c r="T1858" s="23" t="n">
        <x:v>-0.8003234037288678</x:v>
      </x:c>
      <x:c r="U1858" s="23" t="n">
        <x:v>-38.581454736734486</x:v>
      </x:c>
      <x:c r="V1858" s="23" t="n">
        <x:v>4.692201554794792</x:v>
      </x:c>
    </x:row>
    <x:row r="1859">
      <x:c r="A1859" s="23" t="n">
        <x:v>1858</x:v>
      </x:c>
      <x:c r="B1859" s="23" t="str">
        <x:v>Hidden Test</x:v>
      </x:c>
      <x:c r="C1859" s="23" t="str">
        <x:v>Switching</x:v>
      </x:c>
      <x:c r="D1859" s="23" t="n">
        <x:v>959.4407079392113</x:v>
      </x:c>
      <x:c r="E1859" s="23" t="n">
        <x:v>729.1017501847818</x:v>
      </x:c>
      <x:c r="F1859" s="23" t="n">
        <x:v>746.4126192964613</x:v>
      </x:c>
      <x:c r="G1859" s="23" t="n">
        <x:v>85.97601966001093</x:v>
      </x:c>
      <x:c r="H1859" s="23" t="n">
        <x:v>11.796458416152745</x:v>
      </x:c>
      <x:c r="I1859" s="23" t="n">
        <x:v>0.7999865883449093</x:v>
      </x:c>
      <x:c r="J1859" s="23" t="n">
        <x:v>6</x:v>
      </x:c>
      <x:c r="K1859" s="23" t="n">
        <x:v>199.88683183722623</x:v>
      </x:c>
      <x:c r="L1859" s="23" t="n">
        <x:v>15980</x:v>
      </x:c>
      <x:c r="M1859" s="23" t="n">
        <x:v>1200</x:v>
      </x:c>
      <x:c r="N1859" s="23" t="n">
        <x:v>250.0254733455814</x:v>
      </x:c>
      <x:c r="O1859" s="23" t="n">
        <x:v>2502.5912124456586</x:v>
      </x:c>
      <x:c r="P1859" s="23" t="n">
        <x:v>959.4407079392113</x:v>
      </x:c>
      <x:c r="Q1859" s="23" t="n">
        <x:v>251.84292793184568</x:v>
      </x:c>
      <x:c r="R1859" s="23" t="n">
        <x:v>2497.3263347456377</x:v>
      </x:c>
      <x:c r="S1859" s="23" t="n">
        <x:v>970.9953990144418</x:v>
      </x:c>
      <x:c r="T1859" s="23" t="n">
        <x:v>1.8174545862642901</x:v>
      </x:c>
      <x:c r="U1859" s="23" t="n">
        <x:v>-5.264877700020861</x:v>
      </x:c>
      <x:c r="V1859" s="23" t="n">
        <x:v>11.554691075230494</x:v>
      </x:c>
    </x:row>
    <x:row r="1860">
      <x:c r="A1860" s="23" t="n">
        <x:v>1859</x:v>
      </x:c>
      <x:c r="B1860" s="23" t="str">
        <x:v>Hidden Test</x:v>
      </x:c>
      <x:c r="C1860" s="23" t="str">
        <x:v>Switching</x:v>
      </x:c>
      <x:c r="D1860" s="23" t="n">
        <x:v>1050.910123786889</x:v>
      </x:c>
      <x:c r="E1860" s="23" t="n">
        <x:v>639.895125257317</x:v>
      </x:c>
      <x:c r="F1860" s="23" t="n">
        <x:v>741.884995624423</x:v>
      </x:c>
      <x:c r="G1860" s="23" t="n">
        <x:v>121.7305824230425</x:v>
      </x:c>
      <x:c r="H1860" s="23" t="n">
        <x:v>21.791774307377636</x:v>
      </x:c>
      <x:c r="I1860" s="23" t="n">
        <x:v>0.7910260827909225</x:v>
      </x:c>
      <x:c r="J1860" s="23" t="n">
        <x:v>7</x:v>
      </x:c>
      <x:c r="K1860" s="23" t="n">
        <x:v>189.79148848562357</x:v>
      </x:c>
      <x:c r="L1860" s="23" t="n">
        <x:v>14225</x:v>
      </x:c>
      <x:c r="M1860" s="23" t="n">
        <x:v>1200</x:v>
      </x:c>
      <x:c r="N1860" s="23" t="n">
        <x:v>250.0196275746901</x:v>
      </x:c>
      <x:c r="O1860" s="23" t="n">
        <x:v>2503.552236506078</x:v>
      </x:c>
      <x:c r="P1860" s="23" t="n">
        <x:v>1050.910123786889</x:v>
      </x:c>
      <x:c r="Q1860" s="23" t="n">
        <x:v>248.10546297990814</x:v>
      </x:c>
      <x:c r="R1860" s="23" t="n">
        <x:v>2508.981833614532</x:v>
      </x:c>
      <x:c r="S1860" s="23" t="n">
        <x:v>1049.5250899547834</x:v>
      </x:c>
      <x:c r="T1860" s="23" t="n">
        <x:v>-1.9141645947819654</x:v>
      </x:c>
      <x:c r="U1860" s="23" t="n">
        <x:v>5.429597108454345</x:v>
      </x:c>
      <x:c r="V1860" s="23" t="n">
        <x:v>-1.3850338321055915</x:v>
      </x:c>
    </x:row>
    <x:row r="1861">
      <x:c r="A1861" s="23" t="n">
        <x:v>1860</x:v>
      </x:c>
      <x:c r="B1861" s="23" t="str">
        <x:v>Hidden Test</x:v>
      </x:c>
      <x:c r="C1861" s="23" t="str">
        <x:v>Switching</x:v>
      </x:c>
      <x:c r="D1861" s="23" t="n">
        <x:v>963.4901247336529</x:v>
      </x:c>
      <x:c r="E1861" s="23" t="n">
        <x:v>1186.2240780610591</x:v>
      </x:c>
      <x:c r="F1861" s="23" t="n">
        <x:v>495.83308724686503</x:v>
      </x:c>
      <x:c r="G1861" s="23" t="n">
        <x:v>151.2354857241735</x:v>
      </x:c>
      <x:c r="H1861" s="23" t="n">
        <x:v>12.918498031329364</x:v>
      </x:c>
      <x:c r="I1861" s="23" t="n">
        <x:v>0.8540471169911326</x:v>
      </x:c>
      <x:c r="J1861" s="23" t="n">
        <x:v>6</x:v>
      </x:c>
      <x:c r="K1861" s="23" t="n">
        <x:v>188.0243891242784</x:v>
      </x:c>
      <x:c r="L1861" s="23" t="n">
        <x:v>13610</x:v>
      </x:c>
      <x:c r="M1861" s="23" t="n">
        <x:v>1200</x:v>
      </x:c>
      <x:c r="N1861" s="23" t="n">
        <x:v>250.0104823044479</x:v>
      </x:c>
      <x:c r="O1861" s="23" t="n">
        <x:v>2503.947397011589</x:v>
      </x:c>
      <x:c r="P1861" s="23" t="n">
        <x:v>963.4901247336529</x:v>
      </x:c>
      <x:c r="Q1861" s="23" t="n">
        <x:v>249.8220799003123</x:v>
      </x:c>
      <x:c r="R1861" s="23" t="n">
        <x:v>2541.17962269812</x:v>
      </x:c>
      <x:c r="S1861" s="23" t="n">
        <x:v>962.552842330379</x:v>
      </x:c>
      <x:c r="T1861" s="23" t="n">
        <x:v>-0.18840240413558718</x:v>
      </x:c>
      <x:c r="U1861" s="23" t="n">
        <x:v>37.23222568653091</x:v>
      </x:c>
      <x:c r="V1861" s="23" t="n">
        <x:v>-0.9372824032739118</x:v>
      </x:c>
    </x:row>
    <x:row r="1862">
      <x:c r="A1862" s="23" t="n">
        <x:v>1861</x:v>
      </x:c>
      <x:c r="B1862" s="23" t="str">
        <x:v>Train</x:v>
      </x:c>
      <x:c r="C1862" s="23" t="str">
        <x:v>Switching</x:v>
      </x:c>
      <x:c r="D1862" s="23" t="n">
        <x:v>1083.4686460439116</x:v>
      </x:c>
      <x:c r="E1862" s="23" t="n">
        <x:v>961.6878973203711</x:v>
      </x:c>
      <x:c r="F1862" s="23" t="n">
        <x:v>504.2962295934558</x:v>
      </x:c>
      <x:c r="G1862" s="23" t="n">
        <x:v>96.24452258693054</x:v>
      </x:c>
      <x:c r="H1862" s="23" t="n">
        <x:v>27.62188833206892</x:v>
      </x:c>
      <x:c r="I1862" s="23" t="n">
        <x:v>0.8436754667968489</x:v>
      </x:c>
      <x:c r="J1862" s="23" t="n">
        <x:v>7</x:v>
      </x:c>
      <x:c r="K1862" s="23" t="n">
        <x:v>183.46063295734123</x:v>
      </x:c>
      <x:c r="L1862" s="23" t="n">
        <x:v>13690</x:v>
      </x:c>
      <x:c r="M1862" s="23" t="n">
        <x:v>1200</x:v>
      </x:c>
      <x:c r="N1862" s="23" t="n">
        <x:v>250.0135820713577</x:v>
      </x:c>
      <x:c r="O1862" s="23" t="n">
        <x:v>2503.8940454144736</x:v>
      </x:c>
      <x:c r="P1862" s="23" t="n">
        <x:v>1083.4686460439116</x:v>
      </x:c>
      <x:c r="Q1862" s="23" t="n">
        <x:v>247.28000604911853</x:v>
      </x:c>
      <x:c r="R1862" s="23" t="n">
        <x:v>2523.8695959229144</x:v>
      </x:c>
      <x:c r="S1862" s="23" t="n">
        <x:v>1080.2323709810544</x:v>
      </x:c>
      <x:c r="T1862" s="23" t="n">
        <x:v>-2.7335760222391627</x:v>
      </x:c>
      <x:c r="U1862" s="23" t="n">
        <x:v>19.975550508440847</x:v>
      </x:c>
      <x:c r="V1862" s="23" t="n">
        <x:v>-3.236275062857203</x:v>
      </x:c>
    </x:row>
    <x:row r="1863">
      <x:c r="A1863" s="23" t="n">
        <x:v>1862</x:v>
      </x:c>
      <x:c r="B1863" s="23" t="str">
        <x:v>Train</x:v>
      </x:c>
      <x:c r="C1863" s="23" t="str">
        <x:v>Switching</x:v>
      </x:c>
      <x:c r="D1863" s="23" t="n">
        <x:v>1095.0579769094475</x:v>
      </x:c>
      <x:c r="E1863" s="23" t="n">
        <x:v>879.1767071699724</x:v>
      </x:c>
      <x:c r="F1863" s="23" t="n">
        <x:v>388.1207880564034</x:v>
      </x:c>
      <x:c r="G1863" s="23" t="n">
        <x:v>266.9792337529361</x:v>
      </x:c>
      <x:c r="H1863" s="23" t="n">
        <x:v>22.791004730854183</x:v>
      </x:c>
      <x:c r="I1863" s="23" t="n">
        <x:v>0.7910917469253764</x:v>
      </x:c>
      <x:c r="J1863" s="23" t="n">
        <x:v>7</x:v>
      </x:c>
      <x:c r="K1863" s="23" t="n">
        <x:v>197.74805444780282</x:v>
      </x:c>
      <x:c r="L1863" s="23" t="n">
        <x:v>13940</x:v>
      </x:c>
      <x:c r="M1863" s="23" t="n">
        <x:v>1200</x:v>
      </x:c>
      <x:c r="N1863" s="23" t="n">
        <x:v>250.0240753277776</x:v>
      </x:c>
      <x:c r="O1863" s="23" t="n">
        <x:v>2503.7313316947343</x:v>
      </x:c>
      <x:c r="P1863" s="23" t="n">
        <x:v>1095.0579769094475</x:v>
      </x:c>
      <x:c r="Q1863" s="23" t="n">
        <x:v>250.60167694975124</x:v>
      </x:c>
      <x:c r="R1863" s="23" t="n">
        <x:v>2478.4962167511967</x:v>
      </x:c>
      <x:c r="S1863" s="23" t="n">
        <x:v>1088.373711978477</x:v>
      </x:c>
      <x:c r="T1863" s="23" t="n">
        <x:v>0.5776016219736277</x:v>
      </x:c>
      <x:c r="U1863" s="23" t="n">
        <x:v>-25.23511494353761</x:v>
      </x:c>
      <x:c r="V1863" s="23" t="n">
        <x:v>-6.6842649309703575</x:v>
      </x:c>
    </x:row>
    <x:row r="1864">
      <x:c r="A1864" s="23" t="n">
        <x:v>1863</x:v>
      </x:c>
      <x:c r="B1864" s="23" t="str">
        <x:v>Train</x:v>
      </x:c>
      <x:c r="C1864" s="23" t="str">
        <x:v>Switching</x:v>
      </x:c>
      <x:c r="D1864" s="23" t="n">
        <x:v>1032.2133249836043</x:v>
      </x:c>
      <x:c r="E1864" s="23" t="n">
        <x:v>1120.7736291107722</x:v>
      </x:c>
      <x:c r="F1864" s="23" t="n">
        <x:v>490.5783325433731</x:v>
      </x:c>
      <x:c r="G1864" s="23" t="n">
        <x:v>232.12746703764424</x:v>
      </x:c>
      <x:c r="H1864" s="23" t="n">
        <x:v>10.735728862695396</x:v>
      </x:c>
      <x:c r="I1864" s="23" t="n">
        <x:v>0.7972503246343695</x:v>
      </x:c>
      <x:c r="J1864" s="23" t="n">
        <x:v>7</x:v>
      </x:c>
      <x:c r="K1864" s="23" t="n">
        <x:v>184.95953136658304</x:v>
      </x:c>
      <x:c r="L1864" s="23" t="n">
        <x:v>11600</x:v>
      </x:c>
      <x:c r="M1864" s="23" t="n">
        <x:v>1195</x:v>
      </x:c>
      <x:c r="N1864" s="23" t="n">
        <x:v>249.98346044366167</x:v>
      </x:c>
      <x:c r="O1864" s="23" t="n">
        <x:v>2495.0915488567575</x:v>
      </x:c>
      <x:c r="P1864" s="23" t="n">
        <x:v>1032.2133249836043</x:v>
      </x:c>
      <x:c r="Q1864" s="23" t="n">
        <x:v>250.84470971240745</x:v>
      </x:c>
      <x:c r="R1864" s="23" t="n">
        <x:v>2548.0820655139414</x:v>
      </x:c>
      <x:c r="S1864" s="23" t="n">
        <x:v>1035.6437177879147</x:v>
      </x:c>
      <x:c r="T1864" s="23" t="n">
        <x:v>0.8612492687457802</x:v>
      </x:c>
      <x:c r="U1864" s="23" t="n">
        <x:v>52.99051665718389</x:v>
      </x:c>
      <x:c r="V1864" s="23" t="n">
        <x:v>3.430392804310486</x:v>
      </x:c>
    </x:row>
    <x:row r="1865">
      <x:c r="A1865" s="23" t="n">
        <x:v>1864</x:v>
      </x:c>
      <x:c r="B1865" s="23" t="str">
        <x:v>Train</x:v>
      </x:c>
      <x:c r="C1865" s="23" t="str">
        <x:v>Switching</x:v>
      </x:c>
      <x:c r="D1865" s="23" t="n">
        <x:v>1005.0662276218645</x:v>
      </x:c>
      <x:c r="E1865" s="23" t="n">
        <x:v>1241.0840799100697</x:v>
      </x:c>
      <x:c r="F1865" s="23" t="n">
        <x:v>461.72707146033645</x:v>
      </x:c>
      <x:c r="G1865" s="23" t="n">
        <x:v>203.7810660386458</x:v>
      </x:c>
      <x:c r="H1865" s="23" t="n">
        <x:v>28.940917370375246</x:v>
      </x:c>
      <x:c r="I1865" s="23" t="n">
        <x:v>0.84625269764103</x:v>
      </x:c>
      <x:c r="J1865" s="23" t="n">
        <x:v>6</x:v>
      </x:c>
      <x:c r="K1865" s="23" t="n">
        <x:v>197.9444655289401</x:v>
      </x:c>
      <x:c r="L1865" s="23" t="n">
        <x:v>13085</x:v>
      </x:c>
      <x:c r="M1865" s="23" t="n">
        <x:v>1200</x:v>
      </x:c>
      <x:c r="N1865" s="23" t="n">
        <x:v>249.9773163392569</x:v>
      </x:c>
      <x:c r="O1865" s="23" t="n">
        <x:v>2504.3131325279837</x:v>
      </x:c>
      <x:c r="P1865" s="23" t="n">
        <x:v>1005.0662276218645</x:v>
      </x:c>
      <x:c r="Q1865" s="23" t="n">
        <x:v>247.74341789481582</x:v>
      </x:c>
      <x:c r="R1865" s="23" t="n">
        <x:v>2562.599733772045</x:v>
      </x:c>
      <x:c r="S1865" s="23" t="n">
        <x:v>983.8895643242752</x:v>
      </x:c>
      <x:c r="T1865" s="23" t="n">
        <x:v>-2.233898444441081</x:v>
      </x:c>
      <x:c r="U1865" s="23" t="n">
        <x:v>58.28660124406133</x:v>
      </x:c>
      <x:c r="V1865" s="23" t="n">
        <x:v>-21.176663297589357</x:v>
      </x:c>
    </x:row>
    <x:row r="1866">
      <x:c r="A1866" s="23" t="n">
        <x:v>1865</x:v>
      </x:c>
      <x:c r="B1866" s="23" t="str">
        <x:v>Train</x:v>
      </x:c>
      <x:c r="C1866" s="23" t="str">
        <x:v>Switching</x:v>
      </x:c>
      <x:c r="D1866" s="23" t="n">
        <x:v>1046.3872099295259</x:v>
      </x:c>
      <x:c r="E1866" s="23" t="n">
        <x:v>626.0786064318381</x:v>
      </x:c>
      <x:c r="F1866" s="23" t="n">
        <x:v>562.8093155100942</x:v>
      </x:c>
      <x:c r="G1866" s="23" t="n">
        <x:v>155.20414289319888</x:v>
      </x:c>
      <x:c r="H1866" s="23" t="n">
        <x:v>28.67703396640718</x:v>
      </x:c>
      <x:c r="I1866" s="23" t="n">
        <x:v>0.8127704569068738</x:v>
      </x:c>
      <x:c r="J1866" s="23" t="n">
        <x:v>7</x:v>
      </x:c>
      <x:c r="K1866" s="23" t="n">
        <x:v>183.9189476714913</x:v>
      </x:c>
      <x:c r="L1866" s="23" t="n">
        <x:v>15910</x:v>
      </x:c>
      <x:c r="M1866" s="23" t="n">
        <x:v>1200</x:v>
      </x:c>
      <x:c r="N1866" s="23" t="n">
        <x:v>249.98539806213222</x:v>
      </x:c>
      <x:c r="O1866" s="23" t="n">
        <x:v>2502.6242287278183</x:v>
      </x:c>
      <x:c r="P1866" s="23" t="n">
        <x:v>1046.3872099295259</x:v>
      </x:c>
      <x:c r="Q1866" s="23" t="n">
        <x:v>245.98468366779497</x:v>
      </x:c>
      <x:c r="R1866" s="23" t="n">
        <x:v>2506.589102859741</x:v>
      </x:c>
      <x:c r="S1866" s="23" t="n">
        <x:v>1044.6894545048222</x:v>
      </x:c>
      <x:c r="T1866" s="23" t="n">
        <x:v>-4.000714394337251</x:v>
      </x:c>
      <x:c r="U1866" s="23" t="n">
        <x:v>3.9648741319228975</x:v>
      </x:c>
      <x:c r="V1866" s="23" t="n">
        <x:v>-1.6977554247037006</x:v>
      </x:c>
    </x:row>
    <x:row r="1867">
      <x:c r="A1867" s="23" t="n">
        <x:v>1866</x:v>
      </x:c>
      <x:c r="B1867" s="23" t="str">
        <x:v>Train</x:v>
      </x:c>
      <x:c r="C1867" s="23" t="str">
        <x:v>Switching</x:v>
      </x:c>
      <x:c r="D1867" s="23" t="n">
        <x:v>1061.5145125077106</x:v>
      </x:c>
      <x:c r="E1867" s="23" t="n">
        <x:v>727.1490693325177</x:v>
      </x:c>
      <x:c r="F1867" s="23" t="n">
        <x:v>570.3537792898715</x:v>
      </x:c>
      <x:c r="G1867" s="23" t="n">
        <x:v>123.06228901259601</x:v>
      </x:c>
      <x:c r="H1867" s="23" t="n">
        <x:v>13.775940243620425</x:v>
      </x:c>
      <x:c r="I1867" s="23" t="n">
        <x:v>0.8031329790176824</x:v>
      </x:c>
      <x:c r="J1867" s="23" t="n">
        <x:v>7</x:v>
      </x:c>
      <x:c r="K1867" s="23" t="n">
        <x:v>188.81671444213677</x:v>
      </x:c>
      <x:c r="L1867" s="23" t="n">
        <x:v>15055</x:v>
      </x:c>
      <x:c r="M1867" s="23" t="n">
        <x:v>1200</x:v>
      </x:c>
      <x:c r="N1867" s="23" t="n">
        <x:v>250.00972211764653</x:v>
      </x:c>
      <x:c r="O1867" s="23" t="n">
        <x:v>2503.0693937792007</x:v>
      </x:c>
      <x:c r="P1867" s="23" t="n">
        <x:v>1061.5145125077106</x:v>
      </x:c>
      <x:c r="Q1867" s="23" t="n">
        <x:v>249.6153492344906</x:v>
      </x:c>
      <x:c r="R1867" s="23" t="n">
        <x:v>2479.8793422143513</x:v>
      </x:c>
      <x:c r="S1867" s="23" t="n">
        <x:v>1073.1101907643401</x:v>
      </x:c>
      <x:c r="T1867" s="23" t="n">
        <x:v>-0.3943728831559383</x:v>
      </x:c>
      <x:c r="U1867" s="23" t="n">
        <x:v>-23.190051564849455</x:v>
      </x:c>
      <x:c r="V1867" s="23" t="n">
        <x:v>11.595678256629526</x:v>
      </x:c>
    </x:row>
    <x:row r="1868">
      <x:c r="A1868" s="23" t="n">
        <x:v>1867</x:v>
      </x:c>
      <x:c r="B1868" s="23" t="str">
        <x:v>Train</x:v>
      </x:c>
      <x:c r="C1868" s="23" t="str">
        <x:v>Switching</x:v>
      </x:c>
      <x:c r="D1868" s="23" t="n">
        <x:v>1071.4339951751754</x:v>
      </x:c>
      <x:c r="E1868" s="23" t="n">
        <x:v>626.9930037320592</x:v>
      </x:c>
      <x:c r="F1868" s="23" t="n">
        <x:v>401.0654080659151</x:v>
      </x:c>
      <x:c r="G1868" s="23" t="n">
        <x:v>169.2425665515475</x:v>
      </x:c>
      <x:c r="H1868" s="23" t="n">
        <x:v>11.705346287228167</x:v>
      </x:c>
      <x:c r="I1868" s="23" t="n">
        <x:v>0.8304798668506556</x:v>
      </x:c>
      <x:c r="J1868" s="23" t="n">
        <x:v>7</x:v>
      </x:c>
      <x:c r="K1868" s="23" t="n">
        <x:v>184.3054906209597</x:v>
      </x:c>
      <x:c r="L1868" s="23" t="n">
        <x:v>17860</x:v>
      </x:c>
      <x:c r="M1868" s="23" t="n">
        <x:v>1200</x:v>
      </x:c>
      <x:c r="N1868" s="23" t="n">
        <x:v>249.97676453107448</x:v>
      </x:c>
      <x:c r="O1868" s="23" t="n">
        <x:v>2501.769728455168</x:v>
      </x:c>
      <x:c r="P1868" s="23" t="n">
        <x:v>1071.4339951751754</x:v>
      </x:c>
      <x:c r="Q1868" s="23" t="n">
        <x:v>246.9875804636302</x:v>
      </x:c>
      <x:c r="R1868" s="23" t="n">
        <x:v>2464.0542564186608</x:v>
      </x:c>
      <x:c r="S1868" s="23" t="n">
        <x:v>1089.2405582692436</x:v>
      </x:c>
      <x:c r="T1868" s="23" t="n">
        <x:v>-2.9891840674442847</x:v>
      </x:c>
      <x:c r="U1868" s="23" t="n">
        <x:v>-37.715472036507435</x:v>
      </x:c>
      <x:c r="V1868" s="23" t="n">
        <x:v>17.806563094068224</x:v>
      </x:c>
    </x:row>
    <x:row r="1869">
      <x:c r="A1869" s="23" t="n">
        <x:v>1868</x:v>
      </x:c>
      <x:c r="B1869" s="23" t="str">
        <x:v>Train</x:v>
      </x:c>
      <x:c r="C1869" s="23" t="str">
        <x:v>Switching</x:v>
      </x:c>
      <x:c r="D1869" s="23" t="n">
        <x:v>965.0096768862568</x:v>
      </x:c>
      <x:c r="E1869" s="23" t="n">
        <x:v>677.260267501697</x:v>
      </x:c>
      <x:c r="F1869" s="23" t="n">
        <x:v>719.3584273569286</x:v>
      </x:c>
      <x:c r="G1869" s="23" t="n">
        <x:v>99.20217543374747</x:v>
      </x:c>
      <x:c r="H1869" s="23" t="n">
        <x:v>13.287114951293916</x:v>
      </x:c>
      <x:c r="I1869" s="23" t="n">
        <x:v>0.8288429933413863</x:v>
      </x:c>
      <x:c r="J1869" s="23" t="n">
        <x:v>6</x:v>
      </x:c>
      <x:c r="K1869" s="23" t="n">
        <x:v>194.04754270687823</x:v>
      </x:c>
      <x:c r="L1869" s="23" t="n">
        <x:v>16680</x:v>
      </x:c>
      <x:c r="M1869" s="23" t="n">
        <x:v>1200</x:v>
      </x:c>
      <x:c r="N1869" s="23" t="n">
        <x:v>250.0022041537509</x:v>
      </x:c>
      <x:c r="O1869" s="23" t="n">
        <x:v>2502.2635478144102</x:v>
      </x:c>
      <x:c r="P1869" s="23" t="n">
        <x:v>965.0096768862568</x:v>
      </x:c>
      <x:c r="Q1869" s="23" t="n">
        <x:v>247.6419992216194</x:v>
      </x:c>
      <x:c r="R1869" s="23" t="n">
        <x:v>2481.604528615944</x:v>
      </x:c>
      <x:c r="S1869" s="23" t="n">
        <x:v>974.182210314041</x:v>
      </x:c>
      <x:c r="T1869" s="23" t="n">
        <x:v>-2.3602049321315235</x:v>
      </x:c>
      <x:c r="U1869" s="23" t="n">
        <x:v>-20.659019198466012</x:v>
      </x:c>
      <x:c r="V1869" s="23" t="n">
        <x:v>9.172533427784174</x:v>
      </x:c>
    </x:row>
    <x:row r="1870">
      <x:c r="A1870" s="23" t="n">
        <x:v>1869</x:v>
      </x:c>
      <x:c r="B1870" s="23" t="str">
        <x:v>Train</x:v>
      </x:c>
      <x:c r="C1870" s="23" t="str">
        <x:v>Switching</x:v>
      </x:c>
      <x:c r="D1870" s="23" t="n">
        <x:v>963.75736980699</x:v>
      </x:c>
      <x:c r="E1870" s="23" t="n">
        <x:v>909.3487626756541</x:v>
      </x:c>
      <x:c r="F1870" s="23" t="n">
        <x:v>720.8534618839622</x:v>
      </x:c>
      <x:c r="G1870" s="23" t="n">
        <x:v>175.66849452676252</x:v>
      </x:c>
      <x:c r="H1870" s="23" t="n">
        <x:v>22.06848542764783</x:v>
      </x:c>
      <x:c r="I1870" s="23" t="n">
        <x:v>0.792863480153028</x:v>
      </x:c>
      <x:c r="J1870" s="23" t="n">
        <x:v>7</x:v>
      </x:c>
      <x:c r="K1870" s="23" t="n">
        <x:v>173.64858857109718</x:v>
      </x:c>
      <x:c r="L1870" s="23" t="n">
        <x:v>11840</x:v>
      </x:c>
      <x:c r="M1870" s="23" t="n">
        <x:v>1195</x:v>
      </x:c>
      <x:c r="N1870" s="23" t="n">
        <x:v>249.95039971916594</x:v>
      </x:c>
      <x:c r="O1870" s="23" t="n">
        <x:v>2494.8735332356537</x:v>
      </x:c>
      <x:c r="P1870" s="23" t="n">
        <x:v>963.75736980699</x:v>
      </x:c>
      <x:c r="Q1870" s="23" t="n">
        <x:v>251.6267127823107</x:v>
      </x:c>
      <x:c r="R1870" s="23" t="n">
        <x:v>2486.886510732615</x:v>
      </x:c>
      <x:c r="S1870" s="23" t="n">
        <x:v>961.7971993932123</x:v>
      </x:c>
      <x:c r="T1870" s="23" t="n">
        <x:v>1.676313063144761</x:v>
      </x:c>
      <x:c r="U1870" s="23" t="n">
        <x:v>-7.987022503038588</x:v>
      </x:c>
      <x:c r="V1870" s="23" t="n">
        <x:v>-1.960170413777746</x:v>
      </x:c>
    </x:row>
    <x:row r="1871">
      <x:c r="A1871" s="23" t="n">
        <x:v>1870</x:v>
      </x:c>
      <x:c r="B1871" s="23" t="str">
        <x:v>Train</x:v>
      </x:c>
      <x:c r="C1871" s="23" t="str">
        <x:v>Switching</x:v>
      </x:c>
      <x:c r="D1871" s="23" t="n">
        <x:v>965.7319279504009</x:v>
      </x:c>
      <x:c r="E1871" s="23" t="n">
        <x:v>1132.054626639001</x:v>
      </x:c>
      <x:c r="F1871" s="23" t="n">
        <x:v>676.6772096045315</x:v>
      </x:c>
      <x:c r="G1871" s="23" t="n">
        <x:v>127.96510748565197</x:v>
      </x:c>
      <x:c r="H1871" s="23" t="n">
        <x:v>23.800800228957087</x:v>
      </x:c>
      <x:c r="I1871" s="23" t="n">
        <x:v>0.8160737279010937</x:v>
      </x:c>
      <x:c r="J1871" s="23" t="n">
        <x:v>6</x:v>
      </x:c>
      <x:c r="K1871" s="23" t="n">
        <x:v>197.23134788205584</x:v>
      </x:c>
      <x:c r="L1871" s="23" t="n">
        <x:v>12885</x:v>
      </x:c>
      <x:c r="M1871" s="23" t="n">
        <x:v>1200</x:v>
      </x:c>
      <x:c r="N1871" s="23" t="n">
        <x:v>250.0431306627068</x:v>
      </x:c>
      <x:c r="O1871" s="23" t="n">
        <x:v>2504.463343070431</x:v>
      </x:c>
      <x:c r="P1871" s="23" t="n">
        <x:v>965.7319279504009</x:v>
      </x:c>
      <x:c r="Q1871" s="23" t="n">
        <x:v>250.93636596731227</x:v>
      </x:c>
      <x:c r="R1871" s="23" t="n">
        <x:v>2555.5320086838888</x:v>
      </x:c>
      <x:c r="S1871" s="23" t="n">
        <x:v>959.9343799921718</x:v>
      </x:c>
      <x:c r="T1871" s="23" t="n">
        <x:v>0.8932353046054686</x:v>
      </x:c>
      <x:c r="U1871" s="23" t="n">
        <x:v>51.0686656134576</x:v>
      </x:c>
      <x:c r="V1871" s="23" t="n">
        <x:v>-5.7975479582290745</x:v>
      </x:c>
    </x:row>
    <x:row r="1872">
      <x:c r="A1872" s="23" t="n">
        <x:v>1871</x:v>
      </x:c>
      <x:c r="B1872" s="23" t="str">
        <x:v>Train</x:v>
      </x:c>
      <x:c r="C1872" s="23" t="str">
        <x:v>Switching</x:v>
      </x:c>
      <x:c r="D1872" s="23" t="n">
        <x:v>1047.1788233378902</x:v>
      </x:c>
      <x:c r="E1872" s="23" t="n">
        <x:v>887.415689707268</x:v>
      </x:c>
      <x:c r="F1872" s="23" t="n">
        <x:v>568.0641062557697</x:v>
      </x:c>
      <x:c r="G1872" s="23" t="n">
        <x:v>111.807858904358</x:v>
      </x:c>
      <x:c r="H1872" s="23" t="n">
        <x:v>11.111659734509885</x:v>
      </x:c>
      <x:c r="I1872" s="23" t="n">
        <x:v>0.7983143469481729</x:v>
      </x:c>
      <x:c r="J1872" s="23" t="n">
        <x:v>7</x:v>
      </x:c>
      <x:c r="K1872" s="23" t="n">
        <x:v>187.39106385152775</x:v>
      </x:c>
      <x:c r="L1872" s="23" t="n">
        <x:v>13645</x:v>
      </x:c>
      <x:c r="M1872" s="23" t="n">
        <x:v>1200</x:v>
      </x:c>
      <x:c r="N1872" s="23" t="n">
        <x:v>249.99837503977548</x:v>
      </x:c>
      <x:c r="O1872" s="23" t="n">
        <x:v>2503.9234948965145</x:v>
      </x:c>
      <x:c r="P1872" s="23" t="n">
        <x:v>1047.1788233378902</x:v>
      </x:c>
      <x:c r="Q1872" s="23" t="n">
        <x:v>251.25162955930472</x:v>
      </x:c>
      <x:c r="R1872" s="23" t="n">
        <x:v>2505.5828622273543</x:v>
      </x:c>
      <x:c r="S1872" s="23" t="n">
        <x:v>1055.6691916841983</x:v>
      </x:c>
      <x:c r="T1872" s="23" t="n">
        <x:v>1.2532545195292357</x:v>
      </x:c>
      <x:c r="U1872" s="23" t="n">
        <x:v>1.6593673308398138</x:v>
      </x:c>
      <x:c r="V1872" s="23" t="n">
        <x:v>8.49036834630806</x:v>
      </x:c>
    </x:row>
    <x:row r="1873">
      <x:c r="A1873" s="23" t="n">
        <x:v>1872</x:v>
      </x:c>
      <x:c r="B1873" s="23" t="str">
        <x:v>Train</x:v>
      </x:c>
      <x:c r="C1873" s="23" t="str">
        <x:v>Switching</x:v>
      </x:c>
      <x:c r="D1873" s="23" t="n">
        <x:v>961.6166546824388</x:v>
      </x:c>
      <x:c r="E1873" s="23" t="n">
        <x:v>806.0304237529635</x:v>
      </x:c>
      <x:c r="F1873" s="23" t="n">
        <x:v>562.0255901478231</x:v>
      </x:c>
      <x:c r="G1873" s="23" t="n">
        <x:v>323.6674964847043</x:v>
      </x:c>
      <x:c r="H1873" s="23" t="n">
        <x:v>25.477081218268722</x:v>
      </x:c>
      <x:c r="I1873" s="23" t="n">
        <x:v>0.8021174268331379</x:v>
      </x:c>
      <x:c r="J1873" s="23" t="n">
        <x:v>6</x:v>
      </x:c>
      <x:c r="K1873" s="23" t="n">
        <x:v>199.80795465302052</x:v>
      </x:c>
      <x:c r="L1873" s="23" t="n">
        <x:v>14750</x:v>
      </x:c>
      <x:c r="M1873" s="23" t="n">
        <x:v>1200</x:v>
      </x:c>
      <x:c r="N1873" s="23" t="n">
        <x:v>250.02887715915392</x:v>
      </x:c>
      <x:c r="O1873" s="23" t="n">
        <x:v>2503.241023627419</x:v>
      </x:c>
      <x:c r="P1873" s="23" t="n">
        <x:v>961.6166546824388</x:v>
      </x:c>
      <x:c r="Q1873" s="23" t="n">
        <x:v>250.16327216807161</x:v>
      </x:c>
      <x:c r="R1873" s="23" t="n">
        <x:v>2507.481317199904</x:v>
      </x:c>
      <x:c r="S1873" s="23" t="n">
        <x:v>957.9322316726384</x:v>
      </x:c>
      <x:c r="T1873" s="23" t="n">
        <x:v>0.13439500891769285</x:v>
      </x:c>
      <x:c r="U1873" s="23" t="n">
        <x:v>4.240293572484916</x:v>
      </x:c>
      <x:c r="V1873" s="23" t="n">
        <x:v>-3.684423009800412</x:v>
      </x:c>
    </x:row>
    <x:row r="1874">
      <x:c r="A1874" s="23" t="n">
        <x:v>1873</x:v>
      </x:c>
      <x:c r="B1874" s="23" t="str">
        <x:v>Train</x:v>
      </x:c>
      <x:c r="C1874" s="23" t="str">
        <x:v>Switching</x:v>
      </x:c>
      <x:c r="D1874" s="23" t="n">
        <x:v>1026.9325301982462</x:v>
      </x:c>
      <x:c r="E1874" s="23" t="n">
        <x:v>1056.0332042514347</x:v>
      </x:c>
      <x:c r="F1874" s="23" t="n">
        <x:v>579.3851086869836</x:v>
      </x:c>
      <x:c r="G1874" s="23" t="n">
        <x:v>169.04024405637756</x:v>
      </x:c>
      <x:c r="H1874" s="23" t="n">
        <x:v>9.87043428607285</x:v>
      </x:c>
      <x:c r="I1874" s="23" t="n">
        <x:v>0.8403475662251003</x:v>
      </x:c>
      <x:c r="J1874" s="23" t="n">
        <x:v>7</x:v>
      </x:c>
      <x:c r="K1874" s="23" t="n">
        <x:v>174.5761552332275</x:v>
      </x:c>
      <x:c r="L1874" s="23" t="n">
        <x:v>11850</x:v>
      </x:c>
      <x:c r="M1874" s="23" t="n">
        <x:v>1195</x:v>
      </x:c>
      <x:c r="N1874" s="23" t="n">
        <x:v>249.96557669242125</x:v>
      </x:c>
      <x:c r="O1874" s="23" t="n">
        <x:v>2494.8653470096783</x:v>
      </x:c>
      <x:c r="P1874" s="23" t="n">
        <x:v>1026.9325301982462</x:v>
      </x:c>
      <x:c r="Q1874" s="23" t="n">
        <x:v>252.04331592454864</x:v>
      </x:c>
      <x:c r="R1874" s="23" t="n">
        <x:v>2480.9955412507384</x:v>
      </x:c>
      <x:c r="S1874" s="23" t="n">
        <x:v>1033.7814786098097</x:v>
      </x:c>
      <x:c r="T1874" s="23" t="n">
        <x:v>2.077739232127385</x:v>
      </x:c>
      <x:c r="U1874" s="23" t="n">
        <x:v>-13.869805758939947</x:v>
      </x:c>
      <x:c r="V1874" s="23" t="n">
        <x:v>6.84894841156347</x:v>
      </x:c>
    </x:row>
    <x:row r="1875">
      <x:c r="A1875" s="23" t="n">
        <x:v>1874</x:v>
      </x:c>
      <x:c r="B1875" s="23" t="str">
        <x:v>Train</x:v>
      </x:c>
      <x:c r="C1875" s="23" t="str">
        <x:v>Switching</x:v>
      </x:c>
      <x:c r="D1875" s="23" t="n">
        <x:v>1000.6462026038207</x:v>
      </x:c>
      <x:c r="E1875" s="23" t="n">
        <x:v>1058.4637225838378</x:v>
      </x:c>
      <x:c r="F1875" s="23" t="n">
        <x:v>615.4018738307059</x:v>
      </x:c>
      <x:c r="G1875" s="23" t="n">
        <x:v>172.7907780278474</x:v>
      </x:c>
      <x:c r="H1875" s="23" t="n">
        <x:v>19.335614040959626</x:v>
      </x:c>
      <x:c r="I1875" s="23" t="n">
        <x:v>0.8159478027606384</x:v>
      </x:c>
      <x:c r="J1875" s="23" t="n">
        <x:v>7</x:v>
      </x:c>
      <x:c r="K1875" s="23" t="n">
        <x:v>175.194365413061</x:v>
      </x:c>
      <x:c r="L1875" s="23" t="n">
        <x:v>11580</x:v>
      </x:c>
      <x:c r="M1875" s="23" t="n">
        <x:v>1195</x:v>
      </x:c>
      <x:c r="N1875" s="23" t="n">
        <x:v>249.98274068000657</x:v>
      </x:c>
      <x:c r="O1875" s="23" t="n">
        <x:v>2495.1099654365416</x:v>
      </x:c>
      <x:c r="P1875" s="23" t="n">
        <x:v>1000.6462026038207</x:v>
      </x:c>
      <x:c r="Q1875" s="23" t="n">
        <x:v>249.25454631817786</x:v>
      </x:c>
      <x:c r="R1875" s="23" t="n">
        <x:v>2552.299552382895</x:v>
      </x:c>
      <x:c r="S1875" s="23" t="n">
        <x:v>996.5691102606999</x:v>
      </x:c>
      <x:c r="T1875" s="23" t="n">
        <x:v>-0.728194361828713</x:v>
      </x:c>
      <x:c r="U1875" s="23" t="n">
        <x:v>57.1895869463533</x:v>
      </x:c>
      <x:c r="V1875" s="23" t="n">
        <x:v>-4.077092343120853</x:v>
      </x:c>
    </x:row>
    <x:row r="1876">
      <x:c r="A1876" s="23" t="n">
        <x:v>1875</x:v>
      </x:c>
      <x:c r="B1876" s="23" t="str">
        <x:v>Validation</x:v>
      </x:c>
      <x:c r="C1876" s="23" t="str">
        <x:v>Switching</x:v>
      </x:c>
      <x:c r="D1876" s="23" t="n">
        <x:v>998.4714830061421</x:v>
      </x:c>
      <x:c r="E1876" s="23" t="n">
        <x:v>732.8643098124303</x:v>
      </x:c>
      <x:c r="F1876" s="23" t="n">
        <x:v>423.0675186961889</x:v>
      </x:c>
      <x:c r="G1876" s="23" t="n">
        <x:v>83.74060188187286</x:v>
      </x:c>
      <x:c r="H1876" s="23" t="n">
        <x:v>19.824068752117455</x:v>
      </x:c>
      <x:c r="I1876" s="23" t="n">
        <x:v>0.8575599072570913</x:v>
      </x:c>
      <x:c r="J1876" s="23" t="n">
        <x:v>6</x:v>
      </x:c>
      <x:c r="K1876" s="23" t="n">
        <x:v>194.05281476675626</x:v>
      </x:c>
      <x:c r="L1876" s="23" t="n">
        <x:v>20125</x:v>
      </x:c>
      <x:c r="M1876" s="23" t="n">
        <x:v>1200</x:v>
      </x:c>
      <x:c r="N1876" s="23" t="n">
        <x:v>249.98338748331585</x:v>
      </x:c>
      <x:c r="O1876" s="23" t="n">
        <x:v>2500.985469558676</x:v>
      </x:c>
      <x:c r="P1876" s="23" t="n">
        <x:v>998.4714830061421</x:v>
      </x:c>
      <x:c r="Q1876" s="23" t="n">
        <x:v>247.6111542858973</x:v>
      </x:c>
      <x:c r="R1876" s="23" t="n">
        <x:v>2463.2915582574246</x:v>
      </x:c>
      <x:c r="S1876" s="23" t="n">
        <x:v>1006.5169031910641</x:v>
      </x:c>
      <x:c r="T1876" s="23" t="n">
        <x:v>-2.372233197418552</x:v>
      </x:c>
      <x:c r="U1876" s="23" t="n">
        <x:v>-37.69391130125132</x:v>
      </x:c>
      <x:c r="V1876" s="23" t="n">
        <x:v>8.045420184922023</x:v>
      </x:c>
    </x:row>
    <x:row r="1877">
      <x:c r="A1877" s="23" t="n">
        <x:v>1876</x:v>
      </x:c>
      <x:c r="B1877" s="23" t="str">
        <x:v>Validation</x:v>
      </x:c>
      <x:c r="C1877" s="23" t="str">
        <x:v>Switching</x:v>
      </x:c>
      <x:c r="D1877" s="23" t="n">
        <x:v>980.9954998432659</x:v>
      </x:c>
      <x:c r="E1877" s="23" t="n">
        <x:v>685.7428348157555</x:v>
      </x:c>
      <x:c r="F1877" s="23" t="n">
        <x:v>408.80977092310786</x:v>
      </x:c>
      <x:c r="G1877" s="23" t="n">
        <x:v>97.73310953285545</x:v>
      </x:c>
      <x:c r="H1877" s="23" t="n">
        <x:v>9.15827090991661</x:v>
      </x:c>
      <x:c r="I1877" s="23" t="n">
        <x:v>0.8093448956497014</x:v>
      </x:c>
      <x:c r="J1877" s="23" t="n">
        <x:v>7</x:v>
      </x:c>
      <x:c r="K1877" s="23" t="n">
        <x:v>173.15512214458903</x:v>
      </x:c>
      <x:c r="L1877" s="23" t="n">
        <x:v>17935</x:v>
      </x:c>
      <x:c r="M1877" s="23" t="n">
        <x:v>1200</x:v>
      </x:c>
      <x:c r="N1877" s="23" t="n">
        <x:v>249.97495418586635</x:v>
      </x:c>
      <x:c r="O1877" s="23" t="n">
        <x:v>2501.7405336057395</x:v>
      </x:c>
      <x:c r="P1877" s="23" t="n">
        <x:v>980.9954998432659</x:v>
      </x:c>
      <x:c r="Q1877" s="23" t="n">
        <x:v>247.24825463236002</x:v>
      </x:c>
      <x:c r="R1877" s="23" t="n">
        <x:v>2448.671422046753</x:v>
      </x:c>
      <x:c r="S1877" s="23" t="n">
        <x:v>992.8325839673004</x:v>
      </x:c>
      <x:c r="T1877" s="23" t="n">
        <x:v>-2.726699553506336</x:v>
      </x:c>
      <x:c r="U1877" s="23" t="n">
        <x:v>-53.069111558986606</x:v>
      </x:c>
      <x:c r="V1877" s="23" t="n">
        <x:v>11.837084124034504</x:v>
      </x:c>
    </x:row>
    <x:row r="1878">
      <x:c r="A1878" s="23" t="n">
        <x:v>1877</x:v>
      </x:c>
      <x:c r="B1878" s="23" t="str">
        <x:v>Validation</x:v>
      </x:c>
      <x:c r="C1878" s="23" t="str">
        <x:v>Switching</x:v>
      </x:c>
      <x:c r="D1878" s="23" t="n">
        <x:v>957.8414664138108</x:v>
      </x:c>
      <x:c r="E1878" s="23" t="n">
        <x:v>1043.2681258651428</x:v>
      </x:c>
      <x:c r="F1878" s="23" t="n">
        <x:v>615.0152979418635</x:v>
      </x:c>
      <x:c r="G1878" s="23" t="n">
        <x:v>257.02116846339777</x:v>
      </x:c>
      <x:c r="H1878" s="23" t="n">
        <x:v>27.311910673975945</x:v>
      </x:c>
      <x:c r="I1878" s="23" t="n">
        <x:v>0.8450712120370009</x:v>
      </x:c>
      <x:c r="J1878" s="23" t="n">
        <x:v>6</x:v>
      </x:c>
      <x:c r="K1878" s="23" t="n">
        <x:v>188.9074460571165</x:v>
      </x:c>
      <x:c r="L1878" s="23" t="n">
        <x:v>13025</x:v>
      </x:c>
      <x:c r="M1878" s="23" t="n">
        <x:v>1200</x:v>
      </x:c>
      <x:c r="N1878" s="23" t="n">
        <x:v>249.9680895292421</x:v>
      </x:c>
      <x:c r="O1878" s="23" t="n">
        <x:v>2504.356603793592</x:v>
      </x:c>
      <x:c r="P1878" s="23" t="n">
        <x:v>957.8414664138108</x:v>
      </x:c>
      <x:c r="Q1878" s="23" t="n">
        <x:v>251.01254726448803</x:v>
      </x:c>
      <x:c r="R1878" s="23" t="n">
        <x:v>2547.6583382583894</x:v>
      </x:c>
      <x:c r="S1878" s="23" t="n">
        <x:v>939.3996767596833</x:v>
      </x:c>
      <x:c r="T1878" s="23" t="n">
        <x:v>1.0444577352459419</x:v>
      </x:c>
      <x:c r="U1878" s="23" t="n">
        <x:v>43.30173446479739</x:v>
      </x:c>
      <x:c r="V1878" s="23" t="n">
        <x:v>-18.441789654127547</x:v>
      </x:c>
    </x:row>
    <x:row r="1879">
      <x:c r="A1879" s="23" t="n">
        <x:v>1878</x:v>
      </x:c>
      <x:c r="B1879" s="23" t="str">
        <x:v>Hidden Test</x:v>
      </x:c>
      <x:c r="C1879" s="23" t="str">
        <x:v>Switching</x:v>
      </x:c>
      <x:c r="D1879" s="23" t="n">
        <x:v>975.7344153826125</x:v>
      </x:c>
      <x:c r="E1879" s="23" t="n">
        <x:v>1090.4247356345877</x:v>
      </x:c>
      <x:c r="F1879" s="23" t="n">
        <x:v>618.631596583873</x:v>
      </x:c>
      <x:c r="G1879" s="23" t="n">
        <x:v>144.20685024932027</x:v>
      </x:c>
      <x:c r="H1879" s="23" t="n">
        <x:v>27.045685386750847</x:v>
      </x:c>
      <x:c r="I1879" s="23" t="n">
        <x:v>0.7984696081792936</x:v>
      </x:c>
      <x:c r="J1879" s="23" t="n">
        <x:v>7</x:v>
      </x:c>
      <x:c r="K1879" s="23" t="n">
        <x:v>174.57224337791573</x:v>
      </x:c>
      <x:c r="L1879" s="23" t="n">
        <x:v>11540</x:v>
      </x:c>
      <x:c r="M1879" s="23" t="n">
        <x:v>1195</x:v>
      </x:c>
      <x:c r="N1879" s="23" t="n">
        <x:v>250.01072070719158</x:v>
      </x:c>
      <x:c r="O1879" s="23" t="n">
        <x:v>2495.148264739291</x:v>
      </x:c>
      <x:c r="P1879" s="23" t="n">
        <x:v>975.7344153826125</x:v>
      </x:c>
      <x:c r="Q1879" s="23" t="n">
        <x:v>249.5238584173783</x:v>
      </x:c>
      <x:c r="R1879" s="23" t="n">
        <x:v>2559.3311675793475</x:v>
      </x:c>
      <x:c r="S1879" s="23" t="n">
        <x:v>968.5672927293248</x:v>
      </x:c>
      <x:c r="T1879" s="23" t="n">
        <x:v>-0.4868622898132742</x:v>
      </x:c>
      <x:c r="U1879" s="23" t="n">
        <x:v>64.18290284005661</x:v>
      </x:c>
      <x:c r="V1879" s="23" t="n">
        <x:v>-7.16712265328772</x:v>
      </x:c>
    </x:row>
    <x:row r="1880">
      <x:c r="A1880" s="23" t="n">
        <x:v>1879</x:v>
      </x:c>
      <x:c r="B1880" s="23" t="str">
        <x:v>Hidden Test</x:v>
      </x:c>
      <x:c r="C1880" s="23" t="str">
        <x:v>Switching</x:v>
      </x:c>
      <x:c r="D1880" s="23" t="n">
        <x:v>1034.7837602021173</x:v>
      </x:c>
      <x:c r="E1880" s="23" t="n">
        <x:v>920.0627090525813</x:v>
      </x:c>
      <x:c r="F1880" s="23" t="n">
        <x:v>463.3722648024559</x:v>
      </x:c>
      <x:c r="G1880" s="23" t="n">
        <x:v>244.6859356551431</x:v>
      </x:c>
      <x:c r="H1880" s="23" t="n">
        <x:v>22.61357658635825</x:v>
      </x:c>
      <x:c r="I1880" s="23" t="n">
        <x:v>0.8433301470777952</x:v>
      </x:c>
      <x:c r="J1880" s="23" t="n">
        <x:v>7</x:v>
      </x:c>
      <x:c r="K1880" s="23" t="n">
        <x:v>175.28870747675134</x:v>
      </x:c>
      <x:c r="L1880" s="23" t="n">
        <x:v>13135</x:v>
      </x:c>
      <x:c r="M1880" s="23" t="n">
        <x:v>1200</x:v>
      </x:c>
      <x:c r="N1880" s="23" t="n">
        <x:v>249.9954670449794</x:v>
      </x:c>
      <x:c r="O1880" s="23" t="n">
        <x:v>2504.2776174384403</x:v>
      </x:c>
      <x:c r="P1880" s="23" t="n">
        <x:v>1034.7837602021173</x:v>
      </x:c>
      <x:c r="Q1880" s="23" t="n">
        <x:v>252.23236313002758</x:v>
      </x:c>
      <x:c r="R1880" s="23" t="n">
        <x:v>2479.744254398308</x:v>
      </x:c>
      <x:c r="S1880" s="23" t="n">
        <x:v>1036.395582046636</x:v>
      </x:c>
      <x:c r="T1880" s="23" t="n">
        <x:v>2.236896085048187</x:v>
      </x:c>
      <x:c r="U1880" s="23" t="n">
        <x:v>-24.53336304013237</x:v>
      </x:c>
      <x:c r="V1880" s="23" t="n">
        <x:v>1.6118218445187722</x:v>
      </x:c>
    </x:row>
    <x:row r="1881">
      <x:c r="A1881" s="23" t="n">
        <x:v>1880</x:v>
      </x:c>
      <x:c r="B1881" s="23" t="str">
        <x:v>Hidden Test</x:v>
      </x:c>
      <x:c r="C1881" s="23" t="str">
        <x:v>Switching</x:v>
      </x:c>
      <x:c r="D1881" s="23" t="n">
        <x:v>1013.2330897147767</x:v>
      </x:c>
      <x:c r="E1881" s="23" t="n">
        <x:v>790.9599668346345</x:v>
      </x:c>
      <x:c r="F1881" s="23" t="n">
        <x:v>745.224370714277</x:v>
      </x:c>
      <x:c r="G1881" s="23" t="n">
        <x:v>167.55648194346577</x:v>
      </x:c>
      <x:c r="H1881" s="23" t="n">
        <x:v>9.066906770225614</x:v>
      </x:c>
      <x:c r="I1881" s="23" t="n">
        <x:v>0.8351347437966615</x:v>
      </x:c>
      <x:c r="J1881" s="23" t="n">
        <x:v>7</x:v>
      </x:c>
      <x:c r="K1881" s="23" t="n">
        <x:v>173.32243128446734</x:v>
      </x:c>
      <x:c r="L1881" s="23" t="n">
        <x:v>12550</x:v>
      </x:c>
      <x:c r="M1881" s="23" t="n">
        <x:v>1200</x:v>
      </x:c>
      <x:c r="N1881" s="23" t="n">
        <x:v>249.95517920591936</x:v>
      </x:c>
      <x:c r="O1881" s="23" t="n">
        <x:v>2504.7178160584294</x:v>
      </x:c>
      <x:c r="P1881" s="23" t="n">
        <x:v>1013.2330897147767</x:v>
      </x:c>
      <x:c r="Q1881" s="23" t="n">
        <x:v>249.52098024184016</x:v>
      </x:c>
      <x:c r="R1881" s="23" t="n">
        <x:v>2532.2730309379353</x:v>
      </x:c>
      <x:c r="S1881" s="23" t="n">
        <x:v>1020.9463811797295</x:v>
      </x:c>
      <x:c r="T1881" s="23" t="n">
        <x:v>-0.4341989640792008</x:v>
      </x:c>
      <x:c r="U1881" s="23" t="n">
        <x:v>27.55521487950591</x:v>
      </x:c>
      <x:c r="V1881" s="23" t="n">
        <x:v>7.7132914649528175</x:v>
      </x:c>
    </x:row>
    <x:row r="1882">
      <x:c r="A1882" s="23" t="n">
        <x:v>1881</x:v>
      </x:c>
      <x:c r="B1882" s="23" t="str">
        <x:v>Train</x:v>
      </x:c>
      <x:c r="C1882" s="23" t="str">
        <x:v>Switching</x:v>
      </x:c>
      <x:c r="D1882" s="23" t="n">
        <x:v>950.9286321699619</x:v>
      </x:c>
      <x:c r="E1882" s="23" t="n">
        <x:v>673.1159078306518</x:v>
      </x:c>
      <x:c r="F1882" s="23" t="n">
        <x:v>356.10830653458834</x:v>
      </x:c>
      <x:c r="G1882" s="23" t="n">
        <x:v>282.10104674333706</x:v>
      </x:c>
      <x:c r="H1882" s="23" t="n">
        <x:v>12.738575277850032</x:v>
      </x:c>
      <x:c r="I1882" s="23" t="n">
        <x:v>0.8542977323126979</x:v>
      </x:c>
      <x:c r="J1882" s="23" t="n">
        <x:v>6</x:v>
      </x:c>
      <x:c r="K1882" s="23" t="n">
        <x:v>185.51858370572035</x:v>
      </x:c>
      <x:c r="L1882" s="23" t="n">
        <x:v>19025</x:v>
      </x:c>
      <x:c r="M1882" s="23" t="n">
        <x:v>1200</x:v>
      </x:c>
      <x:c r="N1882" s="23" t="n">
        <x:v>249.9788231423228</x:v>
      </x:c>
      <x:c r="O1882" s="23" t="n">
        <x:v>2501.342988522827</x:v>
      </x:c>
      <x:c r="P1882" s="23" t="n">
        <x:v>950.9286321699619</x:v>
      </x:c>
      <x:c r="Q1882" s="23" t="n">
        <x:v>249.29211389067297</x:v>
      </x:c>
      <x:c r="R1882" s="23" t="n">
        <x:v>2469.9023703891617</x:v>
      </x:c>
      <x:c r="S1882" s="23" t="n">
        <x:v>965.1134039877039</x:v>
      </x:c>
      <x:c r="T1882" s="23" t="n">
        <x:v>-0.6867092516498303</x:v>
      </x:c>
      <x:c r="U1882" s="23" t="n">
        <x:v>-31.44061813366534</x:v>
      </x:c>
      <x:c r="V1882" s="23" t="n">
        <x:v>14.18477181774199</x:v>
      </x:c>
    </x:row>
    <x:row r="1883">
      <x:c r="A1883" s="23" t="n">
        <x:v>1882</x:v>
      </x:c>
      <x:c r="B1883" s="23" t="str">
        <x:v>Train</x:v>
      </x:c>
      <x:c r="C1883" s="23" t="str">
        <x:v>Switching</x:v>
      </x:c>
      <x:c r="D1883" s="23" t="n">
        <x:v>1054.719212523196</x:v>
      </x:c>
      <x:c r="E1883" s="23" t="n">
        <x:v>1174.7532638022676</x:v>
      </x:c>
      <x:c r="F1883" s="23" t="n">
        <x:v>676.0767088271677</x:v>
      </x:c>
      <x:c r="G1883" s="23" t="n">
        <x:v>160.11733158491552</x:v>
      </x:c>
      <x:c r="H1883" s="23" t="n">
        <x:v>17.712856974918395</x:v>
      </x:c>
      <x:c r="I1883" s="23" t="n">
        <x:v>0.8041580455051736</x:v>
      </x:c>
      <x:c r="J1883" s="23" t="n">
        <x:v>7</x:v>
      </x:c>
      <x:c r="K1883" s="23" t="n">
        <x:v>187.36885623390813</x:v>
      </x:c>
      <x:c r="L1883" s="23" t="n">
        <x:v>10635</x:v>
      </x:c>
      <x:c r="M1883" s="23" t="n">
        <x:v>1195</x:v>
      </x:c>
      <x:c r="N1883" s="23" t="n">
        <x:v>250.00780002675194</x:v>
      </x:c>
      <x:c r="O1883" s="23" t="n">
        <x:v>2496.062350920429</x:v>
      </x:c>
      <x:c r="P1883" s="23" t="n">
        <x:v>1054.719212523196</x:v>
      </x:c>
      <x:c r="Q1883" s="23" t="n">
        <x:v>251.6289336348279</x:v>
      </x:c>
      <x:c r="R1883" s="23" t="n">
        <x:v>2478.9906608979877</x:v>
      </x:c>
      <x:c r="S1883" s="23" t="n">
        <x:v>1053.3034568648472</x:v>
      </x:c>
      <x:c r="T1883" s="23" t="n">
        <x:v>1.6211336080759509</x:v>
      </x:c>
      <x:c r="U1883" s="23" t="n">
        <x:v>-17.07169002244109</x:v>
      </x:c>
      <x:c r="V1883" s="23" t="n">
        <x:v>-1.415755658348644</x:v>
      </x:c>
    </x:row>
    <x:row r="1884">
      <x:c r="A1884" s="23" t="n">
        <x:v>1883</x:v>
      </x:c>
      <x:c r="B1884" s="23" t="str">
        <x:v>Train</x:v>
      </x:c>
      <x:c r="C1884" s="23" t="str">
        <x:v>Switching</x:v>
      </x:c>
      <x:c r="D1884" s="23" t="n">
        <x:v>950.3147282404825</x:v>
      </x:c>
      <x:c r="E1884" s="23" t="n">
        <x:v>1069.883635325823</x:v>
      </x:c>
      <x:c r="F1884" s="23" t="n">
        <x:v>695.5599371343851</x:v>
      </x:c>
      <x:c r="G1884" s="23" t="n">
        <x:v>110.49112594453618</x:v>
      </x:c>
      <x:c r="H1884" s="23" t="n">
        <x:v>12.43782436195761</x:v>
      </x:c>
      <x:c r="I1884" s="23" t="n">
        <x:v>0.7925123092043214</x:v>
      </x:c>
      <x:c r="J1884" s="23" t="n">
        <x:v>6</x:v>
      </x:c>
      <x:c r="K1884" s="23" t="n">
        <x:v>199.85277982508435</x:v>
      </x:c>
      <x:c r="L1884" s="23" t="n">
        <x:v>13300</x:v>
      </x:c>
      <x:c r="M1884" s="23" t="n">
        <x:v>1200</x:v>
      </x:c>
      <x:c r="N1884" s="23" t="n">
        <x:v>249.99863888028156</x:v>
      </x:c>
      <x:c r="O1884" s="23" t="n">
        <x:v>2504.1601637711597</x:v>
      </x:c>
      <x:c r="P1884" s="23" t="n">
        <x:v>950.3147282404825</x:v>
      </x:c>
      <x:c r="Q1884" s="23" t="n">
        <x:v>251.28144876204286</x:v>
      </x:c>
      <x:c r="R1884" s="23" t="n">
        <x:v>2496.5690559203067</x:v>
      </x:c>
      <x:c r="S1884" s="23" t="n">
        <x:v>950.0122036230609</x:v>
      </x:c>
      <x:c r="T1884" s="23" t="n">
        <x:v>1.2828098817612954</x:v>
      </x:c>
      <x:c r="U1884" s="23" t="n">
        <x:v>-7.59110785085295</x:v>
      </x:c>
      <x:c r="V1884" s="23" t="n">
        <x:v>-0.3025246174215681</x:v>
      </x:c>
    </x:row>
    <x:row r="1885">
      <x:c r="A1885" s="23" t="n">
        <x:v>1884</x:v>
      </x:c>
      <x:c r="B1885" s="23" t="str">
        <x:v>Train</x:v>
      </x:c>
      <x:c r="C1885" s="23" t="str">
        <x:v>Switching</x:v>
      </x:c>
      <x:c r="D1885" s="23" t="n">
        <x:v>985.9733313671313</x:v>
      </x:c>
      <x:c r="E1885" s="23" t="n">
        <x:v>794.1509708296508</x:v>
      </x:c>
      <x:c r="F1885" s="23" t="n">
        <x:v>564.255019556731</x:v>
      </x:c>
      <x:c r="G1885" s="23" t="n">
        <x:v>161.78428548853844</x:v>
      </x:c>
      <x:c r="H1885" s="23" t="n">
        <x:v>12.120142634492368</x:v>
      </x:c>
      <x:c r="I1885" s="23" t="n">
        <x:v>0.8014932803064585</x:v>
      </x:c>
      <x:c r="J1885" s="23" t="n">
        <x:v>7</x:v>
      </x:c>
      <x:c r="K1885" s="23" t="n">
        <x:v>175.7386325167826</x:v>
      </x:c>
      <x:c r="L1885" s="23" t="n">
        <x:v>14070</x:v>
      </x:c>
      <x:c r="M1885" s="23" t="n">
        <x:v>1200</x:v>
      </x:c>
      <x:c r="N1885" s="23" t="n">
        <x:v>250.03856913927663</x:v>
      </x:c>
      <x:c r="O1885" s="23" t="n">
        <x:v>2503.649331633923</x:v>
      </x:c>
      <x:c r="P1885" s="23" t="n">
        <x:v>985.9733313671313</x:v>
      </x:c>
      <x:c r="Q1885" s="23" t="n">
        <x:v>248.723518184965</x:v>
      </x:c>
      <x:c r="R1885" s="23" t="n">
        <x:v>2495.9941251421405</x:v>
      </x:c>
      <x:c r="S1885" s="23" t="n">
        <x:v>997.628554233634</x:v>
      </x:c>
      <x:c r="T1885" s="23" t="n">
        <x:v>-1.31505095431163</x:v>
      </x:c>
      <x:c r="U1885" s="23" t="n">
        <x:v>-7.655206491782337</x:v>
      </x:c>
      <x:c r="V1885" s="23" t="n">
        <x:v>11.65522286650264</x:v>
      </x:c>
    </x:row>
    <x:row r="1886">
      <x:c r="A1886" s="23" t="n">
        <x:v>1885</x:v>
      </x:c>
      <x:c r="B1886" s="23" t="str">
        <x:v>Train</x:v>
      </x:c>
      <x:c r="C1886" s="23" t="str">
        <x:v>Switching</x:v>
      </x:c>
      <x:c r="D1886" s="23" t="n">
        <x:v>979.8893890809268</x:v>
      </x:c>
      <x:c r="E1886" s="23" t="n">
        <x:v>1123.3372107963078</x:v>
      </x:c>
      <x:c r="F1886" s="23" t="n">
        <x:v>426.45840402692556</x:v>
      </x:c>
      <x:c r="G1886" s="23" t="n">
        <x:v>217.118817132432</x:v>
      </x:c>
      <x:c r="H1886" s="23" t="n">
        <x:v>8.713183205574751</x:v>
      </x:c>
      <x:c r="I1886" s="23" t="n">
        <x:v>0.8487642195471563</x:v>
      </x:c>
      <x:c r="J1886" s="23" t="n">
        <x:v>6</x:v>
      </x:c>
      <x:c r="K1886" s="23" t="n">
        <x:v>192.41491855923</x:v>
      </x:c>
      <x:c r="L1886" s="23" t="n">
        <x:v>14120</x:v>
      </x:c>
      <x:c r="M1886" s="23" t="n">
        <x:v>1200</x:v>
      </x:c>
      <x:c r="N1886" s="23" t="n">
        <x:v>249.9875091203839</x:v>
      </x:c>
      <x:c r="O1886" s="23" t="n">
        <x:v>2503.6161962496853</x:v>
      </x:c>
      <x:c r="P1886" s="23" t="n">
        <x:v>979.8893890809268</x:v>
      </x:c>
      <x:c r="Q1886" s="23" t="n">
        <x:v>251.85770100786357</x:v>
      </x:c>
      <x:c r="R1886" s="23" t="n">
        <x:v>2498.436535263537</x:v>
      </x:c>
      <x:c r="S1886" s="23" t="n">
        <x:v>977.4793149980516</x:v>
      </x:c>
      <x:c r="T1886" s="23" t="n">
        <x:v>1.8701918874796775</x:v>
      </x:c>
      <x:c r="U1886" s="23" t="n">
        <x:v>-5.179660986148519</x:v>
      </x:c>
      <x:c r="V1886" s="23" t="n">
        <x:v>-2.4100740828752123</x:v>
      </x:c>
    </x:row>
    <x:row r="1887">
      <x:c r="A1887" s="23" t="n">
        <x:v>1886</x:v>
      </x:c>
      <x:c r="B1887" s="23" t="str">
        <x:v>Train</x:v>
      </x:c>
      <x:c r="C1887" s="23" t="str">
        <x:v>Switching</x:v>
      </x:c>
      <x:c r="D1887" s="23" t="n">
        <x:v>965.2947597322054</x:v>
      </x:c>
      <x:c r="E1887" s="23" t="n">
        <x:v>1013.1982623366639</x:v>
      </x:c>
      <x:c r="F1887" s="23" t="n">
        <x:v>559.883149433881</x:v>
      </x:c>
      <x:c r="G1887" s="23" t="n">
        <x:v>232.33663748949766</x:v>
      </x:c>
      <x:c r="H1887" s="23" t="n">
        <x:v>25.64700953895226</x:v>
      </x:c>
      <x:c r="I1887" s="23" t="n">
        <x:v>0.8591928360937163</x:v>
      </x:c>
      <x:c r="J1887" s="23" t="n">
        <x:v>6</x:v>
      </x:c>
      <x:c r="K1887" s="23" t="n">
        <x:v>187.24837218942935</x:v>
      </x:c>
      <x:c r="L1887" s="23" t="n">
        <x:v>13820</x:v>
      </x:c>
      <x:c r="M1887" s="23" t="n">
        <x:v>1200</x:v>
      </x:c>
      <x:c r="N1887" s="23" t="n">
        <x:v>250.0084376157825</x:v>
      </x:c>
      <x:c r="O1887" s="23" t="n">
        <x:v>2503.8083138985876</x:v>
      </x:c>
      <x:c r="P1887" s="23" t="n">
        <x:v>965.2947597322054</x:v>
      </x:c>
      <x:c r="Q1887" s="23" t="n">
        <x:v>251.19331564878112</x:v>
      </x:c>
      <x:c r="R1887" s="23" t="n">
        <x:v>2554.162931630911</x:v>
      </x:c>
      <x:c r="S1887" s="23" t="n">
        <x:v>951.7657788033305</x:v>
      </x:c>
      <x:c r="T1887" s="23" t="n">
        <x:v>1.1848780329986255</x:v>
      </x:c>
      <x:c r="U1887" s="23" t="n">
        <x:v>50.35461773232328</x:v>
      </x:c>
      <x:c r="V1887" s="23" t="n">
        <x:v>-13.528980928874944</x:v>
      </x:c>
    </x:row>
    <x:row r="1888">
      <x:c r="A1888" s="23" t="n">
        <x:v>1887</x:v>
      </x:c>
      <x:c r="B1888" s="23" t="str">
        <x:v>Train</x:v>
      </x:c>
      <x:c r="C1888" s="23" t="str">
        <x:v>Switching</x:v>
      </x:c>
      <x:c r="D1888" s="23" t="n">
        <x:v>960.4867194080725</x:v>
      </x:c>
      <x:c r="E1888" s="23" t="n">
        <x:v>998.8093107123859</x:v>
      </x:c>
      <x:c r="F1888" s="23" t="n">
        <x:v>424.68167170882225</x:v>
      </x:c>
      <x:c r="G1888" s="23" t="n">
        <x:v>82.5176978087984</x:v>
      </x:c>
      <x:c r="H1888" s="23" t="n">
        <x:v>15.036672136746347</x:v>
      </x:c>
      <x:c r="I1888" s="23" t="n">
        <x:v>0.8214424508227967</x:v>
      </x:c>
      <x:c r="J1888" s="23" t="n">
        <x:v>6</x:v>
      </x:c>
      <x:c r="K1888" s="23" t="n">
        <x:v>194.87807057086033</x:v>
      </x:c>
      <x:c r="L1888" s="23" t="n">
        <x:v>16565</x:v>
      </x:c>
      <x:c r="M1888" s="23" t="n">
        <x:v>1200</x:v>
      </x:c>
      <x:c r="N1888" s="23" t="n">
        <x:v>249.9695943726759</x:v>
      </x:c>
      <x:c r="O1888" s="23" t="n">
        <x:v>2502.314380910875</x:v>
      </x:c>
      <x:c r="P1888" s="23" t="n">
        <x:v>960.4867194080725</x:v>
      </x:c>
      <x:c r="Q1888" s="23" t="n">
        <x:v>247.52251028917755</x:v>
      </x:c>
      <x:c r="R1888" s="23" t="n">
        <x:v>2482.2044219624127</x:v>
      </x:c>
      <x:c r="S1888" s="23" t="n">
        <x:v>968.1848917491207</x:v>
      </x:c>
      <x:c r="T1888" s="23" t="n">
        <x:v>-2.4470840834983676</x:v>
      </x:c>
      <x:c r="U1888" s="23" t="n">
        <x:v>-20.109958948462463</x:v>
      </x:c>
      <x:c r="V1888" s="23" t="n">
        <x:v>7.698172341048121</x:v>
      </x:c>
    </x:row>
    <x:row r="1889">
      <x:c r="A1889" s="23" t="n">
        <x:v>1888</x:v>
      </x:c>
      <x:c r="B1889" s="23" t="str">
        <x:v>Train</x:v>
      </x:c>
      <x:c r="C1889" s="23" t="str">
        <x:v>Switching</x:v>
      </x:c>
      <x:c r="D1889" s="23" t="n">
        <x:v>1004.0015121805482</x:v>
      </x:c>
      <x:c r="E1889" s="23" t="n">
        <x:v>610.714265704155</x:v>
      </x:c>
      <x:c r="F1889" s="23" t="n">
        <x:v>514.0402405522764</x:v>
      </x:c>
      <x:c r="G1889" s="23" t="n">
        <x:v>314.89529185462743</x:v>
      </x:c>
      <x:c r="H1889" s="23" t="n">
        <x:v>20.732835890259594</x:v>
      </x:c>
      <x:c r="I1889" s="23" t="n">
        <x:v>0.8245345946680754</x:v>
      </x:c>
      <x:c r="J1889" s="23" t="n">
        <x:v>7</x:v>
      </x:c>
      <x:c r="K1889" s="23" t="n">
        <x:v>173.95120639189517</x:v>
      </x:c>
      <x:c r="L1889" s="23" t="n">
        <x:v>14855</x:v>
      </x:c>
      <x:c r="M1889" s="23" t="n">
        <x:v>1200</x:v>
      </x:c>
      <x:c r="N1889" s="23" t="n">
        <x:v>250.00272992004432</x:v>
      </x:c>
      <x:c r="O1889" s="23" t="n">
        <x:v>2503.180489404764</x:v>
      </x:c>
      <x:c r="P1889" s="23" t="n">
        <x:v>1004.0015121805482</x:v>
      </x:c>
      <x:c r="Q1889" s="23" t="n">
        <x:v>251.05958333414807</x:v>
      </x:c>
      <x:c r="R1889" s="23" t="n">
        <x:v>2438.0235618997403</x:v>
      </x:c>
      <x:c r="S1889" s="23" t="n">
        <x:v>1011.3052579609108</x:v>
      </x:c>
      <x:c r="T1889" s="23" t="n">
        <x:v>1.056853414103756</x:v>
      </x:c>
      <x:c r="U1889" s="23" t="n">
        <x:v>-65.15692750502376</x:v>
      </x:c>
      <x:c r="V1889" s="23" t="n">
        <x:v>7.303745780362647</x:v>
      </x:c>
    </x:row>
    <x:row r="1890">
      <x:c r="A1890" s="23" t="n">
        <x:v>1889</x:v>
      </x:c>
      <x:c r="B1890" s="23" t="str">
        <x:v>Train</x:v>
      </x:c>
      <x:c r="C1890" s="23" t="str">
        <x:v>Switching</x:v>
      </x:c>
      <x:c r="D1890" s="23" t="n">
        <x:v>955.9189080260694</x:v>
      </x:c>
      <x:c r="E1890" s="23" t="n">
        <x:v>841.7665860964917</x:v>
      </x:c>
      <x:c r="F1890" s="23" t="n">
        <x:v>737.794735468924</x:v>
      </x:c>
      <x:c r="G1890" s="23" t="n">
        <x:v>159.05224995920435</x:v>
      </x:c>
      <x:c r="H1890" s="23" t="n">
        <x:v>8.473469728603959</x:v>
      </x:c>
      <x:c r="I1890" s="23" t="n">
        <x:v>0.7944338633422741</x:v>
      </x:c>
      <x:c r="J1890" s="23" t="n">
        <x:v>7</x:v>
      </x:c>
      <x:c r="K1890" s="23" t="n">
        <x:v>171.89579939254014</x:v>
      </x:c>
      <x:c r="L1890" s="23" t="n">
        <x:v>12300</x:v>
      </x:c>
      <x:c r="M1890" s="23" t="n">
        <x:v>1200</x:v>
      </x:c>
      <x:c r="N1890" s="23" t="n">
        <x:v>249.99023504854097</x:v>
      </x:c>
      <x:c r="O1890" s="23" t="n">
        <x:v>2504.9208173225593</x:v>
      </x:c>
      <x:c r="P1890" s="23" t="n">
        <x:v>955.9189080260694</x:v>
      </x:c>
      <x:c r="Q1890" s="23" t="n">
        <x:v>253.74888717197942</x:v>
      </x:c>
      <x:c r="R1890" s="23" t="n">
        <x:v>2535.520670165026</x:v>
      </x:c>
      <x:c r="S1890" s="23" t="n">
        <x:v>962.9790494472387</x:v>
      </x:c>
      <x:c r="T1890" s="23" t="n">
        <x:v>3.758652123438452</x:v>
      </x:c>
      <x:c r="U1890" s="23" t="n">
        <x:v>30.59985284246659</x:v>
      </x:c>
      <x:c r="V1890" s="23" t="n">
        <x:v>7.060141421169305</x:v>
      </x:c>
    </x:row>
    <x:row r="1891">
      <x:c r="A1891" s="23" t="n">
        <x:v>1890</x:v>
      </x:c>
      <x:c r="B1891" s="23" t="str">
        <x:v>Train</x:v>
      </x:c>
      <x:c r="C1891" s="23" t="str">
        <x:v>Switching</x:v>
      </x:c>
      <x:c r="D1891" s="23" t="n">
        <x:v>983.217928709928</x:v>
      </x:c>
      <x:c r="E1891" s="23" t="n">
        <x:v>635.516384546645</x:v>
      </x:c>
      <x:c r="F1891" s="23" t="n">
        <x:v>696.7271917499602</x:v>
      </x:c>
      <x:c r="G1891" s="23" t="n">
        <x:v>188.29674475826323</x:v>
      </x:c>
      <x:c r="H1891" s="23" t="n">
        <x:v>25.43154523568228</x:v>
      </x:c>
      <x:c r="I1891" s="23" t="n">
        <x:v>0.853722016424872</x:v>
      </x:c>
      <x:c r="J1891" s="23" t="n">
        <x:v>6</x:v>
      </x:c>
      <x:c r="K1891" s="23" t="n">
        <x:v>191.94732199975846</x:v>
      </x:c>
      <x:c r="L1891" s="23" t="n">
        <x:v>16410</x:v>
      </x:c>
      <x:c r="M1891" s="23" t="n">
        <x:v>1200</x:v>
      </x:c>
      <x:c r="N1891" s="23" t="n">
        <x:v>250.02024720487907</x:v>
      </x:c>
      <x:c r="O1891" s="23" t="n">
        <x:v>2502.386887985935</x:v>
      </x:c>
      <x:c r="P1891" s="23" t="n">
        <x:v>983.217928709928</x:v>
      </x:c>
      <x:c r="Q1891" s="23" t="n">
        <x:v>248.3343496628793</x:v>
      </x:c>
      <x:c r="R1891" s="23" t="n">
        <x:v>2469.488647395086</x:v>
      </x:c>
      <x:c r="S1891" s="23" t="n">
        <x:v>983.0190252273696</x:v>
      </x:c>
      <x:c r="T1891" s="23" t="n">
        <x:v>-1.6858975419997648</x:v>
      </x:c>
      <x:c r="U1891" s="23" t="n">
        <x:v>-32.89824059084913</x:v>
      </x:c>
      <x:c r="V1891" s="23" t="n">
        <x:v>-0.1989034825583076</x:v>
      </x:c>
    </x:row>
    <x:row r="1892">
      <x:c r="A1892" s="23" t="n">
        <x:v>1891</x:v>
      </x:c>
      <x:c r="B1892" s="23" t="str">
        <x:v>Train</x:v>
      </x:c>
      <x:c r="C1892" s="23" t="str">
        <x:v>Switching</x:v>
      </x:c>
      <x:c r="D1892" s="23" t="n">
        <x:v>966.1268435185775</x:v>
      </x:c>
      <x:c r="E1892" s="23" t="n">
        <x:v>685.0111433886923</x:v>
      </x:c>
      <x:c r="F1892" s="23" t="n">
        <x:v>520.3958433121443</x:v>
      </x:c>
      <x:c r="G1892" s="23" t="n">
        <x:v>227.19771005911753</x:v>
      </x:c>
      <x:c r="H1892" s="23" t="n">
        <x:v>14.80707683134824</x:v>
      </x:c>
      <x:c r="I1892" s="23" t="n">
        <x:v>0.8051333487848752</x:v>
      </x:c>
      <x:c r="J1892" s="23" t="n">
        <x:v>6</x:v>
      </x:c>
      <x:c r="K1892" s="23" t="n">
        <x:v>199.99313260274985</x:v>
      </x:c>
      <x:c r="L1892" s="23" t="n">
        <x:v>17415</x:v>
      </x:c>
      <x:c r="M1892" s="23" t="n">
        <x:v>1200</x:v>
      </x:c>
      <x:c r="N1892" s="23" t="n">
        <x:v>249.9873799720605</x:v>
      </x:c>
      <x:c r="O1892" s="23" t="n">
        <x:v>2501.948124394953</x:v>
      </x:c>
      <x:c r="P1892" s="23" t="n">
        <x:v>966.1268435185775</x:v>
      </x:c>
      <x:c r="Q1892" s="23" t="n">
        <x:v>247.36669487929794</x:v>
      </x:c>
      <x:c r="R1892" s="23" t="n">
        <x:v>2462.0236696063785</x:v>
      </x:c>
      <x:c r="S1892" s="23" t="n">
        <x:v>978.4267938267899</x:v>
      </x:c>
      <x:c r="T1892" s="23" t="n">
        <x:v>-2.6206850927625567</x:v>
      </x:c>
      <x:c r="U1892" s="23" t="n">
        <x:v>-39.92445478857462</x:v>
      </x:c>
      <x:c r="V1892" s="23" t="n">
        <x:v>12.299950308212374</x:v>
      </x:c>
    </x:row>
    <x:row r="1893">
      <x:c r="A1893" s="23" t="n">
        <x:v>1892</x:v>
      </x:c>
      <x:c r="B1893" s="23" t="str">
        <x:v>Train</x:v>
      </x:c>
      <x:c r="C1893" s="23" t="str">
        <x:v>Switching</x:v>
      </x:c>
      <x:c r="D1893" s="23" t="n">
        <x:v>1090.9282598062418</x:v>
      </x:c>
      <x:c r="E1893" s="23" t="n">
        <x:v>1020.6114493776113</x:v>
      </x:c>
      <x:c r="F1893" s="23" t="n">
        <x:v>458.4427389316261</x:v>
      </x:c>
      <x:c r="G1893" s="23" t="n">
        <x:v>170.27959627564996</x:v>
      </x:c>
      <x:c r="H1893" s="23" t="n">
        <x:v>25.95267931325361</x:v>
      </x:c>
      <x:c r="I1893" s="23" t="n">
        <x:v>0.7923144191317261</x:v>
      </x:c>
      <x:c r="J1893" s="23" t="n">
        <x:v>7</x:v>
      </x:c>
      <x:c r="K1893" s="23" t="n">
        <x:v>196.69829362543035</x:v>
      </x:c>
      <x:c r="L1893" s="23" t="n">
        <x:v>12965</x:v>
      </x:c>
      <x:c r="M1893" s="23" t="n">
        <x:v>1200</x:v>
      </x:c>
      <x:c r="N1893" s="23" t="n">
        <x:v>249.97502727491897</x:v>
      </x:c>
      <x:c r="O1893" s="23" t="n">
        <x:v>2504.4011018268257</x:v>
      </x:c>
      <x:c r="P1893" s="23" t="n">
        <x:v>1090.9282598062418</x:v>
      </x:c>
      <x:c r="Q1893" s="23" t="n">
        <x:v>249.71300974209475</x:v>
      </x:c>
      <x:c r="R1893" s="23" t="n">
        <x:v>2495.4215835097866</x:v>
      </x:c>
      <x:c r="S1893" s="23" t="n">
        <x:v>1087.2654991777438</x:v>
      </x:c>
      <x:c r="T1893" s="23" t="n">
        <x:v>-0.2620175328242169</x:v>
      </x:c>
      <x:c r="U1893" s="23" t="n">
        <x:v>-8.979518317039037</x:v>
      </x:c>
      <x:c r="V1893" s="23" t="n">
        <x:v>-3.662760628498063</x:v>
      </x:c>
    </x:row>
    <x:row r="1894">
      <x:c r="A1894" s="23" t="n">
        <x:v>1893</x:v>
      </x:c>
      <x:c r="B1894" s="23" t="str">
        <x:v>Train</x:v>
      </x:c>
      <x:c r="C1894" s="23" t="str">
        <x:v>Switching</x:v>
      </x:c>
      <x:c r="D1894" s="23" t="n">
        <x:v>961.693492392078</x:v>
      </x:c>
      <x:c r="E1894" s="23" t="n">
        <x:v>1231.9478517281823</x:v>
      </x:c>
      <x:c r="F1894" s="23" t="n">
        <x:v>412.36432921141386</x:v>
      </x:c>
      <x:c r="G1894" s="23" t="n">
        <x:v>254.69238612102345</x:v>
      </x:c>
      <x:c r="H1894" s="23" t="n">
        <x:v>21.466207899153233</x:v>
      </x:c>
      <x:c r="I1894" s="23" t="n">
        <x:v>0.8310353791178204</x:v>
      </x:c>
      <x:c r="J1894" s="23" t="n">
        <x:v>6</x:v>
      </x:c>
      <x:c r="K1894" s="23" t="n">
        <x:v>192.87054770418976</x:v>
      </x:c>
      <x:c r="L1894" s="23" t="n">
        <x:v>13140</x:v>
      </x:c>
      <x:c r="M1894" s="23" t="n">
        <x:v>1200</x:v>
      </x:c>
      <x:c r="N1894" s="23" t="n">
        <x:v>250.02882688664715</x:v>
      </x:c>
      <x:c r="O1894" s="23" t="n">
        <x:v>2504.2752731878054</x:v>
      </x:c>
      <x:c r="P1894" s="23" t="n">
        <x:v>961.693492392078</x:v>
      </x:c>
      <x:c r="Q1894" s="23" t="n">
        <x:v>251.43643402175138</x:v>
      </x:c>
      <x:c r="R1894" s="23" t="n">
        <x:v>2538.7888562701855</x:v>
      </x:c>
      <x:c r="S1894" s="23" t="n">
        <x:v>956.9599562666108</x:v>
      </x:c>
      <x:c r="T1894" s="23" t="n">
        <x:v>1.4076071351042287</x:v>
      </x:c>
      <x:c r="U1894" s="23" t="n">
        <x:v>34.51358308238014</x:v>
      </x:c>
      <x:c r="V1894" s="23" t="n">
        <x:v>-4.733536125467253</x:v>
      </x:c>
    </x:row>
    <x:row r="1895">
      <x:c r="A1895" s="23" t="n">
        <x:v>1894</x:v>
      </x:c>
      <x:c r="B1895" s="23" t="str">
        <x:v>Train</x:v>
      </x:c>
      <x:c r="C1895" s="23" t="str">
        <x:v>Switching</x:v>
      </x:c>
      <x:c r="D1895" s="23" t="n">
        <x:v>980.6084680487402</x:v>
      </x:c>
      <x:c r="E1895" s="23" t="n">
        <x:v>797.9857757454738</x:v>
      </x:c>
      <x:c r="F1895" s="23" t="n">
        <x:v>643.4257951565087</x:v>
      </x:c>
      <x:c r="G1895" s="23" t="n">
        <x:v>246.3187979720533</x:v>
      </x:c>
      <x:c r="H1895" s="23" t="n">
        <x:v>17.346605418715626</x:v>
      </x:c>
      <x:c r="I1895" s="23" t="n">
        <x:v>0.8268393550952897</x:v>
      </x:c>
      <x:c r="J1895" s="23" t="n">
        <x:v>6</x:v>
      </x:c>
      <x:c r="K1895" s="23" t="n">
        <x:v>197.66202910836878</x:v>
      </x:c>
      <x:c r="L1895" s="23" t="n">
        <x:v>14785</x:v>
      </x:c>
      <x:c r="M1895" s="23" t="n">
        <x:v>1200</x:v>
      </x:c>
      <x:c r="N1895" s="23" t="n">
        <x:v>250.03040510344948</x:v>
      </x:c>
      <x:c r="O1895" s="23" t="n">
        <x:v>2503.2210994485336</x:v>
      </x:c>
      <x:c r="P1895" s="23" t="n">
        <x:v>980.6084680487402</x:v>
      </x:c>
      <x:c r="Q1895" s="23" t="n">
        <x:v>251.65297643527737</x:v>
      </x:c>
      <x:c r="R1895" s="23" t="n">
        <x:v>2506.760874912242</x:v>
      </x:c>
      <x:c r="S1895" s="23" t="n">
        <x:v>987.0726469885833</x:v>
      </x:c>
      <x:c r="T1895" s="23" t="n">
        <x:v>1.622571331827885</x:v>
      </x:c>
      <x:c r="U1895" s="23" t="n">
        <x:v>3.539775463708338</x:v>
      </x:c>
      <x:c r="V1895" s="23" t="n">
        <x:v>6.464178939843123</x:v>
      </x:c>
    </x:row>
    <x:row r="1896">
      <x:c r="A1896" s="23" t="n">
        <x:v>1895</x:v>
      </x:c>
      <x:c r="B1896" s="23" t="str">
        <x:v>Validation</x:v>
      </x:c>
      <x:c r="C1896" s="23" t="str">
        <x:v>Switching</x:v>
      </x:c>
      <x:c r="D1896" s="23" t="n">
        <x:v>1038.3028033422306</x:v>
      </x:c>
      <x:c r="E1896" s="23" t="n">
        <x:v>1072.954830166418</x:v>
      </x:c>
      <x:c r="F1896" s="23" t="n">
        <x:v>591.3088858127594</x:v>
      </x:c>
      <x:c r="G1896" s="23" t="n">
        <x:v>309.7404202981852</x:v>
      </x:c>
      <x:c r="H1896" s="23" t="n">
        <x:v>28.426017033867538</x:v>
      </x:c>
      <x:c r="I1896" s="23" t="n">
        <x:v>0.8128988892561756</x:v>
      </x:c>
      <x:c r="J1896" s="23" t="n">
        <x:v>7</x:v>
      </x:c>
      <x:c r="K1896" s="23" t="n">
        <x:v>182.46915313386387</x:v>
      </x:c>
      <x:c r="L1896" s="23" t="n">
        <x:v>10835</x:v>
      </x:c>
      <x:c r="M1896" s="23" t="n">
        <x:v>1195</x:v>
      </x:c>
      <x:c r="N1896" s="23" t="n">
        <x:v>250.03041638046082</x:v>
      </x:c>
      <x:c r="O1896" s="23" t="n">
        <x:v>2495.848193407772</x:v>
      </x:c>
      <x:c r="P1896" s="23" t="n">
        <x:v>1038.3028033422306</x:v>
      </x:c>
      <x:c r="Q1896" s="23" t="n">
        <x:v>249.1161176411432</x:v>
      </x:c>
      <x:c r="R1896" s="23" t="n">
        <x:v>2471.5349407303115</x:v>
      </x:c>
      <x:c r="S1896" s="23" t="n">
        <x:v>1020.8052909870806</x:v>
      </x:c>
      <x:c r="T1896" s="23" t="n">
        <x:v>-0.9142987393176156</x:v>
      </x:c>
      <x:c r="U1896" s="23" t="n">
        <x:v>-24.313252677460696</x:v>
      </x:c>
      <x:c r="V1896" s="23" t="n">
        <x:v>-17.49751235514998</x:v>
      </x:c>
    </x:row>
    <x:row r="1897">
      <x:c r="A1897" s="23" t="n">
        <x:v>1896</x:v>
      </x:c>
      <x:c r="B1897" s="23" t="str">
        <x:v>Validation</x:v>
      </x:c>
      <x:c r="C1897" s="23" t="str">
        <x:v>Switching</x:v>
      </x:c>
      <x:c r="D1897" s="23" t="n">
        <x:v>1016.5668615023606</x:v>
      </x:c>
      <x:c r="E1897" s="23" t="n">
        <x:v>992.3937880434096</x:v>
      </x:c>
      <x:c r="F1897" s="23" t="n">
        <x:v>456.76131611689925</x:v>
      </x:c>
      <x:c r="G1897" s="23" t="n">
        <x:v>188.83541929069906</x:v>
      </x:c>
      <x:c r="H1897" s="23" t="n">
        <x:v>15.507442278321832</x:v>
      </x:c>
      <x:c r="I1897" s="23" t="n">
        <x:v>0.7917557878885418</x:v>
      </x:c>
      <x:c r="J1897" s="23" t="n">
        <x:v>7</x:v>
      </x:c>
      <x:c r="K1897" s="23" t="n">
        <x:v>183.41998830821777</x:v>
      </x:c>
      <x:c r="L1897" s="23" t="n">
        <x:v>13055</x:v>
      </x:c>
      <x:c r="M1897" s="23" t="n">
        <x:v>1200</x:v>
      </x:c>
      <x:c r="N1897" s="23" t="n">
        <x:v>249.97892009087343</x:v>
      </x:c>
      <x:c r="O1897" s="23" t="n">
        <x:v>2504.335070435113</x:v>
      </x:c>
      <x:c r="P1897" s="23" t="n">
        <x:v>1016.5668615023606</x:v>
      </x:c>
      <x:c r="Q1897" s="23" t="n">
        <x:v>253.9230764277783</x:v>
      </x:c>
      <x:c r="R1897" s="23" t="n">
        <x:v>2481.3176125753084</x:v>
      </x:c>
      <x:c r="S1897" s="23" t="n">
        <x:v>1016.0458431303365</x:v>
      </x:c>
      <x:c r="T1897" s="23" t="n">
        <x:v>3.944156336904882</x:v>
      </x:c>
      <x:c r="U1897" s="23" t="n">
        <x:v>-23.01745785980438</x:v>
      </x:c>
      <x:c r="V1897" s="23" t="n">
        <x:v>-0.5210183720240593</x:v>
      </x:c>
    </x:row>
    <x:row r="1898">
      <x:c r="A1898" s="23" t="n">
        <x:v>1897</x:v>
      </x:c>
      <x:c r="B1898" s="23" t="str">
        <x:v>Validation</x:v>
      </x:c>
      <x:c r="C1898" s="23" t="str">
        <x:v>Switching</x:v>
      </x:c>
      <x:c r="D1898" s="23" t="n">
        <x:v>972.8030731901526</x:v>
      </x:c>
      <x:c r="E1898" s="23" t="n">
        <x:v>690.1854839525186</x:v>
      </x:c>
      <x:c r="F1898" s="23" t="n">
        <x:v>716.8432297185063</x:v>
      </x:c>
      <x:c r="G1898" s="23" t="n">
        <x:v>218.35899118566886</x:v>
      </x:c>
      <x:c r="H1898" s="23" t="n">
        <x:v>13.176188042387366</x:v>
      </x:c>
      <x:c r="I1898" s="23" t="n">
        <x:v>0.8459832961973734</x:v>
      </x:c>
      <x:c r="J1898" s="23" t="n">
        <x:v>6</x:v>
      </x:c>
      <x:c r="K1898" s="23" t="n">
        <x:v>191.65135560060187</x:v>
      </x:c>
      <x:c r="L1898" s="23" t="n">
        <x:v>15350</x:v>
      </x:c>
      <x:c r="M1898" s="23" t="n">
        <x:v>1200</x:v>
      </x:c>
      <x:c r="N1898" s="23" t="n">
        <x:v>249.996305366671</x:v>
      </x:c>
      <x:c r="O1898" s="23" t="n">
        <x:v>2502.910034492152</x:v>
      </x:c>
      <x:c r="P1898" s="23" t="n">
        <x:v>972.8030731901526</x:v>
      </x:c>
      <x:c r="Q1898" s="23" t="n">
        <x:v>248.57553299151098</x:v>
      </x:c>
      <x:c r="R1898" s="23" t="n">
        <x:v>2518.4307115234783</x:v>
      </x:c>
      <x:c r="S1898" s="23" t="n">
        <x:v>982.1025436438086</x:v>
      </x:c>
      <x:c r="T1898" s="23" t="n">
        <x:v>-1.420772375160027</x:v>
      </x:c>
      <x:c r="U1898" s="23" t="n">
        <x:v>15.520677031326159</x:v>
      </x:c>
      <x:c r="V1898" s="23" t="n">
        <x:v>9.299470453656</x:v>
      </x:c>
    </x:row>
    <x:row r="1899">
      <x:c r="A1899" s="23" t="n">
        <x:v>1898</x:v>
      </x:c>
      <x:c r="B1899" s="23" t="str">
        <x:v>Hidden Test</x:v>
      </x:c>
      <x:c r="C1899" s="23" t="str">
        <x:v>Switching</x:v>
      </x:c>
      <x:c r="D1899" s="23" t="n">
        <x:v>1065.8019085065462</x:v>
      </x:c>
      <x:c r="E1899" s="23" t="n">
        <x:v>1064.3905703211203</x:v>
      </x:c>
      <x:c r="F1899" s="23" t="n">
        <x:v>422.3125816322863</x:v>
      </x:c>
      <x:c r="G1899" s="23" t="n">
        <x:v>201.48041906766593</x:v>
      </x:c>
      <x:c r="H1899" s="23" t="n">
        <x:v>8.313772786874324</x:v>
      </x:c>
      <x:c r="I1899" s="23" t="n">
        <x:v>0.8149504416855052</x:v>
      </x:c>
      <x:c r="J1899" s="23" t="n">
        <x:v>7</x:v>
      </x:c>
      <x:c r="K1899" s="23" t="n">
        <x:v>186.83027545335366</x:v>
      </x:c>
      <x:c r="L1899" s="23" t="n">
        <x:v>12670</x:v>
      </x:c>
      <x:c r="M1899" s="23" t="n">
        <x:v>1200</x:v>
      </x:c>
      <x:c r="N1899" s="23" t="n">
        <x:v>250.0409472076632</x:v>
      </x:c>
      <x:c r="O1899" s="23" t="n">
        <x:v>2504.6272542036277</x:v>
      </x:c>
      <x:c r="P1899" s="23" t="n">
        <x:v>1065.8019085065462</x:v>
      </x:c>
      <x:c r="Q1899" s="23" t="n">
        <x:v>249.03189890258696</x:v>
      </x:c>
      <x:c r="R1899" s="23" t="n">
        <x:v>2549.782046753022</x:v>
      </x:c>
      <x:c r="S1899" s="23" t="n">
        <x:v>1064.5450395088176</x:v>
      </x:c>
      <x:c r="T1899" s="23" t="n">
        <x:v>-1.0090483050762487</x:v>
      </x:c>
      <x:c r="U1899" s="23" t="n">
        <x:v>45.15479254939419</x:v>
      </x:c>
      <x:c r="V1899" s="23" t="n">
        <x:v>-1.2568689977285885</x:v>
      </x:c>
    </x:row>
    <x:row r="1900">
      <x:c r="A1900" s="23" t="n">
        <x:v>1899</x:v>
      </x:c>
      <x:c r="B1900" s="23" t="str">
        <x:v>Hidden Test</x:v>
      </x:c>
      <x:c r="C1900" s="23" t="str">
        <x:v>Switching</x:v>
      </x:c>
      <x:c r="D1900" s="23" t="n">
        <x:v>1054.2817569104955</x:v>
      </x:c>
      <x:c r="E1900" s="23" t="n">
        <x:v>932.9370996565558</x:v>
      </x:c>
      <x:c r="F1900" s="23" t="n">
        <x:v>398.76923747360706</x:v>
      </x:c>
      <x:c r="G1900" s="23" t="n">
        <x:v>148.39559058425948</x:v>
      </x:c>
      <x:c r="H1900" s="23" t="n">
        <x:v>28.190214679576457</x:v>
      </x:c>
      <x:c r="I1900" s="23" t="n">
        <x:v>0.8227186917397193</x:v>
      </x:c>
      <x:c r="J1900" s="23" t="n">
        <x:v>7</x:v>
      </x:c>
      <x:c r="K1900" s="23" t="n">
        <x:v>183.06582926924762</x:v>
      </x:c>
      <x:c r="L1900" s="23" t="n">
        <x:v>14450</x:v>
      </x:c>
      <x:c r="M1900" s="23" t="n">
        <x:v>1200</x:v>
      </x:c>
      <x:c r="N1900" s="23" t="n">
        <x:v>250.02013946006562</x:v>
      </x:c>
      <x:c r="O1900" s="23" t="n">
        <x:v>2503.415969341611</x:v>
      </x:c>
      <x:c r="P1900" s="23" t="n">
        <x:v>1054.2817569104955</x:v>
      </x:c>
      <x:c r="Q1900" s="23" t="n">
        <x:v>248.89508699823998</x:v>
      </x:c>
      <x:c r="R1900" s="23" t="n">
        <x:v>2472.9985082568364</x:v>
      </x:c>
      <x:c r="S1900" s="23" t="n">
        <x:v>1043.4606418791777</x:v>
      </x:c>
      <x:c r="T1900" s="23" t="n">
        <x:v>-1.1250524618256463</x:v>
      </x:c>
      <x:c r="U1900" s="23" t="n">
        <x:v>-30.41746108477446</x:v>
      </x:c>
      <x:c r="V1900" s="23" t="n">
        <x:v>-10.821115031317731</x:v>
      </x:c>
    </x:row>
    <x:row r="1901">
      <x:c r="A1901" s="23" t="n">
        <x:v>1900</x:v>
      </x:c>
      <x:c r="B1901" s="23" t="str">
        <x:v>Hidden Test</x:v>
      </x:c>
      <x:c r="C1901" s="23" t="str">
        <x:v>Switching</x:v>
      </x:c>
      <x:c r="D1901" s="23" t="n">
        <x:v>981.0976928449236</x:v>
      </x:c>
      <x:c r="E1901" s="23" t="n">
        <x:v>697.9025335516781</x:v>
      </x:c>
      <x:c r="F1901" s="23" t="n">
        <x:v>668.8334087841213</x:v>
      </x:c>
      <x:c r="G1901" s="23" t="n">
        <x:v>251.36473662685603</x:v>
      </x:c>
      <x:c r="H1901" s="23" t="n">
        <x:v>25.358071345370263</x:v>
      </x:c>
      <x:c r="I1901" s="23" t="n">
        <x:v>0.8501352431252599</x:v>
      </x:c>
      <x:c r="J1901" s="23" t="n">
        <x:v>6</x:v>
      </x:c>
      <x:c r="K1901" s="23" t="n">
        <x:v>192.34149326606368</x:v>
      </x:c>
      <x:c r="L1901" s="23" t="n">
        <x:v>15420</x:v>
      </x:c>
      <x:c r="M1901" s="23" t="n">
        <x:v>1200</x:v>
      </x:c>
      <x:c r="N1901" s="23" t="n">
        <x:v>250.01071909106003</x:v>
      </x:c>
      <x:c r="O1901" s="23" t="n">
        <x:v>2502.8736751477522</x:v>
      </x:c>
      <x:c r="P1901" s="23" t="n">
        <x:v>981.0976928449236</x:v>
      </x:c>
      <x:c r="Q1901" s="23" t="n">
        <x:v>251.1044903469137</x:v>
      </x:c>
      <x:c r="R1901" s="23" t="n">
        <x:v>2467.521392676317</x:v>
      </x:c>
      <x:c r="S1901" s="23" t="n">
        <x:v>970.8480782349425</x:v>
      </x:c>
      <x:c r="T1901" s="23" t="n">
        <x:v>1.0937712558536816</x:v>
      </x:c>
      <x:c r="U1901" s="23" t="n">
        <x:v>-35.352282471435046</x:v>
      </x:c>
      <x:c r="V1901" s="23" t="n">
        <x:v>-10.249614609981109</x:v>
      </x:c>
    </x:row>
    <x:row r="1902">
      <x:c r="A1902" s="23" t="n">
        <x:v>1901</x:v>
      </x:c>
      <x:c r="B1902" s="23" t="str">
        <x:v>Train</x:v>
      </x:c>
      <x:c r="C1902" s="23" t="str">
        <x:v>Switching</x:v>
      </x:c>
      <x:c r="D1902" s="23" t="n">
        <x:v>1015.8536260481924</x:v>
      </x:c>
      <x:c r="E1902" s="23" t="n">
        <x:v>1216.668274521362</x:v>
      </x:c>
      <x:c r="F1902" s="23" t="n">
        <x:v>388.82575538009405</x:v>
      </x:c>
      <x:c r="G1902" s="23" t="n">
        <x:v>164.31327511789277</x:v>
      </x:c>
      <x:c r="H1902" s="23" t="n">
        <x:v>17.968869123607874</x:v>
      </x:c>
      <x:c r="I1902" s="23" t="n">
        <x:v>0.799772855269257</x:v>
      </x:c>
      <x:c r="J1902" s="23" t="n">
        <x:v>7</x:v>
      </x:c>
      <x:c r="K1902" s="23" t="n">
        <x:v>181.45395360968516</x:v>
      </x:c>
      <x:c r="L1902" s="23" t="n">
        <x:v>12085</x:v>
      </x:c>
      <x:c r="M1902" s="23" t="n">
        <x:v>1200</x:v>
      </x:c>
      <x:c r="N1902" s="23" t="n">
        <x:v>250.02758118334324</x:v>
      </x:c>
      <x:c r="O1902" s="23" t="n">
        <x:v>2505.102402283979</x:v>
      </x:c>
      <x:c r="P1902" s="23" t="n">
        <x:v>1015.8536260481924</x:v>
      </x:c>
      <x:c r="Q1902" s="23" t="n">
        <x:v>249.73183558393956</x:v>
      </x:c>
      <x:c r="R1902" s="23" t="n">
        <x:v>2572.8880263053125</x:v>
      </x:c>
      <x:c r="S1902" s="23" t="n">
        <x:v>1010.9579530830285</x:v>
      </x:c>
      <x:c r="T1902" s="23" t="n">
        <x:v>-0.2957455994036877</x:v>
      </x:c>
      <x:c r="U1902" s="23" t="n">
        <x:v>67.78562402133366</x:v>
      </x:c>
      <x:c r="V1902" s="23" t="n">
        <x:v>-4.89567296516384</x:v>
      </x:c>
    </x:row>
    <x:row r="1903">
      <x:c r="A1903" s="23" t="n">
        <x:v>1902</x:v>
      </x:c>
      <x:c r="B1903" s="23" t="str">
        <x:v>Train</x:v>
      </x:c>
      <x:c r="C1903" s="23" t="str">
        <x:v>Switching</x:v>
      </x:c>
      <x:c r="D1903" s="23" t="n">
        <x:v>1079.5989526552148</x:v>
      </x:c>
      <x:c r="E1903" s="23" t="n">
        <x:v>739.007341931574</x:v>
      </x:c>
      <x:c r="F1903" s="23" t="n">
        <x:v>472.6294373162091</x:v>
      </x:c>
      <x:c r="G1903" s="23" t="n">
        <x:v>241.6099700331688</x:v>
      </x:c>
      <x:c r="H1903" s="23" t="n">
        <x:v>20.70600790763274</x:v>
      </x:c>
      <x:c r="I1903" s="23" t="n">
        <x:v>0.8377461975021289</x:v>
      </x:c>
      <x:c r="J1903" s="23" t="n">
        <x:v>7</x:v>
      </x:c>
      <x:c r="K1903" s="23" t="n">
        <x:v>184.09922034590423</x:v>
      </x:c>
      <x:c r="L1903" s="23" t="n">
        <x:v>14715</x:v>
      </x:c>
      <x:c r="M1903" s="23" t="n">
        <x:v>1200</x:v>
      </x:c>
      <x:c r="N1903" s="23" t="n">
        <x:v>249.98552758191173</x:v>
      </x:c>
      <x:c r="O1903" s="23" t="n">
        <x:v>2503.259639976914</x:v>
      </x:c>
      <x:c r="P1903" s="23" t="n">
        <x:v>1079.5989526552148</x:v>
      </x:c>
      <x:c r="Q1903" s="23" t="n">
        <x:v>249.6797644297803</x:v>
      </x:c>
      <x:c r="R1903" s="23" t="n">
        <x:v>2525.06402532663</x:v>
      </x:c>
      <x:c r="S1903" s="23" t="n">
        <x:v>1077.63844954479</x:v>
      </x:c>
      <x:c r="T1903" s="23" t="n">
        <x:v>-0.30576315213141925</x:v>
      </x:c>
      <x:c r="U1903" s="23" t="n">
        <x:v>21.804385349716085</x:v>
      </x:c>
      <x:c r="V1903" s="23" t="n">
        <x:v>-1.9605031104247246</x:v>
      </x:c>
    </x:row>
    <x:row r="1904">
      <x:c r="A1904" s="23" t="n">
        <x:v>1903</x:v>
      </x:c>
      <x:c r="B1904" s="23" t="str">
        <x:v>Train</x:v>
      </x:c>
      <x:c r="C1904" s="23" t="str">
        <x:v>Switching</x:v>
      </x:c>
      <x:c r="D1904" s="23" t="n">
        <x:v>1052.5809766957536</x:v>
      </x:c>
      <x:c r="E1904" s="23" t="n">
        <x:v>754.4603460584767</x:v>
      </x:c>
      <x:c r="F1904" s="23" t="n">
        <x:v>541.364411264658</x:v>
      </x:c>
      <x:c r="G1904" s="23" t="n">
        <x:v>168.17968372022733</x:v>
      </x:c>
      <x:c r="H1904" s="23" t="n">
        <x:v>16.54140360560268</x:v>
      </x:c>
      <x:c r="I1904" s="23" t="n">
        <x:v>0.8441867174743675</x:v>
      </x:c>
      <x:c r="J1904" s="23" t="n">
        <x:v>7</x:v>
      </x:c>
      <x:c r="K1904" s="23" t="n">
        <x:v>178.12257388555983</x:v>
      </x:c>
      <x:c r="L1904" s="23" t="n">
        <x:v>14610</x:v>
      </x:c>
      <x:c r="M1904" s="23" t="n">
        <x:v>1200</x:v>
      </x:c>
      <x:c r="N1904" s="23" t="n">
        <x:v>250.03897372699535</x:v>
      </x:c>
      <x:c r="O1904" s="23" t="n">
        <x:v>2503.3222626522015</x:v>
      </x:c>
      <x:c r="P1904" s="23" t="n">
        <x:v>1052.5809766957536</x:v>
      </x:c>
      <x:c r="Q1904" s="23" t="n">
        <x:v>248.79523982307376</x:v>
      </x:c>
      <x:c r="R1904" s="23" t="n">
        <x:v>2495.3454098820916</x:v>
      </x:c>
      <x:c r="S1904" s="23" t="n">
        <x:v>1059.5642934357147</x:v>
      </x:c>
      <x:c r="T1904" s="23" t="n">
        <x:v>-1.2437339039215942</x:v>
      </x:c>
      <x:c r="U1904" s="23" t="n">
        <x:v>-7.976852770109872</x:v>
      </x:c>
      <x:c r="V1904" s="23" t="n">
        <x:v>6.983316739961083</x:v>
      </x:c>
    </x:row>
    <x:row r="1905">
      <x:c r="A1905" s="23" t="n">
        <x:v>1904</x:v>
      </x:c>
      <x:c r="B1905" s="23" t="str">
        <x:v>Train</x:v>
      </x:c>
      <x:c r="C1905" s="23" t="str">
        <x:v>Switching</x:v>
      </x:c>
      <x:c r="D1905" s="23" t="n">
        <x:v>964.6135058137588</x:v>
      </x:c>
      <x:c r="E1905" s="23" t="n">
        <x:v>1168.4243189170957</x:v>
      </x:c>
      <x:c r="F1905" s="23" t="n">
        <x:v>591.7782529257238</x:v>
      </x:c>
      <x:c r="G1905" s="23" t="n">
        <x:v>105.54898720700294</x:v>
      </x:c>
      <x:c r="H1905" s="23" t="n">
        <x:v>28.851400220301002</x:v>
      </x:c>
      <x:c r="I1905" s="23" t="n">
        <x:v>0.8540983379539102</x:v>
      </x:c>
      <x:c r="J1905" s="23" t="n">
        <x:v>6</x:v>
      </x:c>
      <x:c r="K1905" s="23" t="n">
        <x:v>188.23232699500002</x:v>
      </x:c>
      <x:c r="L1905" s="23" t="n">
        <x:v>13375</x:v>
      </x:c>
      <x:c r="M1905" s="23" t="n">
        <x:v>1200</x:v>
      </x:c>
      <x:c r="N1905" s="23" t="n">
        <x:v>250.04411005975803</x:v>
      </x:c>
      <x:c r="O1905" s="23" t="n">
        <x:v>2504.1093539790345</x:v>
      </x:c>
      <x:c r="P1905" s="23" t="n">
        <x:v>964.6135058137588</x:v>
      </x:c>
      <x:c r="Q1905" s="23" t="n">
        <x:v>247.1430870632932</x:v>
      </x:c>
      <x:c r="R1905" s="23" t="n">
        <x:v>2546.771311484226</x:v>
      </x:c>
      <x:c r="S1905" s="23" t="n">
        <x:v>955.6598617016001</x:v>
      </x:c>
      <x:c r="T1905" s="23" t="n">
        <x:v>-2.9010229964648317</x:v>
      </x:c>
      <x:c r="U1905" s="23" t="n">
        <x:v>42.66195750519137</x:v>
      </x:c>
      <x:c r="V1905" s="23" t="n">
        <x:v>-8.953644112158713</x:v>
      </x:c>
    </x:row>
    <x:row r="1906">
      <x:c r="A1906" s="23" t="n">
        <x:v>1905</x:v>
      </x:c>
      <x:c r="B1906" s="23" t="str">
        <x:v>Train</x:v>
      </x:c>
      <x:c r="C1906" s="23" t="str">
        <x:v>Switching</x:v>
      </x:c>
      <x:c r="D1906" s="23" t="n">
        <x:v>1099.9582600779831</x:v>
      </x:c>
      <x:c r="E1906" s="23" t="n">
        <x:v>635.8215035288595</x:v>
      </x:c>
      <x:c r="F1906" s="23" t="n">
        <x:v>437.14188132435083</x:v>
      </x:c>
      <x:c r="G1906" s="23" t="n">
        <x:v>289.02412763098255</x:v>
      </x:c>
      <x:c r="H1906" s="23" t="n">
        <x:v>25.165451990440488</x:v>
      </x:c>
      <x:c r="I1906" s="23" t="n">
        <x:v>0.8064432652224787</x:v>
      </x:c>
      <x:c r="J1906" s="23" t="n">
        <x:v>7</x:v>
      </x:c>
      <x:c r="K1906" s="23" t="n">
        <x:v>194.85176586291456</x:v>
      </x:c>
      <x:c r="L1906" s="23" t="n">
        <x:v>15700</x:v>
      </x:c>
      <x:c r="M1906" s="23" t="n">
        <x:v>1200</x:v>
      </x:c>
      <x:c r="N1906" s="23" t="n">
        <x:v>249.97013213450117</x:v>
      </x:c>
      <x:c r="O1906" s="23" t="n">
        <x:v>2502.7284017076727</x:v>
      </x:c>
      <x:c r="P1906" s="23" t="n">
        <x:v>1099.9582600779831</x:v>
      </x:c>
      <x:c r="Q1906" s="23" t="n">
        <x:v>247.21419597973156</x:v>
      </x:c>
      <x:c r="R1906" s="23" t="n">
        <x:v>2432.975441671928</x:v>
      </x:c>
      <x:c r="S1906" s="23" t="n">
        <x:v>1105.0909255806782</x:v>
      </x:c>
      <x:c r="T1906" s="23" t="n">
        <x:v>-2.755936154769614</x:v>
      </x:c>
      <x:c r="U1906" s="23" t="n">
        <x:v>-69.75296003574476</x:v>
      </x:c>
      <x:c r="V1906" s="23" t="n">
        <x:v>5.13266550269509</x:v>
      </x:c>
    </x:row>
    <x:row r="1907">
      <x:c r="A1907" s="23" t="n">
        <x:v>1906</x:v>
      </x:c>
      <x:c r="B1907" s="23" t="str">
        <x:v>Train</x:v>
      </x:c>
      <x:c r="C1907" s="23" t="str">
        <x:v>Switching</x:v>
      </x:c>
      <x:c r="D1907" s="23" t="n">
        <x:v>1050.2550989040174</x:v>
      </x:c>
      <x:c r="E1907" s="23" t="n">
        <x:v>833.6247568251565</x:v>
      </x:c>
      <x:c r="F1907" s="23" t="n">
        <x:v>474.18373906984925</x:v>
      </x:c>
      <x:c r="G1907" s="23" t="n">
        <x:v>225.43901872821152</x:v>
      </x:c>
      <x:c r="H1907" s="23" t="n">
        <x:v>24.866570115555078</x:v>
      </x:c>
      <x:c r="I1907" s="23" t="n">
        <x:v>0.8435025581950322</x:v>
      </x:c>
      <x:c r="J1907" s="23" t="n">
        <x:v>7</x:v>
      </x:c>
      <x:c r="K1907" s="23" t="n">
        <x:v>177.87313297736665</x:v>
      </x:c>
      <x:c r="L1907" s="23" t="n">
        <x:v>13950</x:v>
      </x:c>
      <x:c r="M1907" s="23" t="n">
        <x:v>1200</x:v>
      </x:c>
      <x:c r="N1907" s="23" t="n">
        <x:v>250.03563665219738</x:v>
      </x:c>
      <x:c r="O1907" s="23" t="n">
        <x:v>2503.7253404321245</x:v>
      </x:c>
      <x:c r="P1907" s="23" t="n">
        <x:v>1050.2550989040174</x:v>
      </x:c>
      <x:c r="Q1907" s="23" t="n">
        <x:v>249.88451892077612</x:v>
      </x:c>
      <x:c r="R1907" s="23" t="n">
        <x:v>2505.8314128171055</x:v>
      </x:c>
      <x:c r="S1907" s="23" t="n">
        <x:v>1044.4744770700395</x:v>
      </x:c>
      <x:c r="T1907" s="23" t="n">
        <x:v>-0.15111773142126594</x:v>
      </x:c>
      <x:c r="U1907" s="23" t="n">
        <x:v>2.106072384980962</x:v>
      </x:c>
      <x:c r="V1907" s="23" t="n">
        <x:v>-5.780621833977875</x:v>
      </x:c>
    </x:row>
    <x:row r="1908">
      <x:c r="A1908" s="23" t="n">
        <x:v>1907</x:v>
      </x:c>
      <x:c r="B1908" s="23" t="str">
        <x:v>Train</x:v>
      </x:c>
      <x:c r="C1908" s="23" t="str">
        <x:v>Switching</x:v>
      </x:c>
      <x:c r="D1908" s="23" t="n">
        <x:v>1062.5790556659922</x:v>
      </x:c>
      <x:c r="E1908" s="23" t="n">
        <x:v>764.8514035739936</x:v>
      </x:c>
      <x:c r="F1908" s="23" t="n">
        <x:v>741.3711901754141</x:v>
      </x:c>
      <x:c r="G1908" s="23" t="n">
        <x:v>95.47120016766712</x:v>
      </x:c>
      <x:c r="H1908" s="23" t="n">
        <x:v>8.745894980616868</x:v>
      </x:c>
      <x:c r="I1908" s="23" t="n">
        <x:v>0.8473876122082584</x:v>
      </x:c>
      <x:c r="J1908" s="23" t="n">
        <x:v>7</x:v>
      </x:c>
      <x:c r="K1908" s="23" t="n">
        <x:v>179.13526910867583</x:v>
      </x:c>
      <x:c r="L1908" s="23" t="n">
        <x:v>13350</x:v>
      </x:c>
      <x:c r="M1908" s="23" t="n">
        <x:v>1200</x:v>
      </x:c>
      <x:c r="N1908" s="23" t="n">
        <x:v>249.96293138641613</x:v>
      </x:c>
      <x:c r="O1908" s="23" t="n">
        <x:v>2504.1237799131495</x:v>
      </x:c>
      <x:c r="P1908" s="23" t="n">
        <x:v>1062.5790556659922</x:v>
      </x:c>
      <x:c r="Q1908" s="23" t="n">
        <x:v>249.46845272259586</x:v>
      </x:c>
      <x:c r="R1908" s="23" t="n">
        <x:v>2519.3417234495537</x:v>
      </x:c>
      <x:c r="S1908" s="23" t="n">
        <x:v>1066.8983029982771</x:v>
      </x:c>
      <x:c r="T1908" s="23" t="n">
        <x:v>-0.4944786638202743</x:v>
      </x:c>
      <x:c r="U1908" s="23" t="n">
        <x:v>15.217943536404164</x:v>
      </x:c>
      <x:c r="V1908" s="23" t="n">
        <x:v>4.319247332284931</x:v>
      </x:c>
    </x:row>
    <x:row r="1909">
      <x:c r="A1909" s="23" t="n">
        <x:v>1908</x:v>
      </x:c>
      <x:c r="B1909" s="23" t="str">
        <x:v>Train</x:v>
      </x:c>
      <x:c r="C1909" s="23" t="str">
        <x:v>Switching</x:v>
      </x:c>
      <x:c r="D1909" s="23" t="n">
        <x:v>1088.1393262534402</x:v>
      </x:c>
      <x:c r="E1909" s="23" t="n">
        <x:v>805.5828819517046</x:v>
      </x:c>
      <x:c r="F1909" s="23" t="n">
        <x:v>534.6306729130447</x:v>
      </x:c>
      <x:c r="G1909" s="23" t="n">
        <x:v>120.78610928263515</x:v>
      </x:c>
      <x:c r="H1909" s="23" t="n">
        <x:v>13.066219090949744</x:v>
      </x:c>
      <x:c r="I1909" s="23" t="n">
        <x:v>0.8266731862165034</x:v>
      </x:c>
      <x:c r="J1909" s="23" t="n">
        <x:v>7</x:v>
      </x:c>
      <x:c r="K1909" s="23" t="n">
        <x:v>188.04102730187182</x:v>
      </x:c>
      <x:c r="L1909" s="23" t="n">
        <x:v>14640</x:v>
      </x:c>
      <x:c r="M1909" s="23" t="n">
        <x:v>1200</x:v>
      </x:c>
      <x:c r="N1909" s="23" t="n">
        <x:v>250.03808627814323</x:v>
      </x:c>
      <x:c r="O1909" s="23" t="n">
        <x:v>2503.3047712449347</x:v>
      </x:c>
      <x:c r="P1909" s="23" t="n">
        <x:v>1088.1393262534402</x:v>
      </x:c>
      <x:c r="Q1909" s="23" t="n">
        <x:v>249.39498238416107</x:v>
      </x:c>
      <x:c r="R1909" s="23" t="n">
        <x:v>2454.8201360352014</x:v>
      </x:c>
      <x:c r="S1909" s="23" t="n">
        <x:v>1102.1760373023826</x:v>
      </x:c>
      <x:c r="T1909" s="23" t="n">
        <x:v>-0.6431038939821576</x:v>
      </x:c>
      <x:c r="U1909" s="23" t="n">
        <x:v>-48.48463520973337</x:v>
      </x:c>
      <x:c r="V1909" s="23" t="n">
        <x:v>14.03671104894238</x:v>
      </x:c>
    </x:row>
    <x:row r="1910">
      <x:c r="A1910" s="23" t="n">
        <x:v>1909</x:v>
      </x:c>
      <x:c r="B1910" s="23" t="str">
        <x:v>Train</x:v>
      </x:c>
      <x:c r="C1910" s="23" t="str">
        <x:v>Switching</x:v>
      </x:c>
      <x:c r="D1910" s="23" t="n">
        <x:v>1045.835728617385</x:v>
      </x:c>
      <x:c r="E1910" s="23" t="n">
        <x:v>823.5438778880052</x:v>
      </x:c>
      <x:c r="F1910" s="23" t="n">
        <x:v>397.25274723023176</x:v>
      </x:c>
      <x:c r="G1910" s="23" t="n">
        <x:v>250.9441191633232</x:v>
      </x:c>
      <x:c r="H1910" s="23" t="n">
        <x:v>14.06912449002266</x:v>
      </x:c>
      <x:c r="I1910" s="23" t="n">
        <x:v>0.8302030693576672</x:v>
      </x:c>
      <x:c r="J1910" s="23" t="n">
        <x:v>7</x:v>
      </x:c>
      <x:c r="K1910" s="23" t="n">
        <x:v>179.96211963392696</x:v>
      </x:c>
      <x:c r="L1910" s="23" t="n">
        <x:v>14530</x:v>
      </x:c>
      <x:c r="M1910" s="23" t="n">
        <x:v>1200</x:v>
      </x:c>
      <x:c r="N1910" s="23" t="n">
        <x:v>249.98384309355743</x:v>
      </x:c>
      <x:c r="O1910" s="23" t="n">
        <x:v>2503.367297220612</x:v>
      </x:c>
      <x:c r="P1910" s="23" t="n">
        <x:v>1045.835728617385</x:v>
      </x:c>
      <x:c r="Q1910" s="23" t="n">
        <x:v>248.27194386833483</x:v>
      </x:c>
      <x:c r="R1910" s="23" t="n">
        <x:v>2487.642840259582</x:v>
      </x:c>
      <x:c r="S1910" s="23" t="n">
        <x:v>1047.9204989561138</x:v>
      </x:c>
      <x:c r="T1910" s="23" t="n">
        <x:v>-1.711899225222595</x:v>
      </x:c>
      <x:c r="U1910" s="23" t="n">
        <x:v>-15.724456961029773</x:v>
      </x:c>
      <x:c r="V1910" s="23" t="n">
        <x:v>2.084770338728731</x:v>
      </x:c>
    </x:row>
    <x:row r="1911">
      <x:c r="A1911" s="23" t="n">
        <x:v>1910</x:v>
      </x:c>
      <x:c r="B1911" s="23" t="str">
        <x:v>Train</x:v>
      </x:c>
      <x:c r="C1911" s="23" t="str">
        <x:v>Switching</x:v>
      </x:c>
      <x:c r="D1911" s="23" t="n">
        <x:v>997.0542498980649</x:v>
      </x:c>
      <x:c r="E1911" s="23" t="n">
        <x:v>863.1276802858338</x:v>
      </x:c>
      <x:c r="F1911" s="23" t="n">
        <x:v>599.5212060399354</x:v>
      </x:c>
      <x:c r="G1911" s="23" t="n">
        <x:v>317.4442578293383</x:v>
      </x:c>
      <x:c r="H1911" s="23" t="n">
        <x:v>26.680672785732895</x:v>
      </x:c>
      <x:c r="I1911" s="23" t="n">
        <x:v>0.8029250782495365</x:v>
      </x:c>
      <x:c r="J1911" s="23" t="n">
        <x:v>7</x:v>
      </x:c>
      <x:c r="K1911" s="23" t="n">
        <x:v>177.3967774484462</x:v>
      </x:c>
      <x:c r="L1911" s="23" t="n">
        <x:v>12015</x:v>
      </x:c>
      <x:c r="M1911" s="23" t="n">
        <x:v>1200</x:v>
      </x:c>
      <x:c r="N1911" s="23" t="n">
        <x:v>250.0242678127371</x:v>
      </x:c>
      <x:c r="O1911" s="23" t="n">
        <x:v>2505.1622782107556</x:v>
      </x:c>
      <x:c r="P1911" s="23" t="n">
        <x:v>997.0542498980649</x:v>
      </x:c>
      <x:c r="Q1911" s="23" t="n">
        <x:v>251.02476622678583</x:v>
      </x:c>
      <x:c r="R1911" s="23" t="n">
        <x:v>2469.322466647189</x:v>
      </x:c>
      <x:c r="S1911" s="23" t="n">
        <x:v>985.515819272109</x:v>
      </x:c>
      <x:c r="T1911" s="23" t="n">
        <x:v>1.0004984140487352</x:v>
      </x:c>
      <x:c r="U1911" s="23" t="n">
        <x:v>-35.839811563566855</x:v>
      </x:c>
      <x:c r="V1911" s="23" t="n">
        <x:v>-11.538430625955925</x:v>
      </x:c>
    </x:row>
    <x:row r="1912">
      <x:c r="A1912" s="23" t="n">
        <x:v>1911</x:v>
      </x:c>
      <x:c r="B1912" s="23" t="str">
        <x:v>Train</x:v>
      </x:c>
      <x:c r="C1912" s="23" t="str">
        <x:v>Switching</x:v>
      </x:c>
      <x:c r="D1912" s="23" t="n">
        <x:v>1001.6564102144912</x:v>
      </x:c>
      <x:c r="E1912" s="23" t="n">
        <x:v>1127.030711446423</x:v>
      </x:c>
      <x:c r="F1912" s="23" t="n">
        <x:v>564.4089475274086</x:v>
      </x:c>
      <x:c r="G1912" s="23" t="n">
        <x:v>297.3814055859111</x:v>
      </x:c>
      <x:c r="H1912" s="23" t="n">
        <x:v>16.197189609520137</x:v>
      </x:c>
      <x:c r="I1912" s="23" t="n">
        <x:v>0.8225445333472453</x:v>
      </x:c>
      <x:c r="J1912" s="23" t="n">
        <x:v>7</x:v>
      </x:c>
      <x:c r="K1912" s="23" t="n">
        <x:v>173.96477283179024</x:v>
      </x:c>
      <x:c r="L1912" s="23" t="n">
        <x:v>10755</x:v>
      </x:c>
      <x:c r="M1912" s="23" t="n">
        <x:v>1195</x:v>
      </x:c>
      <x:c r="N1912" s="23" t="n">
        <x:v>250.0468668365216</x:v>
      </x:c>
      <x:c r="O1912" s="23" t="n">
        <x:v>2495.9340863260936</x:v>
      </x:c>
      <x:c r="P1912" s="23" t="n">
        <x:v>1001.6564102144912</x:v>
      </x:c>
      <x:c r="Q1912" s="23" t="n">
        <x:v>251.82558803484147</x:v>
      </x:c>
      <x:c r="R1912" s="23" t="n">
        <x:v>2532.1130193486943</x:v>
      </x:c>
      <x:c r="S1912" s="23" t="n">
        <x:v>993.6608099956261</x:v>
      </x:c>
      <x:c r="T1912" s="23" t="n">
        <x:v>1.7787211983198858</x:v>
      </x:c>
      <x:c r="U1912" s="23" t="n">
        <x:v>36.17893302260063</x:v>
      </x:c>
      <x:c r="V1912" s="23" t="n">
        <x:v>-7.995600218865093</x:v>
      </x:c>
    </x:row>
    <x:row r="1913">
      <x:c r="A1913" s="23" t="n">
        <x:v>1912</x:v>
      </x:c>
      <x:c r="B1913" s="23" t="str">
        <x:v>Train</x:v>
      </x:c>
      <x:c r="C1913" s="23" t="str">
        <x:v>Switching</x:v>
      </x:c>
      <x:c r="D1913" s="23" t="n">
        <x:v>1019.7207107092254</x:v>
      </x:c>
      <x:c r="E1913" s="23" t="n">
        <x:v>822.748367022723</x:v>
      </x:c>
      <x:c r="F1913" s="23" t="n">
        <x:v>737.1154955588281</x:v>
      </x:c>
      <x:c r="G1913" s="23" t="n">
        <x:v>276.6701546916738</x:v>
      </x:c>
      <x:c r="H1913" s="23" t="n">
        <x:v>25.446453338023275</x:v>
      </x:c>
      <x:c r="I1913" s="23" t="n">
        <x:v>0.8502508091647178</x:v>
      </x:c>
      <x:c r="J1913" s="23" t="n">
        <x:v>6</x:v>
      </x:c>
      <x:c r="K1913" s="23" t="n">
        <x:v>199.8862570349475</x:v>
      </x:c>
      <x:c r="L1913" s="23" t="n">
        <x:v>13585</x:v>
      </x:c>
      <x:c r="M1913" s="23" t="n">
        <x:v>1200</x:v>
      </x:c>
      <x:c r="N1913" s="23" t="n">
        <x:v>249.99278423090357</x:v>
      </x:c>
      <x:c r="O1913" s="23" t="n">
        <x:v>2503.963570132586</x:v>
      </x:c>
      <x:c r="P1913" s="23" t="n">
        <x:v>1019.7207107092254</x:v>
      </x:c>
      <x:c r="Q1913" s="23" t="n">
        <x:v>252.43502911749036</x:v>
      </x:c>
      <x:c r="R1913" s="23" t="n">
        <x:v>2530.002984567779</x:v>
      </x:c>
      <x:c r="S1913" s="23" t="n">
        <x:v>1014.3152151119951</x:v>
      </x:c>
      <x:c r="T1913" s="23" t="n">
        <x:v>2.442244886586792</x:v>
      </x:c>
      <x:c r="U1913" s="23" t="n">
        <x:v>26.039414435193066</x:v>
      </x:c>
      <x:c r="V1913" s="23" t="n">
        <x:v>-5.405495597230242</x:v>
      </x:c>
    </x:row>
    <x:row r="1914">
      <x:c r="A1914" s="23" t="n">
        <x:v>1913</x:v>
      </x:c>
      <x:c r="B1914" s="23" t="str">
        <x:v>Train</x:v>
      </x:c>
      <x:c r="C1914" s="23" t="str">
        <x:v>Switching</x:v>
      </x:c>
      <x:c r="D1914" s="23" t="n">
        <x:v>974.2351118475199</x:v>
      </x:c>
      <x:c r="E1914" s="23" t="n">
        <x:v>751.4854854322039</x:v>
      </x:c>
      <x:c r="F1914" s="23" t="n">
        <x:v>522.9742901399732</x:v>
      </x:c>
      <x:c r="G1914" s="23" t="n">
        <x:v>157.95151747995988</x:v>
      </x:c>
      <x:c r="H1914" s="23" t="n">
        <x:v>13.161228461191058</x:v>
      </x:c>
      <x:c r="I1914" s="23" t="n">
        <x:v>0.8568113709730096</x:v>
      </x:c>
      <x:c r="J1914" s="23" t="n">
        <x:v>6</x:v>
      </x:c>
      <x:c r="K1914" s="23" t="n">
        <x:v>189.50789420180115</x:v>
      </x:c>
      <x:c r="L1914" s="23" t="n">
        <x:v>17420</x:v>
      </x:c>
      <x:c r="M1914" s="23" t="n">
        <x:v>1200</x:v>
      </x:c>
      <x:c r="N1914" s="23" t="n">
        <x:v>250.0253622034427</x:v>
      </x:c>
      <x:c r="O1914" s="23" t="n">
        <x:v>2501.947159387813</x:v>
      </x:c>
      <x:c r="P1914" s="23" t="n">
        <x:v>974.2351118475199</x:v>
      </x:c>
      <x:c r="Q1914" s="23" t="n">
        <x:v>247.67617738497367</x:v>
      </x:c>
      <x:c r="R1914" s="23" t="n">
        <x:v>2454.061120494908</x:v>
      </x:c>
      <x:c r="S1914" s="23" t="n">
        <x:v>986.0206978527905</x:v>
      </x:c>
      <x:c r="T1914" s="23" t="n">
        <x:v>-2.349184818469041</x:v>
      </x:c>
      <x:c r="U1914" s="23" t="n">
        <x:v>-47.88603889290471</x:v>
      </x:c>
      <x:c r="V1914" s="23" t="n">
        <x:v>11.785586005270602</x:v>
      </x:c>
    </x:row>
    <x:row r="1915">
      <x:c r="A1915" s="23" t="n">
        <x:v>1914</x:v>
      </x:c>
      <x:c r="B1915" s="23" t="str">
        <x:v>Train</x:v>
      </x:c>
      <x:c r="C1915" s="23" t="str">
        <x:v>Switching</x:v>
      </x:c>
      <x:c r="D1915" s="23" t="n">
        <x:v>1059.8100552917458</x:v>
      </x:c>
      <x:c r="E1915" s="23" t="n">
        <x:v>676.6769862035289</x:v>
      </x:c>
      <x:c r="F1915" s="23" t="n">
        <x:v>450.86437622085214</x:v>
      </x:c>
      <x:c r="G1915" s="23" t="n">
        <x:v>186.41012690030038</x:v>
      </x:c>
      <x:c r="H1915" s="23" t="n">
        <x:v>19.043622982222587</x:v>
      </x:c>
      <x:c r="I1915" s="23" t="n">
        <x:v>0.8082572073535994</x:v>
      </x:c>
      <x:c r="J1915" s="23" t="n">
        <x:v>7</x:v>
      </x:c>
      <x:c r="K1915" s="23" t="n">
        <x:v>187.3183871331861</x:v>
      </x:c>
      <x:c r="L1915" s="23" t="n">
        <x:v>16275</x:v>
      </x:c>
      <x:c r="M1915" s="23" t="n">
        <x:v>1200</x:v>
      </x:c>
      <x:c r="N1915" s="23" t="n">
        <x:v>249.9858610583852</x:v>
      </x:c>
      <x:c r="O1915" s="23" t="n">
        <x:v>2502.448774409657</x:v>
      </x:c>
      <x:c r="P1915" s="23" t="n">
        <x:v>1059.8100552917458</x:v>
      </x:c>
      <x:c r="Q1915" s="23" t="n">
        <x:v>245.85940245596856</x:v>
      </x:c>
      <x:c r="R1915" s="23" t="n">
        <x:v>2488.8657461781263</x:v>
      </x:c>
      <x:c r="S1915" s="23" t="n">
        <x:v>1071.352058997941</x:v>
      </x:c>
      <x:c r="T1915" s="23" t="n">
        <x:v>-4.126458602416648</x:v>
      </x:c>
      <x:c r="U1915" s="23" t="n">
        <x:v>-13.583028231530534</x:v>
      </x:c>
      <x:c r="V1915" s="23" t="n">
        <x:v>11.542003706195146</x:v>
      </x:c>
    </x:row>
    <x:row r="1916">
      <x:c r="A1916" s="23" t="n">
        <x:v>1915</x:v>
      </x:c>
      <x:c r="B1916" s="23" t="str">
        <x:v>Validation</x:v>
      </x:c>
      <x:c r="C1916" s="23" t="str">
        <x:v>Switching</x:v>
      </x:c>
      <x:c r="D1916" s="23" t="n">
        <x:v>970.3338299645111</x:v>
      </x:c>
      <x:c r="E1916" s="23" t="n">
        <x:v>832.8381196246482</x:v>
      </x:c>
      <x:c r="F1916" s="23" t="n">
        <x:v>703.546092286706</x:v>
      </x:c>
      <x:c r="G1916" s="23" t="n">
        <x:v>82.30669899610803</x:v>
      </x:c>
      <x:c r="H1916" s="23" t="n">
        <x:v>18.310387113131583</x:v>
      </x:c>
      <x:c r="I1916" s="23" t="n">
        <x:v>0.822782211478334</x:v>
      </x:c>
      <x:c r="J1916" s="23" t="n">
        <x:v>6</x:v>
      </x:c>
      <x:c r="K1916" s="23" t="n">
        <x:v>196.55542224656344</x:v>
      </x:c>
      <x:c r="L1916" s="23" t="n">
        <x:v>15415</x:v>
      </x:c>
      <x:c r="M1916" s="23" t="n">
        <x:v>1200</x:v>
      </x:c>
      <x:c r="N1916" s="23" t="n">
        <x:v>250.02065958945224</x:v>
      </x:c>
      <x:c r="O1916" s="23" t="n">
        <x:v>2502.8766201690632</x:v>
      </x:c>
      <x:c r="P1916" s="23" t="n">
        <x:v>970.3338299645111</x:v>
      </x:c>
      <x:c r="Q1916" s="23" t="n">
        <x:v>247.8640597392104</x:v>
      </x:c>
      <x:c r="R1916" s="23" t="n">
        <x:v>2481.8552967091587</x:v>
      </x:c>
      <x:c r="S1916" s="23" t="n">
        <x:v>974.6366694166935</x:v>
      </x:c>
      <x:c r="T1916" s="23" t="n">
        <x:v>-2.1565998502418324</x:v>
      </x:c>
      <x:c r="U1916" s="23" t="n">
        <x:v>-21.02132345990458</x:v>
      </x:c>
      <x:c r="V1916" s="23" t="n">
        <x:v>4.302839452182411</x:v>
      </x:c>
    </x:row>
    <x:row r="1917">
      <x:c r="A1917" s="23" t="n">
        <x:v>1916</x:v>
      </x:c>
      <x:c r="B1917" s="23" t="str">
        <x:v>Validation</x:v>
      </x:c>
      <x:c r="C1917" s="23" t="str">
        <x:v>Switching</x:v>
      </x:c>
      <x:c r="D1917" s="23" t="n">
        <x:v>996.674112637993</x:v>
      </x:c>
      <x:c r="E1917" s="23" t="n">
        <x:v>655.245454935357</x:v>
      </x:c>
      <x:c r="F1917" s="23" t="n">
        <x:v>438.81258917972445</x:v>
      </x:c>
      <x:c r="G1917" s="23" t="n">
        <x:v>123.39473124127835</x:v>
      </x:c>
      <x:c r="H1917" s="23" t="n">
        <x:v>23.315201621036977</x:v>
      </x:c>
      <x:c r="I1917" s="23" t="n">
        <x:v>0.8510010290145874</x:v>
      </x:c>
      <x:c r="J1917" s="23" t="n">
        <x:v>6</x:v>
      </x:c>
      <x:c r="K1917" s="23" t="n">
        <x:v>195.1964174457946</x:v>
      </x:c>
      <x:c r="L1917" s="23" t="n">
        <x:v>20495</x:v>
      </x:c>
      <x:c r="M1917" s="23" t="n">
        <x:v>1200</x:v>
      </x:c>
      <x:c r="N1917" s="23" t="n">
        <x:v>250.0163759931126</x:v>
      </x:c>
      <x:c r="O1917" s="23" t="n">
        <x:v>2500.8746023679178</x:v>
      </x:c>
      <x:c r="P1917" s="23" t="n">
        <x:v>996.674112637993</x:v>
      </x:c>
      <x:c r="Q1917" s="23" t="n">
        <x:v>246.19497573308854</x:v>
      </x:c>
      <x:c r="R1917" s="23" t="n">
        <x:v>2479.0113397486384</x:v>
      </x:c>
      <x:c r="S1917" s="23" t="n">
        <x:v>1003.838820171038</x:v>
      </x:c>
      <x:c r="T1917" s="23" t="n">
        <x:v>-3.8214002600240633</x:v>
      </x:c>
      <x:c r="U1917" s="23" t="n">
        <x:v>-21.86326261927934</x:v>
      </x:c>
      <x:c r="V1917" s="23" t="n">
        <x:v>7.164707533045089</x:v>
      </x:c>
    </x:row>
    <x:row r="1918">
      <x:c r="A1918" s="23" t="n">
        <x:v>1917</x:v>
      </x:c>
      <x:c r="B1918" s="23" t="str">
        <x:v>Validation</x:v>
      </x:c>
      <x:c r="C1918" s="23" t="str">
        <x:v>Switching</x:v>
      </x:c>
      <x:c r="D1918" s="23" t="n">
        <x:v>1002.9054212849587</x:v>
      </x:c>
      <x:c r="E1918" s="23" t="n">
        <x:v>1171.0230146418326</x:v>
      </x:c>
      <x:c r="F1918" s="23" t="n">
        <x:v>495.7790022715926</x:v>
      </x:c>
      <x:c r="G1918" s="23" t="n">
        <x:v>135.11456989916041</x:v>
      </x:c>
      <x:c r="H1918" s="23" t="n">
        <x:v>20.186098601669073</x:v>
      </x:c>
      <x:c r="I1918" s="23" t="n">
        <x:v>0.8058086683251895</x:v>
      </x:c>
      <x:c r="J1918" s="23" t="n">
        <x:v>7</x:v>
      </x:c>
      <x:c r="K1918" s="23" t="n">
        <x:v>177.79928247543987</x:v>
      </x:c>
      <x:c r="L1918" s="23" t="n">
        <x:v>11870</x:v>
      </x:c>
      <x:c r="M1918" s="23" t="n">
        <x:v>1195</x:v>
      </x:c>
      <x:c r="N1918" s="23" t="n">
        <x:v>250.0349933032025</x:v>
      </x:c>
      <x:c r="O1918" s="23" t="n">
        <x:v>2494.85061134834</x:v>
      </x:c>
      <x:c r="P1918" s="23" t="n">
        <x:v>1002.9054212849587</x:v>
      </x:c>
      <x:c r="Q1918" s="23" t="n">
        <x:v>250.35620318443887</x:v>
      </x:c>
      <x:c r="R1918" s="23" t="n">
        <x:v>2535.4042478587667</x:v>
      </x:c>
      <x:c r="S1918" s="23" t="n">
        <x:v>1004.3826507483604</x:v>
      </x:c>
      <x:c r="T1918" s="23" t="n">
        <x:v>0.3212098812363706</x:v>
      </x:c>
      <x:c r="U1918" s="23" t="n">
        <x:v>40.55363651042671</x:v>
      </x:c>
      <x:c r="V1918" s="23" t="n">
        <x:v>1.4772294634017271</x:v>
      </x:c>
    </x:row>
    <x:row r="1919">
      <x:c r="A1919" s="23" t="n">
        <x:v>1918</x:v>
      </x:c>
      <x:c r="B1919" s="23" t="str">
        <x:v>Hidden Test</x:v>
      </x:c>
      <x:c r="C1919" s="23" t="str">
        <x:v>Switching</x:v>
      </x:c>
      <x:c r="D1919" s="23" t="n">
        <x:v>1019.1387388971634</x:v>
      </x:c>
      <x:c r="E1919" s="23" t="n">
        <x:v>794.0163197694346</x:v>
      </x:c>
      <x:c r="F1919" s="23" t="n">
        <x:v>638.0667080171406</x:v>
      </x:c>
      <x:c r="G1919" s="23" t="n">
        <x:v>287.2433875873685</x:v>
      </x:c>
      <x:c r="H1919" s="23" t="n">
        <x:v>17.569195481482893</x:v>
      </x:c>
      <x:c r="I1919" s="23" t="n">
        <x:v>0.841870988640003</x:v>
      </x:c>
      <x:c r="J1919" s="23" t="n">
        <x:v>7</x:v>
      </x:c>
      <x:c r="K1919" s="23" t="n">
        <x:v>172.93771893609883</x:v>
      </x:c>
      <x:c r="L1919" s="23" t="n">
        <x:v>12440</x:v>
      </x:c>
      <x:c r="M1919" s="23" t="n">
        <x:v>1200</x:v>
      </x:c>
      <x:c r="N1919" s="23" t="n">
        <x:v>250.03105807085367</x:v>
      </x:c>
      <x:c r="O1919" s="23" t="n">
        <x:v>2504.8085429291746</x:v>
      </x:c>
      <x:c r="P1919" s="23" t="n">
        <x:v>1019.1387388971634</x:v>
      </x:c>
      <x:c r="Q1919" s="23" t="n">
        <x:v>252.60950187354297</x:v>
      </x:c>
      <x:c r="R1919" s="23" t="n">
        <x:v>2515.23552974973</x:v>
      </x:c>
      <x:c r="S1919" s="23" t="n">
        <x:v>1013.0571702700132</x:v>
      </x:c>
      <x:c r="T1919" s="23" t="n">
        <x:v>2.578443802689293</x:v>
      </x:c>
      <x:c r="U1919" s="23" t="n">
        <x:v>10.426986820555612</x:v>
      </x:c>
      <x:c r="V1919" s="23" t="n">
        <x:v>-6.0815686271502045</x:v>
      </x:c>
    </x:row>
    <x:row r="1920">
      <x:c r="A1920" s="23" t="n">
        <x:v>1919</x:v>
      </x:c>
      <x:c r="B1920" s="23" t="str">
        <x:v>Hidden Test</x:v>
      </x:c>
      <x:c r="C1920" s="23" t="str">
        <x:v>Switching</x:v>
      </x:c>
      <x:c r="D1920" s="23" t="n">
        <x:v>963.3778244489804</x:v>
      </x:c>
      <x:c r="E1920" s="23" t="n">
        <x:v>1070.821585052181</x:v>
      </x:c>
      <x:c r="F1920" s="23" t="n">
        <x:v>659.1096393764019</x:v>
      </x:c>
      <x:c r="G1920" s="23" t="n">
        <x:v>90.56887157028541</x:v>
      </x:c>
      <x:c r="H1920" s="23" t="n">
        <x:v>26.477141982875764</x:v>
      </x:c>
      <x:c r="I1920" s="23" t="n">
        <x:v>0.8598489962681197</x:v>
      </x:c>
      <x:c r="J1920" s="23" t="n">
        <x:v>6</x:v>
      </x:c>
      <x:c r="K1920" s="23" t="n">
        <x:v>186.7339165811269</x:v>
      </x:c>
      <x:c r="L1920" s="23" t="n">
        <x:v>13705</x:v>
      </x:c>
      <x:c r="M1920" s="23" t="n">
        <x:v>1200</x:v>
      </x:c>
      <x:c r="N1920" s="23" t="n">
        <x:v>249.9992093837497</x:v>
      </x:c>
      <x:c r="O1920" s="23" t="n">
        <x:v>2503.8835672789955</x:v>
      </x:c>
      <x:c r="P1920" s="23" t="n">
        <x:v>963.3778244489804</x:v>
      </x:c>
      <x:c r="Q1920" s="23" t="n">
        <x:v>249.89959915668305</x:v>
      </x:c>
      <x:c r="R1920" s="23" t="n">
        <x:v>2477.2546708036716</x:v>
      </x:c>
      <x:c r="S1920" s="23" t="n">
        <x:v>947.625122901462</x:v>
      </x:c>
      <x:c r="T1920" s="23" t="n">
        <x:v>-0.09961022706664835</x:v>
      </x:c>
      <x:c r="U1920" s="23" t="n">
        <x:v>-26.628896475323927</x:v>
      </x:c>
      <x:c r="V1920" s="23" t="n">
        <x:v>-15.752701547518427</x:v>
      </x:c>
    </x:row>
    <x:row r="1921">
      <x:c r="A1921" s="23" t="n">
        <x:v>1920</x:v>
      </x:c>
      <x:c r="B1921" s="23" t="str">
        <x:v>Hidden Test</x:v>
      </x:c>
      <x:c r="C1921" s="23" t="str">
        <x:v>Switching</x:v>
      </x:c>
      <x:c r="D1921" s="23" t="n">
        <x:v>1072.5931079941802</x:v>
      </x:c>
      <x:c r="E1921" s="23" t="n">
        <x:v>940.1415709406137</x:v>
      </x:c>
      <x:c r="F1921" s="23" t="n">
        <x:v>504.96252765879035</x:v>
      </x:c>
      <x:c r="G1921" s="23" t="n">
        <x:v>264.86152321565896</x:v>
      </x:c>
      <x:c r="H1921" s="23" t="n">
        <x:v>24.363383339252323</x:v>
      </x:c>
      <x:c r="I1921" s="23" t="n">
        <x:v>0.8276926593761892</x:v>
      </x:c>
      <x:c r="J1921" s="23" t="n">
        <x:v>7</x:v>
      </x:c>
      <x:c r="K1921" s="23" t="n">
        <x:v>185.12618798841973</x:v>
      </x:c>
      <x:c r="L1921" s="23" t="n">
        <x:v>12505</x:v>
      </x:c>
      <x:c r="M1921" s="23" t="n">
        <x:v>1200</x:v>
      </x:c>
      <x:c r="N1921" s="23" t="n">
        <x:v>249.96925498595942</x:v>
      </x:c>
      <x:c r="O1921" s="23" t="n">
        <x:v>2504.7540518777096</x:v>
      </x:c>
      <x:c r="P1921" s="23" t="n">
        <x:v>1072.5931079941802</x:v>
      </x:c>
      <x:c r="Q1921" s="23" t="n">
        <x:v>248.115131000661</x:v>
      </x:c>
      <x:c r="R1921" s="23" t="n">
        <x:v>2481.3207969885893</x:v>
      </x:c>
      <x:c r="S1921" s="23" t="n">
        <x:v>1063.5783339124362</x:v>
      </x:c>
      <x:c r="T1921" s="23" t="n">
        <x:v>-1.854123985298429</x:v>
      </x:c>
      <x:c r="U1921" s="23" t="n">
        <x:v>-23.433254889120235</x:v>
      </x:c>
      <x:c r="V1921" s="23" t="n">
        <x:v>-9.014774081744008</x:v>
      </x:c>
    </x:row>
    <x:row r="1922">
      <x:c r="A1922" s="23" t="n">
        <x:v>1921</x:v>
      </x:c>
      <x:c r="B1922" s="23" t="str">
        <x:v>Train</x:v>
      </x:c>
      <x:c r="C1922" s="23" t="str">
        <x:v>Switching</x:v>
      </x:c>
      <x:c r="D1922" s="23" t="n">
        <x:v>988.8288761489093</x:v>
      </x:c>
      <x:c r="E1922" s="23" t="n">
        <x:v>1122.0884899958037</x:v>
      </x:c>
      <x:c r="F1922" s="23" t="n">
        <x:v>532.925813831389</x:v>
      </x:c>
      <x:c r="G1922" s="23" t="n">
        <x:v>257.9343011439778</x:v>
      </x:c>
      <x:c r="H1922" s="23" t="n">
        <x:v>21.34332321025431</x:v>
      </x:c>
      <x:c r="I1922" s="23" t="n">
        <x:v>0.7971910489653238</x:v>
      </x:c>
      <x:c r="J1922" s="23" t="n">
        <x:v>7</x:v>
      </x:c>
      <x:c r="K1922" s="23" t="n">
        <x:v>177.19876333862015</x:v>
      </x:c>
      <x:c r="L1922" s="23" t="n">
        <x:v>11180</x:v>
      </x:c>
      <x:c r="M1922" s="23" t="n">
        <x:v>1195</x:v>
      </x:c>
      <x:c r="N1922" s="23" t="n">
        <x:v>250.0118568770037</x:v>
      </x:c>
      <x:c r="O1922" s="23" t="n">
        <x:v>2495.4942578508444</x:v>
      </x:c>
      <x:c r="P1922" s="23" t="n">
        <x:v>988.8288761489093</x:v>
      </x:c>
      <x:c r="Q1922" s="23" t="n">
        <x:v>252.05486951868886</x:v>
      </x:c>
      <x:c r="R1922" s="23" t="n">
        <x:v>2478.013740259414</x:v>
      </x:c>
      <x:c r="S1922" s="23" t="n">
        <x:v>980.9811480573895</x:v>
      </x:c>
      <x:c r="T1922" s="23" t="n">
        <x:v>2.043012641685152</x:v>
      </x:c>
      <x:c r="U1922" s="23" t="n">
        <x:v>-17.48051759143027</x:v>
      </x:c>
      <x:c r="V1922" s="23" t="n">
        <x:v>-7.847728091519798</x:v>
      </x:c>
    </x:row>
    <x:row r="1923">
      <x:c r="A1923" s="23" t="n">
        <x:v>1922</x:v>
      </x:c>
      <x:c r="B1923" s="23" t="str">
        <x:v>Train</x:v>
      </x:c>
      <x:c r="C1923" s="23" t="str">
        <x:v>Switching</x:v>
      </x:c>
      <x:c r="D1923" s="23" t="n">
        <x:v>1009.8471602075733</x:v>
      </x:c>
      <x:c r="E1923" s="23" t="n">
        <x:v>728.9370632963255</x:v>
      </x:c>
      <x:c r="F1923" s="23" t="n">
        <x:v>453.8323068059981</x:v>
      </x:c>
      <x:c r="G1923" s="23" t="n">
        <x:v>308.0709019396454</x:v>
      </x:c>
      <x:c r="H1923" s="23" t="n">
        <x:v>10.381991170812398</x:v>
      </x:c>
      <x:c r="I1923" s="23" t="n">
        <x:v>0.8060589288035408</x:v>
      </x:c>
      <x:c r="J1923" s="23" t="n">
        <x:v>7</x:v>
      </x:c>
      <x:c r="K1923" s="23" t="n">
        <x:v>178.97435891416632</x:v>
      </x:c>
      <x:c r="L1923" s="23" t="n">
        <x:v>14345</x:v>
      </x:c>
      <x:c r="M1923" s="23" t="n">
        <x:v>1200</x:v>
      </x:c>
      <x:c r="N1923" s="23" t="n">
        <x:v>250.00376810983224</x:v>
      </x:c>
      <x:c r="O1923" s="23" t="n">
        <x:v>2503.4784793916106</x:v>
      </x:c>
      <x:c r="P1923" s="23" t="n">
        <x:v>1009.8471602075733</x:v>
      </x:c>
      <x:c r="Q1923" s="23" t="n">
        <x:v>250.03902185129115</x:v>
      </x:c>
      <x:c r="R1923" s="23" t="n">
        <x:v>2499.6485636575203</x:v>
      </x:c>
      <x:c r="S1923" s="23" t="n">
        <x:v>1023.0245504041294</x:v>
      </x:c>
      <x:c r="T1923" s="23" t="n">
        <x:v>0.035253741458916465</x:v>
      </x:c>
      <x:c r="U1923" s="23" t="n">
        <x:v>-3.829915734090264</x:v>
      </x:c>
      <x:c r="V1923" s="23" t="n">
        <x:v>13.177390196556075</x:v>
      </x:c>
    </x:row>
    <x:row r="1924">
      <x:c r="A1924" s="23" t="n">
        <x:v>1923</x:v>
      </x:c>
      <x:c r="B1924" s="23" t="str">
        <x:v>Train</x:v>
      </x:c>
      <x:c r="C1924" s="23" t="str">
        <x:v>Switching</x:v>
      </x:c>
      <x:c r="D1924" s="23" t="n">
        <x:v>1002.341516665183</x:v>
      </x:c>
      <x:c r="E1924" s="23" t="n">
        <x:v>809.8950085812248</x:v>
      </x:c>
      <x:c r="F1924" s="23" t="n">
        <x:v>745.4479049891233</x:v>
      </x:c>
      <x:c r="G1924" s="23" t="n">
        <x:v>216.54950604541227</x:v>
      </x:c>
      <x:c r="H1924" s="23" t="n">
        <x:v>19.04991651047021</x:v>
      </x:c>
      <x:c r="I1924" s="23" t="n">
        <x:v>0.8201416367362254</x:v>
      </x:c>
      <x:c r="J1924" s="23" t="n">
        <x:v>7</x:v>
      </x:c>
      <x:c r="K1924" s="23" t="n">
        <x:v>174.59380041686225</x:v>
      </x:c>
      <x:c r="L1924" s="23" t="n">
        <x:v>12070</x:v>
      </x:c>
      <x:c r="M1924" s="23" t="n">
        <x:v>1200</x:v>
      </x:c>
      <x:c r="N1924" s="23" t="n">
        <x:v>250.0114788577705</x:v>
      </x:c>
      <x:c r="O1924" s="23" t="n">
        <x:v>2505.114540153067</x:v>
      </x:c>
      <x:c r="P1924" s="23" t="n">
        <x:v>1002.341516665183</x:v>
      </x:c>
      <x:c r="Q1924" s="23" t="n">
        <x:v>248.254481726158</x:v>
      </x:c>
      <x:c r="R1924" s="23" t="n">
        <x:v>2503.0851039920694</x:v>
      </x:c>
      <x:c r="S1924" s="23" t="n">
        <x:v>997.1021628168874</x:v>
      </x:c>
      <x:c r="T1924" s="23" t="n">
        <x:v>-1.7569971316125077</x:v>
      </x:c>
      <x:c r="U1924" s="23" t="n">
        <x:v>-2.0294361609976477</x:v>
      </x:c>
      <x:c r="V1924" s="23" t="n">
        <x:v>-5.23935384829565</x:v>
      </x:c>
    </x:row>
    <x:row r="1925">
      <x:c r="A1925" s="23" t="n">
        <x:v>1924</x:v>
      </x:c>
      <x:c r="B1925" s="23" t="str">
        <x:v>Train</x:v>
      </x:c>
      <x:c r="C1925" s="23" t="str">
        <x:v>Switching</x:v>
      </x:c>
      <x:c r="D1925" s="23" t="n">
        <x:v>1085.2042301907204</x:v>
      </x:c>
      <x:c r="E1925" s="23" t="n">
        <x:v>628.8964208681136</x:v>
      </x:c>
      <x:c r="F1925" s="23" t="n">
        <x:v>515.1628795079887</x:v>
      </x:c>
      <x:c r="G1925" s="23" t="n">
        <x:v>227.77514000888914</x:v>
      </x:c>
      <x:c r="H1925" s="23" t="n">
        <x:v>27.706745467614383</x:v>
      </x:c>
      <x:c r="I1925" s="23" t="n">
        <x:v>0.7953867425583303</x:v>
      </x:c>
      <x:c r="J1925" s="23" t="n">
        <x:v>7</x:v>
      </x:c>
      <x:c r="K1925" s="23" t="n">
        <x:v>194.9104346935507</x:v>
      </x:c>
      <x:c r="L1925" s="23" t="n">
        <x:v>15590</x:v>
      </x:c>
      <x:c r="M1925" s="23" t="n">
        <x:v>1200</x:v>
      </x:c>
      <x:c r="N1925" s="23" t="n">
        <x:v>250.0133784299317</x:v>
      </x:c>
      <x:c r="O1925" s="23" t="n">
        <x:v>2502.785722644369</x:v>
      </x:c>
      <x:c r="P1925" s="23" t="n">
        <x:v>1085.2042301907204</x:v>
      </x:c>
      <x:c r="Q1925" s="23" t="n">
        <x:v>245.53912082013704</x:v>
      </x:c>
      <x:c r="R1925" s="23" t="n">
        <x:v>2519.113060533536</x:v>
      </x:c>
      <x:c r="S1925" s="23" t="n">
        <x:v>1076.8676079872312</x:v>
      </x:c>
      <x:c r="T1925" s="23" t="n">
        <x:v>-4.474257609794648</x:v>
      </x:c>
      <x:c r="U1925" s="23" t="n">
        <x:v>16.32733788916721</x:v>
      </x:c>
      <x:c r="V1925" s="23" t="n">
        <x:v>-8.336622203489242</x:v>
      </x:c>
    </x:row>
    <x:row r="1926">
      <x:c r="A1926" s="23" t="n">
        <x:v>1925</x:v>
      </x:c>
      <x:c r="B1926" s="23" t="str">
        <x:v>Train</x:v>
      </x:c>
      <x:c r="C1926" s="23" t="str">
        <x:v>Switching</x:v>
      </x:c>
      <x:c r="D1926" s="23" t="n">
        <x:v>1039.9366016034037</x:v>
      </x:c>
      <x:c r="E1926" s="23" t="n">
        <x:v>1064.5077729481272</x:v>
      </x:c>
      <x:c r="F1926" s="23" t="n">
        <x:v>475.66810082644224</x:v>
      </x:c>
      <x:c r="G1926" s="23" t="n">
        <x:v>198.72207681881264</x:v>
      </x:c>
      <x:c r="H1926" s="23" t="n">
        <x:v>23.3061768040061</x:v>
      </x:c>
      <x:c r="I1926" s="23" t="n">
        <x:v>0.7936214934499003</x:v>
      </x:c>
      <x:c r="J1926" s="23" t="n">
        <x:v>7</x:v>
      </x:c>
      <x:c r="K1926" s="23" t="n">
        <x:v>187.19549921943684</x:v>
      </x:c>
      <x:c r="L1926" s="23" t="n">
        <x:v>12300</x:v>
      </x:c>
      <x:c r="M1926" s="23" t="n">
        <x:v>1200</x:v>
      </x:c>
      <x:c r="N1926" s="23" t="n">
        <x:v>250.03148468107756</x:v>
      </x:c>
      <x:c r="O1926" s="23" t="n">
        <x:v>2504.922472749994</x:v>
      </x:c>
      <x:c r="P1926" s="23" t="n">
        <x:v>1039.9366016034037</x:v>
      </x:c>
      <x:c r="Q1926" s="23" t="n">
        <x:v>249.58207343247605</x:v>
      </x:c>
      <x:c r="R1926" s="23" t="n">
        <x:v>2547.3825884679763</x:v>
      </x:c>
      <x:c r="S1926" s="23" t="n">
        <x:v>1032.1034294088283</x:v>
      </x:c>
      <x:c r="T1926" s="23" t="n">
        <x:v>-0.44941124860150694</x:v>
      </x:c>
      <x:c r="U1926" s="23" t="n">
        <x:v>42.46011571798226</x:v>
      </x:c>
      <x:c r="V1926" s="23" t="n">
        <x:v>-7.833172194575354</x:v>
      </x:c>
    </x:row>
    <x:row r="1927">
      <x:c r="A1927" s="23" t="n">
        <x:v>1926</x:v>
      </x:c>
      <x:c r="B1927" s="23" t="str">
        <x:v>Train</x:v>
      </x:c>
      <x:c r="C1927" s="23" t="str">
        <x:v>Switching</x:v>
      </x:c>
      <x:c r="D1927" s="23" t="n">
        <x:v>1067.279860295821</x:v>
      </x:c>
      <x:c r="E1927" s="23" t="n">
        <x:v>794.4327551638708</x:v>
      </x:c>
      <x:c r="F1927" s="23" t="n">
        <x:v>402.45127649977803</x:v>
      </x:c>
      <x:c r="G1927" s="23" t="n">
        <x:v>177.15186385437846</x:v>
      </x:c>
      <x:c r="H1927" s="23" t="n">
        <x:v>9.33752982178703</x:v>
      </x:c>
      <x:c r="I1927" s="23" t="n">
        <x:v>0.793245790093206</x:v>
      </x:c>
      <x:c r="J1927" s="23" t="n">
        <x:v>7</x:v>
      </x:c>
      <x:c r="K1927" s="23" t="n">
        <x:v>192.20845969181454</x:v>
      </x:c>
      <x:c r="L1927" s="23" t="n">
        <x:v>15565</x:v>
      </x:c>
      <x:c r="M1927" s="23" t="n">
        <x:v>1200</x:v>
      </x:c>
      <x:c r="N1927" s="23" t="n">
        <x:v>250.01267416393813</x:v>
      </x:c>
      <x:c r="O1927" s="23" t="n">
        <x:v>2502.7985377549894</x:v>
      </x:c>
      <x:c r="P1927" s="23" t="n">
        <x:v>1067.279860295821</x:v>
      </x:c>
      <x:c r="Q1927" s="23" t="n">
        <x:v>251.20786976928616</x:v>
      </x:c>
      <x:c r="R1927" s="23" t="n">
        <x:v>2521.7008628929084</x:v>
      </x:c>
      <x:c r="S1927" s="23" t="n">
        <x:v>1080.4543428462885</x:v>
      </x:c>
      <x:c r="T1927" s="23" t="n">
        <x:v>1.195195605348033</x:v>
      </x:c>
      <x:c r="U1927" s="23" t="n">
        <x:v>18.90232513791898</x:v>
      </x:c>
      <x:c r="V1927" s="23" t="n">
        <x:v>13.174482550467474</x:v>
      </x:c>
    </x:row>
    <x:row r="1928">
      <x:c r="A1928" s="23" t="n">
        <x:v>1927</x:v>
      </x:c>
      <x:c r="B1928" s="23" t="str">
        <x:v>Train</x:v>
      </x:c>
      <x:c r="C1928" s="23" t="str">
        <x:v>Switching</x:v>
      </x:c>
      <x:c r="D1928" s="23" t="n">
        <x:v>1082.5098335044459</x:v>
      </x:c>
      <x:c r="E1928" s="23" t="n">
        <x:v>1102.771462511737</x:v>
      </x:c>
      <x:c r="F1928" s="23" t="n">
        <x:v>455.8963268995285</x:v>
      </x:c>
      <x:c r="G1928" s="23" t="n">
        <x:v>316.2247667624615</x:v>
      </x:c>
      <x:c r="H1928" s="23" t="n">
        <x:v>15.824280592612922</x:v>
      </x:c>
      <x:c r="I1928" s="23" t="n">
        <x:v>0.7958765459037386</x:v>
      </x:c>
      <x:c r="J1928" s="23" t="n">
        <x:v>7</x:v>
      </x:c>
      <x:c r="K1928" s="23" t="n">
        <x:v>194.30684661476482</x:v>
      </x:c>
      <x:c r="L1928" s="23" t="n">
        <x:v>11405</x:v>
      </x:c>
      <x:c r="M1928" s="23" t="n">
        <x:v>1195</x:v>
      </x:c>
      <x:c r="N1928" s="23" t="n">
        <x:v>249.9694326288325</x:v>
      </x:c>
      <x:c r="O1928" s="23" t="n">
        <x:v>2495.273649029048</x:v>
      </x:c>
      <x:c r="P1928" s="23" t="n">
        <x:v>1082.5098335044459</x:v>
      </x:c>
      <x:c r="Q1928" s="23" t="n">
        <x:v>250.32228498283618</x:v>
      </x:c>
      <x:c r="R1928" s="23" t="n">
        <x:v>2514.680106712787</x:v>
      </x:c>
      <x:c r="S1928" s="23" t="n">
        <x:v>1084.922134576966</x:v>
      </x:c>
      <x:c r="T1928" s="23" t="n">
        <x:v>0.3528523540036872</x:v>
      </x:c>
      <x:c r="U1928" s="23" t="n">
        <x:v>19.406457683739063</x:v>
      </x:c>
      <x:c r="V1928" s="23" t="n">
        <x:v>2.412301072520222</x:v>
      </x:c>
    </x:row>
    <x:row r="1929">
      <x:c r="A1929" s="23" t="n">
        <x:v>1928</x:v>
      </x:c>
      <x:c r="B1929" s="23" t="str">
        <x:v>Train</x:v>
      </x:c>
      <x:c r="C1929" s="23" t="str">
        <x:v>Switching</x:v>
      </x:c>
      <x:c r="D1929" s="23" t="n">
        <x:v>1028.6661644349806</x:v>
      </x:c>
      <x:c r="E1929" s="23" t="n">
        <x:v>958.6541053839028</x:v>
      </x:c>
      <x:c r="F1929" s="23" t="n">
        <x:v>521.2051219306886</x:v>
      </x:c>
      <x:c r="G1929" s="23" t="n">
        <x:v>142.50554288271815</x:v>
      </x:c>
      <x:c r="H1929" s="23" t="n">
        <x:v>16.604978767689317</x:v>
      </x:c>
      <x:c r="I1929" s="23" t="n">
        <x:v>0.8519715837482363</x:v>
      </x:c>
      <x:c r="J1929" s="23" t="n">
        <x:v>7</x:v>
      </x:c>
      <x:c r="K1929" s="23" t="n">
        <x:v>172.48498894585512</x:v>
      </x:c>
      <x:c r="L1929" s="23" t="n">
        <x:v>13180</x:v>
      </x:c>
      <x:c r="M1929" s="23" t="n">
        <x:v>1200</x:v>
      </x:c>
      <x:c r="N1929" s="23" t="n">
        <x:v>249.96492978484426</x:v>
      </x:c>
      <x:c r="O1929" s="23" t="n">
        <x:v>2504.2441098002723</x:v>
      </x:c>
      <x:c r="P1929" s="23" t="n">
        <x:v>1028.6661644349806</x:v>
      </x:c>
      <x:c r="Q1929" s="23" t="n">
        <x:v>248.23129783799766</x:v>
      </x:c>
      <x:c r="R1929" s="23" t="n">
        <x:v>2541.11606130244</x:v>
      </x:c>
      <x:c r="S1929" s="23" t="n">
        <x:v>1032.197861152628</x:v>
      </x:c>
      <x:c r="T1929" s="23" t="n">
        <x:v>-1.7336319468466002</x:v>
      </x:c>
      <x:c r="U1929" s="23" t="n">
        <x:v>36.871951502167576</x:v>
      </x:c>
      <x:c r="V1929" s="23" t="n">
        <x:v>3.531696717647492</x:v>
      </x:c>
    </x:row>
    <x:row r="1930">
      <x:c r="A1930" s="23" t="n">
        <x:v>1929</x:v>
      </x:c>
      <x:c r="B1930" s="23" t="str">
        <x:v>Train</x:v>
      </x:c>
      <x:c r="C1930" s="23" t="str">
        <x:v>Switching</x:v>
      </x:c>
      <x:c r="D1930" s="23" t="n">
        <x:v>1008.0254988744855</x:v>
      </x:c>
      <x:c r="E1930" s="23" t="n">
        <x:v>942.0050785294734</x:v>
      </x:c>
      <x:c r="F1930" s="23" t="n">
        <x:v>538.7898178771138</x:v>
      </x:c>
      <x:c r="G1930" s="23" t="n">
        <x:v>246.26818251097575</x:v>
      </x:c>
      <x:c r="H1930" s="23" t="n">
        <x:v>17.284974610432982</x:v>
      </x:c>
      <x:c r="I1930" s="23" t="n">
        <x:v>0.8267720384267159</x:v>
      </x:c>
      <x:c r="J1930" s="23" t="n">
        <x:v>7</x:v>
      </x:c>
      <x:c r="K1930" s="23" t="n">
        <x:v>174.17575341612064</x:v>
      </x:c>
      <x:c r="L1930" s="23" t="n">
        <x:v>12385</x:v>
      </x:c>
      <x:c r="M1930" s="23" t="n">
        <x:v>1200</x:v>
      </x:c>
      <x:c r="N1930" s="23" t="n">
        <x:v>250.0457313554803</x:v>
      </x:c>
      <x:c r="O1930" s="23" t="n">
        <x:v>2504.8535795949947</x:v>
      </x:c>
      <x:c r="P1930" s="23" t="n">
        <x:v>1008.0254988744855</x:v>
      </x:c>
      <x:c r="Q1930" s="23" t="n">
        <x:v>253.58220873168216</x:v>
      </x:c>
      <x:c r="R1930" s="23" t="n">
        <x:v>2505.148510082717</x:v>
      </x:c>
      <x:c r="S1930" s="23" t="n">
        <x:v>1013.1129513265586</x:v>
      </x:c>
      <x:c r="T1930" s="23" t="n">
        <x:v>3.5364773762018444</x:v>
      </x:c>
      <x:c r="U1930" s="23" t="n">
        <x:v>0.29493048772246766</x:v>
      </x:c>
      <x:c r="V1930" s="23" t="n">
        <x:v>5.08745245207308</x:v>
      </x:c>
    </x:row>
    <x:row r="1931">
      <x:c r="A1931" s="23" t="n">
        <x:v>1930</x:v>
      </x:c>
      <x:c r="B1931" s="23" t="str">
        <x:v>Train</x:v>
      </x:c>
      <x:c r="C1931" s="23" t="str">
        <x:v>Switching</x:v>
      </x:c>
      <x:c r="D1931" s="23" t="n">
        <x:v>1083.9688420877792</x:v>
      </x:c>
      <x:c r="E1931" s="23" t="n">
        <x:v>696.5742118889466</x:v>
      </x:c>
      <x:c r="F1931" s="23" t="n">
        <x:v>438.30069610849023</x:v>
      </x:c>
      <x:c r="G1931" s="23" t="n">
        <x:v>86.63573364727199</x:v>
      </x:c>
      <x:c r="H1931" s="23" t="n">
        <x:v>21.51382723869756</x:v>
      </x:c>
      <x:c r="I1931" s="23" t="n">
        <x:v>0.8233390541793779</x:v>
      </x:c>
      <x:c r="J1931" s="23" t="n">
        <x:v>7</x:v>
      </x:c>
      <x:c r="K1931" s="23" t="n">
        <x:v>188.07888553418286</x:v>
      </x:c>
      <x:c r="L1931" s="23" t="n">
        <x:v>17510</x:v>
      </x:c>
      <x:c r="M1931" s="23" t="n">
        <x:v>1200</x:v>
      </x:c>
      <x:c r="N1931" s="23" t="n">
        <x:v>250.03370051201097</x:v>
      </x:c>
      <x:c r="O1931" s="23" t="n">
        <x:v>2501.910657747142</x:v>
      </x:c>
      <x:c r="P1931" s="23" t="n">
        <x:v>1083.9688420877792</x:v>
      </x:c>
      <x:c r="Q1931" s="23" t="n">
        <x:v>245.85817252953714</x:v>
      </x:c>
      <x:c r="R1931" s="23" t="n">
        <x:v>2501.4419253735678</x:v>
      </x:c>
      <x:c r="S1931" s="23" t="n">
        <x:v>1087.5604796732125</x:v>
      </x:c>
      <x:c r="T1931" s="23" t="n">
        <x:v>-4.175527982473824</x:v>
      </x:c>
      <x:c r="U1931" s="23" t="n">
        <x:v>-0.4687323735743121</x:v>
      </x:c>
      <x:c r="V1931" s="23" t="n">
        <x:v>3.5916375854333182</x:v>
      </x:c>
    </x:row>
    <x:row r="1932">
      <x:c r="A1932" s="23" t="n">
        <x:v>1931</x:v>
      </x:c>
      <x:c r="B1932" s="23" t="str">
        <x:v>Train</x:v>
      </x:c>
      <x:c r="C1932" s="23" t="str">
        <x:v>Switching</x:v>
      </x:c>
      <x:c r="D1932" s="23" t="n">
        <x:v>964.7177430568263</x:v>
      </x:c>
      <x:c r="E1932" s="23" t="n">
        <x:v>975.5780587554909</x:v>
      </x:c>
      <x:c r="F1932" s="23" t="n">
        <x:v>517.1964097768068</x:v>
      </x:c>
      <x:c r="G1932" s="23" t="n">
        <x:v>266.50683033047244</x:v>
      </x:c>
      <x:c r="H1932" s="23" t="n">
        <x:v>15.988008410669863</x:v>
      </x:c>
      <x:c r="I1932" s="23" t="n">
        <x:v>0.8437512998166494</x:v>
      </x:c>
      <x:c r="J1932" s="23" t="n">
        <x:v>6</x:v>
      </x:c>
      <x:c r="K1932" s="23" t="n">
        <x:v>190.56123592865643</x:v>
      </x:c>
      <x:c r="L1932" s="23" t="n">
        <x:v>14180</x:v>
      </x:c>
      <x:c r="M1932" s="23" t="n">
        <x:v>1200</x:v>
      </x:c>
      <x:c r="N1932" s="23" t="n">
        <x:v>249.96541263226533</x:v>
      </x:c>
      <x:c r="O1932" s="23" t="n">
        <x:v>2503.5781099688056</x:v>
      </x:c>
      <x:c r="P1932" s="23" t="n">
        <x:v>964.7177430568263</x:v>
      </x:c>
      <x:c r="Q1932" s="23" t="n">
        <x:v>251.8342128467477</x:v>
      </x:c>
      <x:c r="R1932" s="23" t="n">
        <x:v>2534.249685200586</x:v>
      </x:c>
      <x:c r="S1932" s="23" t="n">
        <x:v>970.3164430153494</x:v>
      </x:c>
      <x:c r="T1932" s="23" t="n">
        <x:v>1.868800214482377</x:v>
      </x:c>
      <x:c r="U1932" s="23" t="n">
        <x:v>30.67157523178048</x:v>
      </x:c>
      <x:c r="V1932" s="23" t="n">
        <x:v>5.598699958523071</x:v>
      </x:c>
    </x:row>
    <x:row r="1933">
      <x:c r="A1933" s="23" t="n">
        <x:v>1932</x:v>
      </x:c>
      <x:c r="B1933" s="23" t="str">
        <x:v>Train</x:v>
      </x:c>
      <x:c r="C1933" s="23" t="str">
        <x:v>Switching</x:v>
      </x:c>
      <x:c r="D1933" s="23" t="n">
        <x:v>951.4060514396988</x:v>
      </x:c>
      <x:c r="E1933" s="23" t="n">
        <x:v>1220.4590623732656</x:v>
      </x:c>
      <x:c r="F1933" s="23" t="n">
        <x:v>580.3021798841655</x:v>
      </x:c>
      <x:c r="G1933" s="23" t="n">
        <x:v>223.99929984938353</x:v>
      </x:c>
      <x:c r="H1933" s="23" t="n">
        <x:v>29.436693373601884</x:v>
      </x:c>
      <x:c r="I1933" s="23" t="n">
        <x:v>0.813008332066238</x:v>
      </x:c>
      <x:c r="J1933" s="23" t="n">
        <x:v>6</x:v>
      </x:c>
      <x:c r="K1933" s="23" t="n">
        <x:v>195.03819208956256</x:v>
      </x:c>
      <x:c r="L1933" s="23" t="n">
        <x:v>12320</x:v>
      </x:c>
      <x:c r="M1933" s="23" t="n">
        <x:v>1200</x:v>
      </x:c>
      <x:c r="N1933" s="23" t="n">
        <x:v>249.9502310756546</x:v>
      </x:c>
      <x:c r="O1933" s="23" t="n">
        <x:v>2504.9027452008954</x:v>
      </x:c>
      <x:c r="P1933" s="23" t="n">
        <x:v>951.4060514396988</x:v>
      </x:c>
      <x:c r="Q1933" s="23" t="n">
        <x:v>251.86231358711694</x:v>
      </x:c>
      <x:c r="R1933" s="23" t="n">
        <x:v>2497.545770893308</x:v>
      </x:c>
      <x:c r="S1933" s="23" t="n">
        <x:v>936.645318869776</x:v>
      </x:c>
      <x:c r="T1933" s="23" t="n">
        <x:v>1.91208251146233</x:v>
      </x:c>
      <x:c r="U1933" s="23" t="n">
        <x:v>-7.356974307587279</x:v>
      </x:c>
      <x:c r="V1933" s="23" t="n">
        <x:v>-14.760732569922766</x:v>
      </x:c>
    </x:row>
    <x:row r="1934">
      <x:c r="A1934" s="23" t="n">
        <x:v>1933</x:v>
      </x:c>
      <x:c r="B1934" s="23" t="str">
        <x:v>Train</x:v>
      </x:c>
      <x:c r="C1934" s="23" t="str">
        <x:v>Switching</x:v>
      </x:c>
      <x:c r="D1934" s="23" t="n">
        <x:v>962.0950372423977</x:v>
      </x:c>
      <x:c r="E1934" s="23" t="n">
        <x:v>1151.529757573735</x:v>
      </x:c>
      <x:c r="F1934" s="23" t="n">
        <x:v>702.7197560295463</x:v>
      </x:c>
      <x:c r="G1934" s="23" t="n">
        <x:v>171.45766851725057</x:v>
      </x:c>
      <x:c r="H1934" s="23" t="n">
        <x:v>19.854098934680223</x:v>
      </x:c>
      <x:c r="I1934" s="23" t="n">
        <x:v>0.7938905490958132</x:v>
      </x:c>
      <x:c r="J1934" s="23" t="n">
        <x:v>7</x:v>
      </x:c>
      <x:c r="K1934" s="23" t="n">
        <x:v>173.12480710851457</x:v>
      </x:c>
      <x:c r="L1934" s="23" t="n">
        <x:v>10555</x:v>
      </x:c>
      <x:c r="M1934" s="23" t="n">
        <x:v>1195</x:v>
      </x:c>
      <x:c r="N1934" s="23" t="n">
        <x:v>249.94841744663765</x:v>
      </x:c>
      <x:c r="O1934" s="23" t="n">
        <x:v>2496.1479131208575</x:v>
      </x:c>
      <x:c r="P1934" s="23" t="n">
        <x:v>962.0950372423977</x:v>
      </x:c>
      <x:c r="Q1934" s="23" t="n">
        <x:v>250.71191675962848</x:v>
      </x:c>
      <x:c r="R1934" s="23" t="n">
        <x:v>2493.4669055896757</x:v>
      </x:c>
      <x:c r="S1934" s="23" t="n">
        <x:v>949.653435297819</x:v>
      </x:c>
      <x:c r="T1934" s="23" t="n">
        <x:v>0.763499312990831</x:v>
      </x:c>
      <x:c r="U1934" s="23" t="n">
        <x:v>-2.6810075311818764</x:v>
      </x:c>
      <x:c r="V1934" s="23" t="n">
        <x:v>-12.441601944578679</x:v>
      </x:c>
    </x:row>
    <x:row r="1935">
      <x:c r="A1935" s="23" t="n">
        <x:v>1934</x:v>
      </x:c>
      <x:c r="B1935" s="23" t="str">
        <x:v>Train</x:v>
      </x:c>
      <x:c r="C1935" s="23" t="str">
        <x:v>Switching</x:v>
      </x:c>
      <x:c r="D1935" s="23" t="n">
        <x:v>991.4298350107856</x:v>
      </x:c>
      <x:c r="E1935" s="23" t="n">
        <x:v>736.6366033209488</x:v>
      </x:c>
      <x:c r="F1935" s="23" t="n">
        <x:v>470.3612213023007</x:v>
      </x:c>
      <x:c r="G1935" s="23" t="n">
        <x:v>302.6971257477999</x:v>
      </x:c>
      <x:c r="H1935" s="23" t="n">
        <x:v>29.3182067819871</x:v>
      </x:c>
      <x:c r="I1935" s="23" t="n">
        <x:v>0.8324368078960106</x:v>
      </x:c>
      <x:c r="J1935" s="23" t="n">
        <x:v>6</x:v>
      </x:c>
      <x:c r="K1935" s="23" t="n">
        <x:v>198.49951884368474</x:v>
      </x:c>
      <x:c r="L1935" s="23" t="n">
        <x:v>16525</x:v>
      </x:c>
      <x:c r="M1935" s="23" t="n">
        <x:v>1200</x:v>
      </x:c>
      <x:c r="N1935" s="23" t="n">
        <x:v>249.97666199346466</x:v>
      </x:c>
      <x:c r="O1935" s="23" t="n">
        <x:v>2502.332773924371</x:v>
      </x:c>
      <x:c r="P1935" s="23" t="n">
        <x:v>991.4298350107856</x:v>
      </x:c>
      <x:c r="Q1935" s="23" t="n">
        <x:v>245.37074032675974</x:v>
      </x:c>
      <x:c r="R1935" s="23" t="n">
        <x:v>2456.292026173569</x:v>
      </x:c>
      <x:c r="S1935" s="23" t="n">
        <x:v>984.0736814332632</x:v>
      </x:c>
      <x:c r="T1935" s="23" t="n">
        <x:v>-4.605921666704916</x:v>
      </x:c>
      <x:c r="U1935" s="23" t="n">
        <x:v>-46.040747750801984</x:v>
      </x:c>
      <x:c r="V1935" s="23" t="n">
        <x:v>-7.356153577522377</x:v>
      </x:c>
    </x:row>
    <x:row r="1936">
      <x:c r="A1936" s="23" t="n">
        <x:v>1935</x:v>
      </x:c>
      <x:c r="B1936" s="23" t="str">
        <x:v>Validation</x:v>
      </x:c>
      <x:c r="C1936" s="23" t="str">
        <x:v>Switching</x:v>
      </x:c>
      <x:c r="D1936" s="23" t="n">
        <x:v>1080.0102887907997</x:v>
      </x:c>
      <x:c r="E1936" s="23" t="n">
        <x:v>1082.5587076251395</x:v>
      </x:c>
      <x:c r="F1936" s="23" t="n">
        <x:v>464.61779549717903</x:v>
      </x:c>
      <x:c r="G1936" s="23" t="n">
        <x:v>255.29820691561326</x:v>
      </x:c>
      <x:c r="H1936" s="23" t="n">
        <x:v>13.00572198536247</x:v>
      </x:c>
      <x:c r="I1936" s="23" t="n">
        <x:v>0.8109401209442877</x:v>
      </x:c>
      <x:c r="J1936" s="23" t="n">
        <x:v>7</x:v>
      </x:c>
      <x:c r="K1936" s="23" t="n">
        <x:v>190.2571843816457</x:v>
      </x:c>
      <x:c r="L1936" s="23" t="n">
        <x:v>11865</x:v>
      </x:c>
      <x:c r="M1936" s="23" t="n">
        <x:v>1195</x:v>
      </x:c>
      <x:c r="N1936" s="23" t="n">
        <x:v>250.00690374539303</x:v>
      </x:c>
      <x:c r="O1936" s="23" t="n">
        <x:v>2494.8538467579806</x:v>
      </x:c>
      <x:c r="P1936" s="23" t="n">
        <x:v>1080.0102887907997</x:v>
      </x:c>
      <x:c r="Q1936" s="23" t="n">
        <x:v>254.5747535994299</x:v>
      </x:c>
      <x:c r="R1936" s="23" t="n">
        <x:v>2557.0696987710216</x:v>
      </x:c>
      <x:c r="S1936" s="23" t="n">
        <x:v>1082.0302023675415</x:v>
      </x:c>
      <x:c r="T1936" s="23" t="n">
        <x:v>4.567849854036865</x:v>
      </x:c>
      <x:c r="U1936" s="23" t="n">
        <x:v>62.21585201304106</x:v>
      </x:c>
      <x:c r="V1936" s="23" t="n">
        <x:v>2.0199135767418284</x:v>
      </x:c>
    </x:row>
    <x:row r="1937">
      <x:c r="A1937" s="23" t="n">
        <x:v>1936</x:v>
      </x:c>
      <x:c r="B1937" s="23" t="str">
        <x:v>Validation</x:v>
      </x:c>
      <x:c r="C1937" s="23" t="str">
        <x:v>Switching</x:v>
      </x:c>
      <x:c r="D1937" s="23" t="n">
        <x:v>1038.0866505089216</x:v>
      </x:c>
      <x:c r="E1937" s="23" t="n">
        <x:v>675.1770874485373</x:v>
      </x:c>
      <x:c r="F1937" s="23" t="n">
        <x:v>469.95659014210105</x:v>
      </x:c>
      <x:c r="G1937" s="23" t="n">
        <x:v>103.52091867942363</x:v>
      </x:c>
      <x:c r="H1937" s="23" t="n">
        <x:v>27.02400375297293</x:v>
      </x:c>
      <x:c r="I1937" s="23" t="n">
        <x:v>0.837855858495459</x:v>
      </x:c>
      <x:c r="J1937" s="23" t="n">
        <x:v>7</x:v>
      </x:c>
      <x:c r="K1937" s="23" t="n">
        <x:v>176.9971426781516</x:v>
      </x:c>
      <x:c r="L1937" s="23" t="n">
        <x:v>17125</x:v>
      </x:c>
      <x:c r="M1937" s="23" t="n">
        <x:v>1200</x:v>
      </x:c>
      <x:c r="N1937" s="23" t="n">
        <x:v>249.9701950403747</x:v>
      </x:c>
      <x:c r="O1937" s="23" t="n">
        <x:v>2502.068668135807</x:v>
      </x:c>
      <x:c r="P1937" s="23" t="n">
        <x:v>1038.0866505089216</x:v>
      </x:c>
      <x:c r="Q1937" s="23" t="n">
        <x:v>245.40259792763882</x:v>
      </x:c>
      <x:c r="R1937" s="23" t="n">
        <x:v>2454.5768621163556</x:v>
      </x:c>
      <x:c r="S1937" s="23" t="n">
        <x:v>1039.037981293775</x:v>
      </x:c>
      <x:c r="T1937" s="23" t="n">
        <x:v>-4.567597112735882</x:v>
      </x:c>
      <x:c r="U1937" s="23" t="n">
        <x:v>-47.49180601945136</x:v>
      </x:c>
      <x:c r="V1937" s="23" t="n">
        <x:v>0.9513307848533259</x:v>
      </x:c>
    </x:row>
    <x:row r="1938">
      <x:c r="A1938" s="23" t="n">
        <x:v>1937</x:v>
      </x:c>
      <x:c r="B1938" s="23" t="str">
        <x:v>Validation</x:v>
      </x:c>
      <x:c r="C1938" s="23" t="str">
        <x:v>Switching</x:v>
      </x:c>
      <x:c r="D1938" s="23" t="n">
        <x:v>1078.8227179087698</x:v>
      </x:c>
      <x:c r="E1938" s="23" t="n">
        <x:v>903.0615945695899</x:v>
      </x:c>
      <x:c r="F1938" s="23" t="n">
        <x:v>629.4739255681634</x:v>
      </x:c>
      <x:c r="G1938" s="23" t="n">
        <x:v>223.9897101954557</x:v>
      </x:c>
      <x:c r="H1938" s="23" t="n">
        <x:v>10.761447401717305</x:v>
      </x:c>
      <x:c r="I1938" s="23" t="n">
        <x:v>0.8581858510454186</x:v>
      </x:c>
      <x:c r="J1938" s="23" t="n">
        <x:v>7</x:v>
      </x:c>
      <x:c r="K1938" s="23" t="n">
        <x:v>179.5852622623439</x:v>
      </x:c>
      <x:c r="L1938" s="23" t="n">
        <x:v>12175</x:v>
      </x:c>
      <x:c r="M1938" s="23" t="n">
        <x:v>1200</x:v>
      </x:c>
      <x:c r="N1938" s="23" t="n">
        <x:v>249.99903439170518</x:v>
      </x:c>
      <x:c r="O1938" s="23" t="n">
        <x:v>2505.0250846708154</x:v>
      </x:c>
      <x:c r="P1938" s="23" t="n">
        <x:v>1078.8227179087698</x:v>
      </x:c>
      <x:c r="Q1938" s="23" t="n">
        <x:v>253.6037438880198</x:v>
      </x:c>
      <x:c r="R1938" s="23" t="n">
        <x:v>2520.066984415572</x:v>
      </x:c>
      <x:c r="S1938" s="23" t="n">
        <x:v>1075.0037351499227</x:v>
      </x:c>
      <x:c r="T1938" s="23" t="n">
        <x:v>3.6047094963146264</x:v>
      </x:c>
      <x:c r="U1938" s="23" t="n">
        <x:v>15.041899744756392</x:v>
      </x:c>
      <x:c r="V1938" s="23" t="n">
        <x:v>-3.8189827588471417</x:v>
      </x:c>
    </x:row>
    <x:row r="1939">
      <x:c r="A1939" s="23" t="n">
        <x:v>1938</x:v>
      </x:c>
      <x:c r="B1939" s="23" t="str">
        <x:v>Hidden Test</x:v>
      </x:c>
      <x:c r="C1939" s="23" t="str">
        <x:v>Switching</x:v>
      </x:c>
      <x:c r="D1939" s="23" t="n">
        <x:v>1019.4487940170802</x:v>
      </x:c>
      <x:c r="E1939" s="23" t="n">
        <x:v>1203.509730962105</x:v>
      </x:c>
      <x:c r="F1939" s="23" t="n">
        <x:v>588.9993109740317</x:v>
      </x:c>
      <x:c r="G1939" s="23" t="n">
        <x:v>94.07889951951802</x:v>
      </x:c>
      <x:c r="H1939" s="23" t="n">
        <x:v>29.053095266688615</x:v>
      </x:c>
      <x:c r="I1939" s="23" t="n">
        <x:v>0.8046118008578197</x:v>
      </x:c>
      <x:c r="J1939" s="23" t="n">
        <x:v>7</x:v>
      </x:c>
      <x:c r="K1939" s="23" t="n">
        <x:v>181.00100178393333</x:v>
      </x:c>
      <x:c r="L1939" s="23" t="n">
        <x:v>11335</x:v>
      </x:c>
      <x:c r="M1939" s="23" t="n">
        <x:v>1195</x:v>
      </x:c>
      <x:c r="N1939" s="23" t="n">
        <x:v>249.98526911996763</x:v>
      </x:c>
      <x:c r="O1939" s="23" t="n">
        <x:v>2495.3414465342817</x:v>
      </x:c>
      <x:c r="P1939" s="23" t="n">
        <x:v>1019.4487940170802</x:v>
      </x:c>
      <x:c r="Q1939" s="23" t="n">
        <x:v>248.20197862742125</x:v>
      </x:c>
      <x:c r="R1939" s="23" t="n">
        <x:v>2504.837565311928</x:v>
      </x:c>
      <x:c r="S1939" s="23" t="n">
        <x:v>999.236117819692</x:v>
      </x:c>
      <x:c r="T1939" s="23" t="n">
        <x:v>-1.7832904925463708</x:v>
      </x:c>
      <x:c r="U1939" s="23" t="n">
        <x:v>9.496118777646188</x:v>
      </x:c>
      <x:c r="V1939" s="23" t="n">
        <x:v>-20.21267619738819</x:v>
      </x:c>
    </x:row>
    <x:row r="1940">
      <x:c r="A1940" s="23" t="n">
        <x:v>1939</x:v>
      </x:c>
      <x:c r="B1940" s="23" t="str">
        <x:v>Hidden Test</x:v>
      </x:c>
      <x:c r="C1940" s="23" t="str">
        <x:v>Switching</x:v>
      </x:c>
      <x:c r="D1940" s="23" t="n">
        <x:v>1052.6131706079468</x:v>
      </x:c>
      <x:c r="E1940" s="23" t="n">
        <x:v>917.2710172482766</x:v>
      </x:c>
      <x:c r="F1940" s="23" t="n">
        <x:v>469.03345845639706</x:v>
      </x:c>
      <x:c r="G1940" s="23" t="n">
        <x:v>243.6652021552436</x:v>
      </x:c>
      <x:c r="H1940" s="23" t="n">
        <x:v>19.407831606455147</x:v>
      </x:c>
      <x:c r="I1940" s="23" t="n">
        <x:v>0.8157670959527604</x:v>
      </x:c>
      <x:c r="J1940" s="23" t="n">
        <x:v>7</x:v>
      </x:c>
      <x:c r="K1940" s="23" t="n">
        <x:v>184.33363006781212</x:v>
      </x:c>
      <x:c r="L1940" s="23" t="n">
        <x:v>13120</x:v>
      </x:c>
      <x:c r="M1940" s="23" t="n">
        <x:v>1200</x:v>
      </x:c>
      <x:c r="N1940" s="23" t="n">
        <x:v>249.993454543194</x:v>
      </x:c>
      <x:c r="O1940" s="23" t="n">
        <x:v>2504.288379488758</x:v>
      </x:c>
      <x:c r="P1940" s="23" t="n">
        <x:v>1052.6131706079468</x:v>
      </x:c>
      <x:c r="Q1940" s="23" t="n">
        <x:v>248.03801098140332</x:v>
      </x:c>
      <x:c r="R1940" s="23" t="n">
        <x:v>2523.574481572945</x:v>
      </x:c>
      <x:c r="S1940" s="23" t="n">
        <x:v>1050.2156004010858</x:v>
      </x:c>
      <x:c r="T1940" s="23" t="n">
        <x:v>-1.9554435617906734</x:v>
      </x:c>
      <x:c r="U1940" s="23" t="n">
        <x:v>19.28610208418695</x:v>
      </x:c>
      <x:c r="V1940" s="23" t="n">
        <x:v>-2.397570206861019</x:v>
      </x:c>
    </x:row>
    <x:row r="1941">
      <x:c r="A1941" s="23" t="n">
        <x:v>1940</x:v>
      </x:c>
      <x:c r="B1941" s="23" t="str">
        <x:v>Hidden Test</x:v>
      </x:c>
      <x:c r="C1941" s="23" t="str">
        <x:v>Switching</x:v>
      </x:c>
      <x:c r="D1941" s="23" t="n">
        <x:v>1071.7981119989417</x:v>
      </x:c>
      <x:c r="E1941" s="23" t="n">
        <x:v>980.4026825819165</x:v>
      </x:c>
      <x:c r="F1941" s="23" t="n">
        <x:v>490.7192903570831</x:v>
      </x:c>
      <x:c r="G1941" s="23" t="n">
        <x:v>124.50550803449005</x:v>
      </x:c>
      <x:c r="H1941" s="23" t="n">
        <x:v>15.900473042856902</x:v>
      </x:c>
      <x:c r="I1941" s="23" t="n">
        <x:v>0.8475436806865037</x:v>
      </x:c>
      <x:c r="J1941" s="23" t="n">
        <x:v>7</x:v>
      </x:c>
      <x:c r="K1941" s="23" t="n">
        <x:v>180.65619446991533</x:v>
      </x:c>
      <x:c r="L1941" s="23" t="n">
        <x:v>13405</x:v>
      </x:c>
      <x:c r="M1941" s="23" t="n">
        <x:v>1200</x:v>
      </x:c>
      <x:c r="N1941" s="23" t="n">
        <x:v>250.04228054040397</x:v>
      </x:c>
      <x:c r="O1941" s="23" t="n">
        <x:v>2504.088466692243</x:v>
      </x:c>
      <x:c r="P1941" s="23" t="n">
        <x:v>1071.7981119989417</x:v>
      </x:c>
      <x:c r="Q1941" s="23" t="n">
        <x:v>249.57958249203088</x:v>
      </x:c>
      <x:c r="R1941" s="23" t="n">
        <x:v>2543.913875928953</x:v>
      </x:c>
      <x:c r="S1941" s="23" t="n">
        <x:v>1073.6467109073117</x:v>
      </x:c>
      <x:c r="T1941" s="23" t="n">
        <x:v>-0.4626980483730847</x:v>
      </x:c>
      <x:c r="U1941" s="23" t="n">
        <x:v>39.82540923671013</x:v>
      </x:c>
      <x:c r="V1941" s="23" t="n">
        <x:v>1.8485989083699224</x:v>
      </x:c>
    </x:row>
    <x:row r="1942">
      <x:c r="A1942" s="23" t="n">
        <x:v>1941</x:v>
      </x:c>
      <x:c r="B1942" s="23" t="str">
        <x:v>Train</x:v>
      </x:c>
      <x:c r="C1942" s="23" t="str">
        <x:v>Switching</x:v>
      </x:c>
      <x:c r="D1942" s="23" t="n">
        <x:v>1074.396959738806</x:v>
      </x:c>
      <x:c r="E1942" s="23" t="n">
        <x:v>967.550871137064</x:v>
      </x:c>
      <x:c r="F1942" s="23" t="n">
        <x:v>483.6760638281703</x:v>
      </x:c>
      <x:c r="G1942" s="23" t="n">
        <x:v>107.8567339410074</x:v>
      </x:c>
      <x:c r="H1942" s="23" t="n">
        <x:v>11.439053073525429</x:v>
      </x:c>
      <x:c r="I1942" s="23" t="n">
        <x:v>0.8441249714628793</x:v>
      </x:c>
      <x:c r="J1942" s="23" t="n">
        <x:v>7</x:v>
      </x:c>
      <x:c r="K1942" s="23" t="n">
        <x:v>181.82767380604153</x:v>
      </x:c>
      <x:c r="L1942" s="23" t="n">
        <x:v>13715</x:v>
      </x:c>
      <x:c r="M1942" s="23" t="n">
        <x:v>1200</x:v>
      </x:c>
      <x:c r="N1942" s="23" t="n">
        <x:v>249.9655608744317</x:v>
      </x:c>
      <x:c r="O1942" s="23" t="n">
        <x:v>2503.875737853437</x:v>
      </x:c>
      <x:c r="P1942" s="23" t="n">
        <x:v>1074.396959738806</x:v>
      </x:c>
      <x:c r="Q1942" s="23" t="n">
        <x:v>248.558446331914</x:v>
      </x:c>
      <x:c r="R1942" s="23" t="n">
        <x:v>2524.6675986004816</x:v>
      </x:c>
      <x:c r="S1942" s="23" t="n">
        <x:v>1083.9506147788338</x:v>
      </x:c>
      <x:c r="T1942" s="23" t="n">
        <x:v>-1.4071145425176894</x:v>
      </x:c>
      <x:c r="U1942" s="23" t="n">
        <x:v>20.791860747044666</x:v>
      </x:c>
      <x:c r="V1942" s="23" t="n">
        <x:v>9.553655040027934</x:v>
      </x:c>
    </x:row>
    <x:row r="1943">
      <x:c r="A1943" s="23" t="n">
        <x:v>1942</x:v>
      </x:c>
      <x:c r="B1943" s="23" t="str">
        <x:v>Train</x:v>
      </x:c>
      <x:c r="C1943" s="23" t="str">
        <x:v>Switching</x:v>
      </x:c>
      <x:c r="D1943" s="23" t="n">
        <x:v>1022.7023829822429</x:v>
      </x:c>
      <x:c r="E1943" s="23" t="n">
        <x:v>900.9227594127879</x:v>
      </x:c>
      <x:c r="F1943" s="23" t="n">
        <x:v>571.2650788016617</x:v>
      </x:c>
      <x:c r="G1943" s="23" t="n">
        <x:v>173.57470320537686</x:v>
      </x:c>
      <x:c r="H1943" s="23" t="n">
        <x:v>29.284553235862404</x:v>
      </x:c>
      <x:c r="I1943" s="23" t="n">
        <x:v>0.8159904249524698</x:v>
      </x:c>
      <x:c r="J1943" s="23" t="n">
        <x:v>7</x:v>
      </x:c>
      <x:c r="K1943" s="23" t="n">
        <x:v>179.0466357917678</x:v>
      </x:c>
      <x:c r="L1943" s="23" t="n">
        <x:v>12995</x:v>
      </x:c>
      <x:c r="M1943" s="23" t="n">
        <x:v>1200</x:v>
      </x:c>
      <x:c r="N1943" s="23" t="n">
        <x:v>250.01101063137503</x:v>
      </x:c>
      <x:c r="O1943" s="23" t="n">
        <x:v>2504.380312906113</x:v>
      </x:c>
      <x:c r="P1943" s="23" t="n">
        <x:v>1022.7023829822429</x:v>
      </x:c>
      <x:c r="Q1943" s="23" t="n">
        <x:v>249.9476166387639</x:v>
      </x:c>
      <x:c r="R1943" s="23" t="n">
        <x:v>2499.413491289145</x:v>
      </x:c>
      <x:c r="S1943" s="23" t="n">
        <x:v>1011.9820832476614</x:v>
      </x:c>
      <x:c r="T1943" s="23" t="n">
        <x:v>-0.06339399261113954</x:v>
      </x:c>
      <x:c r="U1943" s="23" t="n">
        <x:v>-4.966821616967991</x:v>
      </x:c>
      <x:c r="V1943" s="23" t="n">
        <x:v>-10.720299734581431</x:v>
      </x:c>
    </x:row>
    <x:row r="1944">
      <x:c r="A1944" s="23" t="n">
        <x:v>1943</x:v>
      </x:c>
      <x:c r="B1944" s="23" t="str">
        <x:v>Train</x:v>
      </x:c>
      <x:c r="C1944" s="23" t="str">
        <x:v>Switching</x:v>
      </x:c>
      <x:c r="D1944" s="23" t="n">
        <x:v>1084.1826227726415</x:v>
      </x:c>
      <x:c r="E1944" s="23" t="n">
        <x:v>884.1835836065002</x:v>
      </x:c>
      <x:c r="F1944" s="23" t="n">
        <x:v>647.1980258822441</x:v>
      </x:c>
      <x:c r="G1944" s="23" t="n">
        <x:v>104.03676969697699</x:v>
      </x:c>
      <x:c r="H1944" s="23" t="n">
        <x:v>17.952523137442768</x:v>
      </x:c>
      <x:c r="I1944" s="23" t="n">
        <x:v>0.8179008778533898</x:v>
      </x:c>
      <x:c r="J1944" s="23" t="n">
        <x:v>7</x:v>
      </x:c>
      <x:c r="K1944" s="23" t="n">
        <x:v>189.36675093338897</x:v>
      </x:c>
      <x:c r="L1944" s="23" t="n">
        <x:v>13075</x:v>
      </x:c>
      <x:c r="M1944" s="23" t="n">
        <x:v>1200</x:v>
      </x:c>
      <x:c r="N1944" s="23" t="n">
        <x:v>249.96879360918595</x:v>
      </x:c>
      <x:c r="O1944" s="23" t="n">
        <x:v>2504.3200974689157</x:v>
      </x:c>
      <x:c r="P1944" s="23" t="n">
        <x:v>1084.1826227726415</x:v>
      </x:c>
      <x:c r="Q1944" s="23" t="n">
        <x:v>248.6900678934262</x:v>
      </x:c>
      <x:c r="R1944" s="23" t="n">
        <x:v>2514.262605192669</x:v>
      </x:c>
      <x:c r="S1944" s="23" t="n">
        <x:v>1081.1060513500215</x:v>
      </x:c>
      <x:c r="T1944" s="23" t="n">
        <x:v>-1.278725715759748</x:v>
      </x:c>
      <x:c r="U1944" s="23" t="n">
        <x:v>9.942507723753351</x:v>
      </x:c>
      <x:c r="V1944" s="23" t="n">
        <x:v>-3.0765714226199634</x:v>
      </x:c>
    </x:row>
    <x:row r="1945">
      <x:c r="A1945" s="23" t="n">
        <x:v>1944</x:v>
      </x:c>
      <x:c r="B1945" s="23" t="str">
        <x:v>Train</x:v>
      </x:c>
      <x:c r="C1945" s="23" t="str">
        <x:v>Switching</x:v>
      </x:c>
      <x:c r="D1945" s="23" t="n">
        <x:v>1060.0681091542356</x:v>
      </x:c>
      <x:c r="E1945" s="23" t="n">
        <x:v>1054.1339828632772</x:v>
      </x:c>
      <x:c r="F1945" s="23" t="n">
        <x:v>363.08903312310576</x:v>
      </x:c>
      <x:c r="G1945" s="23" t="n">
        <x:v>278.3040167251602</x:v>
      </x:c>
      <x:c r="H1945" s="23" t="n">
        <x:v>12.616166760679334</x:v>
      </x:c>
      <x:c r="I1945" s="23" t="n">
        <x:v>0.8223616846371442</x:v>
      </x:c>
      <x:c r="J1945" s="23" t="n">
        <x:v>7</x:v>
      </x:c>
      <x:c r="K1945" s="23" t="n">
        <x:v>184.15048285544577</x:v>
      </x:c>
      <x:c r="L1945" s="23" t="n">
        <x:v>12615</x:v>
      </x:c>
      <x:c r="M1945" s="23" t="n">
        <x:v>1200</x:v>
      </x:c>
      <x:c r="N1945" s="23" t="n">
        <x:v>250.03856766308965</x:v>
      </x:c>
      <x:c r="O1945" s="23" t="n">
        <x:v>2504.6700019628206</x:v>
      </x:c>
      <x:c r="P1945" s="23" t="n">
        <x:v>1060.0681091542356</x:v>
      </x:c>
      <x:c r="Q1945" s="23" t="n">
        <x:v>251.3877508459135</x:v>
      </x:c>
      <x:c r="R1945" s="23" t="n">
        <x:v>2484.972314331089</x:v>
      </x:c>
      <x:c r="S1945" s="23" t="n">
        <x:v>1064.8379237617366</x:v>
      </x:c>
      <x:c r="T1945" s="23" t="n">
        <x:v>1.3491831828238503</x:v>
      </x:c>
      <x:c r="U1945" s="23" t="n">
        <x:v>-19.697687631731696</x:v>
      </x:c>
      <x:c r="V1945" s="23" t="n">
        <x:v>4.769814607501075</x:v>
      </x:c>
    </x:row>
    <x:row r="1946">
      <x:c r="A1946" s="23" t="n">
        <x:v>1945</x:v>
      </x:c>
      <x:c r="B1946" s="23" t="str">
        <x:v>Train</x:v>
      </x:c>
      <x:c r="C1946" s="23" t="str">
        <x:v>Switching</x:v>
      </x:c>
      <x:c r="D1946" s="23" t="n">
        <x:v>989.4261568784714</x:v>
      </x:c>
      <x:c r="E1946" s="23" t="n">
        <x:v>1073.1494451290928</x:v>
      </x:c>
      <x:c r="F1946" s="23" t="n">
        <x:v>739.9062680080533</x:v>
      </x:c>
      <x:c r="G1946" s="23" t="n">
        <x:v>95.7395587884821</x:v>
      </x:c>
      <x:c r="H1946" s="23" t="n">
        <x:v>25.433626441285014</x:v>
      </x:c>
      <x:c r="I1946" s="23" t="n">
        <x:v>0.8162362397206017</x:v>
      </x:c>
      <x:c r="J1946" s="23" t="n">
        <x:v>7</x:v>
      </x:c>
      <x:c r="K1946" s="23" t="n">
        <x:v>173.16873101366423</x:v>
      </x:c>
      <x:c r="L1946" s="23" t="n">
        <x:v>11205</x:v>
      </x:c>
      <x:c r="M1946" s="23" t="n">
        <x:v>1195</x:v>
      </x:c>
      <x:c r="N1946" s="23" t="n">
        <x:v>250.02699334596352</x:v>
      </x:c>
      <x:c r="O1946" s="23" t="n">
        <x:v>2495.4701812076128</x:v>
      </x:c>
      <x:c r="P1946" s="23" t="n">
        <x:v>989.4261568784714</x:v>
      </x:c>
      <x:c r="Q1946" s="23" t="n">
        <x:v>252.70562132295257</x:v>
      </x:c>
      <x:c r="R1946" s="23" t="n">
        <x:v>2543.0577323380066</x:v>
      </x:c>
      <x:c r="S1946" s="23" t="n">
        <x:v>980.5206526203226</x:v>
      </x:c>
      <x:c r="T1946" s="23" t="n">
        <x:v>2.6786279769890484</x:v>
      </x:c>
      <x:c r="U1946" s="23" t="n">
        <x:v>47.58755113039388</x:v>
      </x:c>
      <x:c r="V1946" s="23" t="n">
        <x:v>-8.905504258148767</x:v>
      </x:c>
    </x:row>
    <x:row r="1947">
      <x:c r="A1947" s="23" t="n">
        <x:v>1946</x:v>
      </x:c>
      <x:c r="B1947" s="23" t="str">
        <x:v>Train</x:v>
      </x:c>
      <x:c r="C1947" s="23" t="str">
        <x:v>Switching</x:v>
      </x:c>
      <x:c r="D1947" s="23" t="n">
        <x:v>1052.0561924786307</x:v>
      </x:c>
      <x:c r="E1947" s="23" t="n">
        <x:v>1116.5146509418264</x:v>
      </x:c>
      <x:c r="F1947" s="23" t="n">
        <x:v>720.9557698108256</x:v>
      </x:c>
      <x:c r="G1947" s="23" t="n">
        <x:v>109.48222099803388</x:v>
      </x:c>
      <x:c r="H1947" s="23" t="n">
        <x:v>25.857289609033614</x:v>
      </x:c>
      <x:c r="I1947" s="23" t="n">
        <x:v>0.8478453657077626</x:v>
      </x:c>
      <x:c r="J1947" s="23" t="n">
        <x:v>7</x:v>
      </x:c>
      <x:c r="K1947" s="23" t="n">
        <x:v>177.2655107422798</x:v>
      </x:c>
      <x:c r="L1947" s="23" t="n">
        <x:v>10985</x:v>
      </x:c>
      <x:c r="M1947" s="23" t="n">
        <x:v>1195</x:v>
      </x:c>
      <x:c r="N1947" s="23" t="n">
        <x:v>250.01794401441586</x:v>
      </x:c>
      <x:c r="O1947" s="23" t="n">
        <x:v>2495.6913773818333</x:v>
      </x:c>
      <x:c r="P1947" s="23" t="n">
        <x:v>1052.0561924786307</x:v>
      </x:c>
      <x:c r="Q1947" s="23" t="n">
        <x:v>247.7135525709084</x:v>
      </x:c>
      <x:c r="R1947" s="23" t="n">
        <x:v>2555.2672137220065</x:v>
      </x:c>
      <x:c r="S1947" s="23" t="n">
        <x:v>1037.6583601461086</x:v>
      </x:c>
      <x:c r="T1947" s="23" t="n">
        <x:v>-2.3043914435074555</x:v>
      </x:c>
      <x:c r="U1947" s="23" t="n">
        <x:v>59.57583634017328</x:v>
      </x:c>
      <x:c r="V1947" s="23" t="n">
        <x:v>-14.397832332522057</x:v>
      </x:c>
    </x:row>
    <x:row r="1948">
      <x:c r="A1948" s="23" t="n">
        <x:v>1947</x:v>
      </x:c>
      <x:c r="B1948" s="23" t="str">
        <x:v>Train</x:v>
      </x:c>
      <x:c r="C1948" s="23" t="str">
        <x:v>Switching</x:v>
      </x:c>
      <x:c r="D1948" s="23" t="n">
        <x:v>979.8033387167379</x:v>
      </x:c>
      <x:c r="E1948" s="23" t="n">
        <x:v>1197.0799211994745</x:v>
      </x:c>
      <x:c r="F1948" s="23" t="n">
        <x:v>386.47922314703465</x:v>
      </x:c>
      <x:c r="G1948" s="23" t="n">
        <x:v>250.83500436274335</x:v>
      </x:c>
      <x:c r="H1948" s="23" t="n">
        <x:v>25.129542195238173</x:v>
      </x:c>
      <x:c r="I1948" s="23" t="n">
        <x:v>0.8104146225261503</x:v>
      </x:c>
      <x:c r="J1948" s="23" t="n">
        <x:v>7</x:v>
      </x:c>
      <x:c r="K1948" s="23" t="n">
        <x:v>172.7164116247742</x:v>
      </x:c>
      <x:c r="L1948" s="23" t="n">
        <x:v>11660</x:v>
      </x:c>
      <x:c r="M1948" s="23" t="n">
        <x:v>1195</x:v>
      </x:c>
      <x:c r="N1948" s="23" t="n">
        <x:v>250.03847090577983</x:v>
      </x:c>
      <x:c r="O1948" s="23" t="n">
        <x:v>2495.038881988389</x:v>
      </x:c>
      <x:c r="P1948" s="23" t="n">
        <x:v>979.8033387167379</x:v>
      </x:c>
      <x:c r="Q1948" s="23" t="n">
        <x:v>247.48832202989922</x:v>
      </x:c>
      <x:c r="R1948" s="23" t="n">
        <x:v>2511.102374551845</x:v>
      </x:c>
      <x:c r="S1948" s="23" t="n">
        <x:v>963.8521180943299</x:v>
      </x:c>
      <x:c r="T1948" s="23" t="n">
        <x:v>-2.550148875880609</x:v>
      </x:c>
      <x:c r="U1948" s="23" t="n">
        <x:v>16.06349256345584</x:v>
      </x:c>
      <x:c r="V1948" s="23" t="n">
        <x:v>-15.951220622408073</x:v>
      </x:c>
    </x:row>
    <x:row r="1949">
      <x:c r="A1949" s="23" t="n">
        <x:v>1948</x:v>
      </x:c>
      <x:c r="B1949" s="23" t="str">
        <x:v>Train</x:v>
      </x:c>
      <x:c r="C1949" s="23" t="str">
        <x:v>Switching</x:v>
      </x:c>
      <x:c r="D1949" s="23" t="n">
        <x:v>1095.7840793184005</x:v>
      </x:c>
      <x:c r="E1949" s="23" t="n">
        <x:v>1163.4965113829821</x:v>
      </x:c>
      <x:c r="F1949" s="23" t="n">
        <x:v>524.8024250380695</x:v>
      </x:c>
      <x:c r="G1949" s="23" t="n">
        <x:v>268.1023010937497</x:v>
      </x:c>
      <x:c r="H1949" s="23" t="n">
        <x:v>11.673565890174359</x:v>
      </x:c>
      <x:c r="I1949" s="23" t="n">
        <x:v>0.7946353932470084</x:v>
      </x:c>
      <x:c r="J1949" s="23" t="n">
        <x:v>7</x:v>
      </x:c>
      <x:c r="K1949" s="23" t="n">
        <x:v>196.99674100862967</x:v>
      </x:c>
      <x:c r="L1949" s="23" t="n">
        <x:v>10930</x:v>
      </x:c>
      <x:c r="M1949" s="23" t="n">
        <x:v>1195</x:v>
      </x:c>
      <x:c r="N1949" s="23" t="n">
        <x:v>249.9730305009157</x:v>
      </x:c>
      <x:c r="O1949" s="23" t="n">
        <x:v>2495.746150371805</x:v>
      </x:c>
      <x:c r="P1949" s="23" t="n">
        <x:v>1095.7840793184005</x:v>
      </x:c>
      <x:c r="Q1949" s="23" t="n">
        <x:v>255.6780954537494</x:v>
      </x:c>
      <x:c r="R1949" s="23" t="n">
        <x:v>2527.838559392978</x:v>
      </x:c>
      <x:c r="S1949" s="23" t="n">
        <x:v>1088.7995357665386</x:v>
      </x:c>
      <x:c r="T1949" s="23" t="n">
        <x:v>5.7050649528336805</x:v>
      </x:c>
      <x:c r="U1949" s="23" t="n">
        <x:v>32.0924090211729</x:v>
      </x:c>
      <x:c r="V1949" s="23" t="n">
        <x:v>-6.9845435518618615</x:v>
      </x:c>
    </x:row>
    <x:row r="1950">
      <x:c r="A1950" s="23" t="n">
        <x:v>1949</x:v>
      </x:c>
      <x:c r="B1950" s="23" t="str">
        <x:v>Train</x:v>
      </x:c>
      <x:c r="C1950" s="23" t="str">
        <x:v>Switching</x:v>
      </x:c>
      <x:c r="D1950" s="23" t="n">
        <x:v>976.1426582466811</x:v>
      </x:c>
      <x:c r="E1950" s="23" t="n">
        <x:v>1222.389095358085</x:v>
      </x:c>
      <x:c r="F1950" s="23" t="n">
        <x:v>357.62775298208</x:v>
      </x:c>
      <x:c r="G1950" s="23" t="n">
        <x:v>254.97480363817886</x:v>
      </x:c>
      <x:c r="H1950" s="23" t="n">
        <x:v>29.4757692925632</x:v>
      </x:c>
      <x:c r="I1950" s="23" t="n">
        <x:v>0.8475119973369875</x:v>
      </x:c>
      <x:c r="J1950" s="23" t="n">
        <x:v>6</x:v>
      </x:c>
      <x:c r="K1950" s="23" t="n">
        <x:v>191.96240708368947</x:v>
      </x:c>
      <x:c r="L1950" s="23" t="n">
        <x:v>13595</x:v>
      </x:c>
      <x:c r="M1950" s="23" t="n">
        <x:v>1200</x:v>
      </x:c>
      <x:c r="N1950" s="23" t="n">
        <x:v>249.96680364512642</x:v>
      </x:c>
      <x:c r="O1950" s="23" t="n">
        <x:v>2503.9558743467105</x:v>
      </x:c>
      <x:c r="P1950" s="23" t="n">
        <x:v>976.1426582466811</x:v>
      </x:c>
      <x:c r="Q1950" s="23" t="n">
        <x:v>252.20305540654022</x:v>
      </x:c>
      <x:c r="R1950" s="23" t="n">
        <x:v>2497.9575011890065</x:v>
      </x:c>
      <x:c r="S1950" s="23" t="n">
        <x:v>964.7033743031874</x:v>
      </x:c>
      <x:c r="T1950" s="23" t="n">
        <x:v>2.236251761413797</x:v>
      </x:c>
      <x:c r="U1950" s="23" t="n">
        <x:v>-5.998373157704009</x:v>
      </x:c>
      <x:c r="V1950" s="23" t="n">
        <x:v>-11.439283943493706</x:v>
      </x:c>
    </x:row>
    <x:row r="1951">
      <x:c r="A1951" s="23" t="n">
        <x:v>1950</x:v>
      </x:c>
      <x:c r="B1951" s="23" t="str">
        <x:v>Train</x:v>
      </x:c>
      <x:c r="C1951" s="23" t="str">
        <x:v>Switching</x:v>
      </x:c>
      <x:c r="D1951" s="23" t="n">
        <x:v>1035.3844419238158</x:v>
      </x:c>
      <x:c r="E1951" s="23" t="n">
        <x:v>702.2815531818196</x:v>
      </x:c>
      <x:c r="F1951" s="23" t="n">
        <x:v>599.6948619373143</x:v>
      </x:c>
      <x:c r="G1951" s="23" t="n">
        <x:v>226.55837323516607</x:v>
      </x:c>
      <x:c r="H1951" s="23" t="n">
        <x:v>19.899910705629736</x:v>
      </x:c>
      <x:c r="I1951" s="23" t="n">
        <x:v>0.8029206755338237</x:v>
      </x:c>
      <x:c r="J1951" s="23" t="n">
        <x:v>7</x:v>
      </x:c>
      <x:c r="K1951" s="23" t="n">
        <x:v>184.21752937627866</x:v>
      </x:c>
      <x:c r="L1951" s="23" t="n">
        <x:v>13990</x:v>
      </x:c>
      <x:c r="M1951" s="23" t="n">
        <x:v>1200</x:v>
      </x:c>
      <x:c r="N1951" s="23" t="n">
        <x:v>249.9817419363441</x:v>
      </x:c>
      <x:c r="O1951" s="23" t="n">
        <x:v>2503.697906709968</x:v>
      </x:c>
      <x:c r="P1951" s="23" t="n">
        <x:v>1035.3844419238158</x:v>
      </x:c>
      <x:c r="Q1951" s="23" t="n">
        <x:v>246.67396889382962</x:v>
      </x:c>
      <x:c r="R1951" s="23" t="n">
        <x:v>2509.517081425763</x:v>
      </x:c>
      <x:c r="S1951" s="23" t="n">
        <x:v>1032.193501889843</x:v>
      </x:c>
      <x:c r="T1951" s="23" t="n">
        <x:v>-3.3077730425144694</x:v>
      </x:c>
      <x:c r="U1951" s="23" t="n">
        <x:v>5.8191747157952705</x:v>
      </x:c>
      <x:c r="V1951" s="23" t="n">
        <x:v>-3.1909400339727654</x:v>
      </x:c>
    </x:row>
    <x:row r="1952">
      <x:c r="A1952" s="23" t="n">
        <x:v>1951</x:v>
      </x:c>
      <x:c r="B1952" s="23" t="str">
        <x:v>Train</x:v>
      </x:c>
      <x:c r="C1952" s="23" t="str">
        <x:v>Switching</x:v>
      </x:c>
      <x:c r="D1952" s="23" t="n">
        <x:v>1083.7031927192584</x:v>
      </x:c>
      <x:c r="E1952" s="23" t="n">
        <x:v>783.1752843339927</x:v>
      </x:c>
      <x:c r="F1952" s="23" t="n">
        <x:v>715.2924440801144</x:v>
      </x:c>
      <x:c r="G1952" s="23" t="n">
        <x:v>142.44352593785152</x:v>
      </x:c>
      <x:c r="H1952" s="23" t="n">
        <x:v>18.474525204859674</x:v>
      </x:c>
      <x:c r="I1952" s="23" t="n">
        <x:v>0.8035549096181058</x:v>
      </x:c>
      <x:c r="J1952" s="23" t="n">
        <x:v>7</x:v>
      </x:c>
      <x:c r="K1952" s="23" t="n">
        <x:v>192.66230591586267</x:v>
      </x:c>
      <x:c r="L1952" s="23" t="n">
        <x:v>13035</x:v>
      </x:c>
      <x:c r="M1952" s="23" t="n">
        <x:v>1200</x:v>
      </x:c>
      <x:c r="N1952" s="23" t="n">
        <x:v>250.04108482278596</x:v>
      </x:c>
      <x:c r="O1952" s="23" t="n">
        <x:v>2504.3520725938333</x:v>
      </x:c>
      <x:c r="P1952" s="23" t="n">
        <x:v>1083.7031927192584</x:v>
      </x:c>
      <x:c r="Q1952" s="23" t="n">
        <x:v>250.13863308177147</x:v>
      </x:c>
      <x:c r="R1952" s="23" t="n">
        <x:v>2447.6646628360536</x:v>
      </x:c>
      <x:c r="S1952" s="23" t="n">
        <x:v>1087.609211969595</x:v>
      </x:c>
      <x:c r="T1952" s="23" t="n">
        <x:v>0.0975482589855119</x:v>
      </x:c>
      <x:c r="U1952" s="23" t="n">
        <x:v>-56.68740975777973</x:v>
      </x:c>
      <x:c r="V1952" s="23" t="n">
        <x:v>3.9060192503366125</x:v>
      </x:c>
    </x:row>
    <x:row r="1953">
      <x:c r="A1953" s="23" t="n">
        <x:v>1952</x:v>
      </x:c>
      <x:c r="B1953" s="23" t="str">
        <x:v>Train</x:v>
      </x:c>
      <x:c r="C1953" s="23" t="str">
        <x:v>Switching</x:v>
      </x:c>
      <x:c r="D1953" s="23" t="n">
        <x:v>961.6213245200925</x:v>
      </x:c>
      <x:c r="E1953" s="23" t="n">
        <x:v>689.2970122396946</x:v>
      </x:c>
      <x:c r="F1953" s="23" t="n">
        <x:v>634.7645907662809</x:v>
      </x:c>
      <x:c r="G1953" s="23" t="n">
        <x:v>251.79527052212507</x:v>
      </x:c>
      <x:c r="H1953" s="23" t="n">
        <x:v>15.1880893423222</x:v>
      </x:c>
      <x:c r="I1953" s="23" t="n">
        <x:v>0.8396555317472667</x:v>
      </x:c>
      <x:c r="J1953" s="23" t="n">
        <x:v>6</x:v>
      </x:c>
      <x:c r="K1953" s="23" t="n">
        <x:v>190.87615658273242</x:v>
      </x:c>
      <x:c r="L1953" s="23" t="n">
        <x:v>15835</x:v>
      </x:c>
      <x:c r="M1953" s="23" t="n">
        <x:v>1200</x:v>
      </x:c>
      <x:c r="N1953" s="23" t="n">
        <x:v>250.0363434979507</x:v>
      </x:c>
      <x:c r="O1953" s="23" t="n">
        <x:v>2502.6628954561556</x:v>
      </x:c>
      <x:c r="P1953" s="23" t="n">
        <x:v>961.6213245200925</x:v>
      </x:c>
      <x:c r="Q1953" s="23" t="n">
        <x:v>251.2369096220798</x:v>
      </x:c>
      <x:c r="R1953" s="23" t="n">
        <x:v>2479.3529533648016</x:v>
      </x:c>
      <x:c r="S1953" s="23" t="n">
        <x:v>966.3011404127434</x:v>
      </x:c>
      <x:c r="T1953" s="23" t="n">
        <x:v>1.2005661241290966</x:v>
      </x:c>
      <x:c r="U1953" s="23" t="n">
        <x:v>-23.30994209135406</x:v>
      </x:c>
      <x:c r="V1953" s="23" t="n">
        <x:v>4.679815892650936</x:v>
      </x:c>
    </x:row>
    <x:row r="1954">
      <x:c r="A1954" s="23" t="n">
        <x:v>1953</x:v>
      </x:c>
      <x:c r="B1954" s="23" t="str">
        <x:v>Train</x:v>
      </x:c>
      <x:c r="C1954" s="23" t="str">
        <x:v>Switching</x:v>
      </x:c>
      <x:c r="D1954" s="23" t="n">
        <x:v>1074.6204189024866</x:v>
      </x:c>
      <x:c r="E1954" s="23" t="n">
        <x:v>765.4633819474839</x:v>
      </x:c>
      <x:c r="F1954" s="23" t="n">
        <x:v>404.94173411279917</x:v>
      </x:c>
      <x:c r="G1954" s="23" t="n">
        <x:v>320.2508101076819</x:v>
      </x:c>
      <x:c r="H1954" s="23" t="n">
        <x:v>11.406610453501344</x:v>
      </x:c>
      <x:c r="I1954" s="23" t="n">
        <x:v>0.8010046673123725</x:v>
      </x:c>
      <x:c r="J1954" s="23" t="n">
        <x:v>7</x:v>
      </x:c>
      <x:c r="K1954" s="23" t="n">
        <x:v>191.6558154591716</x:v>
      </x:c>
      <x:c r="L1954" s="23" t="n">
        <x:v>14345</x:v>
      </x:c>
      <x:c r="M1954" s="23" t="n">
        <x:v>1200</x:v>
      </x:c>
      <x:c r="N1954" s="23" t="n">
        <x:v>249.97287588847666</x:v>
      </x:c>
      <x:c r="O1954" s="23" t="n">
        <x:v>2503.477406277409</x:v>
      </x:c>
      <x:c r="P1954" s="23" t="n">
        <x:v>1074.6204189024866</x:v>
      </x:c>
      <x:c r="Q1954" s="23" t="n">
        <x:v>250.407237240304</x:v>
      </x:c>
      <x:c r="R1954" s="23" t="n">
        <x:v>2505.744616724548</x:v>
      </x:c>
      <x:c r="S1954" s="23" t="n">
        <x:v>1083.4097141559446</x:v>
      </x:c>
      <x:c r="T1954" s="23" t="n">
        <x:v>0.4343613518273344</x:v>
      </x:c>
      <x:c r="U1954" s="23" t="n">
        <x:v>2.2672104471389503</x:v>
      </x:c>
      <x:c r="V1954" s="23" t="n">
        <x:v>8.789295253458022</x:v>
      </x:c>
    </x:row>
    <x:row r="1955">
      <x:c r="A1955" s="23" t="n">
        <x:v>1954</x:v>
      </x:c>
      <x:c r="B1955" s="23" t="str">
        <x:v>Train</x:v>
      </x:c>
      <x:c r="C1955" s="23" t="str">
        <x:v>Switching</x:v>
      </x:c>
      <x:c r="D1955" s="23" t="n">
        <x:v>1070.2549161040224</x:v>
      </x:c>
      <x:c r="E1955" s="23" t="n">
        <x:v>1248.4323899494484</x:v>
      </x:c>
      <x:c r="F1955" s="23" t="n">
        <x:v>705.276792589575</x:v>
      </x:c>
      <x:c r="G1955" s="23" t="n">
        <x:v>328.5077197197825</x:v>
      </x:c>
      <x:c r="H1955" s="23" t="n">
        <x:v>18.664153643418103</x:v>
      </x:c>
      <x:c r="I1955" s="23" t="n">
        <x:v>0.8267080188402907</x:v>
      </x:c>
      <x:c r="J1955" s="23" t="n">
        <x:v>7</x:v>
      </x:c>
      <x:c r="K1955" s="23" t="n">
        <x:v>184.94263507678502</x:v>
      </x:c>
      <x:c r="L1955" s="23" t="n">
        <x:v>9370</x:v>
      </x:c>
      <x:c r="M1955" s="23" t="n">
        <x:v>1195</x:v>
      </x:c>
      <x:c r="N1955" s="23" t="n">
        <x:v>249.98390706793074</x:v>
      </x:c>
      <x:c r="O1955" s="23" t="n">
        <x:v>2497.6348858604642</x:v>
      </x:c>
      <x:c r="P1955" s="23" t="n">
        <x:v>1070.2549161040224</x:v>
      </x:c>
      <x:c r="Q1955" s="23" t="n">
        <x:v>253.44739362371874</x:v>
      </x:c>
      <x:c r="R1955" s="23" t="n">
        <x:v>2524.6533440754406</x:v>
      </x:c>
      <x:c r="S1955" s="23" t="n">
        <x:v>1065.7170938564586</x:v>
      </x:c>
      <x:c r="T1955" s="23" t="n">
        <x:v>3.463486555787995</x:v>
      </x:c>
      <x:c r="U1955" s="23" t="n">
        <x:v>27.018458214976363</x:v>
      </x:c>
      <x:c r="V1955" s="23" t="n">
        <x:v>-4.537822247563781</x:v>
      </x:c>
    </x:row>
    <x:row r="1956">
      <x:c r="A1956" s="23" t="n">
        <x:v>1955</x:v>
      </x:c>
      <x:c r="B1956" s="23" t="str">
        <x:v>Validation</x:v>
      </x:c>
      <x:c r="C1956" s="23" t="str">
        <x:v>Switching</x:v>
      </x:c>
      <x:c r="D1956" s="23" t="n">
        <x:v>1030.1535084610805</x:v>
      </x:c>
      <x:c r="E1956" s="23" t="n">
        <x:v>834.3526290380396</x:v>
      </x:c>
      <x:c r="F1956" s="23" t="n">
        <x:v>450.4884462803602</x:v>
      </x:c>
      <x:c r="G1956" s="23" t="n">
        <x:v>95.92000358505175</x:v>
      </x:c>
      <x:c r="H1956" s="23" t="n">
        <x:v>12.66262732911855</x:v>
      </x:c>
      <x:c r="I1956" s="23" t="n">
        <x:v>0.8375633978168481</x:v>
      </x:c>
      <x:c r="J1956" s="23" t="n">
        <x:v>7</x:v>
      </x:c>
      <x:c r="K1956" s="23" t="n">
        <x:v>175.7058478278827</x:v>
      </x:c>
      <x:c r="L1956" s="23" t="n">
        <x:v>15490</x:v>
      </x:c>
      <x:c r="M1956" s="23" t="n">
        <x:v>1200</x:v>
      </x:c>
      <x:c r="N1956" s="23" t="n">
        <x:v>250.02583650322825</x:v>
      </x:c>
      <x:c r="O1956" s="23" t="n">
        <x:v>2502.8376863925128</x:v>
      </x:c>
      <x:c r="P1956" s="23" t="n">
        <x:v>1030.1535084610805</x:v>
      </x:c>
      <x:c r="Q1956" s="23" t="n">
        <x:v>252.41218393489123</x:v>
      </x:c>
      <x:c r="R1956" s="23" t="n">
        <x:v>2470.980722612723</x:v>
      </x:c>
      <x:c r="S1956" s="23" t="n">
        <x:v>1036.7804033012371</x:v>
      </x:c>
      <x:c r="T1956" s="23" t="n">
        <x:v>2.3863474316629834</x:v>
      </x:c>
      <x:c r="U1956" s="23" t="n">
        <x:v>-31.856963779789567</x:v>
      </x:c>
      <x:c r="V1956" s="23" t="n">
        <x:v>6.626894840156638</x:v>
      </x:c>
    </x:row>
    <x:row r="1957">
      <x:c r="A1957" s="23" t="n">
        <x:v>1956</x:v>
      </x:c>
      <x:c r="B1957" s="23" t="str">
        <x:v>Validation</x:v>
      </x:c>
      <x:c r="C1957" s="23" t="str">
        <x:v>Switching</x:v>
      </x:c>
      <x:c r="D1957" s="23" t="n">
        <x:v>1074.0707214339636</x:v>
      </x:c>
      <x:c r="E1957" s="23" t="n">
        <x:v>829.6886116731912</x:v>
      </x:c>
      <x:c r="F1957" s="23" t="n">
        <x:v>589.8704621009529</x:v>
      </x:c>
      <x:c r="G1957" s="23" t="n">
        <x:v>127.09736106451601</x:v>
      </x:c>
      <x:c r="H1957" s="23" t="n">
        <x:v>11.866975791286677</x:v>
      </x:c>
      <x:c r="I1957" s="23" t="n">
        <x:v>0.8252306400053203</x:v>
      </x:c>
      <x:c r="J1957" s="23" t="n">
        <x:v>7</x:v>
      </x:c>
      <x:c r="K1957" s="23" t="n">
        <x:v>185.93429164188208</x:v>
      </x:c>
      <x:c r="L1957" s="23" t="n">
        <x:v>13825</x:v>
      </x:c>
      <x:c r="M1957" s="23" t="n">
        <x:v>1200</x:v>
      </x:c>
      <x:c r="N1957" s="23" t="n">
        <x:v>249.96197570241662</x:v>
      </x:c>
      <x:c r="O1957" s="23" t="n">
        <x:v>2503.8033964384827</x:v>
      </x:c>
      <x:c r="P1957" s="23" t="n">
        <x:v>1074.0707214339636</x:v>
      </x:c>
      <x:c r="Q1957" s="23" t="n">
        <x:v>248.7000859942027</x:v>
      </x:c>
      <x:c r="R1957" s="23" t="n">
        <x:v>2481.1199588008512</x:v>
      </x:c>
      <x:c r="S1957" s="23" t="n">
        <x:v>1078.0257253233444</x:v>
      </x:c>
      <x:c r="T1957" s="23" t="n">
        <x:v>-1.2618897082139142</x:v>
      </x:c>
      <x:c r="U1957" s="23" t="n">
        <x:v>-22.683437637631414</x:v>
      </x:c>
      <x:c r="V1957" s="23" t="n">
        <x:v>3.955003889380805</x:v>
      </x:c>
    </x:row>
    <x:row r="1958">
      <x:c r="A1958" s="23" t="n">
        <x:v>1957</x:v>
      </x:c>
      <x:c r="B1958" s="23" t="str">
        <x:v>Validation</x:v>
      </x:c>
      <x:c r="C1958" s="23" t="str">
        <x:v>Switching</x:v>
      </x:c>
      <x:c r="D1958" s="23" t="n">
        <x:v>952.2250732872635</x:v>
      </x:c>
      <x:c r="E1958" s="23" t="n">
        <x:v>927.269272308331</x:v>
      </x:c>
      <x:c r="F1958" s="23" t="n">
        <x:v>712.4204350635409</x:v>
      </x:c>
      <x:c r="G1958" s="23" t="n">
        <x:v>310.6883310084231</x:v>
      </x:c>
      <x:c r="H1958" s="23" t="n">
        <x:v>12.680613406002522</x:v>
      </x:c>
      <x:c r="I1958" s="23" t="n">
        <x:v>0.8257099328399636</x:v>
      </x:c>
      <x:c r="J1958" s="23" t="n">
        <x:v>6</x:v>
      </x:c>
      <x:c r="K1958" s="23" t="n">
        <x:v>192.20330599071298</x:v>
      </x:c>
      <x:c r="L1958" s="23" t="n">
        <x:v>12790</x:v>
      </x:c>
      <x:c r="M1958" s="23" t="n">
        <x:v>1200</x:v>
      </x:c>
      <x:c r="N1958" s="23" t="n">
        <x:v>249.95260275192553</x:v>
      </x:c>
      <x:c r="O1958" s="23" t="n">
        <x:v>2504.531606260302</x:v>
      </x:c>
      <x:c r="P1958" s="23" t="n">
        <x:v>952.2250732872635</x:v>
      </x:c>
      <x:c r="Q1958" s="23" t="n">
        <x:v>251.0649445219592</x:v>
      </x:c>
      <x:c r="R1958" s="23" t="n">
        <x:v>2541.6435395365083</x:v>
      </x:c>
      <x:c r="S1958" s="23" t="n">
        <x:v>950.1321755331819</x:v>
      </x:c>
      <x:c r="T1958" s="23" t="n">
        <x:v>1.1123417700336802</x:v>
      </x:c>
      <x:c r="U1958" s="23" t="n">
        <x:v>37.1119332762064</x:v>
      </x:c>
      <x:c r="V1958" s="23" t="n">
        <x:v>-2.092897754081605</x:v>
      </x:c>
    </x:row>
    <x:row r="1959">
      <x:c r="A1959" s="23" t="n">
        <x:v>1958</x:v>
      </x:c>
      <x:c r="B1959" s="23" t="str">
        <x:v>Hidden Test</x:v>
      </x:c>
      <x:c r="C1959" s="23" t="str">
        <x:v>Switching</x:v>
      </x:c>
      <x:c r="D1959" s="23" t="n">
        <x:v>1018.3228860725649</x:v>
      </x:c>
      <x:c r="E1959" s="23" t="n">
        <x:v>1195.1839051907882</x:v>
      </x:c>
      <x:c r="F1959" s="23" t="n">
        <x:v>653.5273102112114</x:v>
      </x:c>
      <x:c r="G1959" s="23" t="n">
        <x:v>136.53531616553664</x:v>
      </x:c>
      <x:c r="H1959" s="23" t="n">
        <x:v>8.541854111943394</x:v>
      </x:c>
      <x:c r="I1959" s="23" t="n">
        <x:v>0.7928928390285</x:v>
      </x:c>
      <x:c r="J1959" s="23" t="n">
        <x:v>7</x:v>
      </x:c>
      <x:c r="K1959" s="23" t="n">
        <x:v>183.47334072106233</x:v>
      </x:c>
      <x:c r="L1959" s="23" t="n">
        <x:v>10770</x:v>
      </x:c>
      <x:c r="M1959" s="23" t="n">
        <x:v>1195</x:v>
      </x:c>
      <x:c r="N1959" s="23" t="n">
        <x:v>249.94535566310915</x:v>
      </x:c>
      <x:c r="O1959" s="23" t="n">
        <x:v>2495.9133649549376</x:v>
      </x:c>
      <x:c r="P1959" s="23" t="n">
        <x:v>1018.3228860725649</x:v>
      </x:c>
      <x:c r="Q1959" s="23" t="n">
        <x:v>255.42429578823138</x:v>
      </x:c>
      <x:c r="R1959" s="23" t="n">
        <x:v>2552.644213943543</x:v>
      </x:c>
      <x:c r="S1959" s="23" t="n">
        <x:v>1010.3328448483712</x:v>
      </x:c>
      <x:c r="T1959" s="23" t="n">
        <x:v>5.478940125122222</x:v>
      </x:c>
      <x:c r="U1959" s="23" t="n">
        <x:v>56.73084898860543</x:v>
      </x:c>
      <x:c r="V1959" s="23" t="n">
        <x:v>-7.9900412241936465</x:v>
      </x:c>
    </x:row>
    <x:row r="1960">
      <x:c r="A1960" s="23" t="n">
        <x:v>1959</x:v>
      </x:c>
      <x:c r="B1960" s="23" t="str">
        <x:v>Hidden Test</x:v>
      </x:c>
      <x:c r="C1960" s="23" t="str">
        <x:v>Switching</x:v>
      </x:c>
      <x:c r="D1960" s="23" t="n">
        <x:v>952.523624454625</x:v>
      </x:c>
      <x:c r="E1960" s="23" t="n">
        <x:v>909.4239655998535</x:v>
      </x:c>
      <x:c r="F1960" s="23" t="n">
        <x:v>552.9441714286804</x:v>
      </x:c>
      <x:c r="G1960" s="23" t="n">
        <x:v>168.35907088359818</x:v>
      </x:c>
      <x:c r="H1960" s="23" t="n">
        <x:v>24.85019727330655</x:v>
      </x:c>
      <x:c r="I1960" s="23" t="n">
        <x:v>0.8593949644989335</x:v>
      </x:c>
      <x:c r="J1960" s="23" t="n">
        <x:v>6</x:v>
      </x:c>
      <x:c r="K1960" s="23" t="n">
        <x:v>184.72756295664934</x:v>
      </x:c>
      <x:c r="L1960" s="23" t="n">
        <x:v>15300</x:v>
      </x:c>
      <x:c r="M1960" s="23" t="n">
        <x:v>1200</x:v>
      </x:c>
      <x:c r="N1960" s="23" t="n">
        <x:v>250.00083042036232</x:v>
      </x:c>
      <x:c r="O1960" s="23" t="n">
        <x:v>2502.936676476598</x:v>
      </x:c>
      <x:c r="P1960" s="23" t="n">
        <x:v>952.523624454625</x:v>
      </x:c>
      <x:c r="Q1960" s="23" t="n">
        <x:v>246.74586469902317</x:v>
      </x:c>
      <x:c r="R1960" s="23" t="n">
        <x:v>2494.760587940864</x:v>
      </x:c>
      <x:c r="S1960" s="23" t="n">
        <x:v>943.5291308956832</x:v>
      </x:c>
      <x:c r="T1960" s="23" t="n">
        <x:v>-3.254965721339147</x:v>
      </x:c>
      <x:c r="U1960" s="23" t="n">
        <x:v>-8.17608853573438</x:v>
      </x:c>
      <x:c r="V1960" s="23" t="n">
        <x:v>-8.994493558941713</x:v>
      </x:c>
    </x:row>
    <x:row r="1961">
      <x:c r="A1961" s="23" t="n">
        <x:v>1960</x:v>
      </x:c>
      <x:c r="B1961" s="23" t="str">
        <x:v>Hidden Test</x:v>
      </x:c>
      <x:c r="C1961" s="23" t="str">
        <x:v>Switching</x:v>
      </x:c>
      <x:c r="D1961" s="23" t="n">
        <x:v>1000.6597907165997</x:v>
      </x:c>
      <x:c r="E1961" s="23" t="n">
        <x:v>918.7285573221743</x:v>
      </x:c>
      <x:c r="F1961" s="23" t="n">
        <x:v>660.9666920267045</x:v>
      </x:c>
      <x:c r="G1961" s="23" t="n">
        <x:v>284.67058720532805</x:v>
      </x:c>
      <x:c r="H1961" s="23" t="n">
        <x:v>18.4002748853527</x:v>
      </x:c>
      <x:c r="I1961" s="23" t="n">
        <x:v>0.8178314817044884</x:v>
      </x:c>
      <x:c r="J1961" s="23" t="n">
        <x:v>7</x:v>
      </x:c>
      <x:c r="K1961" s="23" t="n">
        <x:v>174.79322069611084</x:v>
      </x:c>
      <x:c r="L1961" s="23" t="n">
        <x:v>11470</x:v>
      </x:c>
      <x:c r="M1961" s="23" t="n">
        <x:v>1195</x:v>
      </x:c>
      <x:c r="N1961" s="23" t="n">
        <x:v>249.9826665358076</x:v>
      </x:c>
      <x:c r="O1961" s="23" t="n">
        <x:v>2495.2126262143834</x:v>
      </x:c>
      <x:c r="P1961" s="23" t="n">
        <x:v>1000.6597907165997</x:v>
      </x:c>
      <x:c r="Q1961" s="23" t="n">
        <x:v>248.7747957526244</x:v>
      </x:c>
      <x:c r="R1961" s="23" t="n">
        <x:v>2499.624823019584</x:v>
      </x:c>
      <x:c r="S1961" s="23" t="n">
        <x:v>992.8087750019762</x:v>
      </x:c>
      <x:c r="T1961" s="23" t="n">
        <x:v>-1.207870783183182</x:v>
      </x:c>
      <x:c r="U1961" s="23" t="n">
        <x:v>4.412196805200438</x:v>
      </x:c>
      <x:c r="V1961" s="23" t="n">
        <x:v>-7.851015714623486</x:v>
      </x:c>
    </x:row>
    <x:row r="1962">
      <x:c r="A1962" s="23" t="n">
        <x:v>1961</x:v>
      </x:c>
      <x:c r="B1962" s="23" t="str">
        <x:v>Train</x:v>
      </x:c>
      <x:c r="C1962" s="23" t="str">
        <x:v>Switching</x:v>
      </x:c>
      <x:c r="D1962" s="23" t="n">
        <x:v>968.0151803418994</x:v>
      </x:c>
      <x:c r="E1962" s="23" t="n">
        <x:v>1048.3647827408276</x:v>
      </x:c>
      <x:c r="F1962" s="23" t="n">
        <x:v>438.2682206109166</x:v>
      </x:c>
      <x:c r="G1962" s="23" t="n">
        <x:v>301.46223444724455</x:v>
      </x:c>
      <x:c r="H1962" s="23" t="n">
        <x:v>28.66330577991903</x:v>
      </x:c>
      <x:c r="I1962" s="23" t="n">
        <x:v>0.8353307753917761</x:v>
      </x:c>
      <x:c r="J1962" s="23" t="n">
        <x:v>6</x:v>
      </x:c>
      <x:c r="K1962" s="23" t="n">
        <x:v>193.14009269519477</x:v>
      </x:c>
      <x:c r="L1962" s="23" t="n">
        <x:v>13955</x:v>
      </x:c>
      <x:c r="M1962" s="23" t="n">
        <x:v>1200</x:v>
      </x:c>
      <x:c r="N1962" s="23" t="n">
        <x:v>250.02846242894336</x:v>
      </x:c>
      <x:c r="O1962" s="23" t="n">
        <x:v>2503.7218799985217</x:v>
      </x:c>
      <x:c r="P1962" s="23" t="n">
        <x:v>968.0151803418994</x:v>
      </x:c>
      <x:c r="Q1962" s="23" t="n">
        <x:v>249.56599492267543</x:v>
      </x:c>
      <x:c r="R1962" s="23" t="n">
        <x:v>2559.8159475090706</x:v>
      </x:c>
      <x:c r="S1962" s="23" t="n">
        <x:v>952.2715176789428</x:v>
      </x:c>
      <x:c r="T1962" s="23" t="n">
        <x:v>-0.4624675062679273</x:v>
      </x:c>
      <x:c r="U1962" s="23" t="n">
        <x:v>56.09406751054894</x:v>
      </x:c>
      <x:c r="V1962" s="23" t="n">
        <x:v>-15.74366266295658</x:v>
      </x:c>
    </x:row>
    <x:row r="1963">
      <x:c r="A1963" s="23" t="n">
        <x:v>1962</x:v>
      </x:c>
      <x:c r="B1963" s="23" t="str">
        <x:v>Train</x:v>
      </x:c>
      <x:c r="C1963" s="23" t="str">
        <x:v>Switching</x:v>
      </x:c>
      <x:c r="D1963" s="23" t="n">
        <x:v>978.7777644232847</x:v>
      </x:c>
      <x:c r="E1963" s="23" t="n">
        <x:v>789.5264100516215</x:v>
      </x:c>
      <x:c r="F1963" s="23" t="n">
        <x:v>719.9294508434832</x:v>
      </x:c>
      <x:c r="G1963" s="23" t="n">
        <x:v>150.99527376703918</x:v>
      </x:c>
      <x:c r="H1963" s="23" t="n">
        <x:v>27.10339852096513</x:v>
      </x:c>
      <x:c r="I1963" s="23" t="n">
        <x:v>0.8396891973586753</x:v>
      </x:c>
      <x:c r="J1963" s="23" t="n">
        <x:v>6</x:v>
      </x:c>
      <x:c r="K1963" s="23" t="n">
        <x:v>194.2738193095981</x:v>
      </x:c>
      <x:c r="L1963" s="23" t="n">
        <x:v>15025</x:v>
      </x:c>
      <x:c r="M1963" s="23" t="n">
        <x:v>1200</x:v>
      </x:c>
      <x:c r="N1963" s="23" t="n">
        <x:v>249.98237615043274</x:v>
      </x:c>
      <x:c r="O1963" s="23" t="n">
        <x:v>2503.08498698151</x:v>
      </x:c>
      <x:c r="P1963" s="23" t="n">
        <x:v>978.7777644232847</x:v>
      </x:c>
      <x:c r="Q1963" s="23" t="n">
        <x:v>246.5031890875358</x:v>
      </x:c>
      <x:c r="R1963" s="23" t="n">
        <x:v>2454.1054794653023</x:v>
      </x:c>
      <x:c r="S1963" s="23" t="n">
        <x:v>973.017178800204</x:v>
      </x:c>
      <x:c r="T1963" s="23" t="n">
        <x:v>-3.479187062896955</x:v>
      </x:c>
      <x:c r="U1963" s="23" t="n">
        <x:v>-48.97950751620783</x:v>
      </x:c>
      <x:c r="V1963" s="23" t="n">
        <x:v>-5.760585623080715</x:v>
      </x:c>
    </x:row>
    <x:row r="1964">
      <x:c r="A1964" s="23" t="n">
        <x:v>1963</x:v>
      </x:c>
      <x:c r="B1964" s="23" t="str">
        <x:v>Train</x:v>
      </x:c>
      <x:c r="C1964" s="23" t="str">
        <x:v>Switching</x:v>
      </x:c>
      <x:c r="D1964" s="23" t="n">
        <x:v>980.9585063485429</x:v>
      </x:c>
      <x:c r="E1964" s="23" t="n">
        <x:v>1003.8233517319895</x:v>
      </x:c>
      <x:c r="F1964" s="23" t="n">
        <x:v>422.6066906005144</x:v>
      </x:c>
      <x:c r="G1964" s="23" t="n">
        <x:v>171.31188149331138</x:v>
      </x:c>
      <x:c r="H1964" s="23" t="n">
        <x:v>27.233248964883387</x:v>
      </x:c>
      <x:c r="I1964" s="23" t="n">
        <x:v>0.8056760797533207</x:v>
      </x:c>
      <x:c r="J1964" s="23" t="n">
        <x:v>7</x:v>
      </x:c>
      <x:c r="K1964" s="23" t="n">
        <x:v>173.937061059663</x:v>
      </x:c>
      <x:c r="L1964" s="23" t="n">
        <x:v>13385</x:v>
      </x:c>
      <x:c r="M1964" s="23" t="n">
        <x:v>1200</x:v>
      </x:c>
      <x:c r="N1964" s="23" t="n">
        <x:v>250.0003241021762</x:v>
      </x:c>
      <x:c r="O1964" s="23" t="n">
        <x:v>2504.100775286975</x:v>
      </x:c>
      <x:c r="P1964" s="23" t="n">
        <x:v>980.9585063485429</x:v>
      </x:c>
      <x:c r="Q1964" s="23" t="n">
        <x:v>249.2114030073138</x:v>
      </x:c>
      <x:c r="R1964" s="23" t="n">
        <x:v>2553.3622123271025</x:v>
      </x:c>
      <x:c r="S1964" s="23" t="n">
        <x:v>971.8741679677398</x:v>
      </x:c>
      <x:c r="T1964" s="23" t="n">
        <x:v>-0.7889210948623884</x:v>
      </x:c>
      <x:c r="U1964" s="23" t="n">
        <x:v>49.261437040127475</x:v>
      </x:c>
      <x:c r="V1964" s="23" t="n">
        <x:v>-9.084338380803047</x:v>
      </x:c>
    </x:row>
    <x:row r="1965">
      <x:c r="A1965" s="23" t="n">
        <x:v>1964</x:v>
      </x:c>
      <x:c r="B1965" s="23" t="str">
        <x:v>Train</x:v>
      </x:c>
      <x:c r="C1965" s="23" t="str">
        <x:v>Switching</x:v>
      </x:c>
      <x:c r="D1965" s="23" t="n">
        <x:v>971.4608757174574</x:v>
      </x:c>
      <x:c r="E1965" s="23" t="n">
        <x:v>1248.1097856070846</x:v>
      </x:c>
      <x:c r="F1965" s="23" t="n">
        <x:v>654.2041937820613</x:v>
      </x:c>
      <x:c r="G1965" s="23" t="n">
        <x:v>317.551421741955</x:v>
      </x:c>
      <x:c r="H1965" s="23" t="n">
        <x:v>15.857697832863778</x:v>
      </x:c>
      <x:c r="I1965" s="23" t="n">
        <x:v>0.8207960003986955</x:v>
      </x:c>
      <x:c r="J1965" s="23" t="n">
        <x:v>6</x:v>
      </x:c>
      <x:c r="K1965" s="23" t="n">
        <x:v>197.25991095748873</x:v>
      </x:c>
      <x:c r="L1965" s="23" t="n">
        <x:v>11240</x:v>
      </x:c>
      <x:c r="M1965" s="23" t="n">
        <x:v>1195</x:v>
      </x:c>
      <x:c r="N1965" s="23" t="n">
        <x:v>250.01238767912804</x:v>
      </x:c>
      <x:c r="O1965" s="23" t="n">
        <x:v>2495.435089403794</x:v>
      </x:c>
      <x:c r="P1965" s="23" t="n">
        <x:v>971.4608757174574</x:v>
      </x:c>
      <x:c r="Q1965" s="23" t="n">
        <x:v>251.2036091129732</x:v>
      </x:c>
      <x:c r="R1965" s="23" t="n">
        <x:v>2534.970786538294</x:v>
      </x:c>
      <x:c r="S1965" s="23" t="n">
        <x:v>960.8949835674848</x:v>
      </x:c>
      <x:c r="T1965" s="23" t="n">
        <x:v>1.1912214338451577</x:v>
      </x:c>
      <x:c r="U1965" s="23" t="n">
        <x:v>39.53569713449997</x:v>
      </x:c>
      <x:c r="V1965" s="23" t="n">
        <x:v>-10.56589214997257</x:v>
      </x:c>
    </x:row>
    <x:row r="1966">
      <x:c r="A1966" s="23" t="n">
        <x:v>1965</x:v>
      </x:c>
      <x:c r="B1966" s="23" t="str">
        <x:v>Train</x:v>
      </x:c>
      <x:c r="C1966" s="23" t="str">
        <x:v>Switching</x:v>
      </x:c>
      <x:c r="D1966" s="23" t="n">
        <x:v>1011.3133904989809</x:v>
      </x:c>
      <x:c r="E1966" s="23" t="n">
        <x:v>1062.498885660898</x:v>
      </x:c>
      <x:c r="F1966" s="23" t="n">
        <x:v>726.0608544573188</x:v>
      </x:c>
      <x:c r="G1966" s="23" t="n">
        <x:v>322.6204735529609</x:v>
      </x:c>
      <x:c r="H1966" s="23" t="n">
        <x:v>21.442680720239878</x:v>
      </x:c>
      <x:c r="I1966" s="23" t="n">
        <x:v>0.8260161221795715</x:v>
      </x:c>
      <x:c r="J1966" s="23" t="n">
        <x:v>7</x:v>
      </x:c>
      <x:c r="K1966" s="23" t="n">
        <x:v>174.90377926115912</x:v>
      </x:c>
      <x:c r="L1966" s="23" t="n">
        <x:v>10130</x:v>
      </x:c>
      <x:c r="M1966" s="23" t="n">
        <x:v>1195</x:v>
      </x:c>
      <x:c r="N1966" s="23" t="n">
        <x:v>250.0059587932639</x:v>
      </x:c>
      <x:c r="O1966" s="23" t="n">
        <x:v>2496.6433955837397</x:v>
      </x:c>
      <x:c r="P1966" s="23" t="n">
        <x:v>1011.3133904989809</x:v>
      </x:c>
      <x:c r="Q1966" s="23" t="n">
        <x:v>248.942693430479</x:v>
      </x:c>
      <x:c r="R1966" s="23" t="n">
        <x:v>2536.0792825928443</x:v>
      </x:c>
      <x:c r="S1966" s="23" t="n">
        <x:v>999.2284947937162</x:v>
      </x:c>
      <x:c r="T1966" s="23" t="n">
        <x:v>-1.0632653627848754</x:v>
      </x:c>
      <x:c r="U1966" s="23" t="n">
        <x:v>39.43588700910459</x:v>
      </x:c>
      <x:c r="V1966" s="23" t="n">
        <x:v>-12.084895705264671</x:v>
      </x:c>
    </x:row>
    <x:row r="1967">
      <x:c r="A1967" s="23" t="n">
        <x:v>1966</x:v>
      </x:c>
      <x:c r="B1967" s="23" t="str">
        <x:v>Train</x:v>
      </x:c>
      <x:c r="C1967" s="23" t="str">
        <x:v>Switching</x:v>
      </x:c>
      <x:c r="D1967" s="23" t="n">
        <x:v>955.6862449389882</x:v>
      </x:c>
      <x:c r="E1967" s="23" t="n">
        <x:v>956.4914830727503</x:v>
      </x:c>
      <x:c r="F1967" s="23" t="n">
        <x:v>497.26513968780637</x:v>
      </x:c>
      <x:c r="G1967" s="23" t="n">
        <x:v>205.6662718951702</x:v>
      </x:c>
      <x:c r="H1967" s="23" t="n">
        <x:v>26.501410523895174</x:v>
      </x:c>
      <x:c r="I1967" s="23" t="n">
        <x:v>0.801282033692114</x:v>
      </x:c>
      <x:c r="J1967" s="23" t="n">
        <x:v>6</x:v>
      </x:c>
      <x:c r="K1967" s="23" t="n">
        <x:v>198.78274331103637</x:v>
      </x:c>
      <x:c r="L1967" s="23" t="n">
        <x:v>15035</x:v>
      </x:c>
      <x:c r="M1967" s="23" t="n">
        <x:v>1200</x:v>
      </x:c>
      <x:c r="N1967" s="23" t="n">
        <x:v>249.99383392972612</x:v>
      </x:c>
      <x:c r="O1967" s="23" t="n">
        <x:v>2503.0798564751735</x:v>
      </x:c>
      <x:c r="P1967" s="23" t="n">
        <x:v>955.6862449389882</x:v>
      </x:c>
      <x:c r="Q1967" s="23" t="n">
        <x:v>251.33689137574697</x:v>
      </x:c>
      <x:c r="R1967" s="23" t="n">
        <x:v>2524.3575487835706</x:v>
      </x:c>
      <x:c r="S1967" s="23" t="n">
        <x:v>952.4220351392435</x:v>
      </x:c>
      <x:c r="T1967" s="23" t="n">
        <x:v>1.3430574460208504</x:v>
      </x:c>
      <x:c r="U1967" s="23" t="n">
        <x:v>21.277692308397036</x:v>
      </x:c>
      <x:c r="V1967" s="23" t="n">
        <x:v>-3.2642097997447763</x:v>
      </x:c>
    </x:row>
    <x:row r="1968">
      <x:c r="A1968" s="23" t="n">
        <x:v>1967</x:v>
      </x:c>
      <x:c r="B1968" s="23" t="str">
        <x:v>Train</x:v>
      </x:c>
      <x:c r="C1968" s="23" t="str">
        <x:v>Switching</x:v>
      </x:c>
      <x:c r="D1968" s="23" t="n">
        <x:v>1046.6481561074033</x:v>
      </x:c>
      <x:c r="E1968" s="23" t="n">
        <x:v>1065.6377763603814</x:v>
      </x:c>
      <x:c r="F1968" s="23" t="n">
        <x:v>364.2402745783329</x:v>
      </x:c>
      <x:c r="G1968" s="23" t="n">
        <x:v>197.1685554436408</x:v>
      </x:c>
      <x:c r="H1968" s="23" t="n">
        <x:v>12.29148010816425</x:v>
      </x:c>
      <x:c r="I1968" s="23" t="n">
        <x:v>0.8317471647798084</x:v>
      </x:c>
      <x:c r="J1968" s="23" t="n">
        <x:v>7</x:v>
      </x:c>
      <x:c r="K1968" s="23" t="n">
        <x:v>179.76756818616124</x:v>
      </x:c>
      <x:c r="L1968" s="23" t="n">
        <x:v>13145</x:v>
      </x:c>
      <x:c r="M1968" s="23" t="n">
        <x:v>1200</x:v>
      </x:c>
      <x:c r="N1968" s="23" t="n">
        <x:v>250.02047697281031</x:v>
      </x:c>
      <x:c r="O1968" s="23" t="n">
        <x:v>2504.271363705073</x:v>
      </x:c>
      <x:c r="P1968" s="23" t="n">
        <x:v>1046.6481561074033</x:v>
      </x:c>
      <x:c r="Q1968" s="23" t="n">
        <x:v>249.01181283787952</x:v>
      </x:c>
      <x:c r="R1968" s="23" t="n">
        <x:v>2486.3107600101084</x:v>
      </x:c>
      <x:c r="S1968" s="23" t="n">
        <x:v>1052.3790338073006</x:v>
      </x:c>
      <x:c r="T1968" s="23" t="n">
        <x:v>-1.0086641349307968</x:v>
      </x:c>
      <x:c r="U1968" s="23" t="n">
        <x:v>-17.960603694964448</x:v>
      </x:c>
      <x:c r="V1968" s="23" t="n">
        <x:v>5.730877699897292</x:v>
      </x:c>
    </x:row>
    <x:row r="1969">
      <x:c r="A1969" s="23" t="n">
        <x:v>1968</x:v>
      </x:c>
      <x:c r="B1969" s="23" t="str">
        <x:v>Train</x:v>
      </x:c>
      <x:c r="C1969" s="23" t="str">
        <x:v>Switching</x:v>
      </x:c>
      <x:c r="D1969" s="23" t="n">
        <x:v>1043.4801805648021</x:v>
      </x:c>
      <x:c r="E1969" s="23" t="n">
        <x:v>742.8475672379136</x:v>
      </x:c>
      <x:c r="F1969" s="23" t="n">
        <x:v>504.03130492195487</x:v>
      </x:c>
      <x:c r="G1969" s="23" t="n">
        <x:v>237.6577537925914</x:v>
      </x:c>
      <x:c r="H1969" s="23" t="n">
        <x:v>15.185077363159508</x:v>
      </x:c>
      <x:c r="I1969" s="23" t="n">
        <x:v>0.8475635724421591</x:v>
      </x:c>
      <x:c r="J1969" s="23" t="n">
        <x:v>7</x:v>
      </x:c>
      <x:c r="K1969" s="23" t="n">
        <x:v>175.87895713122586</x:v>
      </x:c>
      <x:c r="L1969" s="23" t="n">
        <x:v>14405</x:v>
      </x:c>
      <x:c r="M1969" s="23" t="n">
        <x:v>1200</x:v>
      </x:c>
      <x:c r="N1969" s="23" t="n">
        <x:v>249.98804299547677</x:v>
      </x:c>
      <x:c r="O1969" s="23" t="n">
        <x:v>2503.441784606994</x:v>
      </x:c>
      <x:c r="P1969" s="23" t="n">
        <x:v>1043.4801805648021</x:v>
      </x:c>
      <x:c r="Q1969" s="23" t="n">
        <x:v>249.10800186759707</x:v>
      </x:c>
      <x:c r="R1969" s="23" t="n">
        <x:v>2447.536834831959</x:v>
      </x:c>
      <x:c r="S1969" s="23" t="n">
        <x:v>1048.001675785763</x:v>
      </x:c>
      <x:c r="T1969" s="23" t="n">
        <x:v>-0.8800411278797071</x:v>
      </x:c>
      <x:c r="U1969" s="23" t="n">
        <x:v>-55.90494977503522</x:v>
      </x:c>
      <x:c r="V1969" s="23" t="n">
        <x:v>4.521495220960787</x:v>
      </x:c>
    </x:row>
    <x:row r="1970">
      <x:c r="A1970" s="23" t="n">
        <x:v>1969</x:v>
      </x:c>
      <x:c r="B1970" s="23" t="str">
        <x:v>Train</x:v>
      </x:c>
      <x:c r="C1970" s="23" t="str">
        <x:v>Switching</x:v>
      </x:c>
      <x:c r="D1970" s="23" t="n">
        <x:v>951.1662845499814</x:v>
      </x:c>
      <x:c r="E1970" s="23" t="n">
        <x:v>795.8699324517511</x:v>
      </x:c>
      <x:c r="F1970" s="23" t="n">
        <x:v>536.3128820434213</x:v>
      </x:c>
      <x:c r="G1970" s="23" t="n">
        <x:v>170.25657182792202</x:v>
      </x:c>
      <x:c r="H1970" s="23" t="n">
        <x:v>19.373020129278302</x:v>
      </x:c>
      <x:c r="I1970" s="23" t="n">
        <x:v>0.8266678529907949</x:v>
      </x:c>
      <x:c r="J1970" s="23" t="n">
        <x:v>6</x:v>
      </x:c>
      <x:c r="K1970" s="23" t="n">
        <x:v>191.7671208794771</x:v>
      </x:c>
      <x:c r="L1970" s="23" t="n">
        <x:v>16605</x:v>
      </x:c>
      <x:c r="M1970" s="23" t="n">
        <x:v>1200</x:v>
      </x:c>
      <x:c r="N1970" s="23" t="n">
        <x:v>249.97942613249393</x:v>
      </x:c>
      <x:c r="O1970" s="23" t="n">
        <x:v>2502.2965715619976</x:v>
      </x:c>
      <x:c r="P1970" s="23" t="n">
        <x:v>951.1662845499814</x:v>
      </x:c>
      <x:c r="Q1970" s="23" t="n">
        <x:v>249.28173640139244</x:v>
      </x:c>
      <x:c r="R1970" s="23" t="n">
        <x:v>2461.5712232327223</x:v>
      </x:c>
      <x:c r="S1970" s="23" t="n">
        <x:v>953.4484905870145</x:v>
      </x:c>
      <x:c r="T1970" s="23" t="n">
        <x:v>-0.6976897311014909</x:v>
      </x:c>
      <x:c r="U1970" s="23" t="n">
        <x:v>-40.72534832927522</x:v>
      </x:c>
      <x:c r="V1970" s="23" t="n">
        <x:v>2.28220603703312</x:v>
      </x:c>
    </x:row>
    <x:row r="1971">
      <x:c r="A1971" s="23" t="n">
        <x:v>1970</x:v>
      </x:c>
      <x:c r="B1971" s="23" t="str">
        <x:v>Train</x:v>
      </x:c>
      <x:c r="C1971" s="23" t="str">
        <x:v>Switching</x:v>
      </x:c>
      <x:c r="D1971" s="23" t="n">
        <x:v>1071.5756766148843</x:v>
      </x:c>
      <x:c r="E1971" s="23" t="n">
        <x:v>766.9528735103086</x:v>
      </x:c>
      <x:c r="F1971" s="23" t="n">
        <x:v>525.5224176682532</x:v>
      </x:c>
      <x:c r="G1971" s="23" t="n">
        <x:v>296.6852739173919</x:v>
      </x:c>
      <x:c r="H1971" s="23" t="n">
        <x:v>18.08342191623524</x:v>
      </x:c>
      <x:c r="I1971" s="23" t="n">
        <x:v>0.8060955991083757</x:v>
      </x:c>
      <x:c r="J1971" s="23" t="n">
        <x:v>7</x:v>
      </x:c>
      <x:c r="K1971" s="23" t="n">
        <x:v>189.90581227057518</x:v>
      </x:c>
      <x:c r="L1971" s="23" t="n">
        <x:v>13455</x:v>
      </x:c>
      <x:c r="M1971" s="23" t="n">
        <x:v>1200</x:v>
      </x:c>
      <x:c r="N1971" s="23" t="n">
        <x:v>249.95779746285393</x:v>
      </x:c>
      <x:c r="O1971" s="23" t="n">
        <x:v>2504.0508214815363</x:v>
      </x:c>
      <x:c r="P1971" s="23" t="n">
        <x:v>1071.5756766148843</x:v>
      </x:c>
      <x:c r="Q1971" s="23" t="n">
        <x:v>249.115455283773</x:v>
      </x:c>
      <x:c r="R1971" s="23" t="n">
        <x:v>2465.255903518501</x:v>
      </x:c>
      <x:c r="S1971" s="23" t="n">
        <x:v>1075.367418349445</x:v>
      </x:c>
      <x:c r="T1971" s="23" t="n">
        <x:v>-0.84234217908093</x:v>
      </x:c>
      <x:c r="U1971" s="23" t="n">
        <x:v>-38.79491796303546</x:v>
      </x:c>
      <x:c r="V1971" s="23" t="n">
        <x:v>3.7917417345606736</x:v>
      </x:c>
    </x:row>
    <x:row r="1972">
      <x:c r="A1972" s="23" t="n">
        <x:v>1971</x:v>
      </x:c>
      <x:c r="B1972" s="23" t="str">
        <x:v>Train</x:v>
      </x:c>
      <x:c r="C1972" s="23" t="str">
        <x:v>Switching</x:v>
      </x:c>
      <x:c r="D1972" s="23" t="n">
        <x:v>1098.157568066381</x:v>
      </x:c>
      <x:c r="E1972" s="23" t="n">
        <x:v>649.3821840384044</x:v>
      </x:c>
      <x:c r="F1972" s="23" t="n">
        <x:v>555.1265891641378</x:v>
      </x:c>
      <x:c r="G1972" s="23" t="n">
        <x:v>98.90976604772732</x:v>
      </x:c>
      <x:c r="H1972" s="23" t="n">
        <x:v>15.686587614007294</x:v>
      </x:c>
      <x:c r="I1972" s="23" t="n">
        <x:v>0.8041326846624725</x:v>
      </x:c>
      <x:c r="J1972" s="23" t="n">
        <x:v>7</x:v>
      </x:c>
      <x:c r="K1972" s="23" t="n">
        <x:v>195.0917498730454</x:v>
      </x:c>
      <x:c r="L1972" s="23" t="n">
        <x:v>16405</x:v>
      </x:c>
      <x:c r="M1972" s="23" t="n">
        <x:v>1200</x:v>
      </x:c>
      <x:c r="N1972" s="23" t="n">
        <x:v>249.9626586391628</x:v>
      </x:c>
      <x:c r="O1972" s="23" t="n">
        <x:v>2502.387460000684</x:v>
      </x:c>
      <x:c r="P1972" s="23" t="n">
        <x:v>1098.157568066381</x:v>
      </x:c>
      <x:c r="Q1972" s="23" t="n">
        <x:v>248.20823433773964</x:v>
      </x:c>
      <x:c r="R1972" s="23" t="n">
        <x:v>2501.753875528585</x:v>
      </x:c>
      <x:c r="S1972" s="23" t="n">
        <x:v>1113.118282858345</x:v>
      </x:c>
      <x:c r="T1972" s="23" t="n">
        <x:v>-1.754424301423171</x:v>
      </x:c>
      <x:c r="U1972" s="23" t="n">
        <x:v>-0.6335844720988462</x:v>
      </x:c>
      <x:c r="V1972" s="23" t="n">
        <x:v>14.960714791964165</x:v>
      </x:c>
    </x:row>
    <x:row r="1973">
      <x:c r="A1973" s="23" t="n">
        <x:v>1972</x:v>
      </x:c>
      <x:c r="B1973" s="23" t="str">
        <x:v>Train</x:v>
      </x:c>
      <x:c r="C1973" s="23" t="str">
        <x:v>Switching</x:v>
      </x:c>
      <x:c r="D1973" s="23" t="n">
        <x:v>1014.0214176266454</x:v>
      </x:c>
      <x:c r="E1973" s="23" t="n">
        <x:v>754.202480847016</x:v>
      </x:c>
      <x:c r="F1973" s="23" t="n">
        <x:v>404.07757638022304</x:v>
      </x:c>
      <x:c r="G1973" s="23" t="n">
        <x:v>312.65717492904514</x:v>
      </x:c>
      <x:c r="H1973" s="23" t="n">
        <x:v>29.394187062513083</x:v>
      </x:c>
      <x:c r="I1973" s="23" t="n">
        <x:v>0.8104073067940772</x:v>
      </x:c>
      <x:c r="J1973" s="23" t="n">
        <x:v>7</x:v>
      </x:c>
      <x:c r="K1973" s="23" t="n">
        <x:v>178.74987219840168</x:v>
      </x:c>
      <x:c r="L1973" s="23" t="n">
        <x:v>14540</x:v>
      </x:c>
      <x:c r="M1973" s="23" t="n">
        <x:v>1200</x:v>
      </x:c>
      <x:c r="N1973" s="23" t="n">
        <x:v>250.01962865820437</x:v>
      </x:c>
      <x:c r="O1973" s="23" t="n">
        <x:v>2503.362619815828</x:v>
      </x:c>
      <x:c r="P1973" s="23" t="n">
        <x:v>1014.0214176266454</x:v>
      </x:c>
      <x:c r="Q1973" s="23" t="n">
        <x:v>245.6128429155266</x:v>
      </x:c>
      <x:c r="R1973" s="23" t="n">
        <x:v>2464.7666917689635</x:v>
      </x:c>
      <x:c r="S1973" s="23" t="n">
        <x:v>1010.1441574543738</x:v>
      </x:c>
      <x:c r="T1973" s="23" t="n">
        <x:v>-4.406785742677755</x:v>
      </x:c>
      <x:c r="U1973" s="23" t="n">
        <x:v>-38.59592804686463</x:v>
      </x:c>
      <x:c r="V1973" s="23" t="n">
        <x:v>-3.8772601722715763</x:v>
      </x:c>
    </x:row>
    <x:row r="1974">
      <x:c r="A1974" s="23" t="n">
        <x:v>1973</x:v>
      </x:c>
      <x:c r="B1974" s="23" t="str">
        <x:v>Train</x:v>
      </x:c>
      <x:c r="C1974" s="23" t="str">
        <x:v>Switching</x:v>
      </x:c>
      <x:c r="D1974" s="23" t="n">
        <x:v>1020.9116343874484</x:v>
      </x:c>
      <x:c r="E1974" s="23" t="n">
        <x:v>1135.768841940444</x:v>
      </x:c>
      <x:c r="F1974" s="23" t="n">
        <x:v>433.12313836067915</x:v>
      </x:c>
      <x:c r="G1974" s="23" t="n">
        <x:v>227.6918741245754</x:v>
      </x:c>
      <x:c r="H1974" s="23" t="n">
        <x:v>19.069889783859253</x:v>
      </x:c>
      <x:c r="I1974" s="23" t="n">
        <x:v>0.8329099163995125</x:v>
      </x:c>
      <x:c r="J1974" s="23" t="n">
        <x:v>7</x:v>
      </x:c>
      <x:c r="K1974" s="23" t="n">
        <x:v>175.10239261967357</x:v>
      </x:c>
      <x:c r="L1974" s="23" t="n">
        <x:v>11905</x:v>
      </x:c>
      <x:c r="M1974" s="23" t="n">
        <x:v>1195</x:v>
      </x:c>
      <x:c r="N1974" s="23" t="n">
        <x:v>250.03006459003345</x:v>
      </x:c>
      <x:c r="O1974" s="23" t="n">
        <x:v>2494.8196977919933</x:v>
      </x:c>
      <x:c r="P1974" s="23" t="n">
        <x:v>1020.9116343874484</x:v>
      </x:c>
      <x:c r="Q1974" s="23" t="n">
        <x:v>248.4537932858434</x:v>
      </x:c>
      <x:c r="R1974" s="23" t="n">
        <x:v>2490.487756111493</x:v>
      </x:c>
      <x:c r="S1974" s="23" t="n">
        <x:v>1013.1117102417412</x:v>
      </x:c>
      <x:c r="T1974" s="23" t="n">
        <x:v>-1.576271304190044</x:v>
      </x:c>
      <x:c r="U1974" s="23" t="n">
        <x:v>-4.331941680500222</x:v>
      </x:c>
      <x:c r="V1974" s="23" t="n">
        <x:v>-7.799924145707223</x:v>
      </x:c>
    </x:row>
    <x:row r="1975">
      <x:c r="A1975" s="23" t="n">
        <x:v>1974</x:v>
      </x:c>
      <x:c r="B1975" s="23" t="str">
        <x:v>Train</x:v>
      </x:c>
      <x:c r="C1975" s="23" t="str">
        <x:v>Switching</x:v>
      </x:c>
      <x:c r="D1975" s="23" t="n">
        <x:v>1017.1014220570214</x:v>
      </x:c>
      <x:c r="E1975" s="23" t="n">
        <x:v>946.4918577810749</x:v>
      </x:c>
      <x:c r="F1975" s="23" t="n">
        <x:v>450.3182929940522</x:v>
      </x:c>
      <x:c r="G1975" s="23" t="n">
        <x:v>80.67069614306092</x:v>
      </x:c>
      <x:c r="H1975" s="23" t="n">
        <x:v>25.557277909014374</x:v>
      </x:c>
      <x:c r="I1975" s="23" t="n">
        <x:v>0.8511068103974686</x:v>
      </x:c>
      <x:c r="J1975" s="23" t="n">
        <x:v>6</x:v>
      </x:c>
      <x:c r="K1975" s="23" t="n">
        <x:v>199.17230317661952</x:v>
      </x:c>
      <x:c r="L1975" s="23" t="n">
        <x:v>16885</x:v>
      </x:c>
      <x:c r="M1975" s="23" t="n">
        <x:v>1200</x:v>
      </x:c>
      <x:c r="N1975" s="23" t="n">
        <x:v>249.97211289317636</x:v>
      </x:c>
      <x:c r="O1975" s="23" t="n">
        <x:v>2502.1720384337827</x:v>
      </x:c>
      <x:c r="P1975" s="23" t="n">
        <x:v>1017.1014220570214</x:v>
      </x:c>
      <x:c r="Q1975" s="23" t="n">
        <x:v>249.2593311630032</x:v>
      </x:c>
      <x:c r="R1975" s="23" t="n">
        <x:v>2525.9559982954074</x:v>
      </x:c>
      <x:c r="S1975" s="23" t="n">
        <x:v>1009.7201170300017</x:v>
      </x:c>
      <x:c r="T1975" s="23" t="n">
        <x:v>-0.7127817301731625</x:v>
      </x:c>
      <x:c r="U1975" s="23" t="n">
        <x:v>23.78395986162468</x:v>
      </x:c>
      <x:c r="V1975" s="23" t="n">
        <x:v>-7.381305027019721</x:v>
      </x:c>
    </x:row>
    <x:row r="1976">
      <x:c r="A1976" s="23" t="n">
        <x:v>1975</x:v>
      </x:c>
      <x:c r="B1976" s="23" t="str">
        <x:v>Validation</x:v>
      </x:c>
      <x:c r="C1976" s="23" t="str">
        <x:v>Switching</x:v>
      </x:c>
      <x:c r="D1976" s="23" t="n">
        <x:v>972.7859818609431</x:v>
      </x:c>
      <x:c r="E1976" s="23" t="n">
        <x:v>911.4248899859376</x:v>
      </x:c>
      <x:c r="F1976" s="23" t="n">
        <x:v>545.9680154919624</x:v>
      </x:c>
      <x:c r="G1976" s="23" t="n">
        <x:v>177.1337174414657</x:v>
      </x:c>
      <x:c r="H1976" s="23" t="n">
        <x:v>13.28362990450114</x:v>
      </x:c>
      <x:c r="I1976" s="23" t="n">
        <x:v>0.8512827255181037</x:v>
      </x:c>
      <x:c r="J1976" s="23" t="n">
        <x:v>6</x:v>
      </x:c>
      <x:c r="K1976" s="23" t="n">
        <x:v>190.45493596519117</x:v>
      </x:c>
      <x:c r="L1976" s="23" t="n">
        <x:v>15265</x:v>
      </x:c>
      <x:c r="M1976" s="23" t="n">
        <x:v>1200</x:v>
      </x:c>
      <x:c r="N1976" s="23" t="n">
        <x:v>250.00981272413168</x:v>
      </x:c>
      <x:c r="O1976" s="23" t="n">
        <x:v>2502.955634037718</x:v>
      </x:c>
      <x:c r="P1976" s="23" t="n">
        <x:v>972.7859818609431</x:v>
      </x:c>
      <x:c r="Q1976" s="23" t="n">
        <x:v>253.13036678488234</x:v>
      </x:c>
      <x:c r="R1976" s="23" t="n">
        <x:v>2537.8764088026933</x:v>
      </x:c>
      <x:c r="S1976" s="23" t="n">
        <x:v>980.6373831054351</x:v>
      </x:c>
      <x:c r="T1976" s="23" t="n">
        <x:v>3.1205540607506634</x:v>
      </x:c>
      <x:c r="U1976" s="23" t="n">
        <x:v>34.92077476497525</x:v>
      </x:c>
      <x:c r="V1976" s="23" t="n">
        <x:v>7.851401244491967</x:v>
      </x:c>
    </x:row>
    <x:row r="1977">
      <x:c r="A1977" s="23" t="n">
        <x:v>1976</x:v>
      </x:c>
      <x:c r="B1977" s="23" t="str">
        <x:v>Validation</x:v>
      </x:c>
      <x:c r="C1977" s="23" t="str">
        <x:v>Switching</x:v>
      </x:c>
      <x:c r="D1977" s="23" t="n">
        <x:v>1066.6178143466823</x:v>
      </x:c>
      <x:c r="E1977" s="23" t="n">
        <x:v>1045.6209647469223</x:v>
      </x:c>
      <x:c r="F1977" s="23" t="n">
        <x:v>682.17818653211</x:v>
      </x:c>
      <x:c r="G1977" s="23" t="n">
        <x:v>198.97784343454987</x:v>
      </x:c>
      <x:c r="H1977" s="23" t="n">
        <x:v>21.539670085068792</x:v>
      </x:c>
      <x:c r="I1977" s="23" t="n">
        <x:v>0.8426331416983158</x:v>
      </x:c>
      <x:c r="J1977" s="23" t="n">
        <x:v>7</x:v>
      </x:c>
      <x:c r="K1977" s="23" t="n">
        <x:v>180.83073871387228</x:v>
      </x:c>
      <x:c r="L1977" s="23" t="n">
        <x:v>11100</x:v>
      </x:c>
      <x:c r="M1977" s="23" t="n">
        <x:v>1195</x:v>
      </x:c>
      <x:c r="N1977" s="23" t="n">
        <x:v>250.01723474441758</x:v>
      </x:c>
      <x:c r="O1977" s="23" t="n">
        <x:v>2495.57442026562</x:v>
      </x:c>
      <x:c r="P1977" s="23" t="n">
        <x:v>1066.6178143466823</x:v>
      </x:c>
      <x:c r="Q1977" s="23" t="n">
        <x:v>253.7404186852327</x:v>
      </x:c>
      <x:c r="R1977" s="23" t="n">
        <x:v>2471.472068654271</x:v>
      </x:c>
      <x:c r="S1977" s="23" t="n">
        <x:v>1061.9932889661013</x:v>
      </x:c>
      <x:c r="T1977" s="23" t="n">
        <x:v>3.723183940815119</x:v>
      </x:c>
      <x:c r="U1977" s="23" t="n">
        <x:v>-24.10235161134915</x:v>
      </x:c>
      <x:c r="V1977" s="23" t="n">
        <x:v>-4.6245253805809625</x:v>
      </x:c>
    </x:row>
    <x:row r="1978">
      <x:c r="A1978" s="23" t="n">
        <x:v>1977</x:v>
      </x:c>
      <x:c r="B1978" s="23" t="str">
        <x:v>Validation</x:v>
      </x:c>
      <x:c r="C1978" s="23" t="str">
        <x:v>Switching</x:v>
      </x:c>
      <x:c r="D1978" s="23" t="n">
        <x:v>1099.5718356221914</x:v>
      </x:c>
      <x:c r="E1978" s="23" t="n">
        <x:v>1228.7633044994436</x:v>
      </x:c>
      <x:c r="F1978" s="23" t="n">
        <x:v>407.14838076382875</x:v>
      </x:c>
      <x:c r="G1978" s="23" t="n">
        <x:v>206.82381324702874</x:v>
      </x:c>
      <x:c r="H1978" s="23" t="n">
        <x:v>27.0750563275069</x:v>
      </x:c>
      <x:c r="I1978" s="23" t="n">
        <x:v>0.8133133053523489</x:v>
      </x:c>
      <x:c r="J1978" s="23" t="n">
        <x:v>7</x:v>
      </x:c>
      <x:c r="K1978" s="23" t="n">
        <x:v>193.137982336485</x:v>
      </x:c>
      <x:c r="L1978" s="23" t="n">
        <x:v>11605</x:v>
      </x:c>
      <x:c r="M1978" s="23" t="n">
        <x:v>1195</x:v>
      </x:c>
      <x:c r="N1978" s="23" t="n">
        <x:v>249.99070817803457</x:v>
      </x:c>
      <x:c r="O1978" s="23" t="n">
        <x:v>2495.0872363344115</x:v>
      </x:c>
      <x:c r="P1978" s="23" t="n">
        <x:v>1099.5718356221914</x:v>
      </x:c>
      <x:c r="Q1978" s="23" t="n">
        <x:v>250.7407178727951</x:v>
      </x:c>
      <x:c r="R1978" s="23" t="n">
        <x:v>2505.1926000015656</x:v>
      </x:c>
      <x:c r="S1978" s="23" t="n">
        <x:v>1085.7010721310974</x:v>
      </x:c>
      <x:c r="T1978" s="23" t="n">
        <x:v>0.7500096947605357</x:v>
      </x:c>
      <x:c r="U1978" s="23" t="n">
        <x:v>10.105363667154052</x:v>
      </x:c>
      <x:c r="V1978" s="23" t="n">
        <x:v>-13.870763491094067</x:v>
      </x:c>
    </x:row>
    <x:row r="1979">
      <x:c r="A1979" s="23" t="n">
        <x:v>1978</x:v>
      </x:c>
      <x:c r="B1979" s="23" t="str">
        <x:v>Hidden Test</x:v>
      </x:c>
      <x:c r="C1979" s="23" t="str">
        <x:v>Switching</x:v>
      </x:c>
      <x:c r="D1979" s="23" t="n">
        <x:v>1064.1419502557255</x:v>
      </x:c>
      <x:c r="E1979" s="23" t="n">
        <x:v>882.358299032785</x:v>
      </x:c>
      <x:c r="F1979" s="23" t="n">
        <x:v>566.0872177220881</x:v>
      </x:c>
      <x:c r="G1979" s="23" t="n">
        <x:v>249.066279893741</x:v>
      </x:c>
      <x:c r="H1979" s="23" t="n">
        <x:v>17.553026777226478</x:v>
      </x:c>
      <x:c r="I1979" s="23" t="n">
        <x:v>0.8189222764270381</x:v>
      </x:c>
      <x:c r="J1979" s="23" t="n">
        <x:v>7</x:v>
      </x:c>
      <x:c r="K1979" s="23" t="n">
        <x:v>185.63456262446056</x:v>
      </x:c>
      <x:c r="L1979" s="23" t="n">
        <x:v>12600</x:v>
      </x:c>
      <x:c r="M1979" s="23" t="n">
        <x:v>1200</x:v>
      </x:c>
      <x:c r="N1979" s="23" t="n">
        <x:v>250.03371801675092</x:v>
      </x:c>
      <x:c r="O1979" s="23" t="n">
        <x:v>2504.681555670651</x:v>
      </x:c>
      <x:c r="P1979" s="23" t="n">
        <x:v>1064.1419502557255</x:v>
      </x:c>
      <x:c r="Q1979" s="23" t="n">
        <x:v>253.76938348417295</x:v>
      </x:c>
      <x:c r="R1979" s="23" t="n">
        <x:v>2477.168063511949</x:v>
      </x:c>
      <x:c r="S1979" s="23" t="n">
        <x:v>1059.1161342432988</x:v>
      </x:c>
      <x:c r="T1979" s="23" t="n">
        <x:v>3.7356654674220238</x:v>
      </x:c>
      <x:c r="U1979" s="23" t="n">
        <x:v>-27.513492158701865</x:v>
      </x:c>
      <x:c r="V1979" s="23" t="n">
        <x:v>-5.025816012426731</x:v>
      </x:c>
    </x:row>
    <x:row r="1980">
      <x:c r="A1980" s="23" t="n">
        <x:v>1979</x:v>
      </x:c>
      <x:c r="B1980" s="23" t="str">
        <x:v>Hidden Test</x:v>
      </x:c>
      <x:c r="C1980" s="23" t="str">
        <x:v>Switching</x:v>
      </x:c>
      <x:c r="D1980" s="23" t="n">
        <x:v>1003.424182231538</x:v>
      </x:c>
      <x:c r="E1980" s="23" t="n">
        <x:v>913.4696357534267</x:v>
      </x:c>
      <x:c r="F1980" s="23" t="n">
        <x:v>626.2440953403711</x:v>
      </x:c>
      <x:c r="G1980" s="23" t="n">
        <x:v>140.76476274756715</x:v>
      </x:c>
      <x:c r="H1980" s="23" t="n">
        <x:v>10.26418609265238</x:v>
      </x:c>
      <x:c r="I1980" s="23" t="n">
        <x:v>0.7949298060196452</x:v>
      </x:c>
      <x:c r="J1980" s="23" t="n">
        <x:v>7</x:v>
      </x:c>
      <x:c r="K1980" s="23" t="n">
        <x:v>180.3257478356775</x:v>
      </x:c>
      <x:c r="L1980" s="23" t="n">
        <x:v>12725</x:v>
      </x:c>
      <x:c r="M1980" s="23" t="n">
        <x:v>1200</x:v>
      </x:c>
      <x:c r="N1980" s="23" t="n">
        <x:v>249.98023901523553</x:v>
      </x:c>
      <x:c r="O1980" s="23" t="n">
        <x:v>2504.582401408349</x:v>
      </x:c>
      <x:c r="P1980" s="23" t="n">
        <x:v>1003.424182231538</x:v>
      </x:c>
      <x:c r="Q1980" s="23" t="n">
        <x:v>253.3482328130796</x:v>
      </x:c>
      <x:c r="R1980" s="23" t="n">
        <x:v>2507.7095230464306</x:v>
      </x:c>
      <x:c r="S1980" s="23" t="n">
        <x:v>1010.0534126718263</x:v>
      </x:c>
      <x:c r="T1980" s="23" t="n">
        <x:v>3.367993797844065</x:v>
      </x:c>
      <x:c r="U1980" s="23" t="n">
        <x:v>3.127121638081462</x:v>
      </x:c>
      <x:c r="V1980" s="23" t="n">
        <x:v>6.629230440288325</x:v>
      </x:c>
    </x:row>
    <x:row r="1981">
      <x:c r="A1981" s="23" t="n">
        <x:v>1980</x:v>
      </x:c>
      <x:c r="B1981" s="23" t="str">
        <x:v>Hidden Test</x:v>
      </x:c>
      <x:c r="C1981" s="23" t="str">
        <x:v>Switching</x:v>
      </x:c>
      <x:c r="D1981" s="23" t="n">
        <x:v>1070.626229455229</x:v>
      </x:c>
      <x:c r="E1981" s="23" t="n">
        <x:v>859.9746968131512</x:v>
      </x:c>
      <x:c r="F1981" s="23" t="n">
        <x:v>525.7889802567661</x:v>
      </x:c>
      <x:c r="G1981" s="23" t="n">
        <x:v>109.2431766865775</x:v>
      </x:c>
      <x:c r="H1981" s="23" t="n">
        <x:v>13.076827238779515</x:v>
      </x:c>
      <x:c r="I1981" s="23" t="n">
        <x:v>0.7997144882380963</x:v>
      </x:c>
      <x:c r="J1981" s="23" t="n">
        <x:v>7</x:v>
      </x:c>
      <x:c r="K1981" s="23" t="n">
        <x:v>191.25151095468655</x:v>
      </x:c>
      <x:c r="L1981" s="23" t="n">
        <x:v>14305</x:v>
      </x:c>
      <x:c r="M1981" s="23" t="n">
        <x:v>1200</x:v>
      </x:c>
      <x:c r="N1981" s="23" t="n">
        <x:v>250.00346648310952</x:v>
      </x:c>
      <x:c r="O1981" s="23" t="n">
        <x:v>2503.502733897087</x:v>
      </x:c>
      <x:c r="P1981" s="23" t="n">
        <x:v>1070.626229455229</x:v>
      </x:c>
      <x:c r="Q1981" s="23" t="n">
        <x:v>249.81628723880266</x:v>
      </x:c>
      <x:c r="R1981" s="23" t="n">
        <x:v>2539.7903653255207</x:v>
      </x:c>
      <x:c r="S1981" s="23" t="n">
        <x:v>1074.641267369116</x:v>
      </x:c>
      <x:c r="T1981" s="23" t="n">
        <x:v>-0.1871792443068614</x:v>
      </x:c>
      <x:c r="U1981" s="23" t="n">
        <x:v>36.28763142843354</x:v>
      </x:c>
      <x:c r="V1981" s="23" t="n">
        <x:v>4.015037913886999</x:v>
      </x:c>
    </x:row>
    <x:row r="1982">
      <x:c r="A1982" s="23" t="n">
        <x:v>1981</x:v>
      </x:c>
      <x:c r="B1982" s="23" t="str">
        <x:v>Train</x:v>
      </x:c>
      <x:c r="C1982" s="23" t="str">
        <x:v>Switching</x:v>
      </x:c>
      <x:c r="D1982" s="23" t="n">
        <x:v>1039.292262075469</x:v>
      </x:c>
      <x:c r="E1982" s="23" t="n">
        <x:v>981.0792517731898</x:v>
      </x:c>
      <x:c r="F1982" s="23" t="n">
        <x:v>716.1550467833877</x:v>
      </x:c>
      <x:c r="G1982" s="23" t="n">
        <x:v>282.29644217761233</x:v>
      </x:c>
      <x:c r="H1982" s="23" t="n">
        <x:v>11.910076137632132</x:v>
      </x:c>
      <x:c r="I1982" s="23" t="n">
        <x:v>0.8239706421294251</x:v>
      </x:c>
      <x:c r="J1982" s="23" t="n">
        <x:v>7</x:v>
      </x:c>
      <x:c r="K1982" s="23" t="n">
        <x:v>180.1888508672345</x:v>
      </x:c>
      <x:c r="L1982" s="23" t="n">
        <x:v>10805</x:v>
      </x:c>
      <x:c r="M1982" s="23" t="n">
        <x:v>1195</x:v>
      </x:c>
      <x:c r="N1982" s="23" t="n">
        <x:v>250.03574736476006</x:v>
      </x:c>
      <x:c r="O1982" s="23" t="n">
        <x:v>2495.880230829845</x:v>
      </x:c>
      <x:c r="P1982" s="23" t="n">
        <x:v>1039.292262075469</x:v>
      </x:c>
      <x:c r="Q1982" s="23" t="n">
        <x:v>254.54126779341325</x:v>
      </x:c>
      <x:c r="R1982" s="23" t="n">
        <x:v>2501.5334500949557</x:v>
      </x:c>
      <x:c r="S1982" s="23" t="n">
        <x:v>1031.3033378966413</x:v>
      </x:c>
      <x:c r="T1982" s="23" t="n">
        <x:v>4.505520428653199</x:v>
      </x:c>
      <x:c r="U1982" s="23" t="n">
        <x:v>5.6532192651106925</x:v>
      </x:c>
      <x:c r="V1982" s="23" t="n">
        <x:v>-7.988924178827574</x:v>
      </x:c>
    </x:row>
    <x:row r="1983">
      <x:c r="A1983" s="23" t="n">
        <x:v>1982</x:v>
      </x:c>
      <x:c r="B1983" s="23" t="str">
        <x:v>Train</x:v>
      </x:c>
      <x:c r="C1983" s="23" t="str">
        <x:v>Switching</x:v>
      </x:c>
      <x:c r="D1983" s="23" t="n">
        <x:v>1007.1654137340374</x:v>
      </x:c>
      <x:c r="E1983" s="23" t="n">
        <x:v>798.0586598394439</x:v>
      </x:c>
      <x:c r="F1983" s="23" t="n">
        <x:v>500.285189319402</x:v>
      </x:c>
      <x:c r="G1983" s="23" t="n">
        <x:v>298.2369166985154</x:v>
      </x:c>
      <x:c r="H1983" s="23" t="n">
        <x:v>17.92504388326779</x:v>
      </x:c>
      <x:c r="I1983" s="23" t="n">
        <x:v>0.8118377463845536</x:v>
      </x:c>
      <x:c r="J1983" s="23" t="n">
        <x:v>7</x:v>
      </x:c>
      <x:c r="K1983" s="23" t="n">
        <x:v>177.22848442479653</x:v>
      </x:c>
      <x:c r="L1983" s="23" t="n">
        <x:v>13395</x:v>
      </x:c>
      <x:c r="M1983" s="23" t="n">
        <x:v>1200</x:v>
      </x:c>
      <x:c r="N1983" s="23" t="n">
        <x:v>250.00506956953572</x:v>
      </x:c>
      <x:c r="O1983" s="23" t="n">
        <x:v>2504.0940159542088</x:v>
      </x:c>
      <x:c r="P1983" s="23" t="n">
        <x:v>1007.1654137340374</x:v>
      </x:c>
      <x:c r="Q1983" s="23" t="n">
        <x:v>249.90176614446926</x:v>
      </x:c>
      <x:c r="R1983" s="23" t="n">
        <x:v>2469.1126539242505</x:v>
      </x:c>
      <x:c r="S1983" s="23" t="n">
        <x:v>1015.0997196402345</x:v>
      </x:c>
      <x:c r="T1983" s="23" t="n">
        <x:v>-0.10330342506645707</x:v>
      </x:c>
      <x:c r="U1983" s="23" t="n">
        <x:v>-34.98136202995829</x:v>
      </x:c>
      <x:c r="V1983" s="23" t="n">
        <x:v>7.934305906197096</x:v>
      </x:c>
    </x:row>
    <x:row r="1984">
      <x:c r="A1984" s="23" t="n">
        <x:v>1983</x:v>
      </x:c>
      <x:c r="B1984" s="23" t="str">
        <x:v>Train</x:v>
      </x:c>
      <x:c r="C1984" s="23" t="str">
        <x:v>Switching</x:v>
      </x:c>
      <x:c r="D1984" s="23" t="n">
        <x:v>1028.8785957032815</x:v>
      </x:c>
      <x:c r="E1984" s="23" t="n">
        <x:v>1163.000535510946</x:v>
      </x:c>
      <x:c r="F1984" s="23" t="n">
        <x:v>485.27110144495964</x:v>
      </x:c>
      <x:c r="G1984" s="23" t="n">
        <x:v>220.34991286462173</x:v>
      </x:c>
      <x:c r="H1984" s="23" t="n">
        <x:v>29.800062037073076</x:v>
      </x:c>
      <x:c r="I1984" s="23" t="n">
        <x:v>0.8519046732946299</x:v>
      </x:c>
      <x:c r="J1984" s="23" t="n">
        <x:v>7</x:v>
      </x:c>
      <x:c r="K1984" s="23" t="n">
        <x:v>172.53415920422646</x:v>
      </x:c>
      <x:c r="L1984" s="23" t="n">
        <x:v>11445</x:v>
      </x:c>
      <x:c r="M1984" s="23" t="n">
        <x:v>1195</x:v>
      </x:c>
      <x:c r="N1984" s="23" t="n">
        <x:v>250.00748430263963</x:v>
      </x:c>
      <x:c r="O1984" s="23" t="n">
        <x:v>2495.2372963501243</x:v>
      </x:c>
      <x:c r="P1984" s="23" t="n">
        <x:v>1028.8785957032815</x:v>
      </x:c>
      <x:c r="Q1984" s="23" t="n">
        <x:v>247.18982253842304</x:v>
      </x:c>
      <x:c r="R1984" s="23" t="n">
        <x:v>2506.3491336125444</x:v>
      </x:c>
      <x:c r="S1984" s="23" t="n">
        <x:v>1009.2439379404454</x:v>
      </x:c>
      <x:c r="T1984" s="23" t="n">
        <x:v>-2.817661764216581</x:v>
      </x:c>
      <x:c r="U1984" s="23" t="n">
        <x:v>11.111837262420067</x:v>
      </x:c>
      <x:c r="V1984" s="23" t="n">
        <x:v>-19.634657762836014</x:v>
      </x:c>
    </x:row>
    <x:row r="1985">
      <x:c r="A1985" s="23" t="n">
        <x:v>1984</x:v>
      </x:c>
      <x:c r="B1985" s="23" t="str">
        <x:v>Train</x:v>
      </x:c>
      <x:c r="C1985" s="23" t="str">
        <x:v>Switching</x:v>
      </x:c>
      <x:c r="D1985" s="23" t="n">
        <x:v>993.07712855516</x:v>
      </x:c>
      <x:c r="E1985" s="23" t="n">
        <x:v>1218.8800524920225</x:v>
      </x:c>
      <x:c r="F1985" s="23" t="n">
        <x:v>364.042132999748</x:v>
      </x:c>
      <x:c r="G1985" s="23" t="n">
        <x:v>314.91162166465074</x:v>
      </x:c>
      <x:c r="H1985" s="23" t="n">
        <x:v>14.694014446344227</x:v>
      </x:c>
      <x:c r="I1985" s="23" t="n">
        <x:v>0.8523311707656831</x:v>
      </x:c>
      <x:c r="J1985" s="23" t="n">
        <x:v>6</x:v>
      </x:c>
      <x:c r="K1985" s="23" t="n">
        <x:v>194.18843336505753</x:v>
      </x:c>
      <x:c r="L1985" s="23" t="n">
        <x:v>13145</x:v>
      </x:c>
      <x:c r="M1985" s="23" t="n">
        <x:v>1200</x:v>
      </x:c>
      <x:c r="N1985" s="23" t="n">
        <x:v>249.96958337367946</x:v>
      </x:c>
      <x:c r="O1985" s="23" t="n">
        <x:v>2504.2694315641875</x:v>
      </x:c>
      <x:c r="P1985" s="23" t="n">
        <x:v>993.07712855516</x:v>
      </x:c>
      <x:c r="Q1985" s="23" t="n">
        <x:v>253.61408502330033</x:v>
      </x:c>
      <x:c r="R1985" s="23" t="n">
        <x:v>2563.529647718223</x:v>
      </x:c>
      <x:c r="S1985" s="23" t="n">
        <x:v>997.4826308221951</x:v>
      </x:c>
      <x:c r="T1985" s="23" t="n">
        <x:v>3.644501649620878</x:v>
      </x:c>
      <x:c r="U1985" s="23" t="n">
        <x:v>59.260216154035334</x:v>
      </x:c>
      <x:c r="V1985" s="23" t="n">
        <x:v>4.405502267035104</x:v>
      </x:c>
    </x:row>
    <x:row r="1986">
      <x:c r="A1986" s="23" t="n">
        <x:v>1985</x:v>
      </x:c>
      <x:c r="B1986" s="23" t="str">
        <x:v>Train</x:v>
      </x:c>
      <x:c r="C1986" s="23" t="str">
        <x:v>Switching</x:v>
      </x:c>
      <x:c r="D1986" s="23" t="n">
        <x:v>1075.543292146176</x:v>
      </x:c>
      <x:c r="E1986" s="23" t="n">
        <x:v>746.3358420296572</x:v>
      </x:c>
      <x:c r="F1986" s="23" t="n">
        <x:v>424.3991369381547</x:v>
      </x:c>
      <x:c r="G1986" s="23" t="n">
        <x:v>153.64948192844167</x:v>
      </x:c>
      <x:c r="H1986" s="23" t="n">
        <x:v>26.737306067720056</x:v>
      </x:c>
      <x:c r="I1986" s="23" t="n">
        <x:v>0.7950141226802953</x:v>
      </x:c>
      <x:c r="J1986" s="23" t="n">
        <x:v>7</x:v>
      </x:c>
      <x:c r="K1986" s="23" t="n">
        <x:v>193.2658016403012</x:v>
      </x:c>
      <x:c r="L1986" s="23" t="n">
        <x:v>16150</x:v>
      </x:c>
      <x:c r="M1986" s="23" t="n">
        <x:v>1200</x:v>
      </x:c>
      <x:c r="N1986" s="23" t="n">
        <x:v>250.03567142959514</x:v>
      </x:c>
      <x:c r="O1986" s="23" t="n">
        <x:v>2502.5095068237692</x:v>
      </x:c>
      <x:c r="P1986" s="23" t="n">
        <x:v>1075.543292146176</x:v>
      </x:c>
      <x:c r="Q1986" s="23" t="n">
        <x:v>248.36801485116388</x:v>
      </x:c>
      <x:c r="R1986" s="23" t="n">
        <x:v>2483.4142601718286</x:v>
      </x:c>
      <x:c r="S1986" s="23" t="n">
        <x:v>1076.2563890903662</x:v>
      </x:c>
      <x:c r="T1986" s="23" t="n">
        <x:v>-1.667656578431263</x:v>
      </x:c>
      <x:c r="U1986" s="23" t="n">
        <x:v>-19.09524665194067</x:v>
      </x:c>
      <x:c r="V1986" s="23" t="n">
        <x:v>0.7130969441900561</x:v>
      </x:c>
    </x:row>
    <x:row r="1987">
      <x:c r="A1987" s="23" t="n">
        <x:v>1986</x:v>
      </x:c>
      <x:c r="B1987" s="23" t="str">
        <x:v>Train</x:v>
      </x:c>
      <x:c r="C1987" s="23" t="str">
        <x:v>Switching</x:v>
      </x:c>
      <x:c r="D1987" s="23" t="n">
        <x:v>1085.2114600711502</x:v>
      </x:c>
      <x:c r="E1987" s="23" t="n">
        <x:v>777.6022180216387</x:v>
      </x:c>
      <x:c r="F1987" s="23" t="n">
        <x:v>494.8594772256911</x:v>
      </x:c>
      <x:c r="G1987" s="23" t="n">
        <x:v>277.3476766142994</x:v>
      </x:c>
      <x:c r="H1987" s="23" t="n">
        <x:v>25.638140075374395</x:v>
      </x:c>
      <x:c r="I1987" s="23" t="n">
        <x:v>0.8545987298944966</x:v>
      </x:c>
      <x:c r="J1987" s="23" t="n">
        <x:v>7</x:v>
      </x:c>
      <x:c r="K1987" s="23" t="n">
        <x:v>181.40701964386483</x:v>
      </x:c>
      <x:c r="L1987" s="23" t="n">
        <x:v>13800</x:v>
      </x:c>
      <x:c r="M1987" s="23" t="n">
        <x:v>1200</x:v>
      </x:c>
      <x:c r="N1987" s="23" t="n">
        <x:v>250.0189015201544</x:v>
      </x:c>
      <x:c r="O1987" s="23" t="n">
        <x:v>2503.8217503154806</x:v>
      </x:c>
      <x:c r="P1987" s="23" t="n">
        <x:v>1085.2114600711502</x:v>
      </x:c>
      <x:c r="Q1987" s="23" t="n">
        <x:v>250.30957681754916</x:v>
      </x:c>
      <x:c r="R1987" s="23" t="n">
        <x:v>2507.172109567993</x:v>
      </x:c>
      <x:c r="S1987" s="23" t="n">
        <x:v>1080.9338350513308</x:v>
      </x:c>
      <x:c r="T1987" s="23" t="n">
        <x:v>0.29067529739475617</x:v>
      </x:c>
      <x:c r="U1987" s="23" t="n">
        <x:v>3.3503592525125896</x:v>
      </x:c>
      <x:c r="V1987" s="23" t="n">
        <x:v>-4.277625019819425</x:v>
      </x:c>
    </x:row>
    <x:row r="1988">
      <x:c r="A1988" s="23" t="n">
        <x:v>1987</x:v>
      </x:c>
      <x:c r="B1988" s="23" t="str">
        <x:v>Train</x:v>
      </x:c>
      <x:c r="C1988" s="23" t="str">
        <x:v>Switching</x:v>
      </x:c>
      <x:c r="D1988" s="23" t="n">
        <x:v>1063.130934140645</x:v>
      </x:c>
      <x:c r="E1988" s="23" t="n">
        <x:v>832.0961629622616</x:v>
      </x:c>
      <x:c r="F1988" s="23" t="n">
        <x:v>700.2147328108549</x:v>
      </x:c>
      <x:c r="G1988" s="23" t="n">
        <x:v>125.34948588116094</x:v>
      </x:c>
      <x:c r="H1988" s="23" t="n">
        <x:v>22.256293271668255</x:v>
      </x:c>
      <x:c r="I1988" s="23" t="n">
        <x:v>0.8337548331986182</x:v>
      </x:c>
      <x:c r="J1988" s="23" t="n">
        <x:v>7</x:v>
      </x:c>
      <x:c r="K1988" s="23" t="n">
        <x:v>182.15888134851483</x:v>
      </x:c>
      <x:c r="L1988" s="23" t="n">
        <x:v>12900</x:v>
      </x:c>
      <x:c r="M1988" s="23" t="n">
        <x:v>1200</x:v>
      </x:c>
      <x:c r="N1988" s="23" t="n">
        <x:v>249.97735772065053</x:v>
      </x:c>
      <x:c r="O1988" s="23" t="n">
        <x:v>2504.4495726136856</x:v>
      </x:c>
      <x:c r="P1988" s="23" t="n">
        <x:v>1063.130934140645</x:v>
      </x:c>
      <x:c r="Q1988" s="23" t="n">
        <x:v>248.2191266630537</x:v>
      </x:c>
      <x:c r="R1988" s="23" t="n">
        <x:v>2453.3237416678858</x:v>
      </x:c>
      <x:c r="S1988" s="23" t="n">
        <x:v>1059.059959247071</x:v>
      </x:c>
      <x:c r="T1988" s="23" t="n">
        <x:v>-1.758231057596845</x:v>
      </x:c>
      <x:c r="U1988" s="23" t="n">
        <x:v>-51.12583094579986</x:v>
      </x:c>
      <x:c r="V1988" s="23" t="n">
        <x:v>-4.070974893573975</x:v>
      </x:c>
    </x:row>
    <x:row r="1989">
      <x:c r="A1989" s="23" t="n">
        <x:v>1988</x:v>
      </x:c>
      <x:c r="B1989" s="23" t="str">
        <x:v>Train</x:v>
      </x:c>
      <x:c r="C1989" s="23" t="str">
        <x:v>Switching</x:v>
      </x:c>
      <x:c r="D1989" s="23" t="n">
        <x:v>1018.8741690828465</x:v>
      </x:c>
      <x:c r="E1989" s="23" t="n">
        <x:v>867.3788909334689</x:v>
      </x:c>
      <x:c r="F1989" s="23" t="n">
        <x:v>412.6924398355186</x:v>
      </x:c>
      <x:c r="G1989" s="23" t="n">
        <x:v>97.40275358315557</x:v>
      </x:c>
      <x:c r="H1989" s="23" t="n">
        <x:v>19.213399581145495</x:v>
      </x:c>
      <x:c r="I1989" s="23" t="n">
        <x:v>0.8317814142070711</x:v>
      </x:c>
      <x:c r="J1989" s="23" t="n">
        <x:v>7</x:v>
      </x:c>
      <x:c r="K1989" s="23" t="n">
        <x:v>174.9900277164471</x:v>
      </x:c>
      <x:c r="L1989" s="23" t="n">
        <x:v>15525</x:v>
      </x:c>
      <x:c r="M1989" s="23" t="n">
        <x:v>1200</x:v>
      </x:c>
      <x:c r="N1989" s="23" t="n">
        <x:v>249.9943525785271</x:v>
      </x:c>
      <x:c r="O1989" s="23" t="n">
        <x:v>2502.8185521398304</x:v>
      </x:c>
      <x:c r="P1989" s="23" t="n">
        <x:v>1018.8741690828465</x:v>
      </x:c>
      <x:c r="Q1989" s="23" t="n">
        <x:v>248.73522853697233</x:v>
      </x:c>
      <x:c r="R1989" s="23" t="n">
        <x:v>2527.046814048964</x:v>
      </x:c>
      <x:c r="S1989" s="23" t="n">
        <x:v>1027.5832173140325</x:v>
      </x:c>
      <x:c r="T1989" s="23" t="n">
        <x:v>-1.2591240415547702</x:v>
      </x:c>
      <x:c r="U1989" s="23" t="n">
        <x:v>24.22826190913338</x:v>
      </x:c>
      <x:c r="V1989" s="23" t="n">
        <x:v>8.709048231185989</x:v>
      </x:c>
    </x:row>
    <x:row r="1990">
      <x:c r="A1990" s="23" t="n">
        <x:v>1989</x:v>
      </x:c>
      <x:c r="B1990" s="23" t="str">
        <x:v>Train</x:v>
      </x:c>
      <x:c r="C1990" s="23" t="str">
        <x:v>Switching</x:v>
      </x:c>
      <x:c r="D1990" s="23" t="n">
        <x:v>1094.3047570530325</x:v>
      </x:c>
      <x:c r="E1990" s="23" t="n">
        <x:v>648.2902111369185</x:v>
      </x:c>
      <x:c r="F1990" s="23" t="n">
        <x:v>422.08422254770994</x:v>
      </x:c>
      <x:c r="G1990" s="23" t="n">
        <x:v>133.1021350179799</x:v>
      </x:c>
      <x:c r="H1990" s="23" t="n">
        <x:v>20.347086064517498</x:v>
      </x:c>
      <x:c r="I1990" s="23" t="n">
        <x:v>0.8301705703348853</x:v>
      </x:c>
      <x:c r="J1990" s="23" t="n">
        <x:v>7</x:v>
      </x:c>
      <x:c r="K1990" s="23" t="n">
        <x:v>188.30979631633278</x:v>
      </x:c>
      <x:c r="L1990" s="23" t="n">
        <x:v>17770</x:v>
      </x:c>
      <x:c r="M1990" s="23" t="n">
        <x:v>1200</x:v>
      </x:c>
      <x:c r="N1990" s="23" t="n">
        <x:v>250.00009359857404</x:v>
      </x:c>
      <x:c r="O1990" s="23" t="n">
        <x:v>2501.8056778017317</x:v>
      </x:c>
      <x:c r="P1990" s="23" t="n">
        <x:v>1094.3047570530325</x:v>
      </x:c>
      <x:c r="Q1990" s="23" t="n">
        <x:v>246.8335207479148</x:v>
      </x:c>
      <x:c r="R1990" s="23" t="n">
        <x:v>2449.939298812396</x:v>
      </x:c>
      <x:c r="S1990" s="23" t="n">
        <x:v>1107.3182417996316</x:v>
      </x:c>
      <x:c r="T1990" s="23" t="n">
        <x:v>-3.166572850659236</x:v>
      </x:c>
      <x:c r="U1990" s="23" t="n">
        <x:v>-51.86637898933577</x:v>
      </x:c>
      <x:c r="V1990" s="23" t="n">
        <x:v>13.013484746599033</x:v>
      </x:c>
    </x:row>
    <x:row r="1991">
      <x:c r="A1991" s="23" t="n">
        <x:v>1990</x:v>
      </x:c>
      <x:c r="B1991" s="23" t="str">
        <x:v>Train</x:v>
      </x:c>
      <x:c r="C1991" s="23" t="str">
        <x:v>Switching</x:v>
      </x:c>
      <x:c r="D1991" s="23" t="n">
        <x:v>1024.3320278008468</x:v>
      </x:c>
      <x:c r="E1991" s="23" t="n">
        <x:v>833.9367355918512</x:v>
      </x:c>
      <x:c r="F1991" s="23" t="n">
        <x:v>441.2339744158089</x:v>
      </x:c>
      <x:c r="G1991" s="23" t="n">
        <x:v>158.55728967115283</x:v>
      </x:c>
      <x:c r="H1991" s="23" t="n">
        <x:v>19.58140446105972</x:v>
      </x:c>
      <x:c r="I1991" s="23" t="n">
        <x:v>0.8550810390105471</x:v>
      </x:c>
      <x:c r="J1991" s="23" t="n">
        <x:v>6</x:v>
      </x:c>
      <x:c r="K1991" s="23" t="n">
        <x:v>199.6559353380407</x:v>
      </x:c>
      <x:c r="L1991" s="23" t="n">
        <x:v>17400</x:v>
      </x:c>
      <x:c r="M1991" s="23" t="n">
        <x:v>1200</x:v>
      </x:c>
      <x:c r="N1991" s="23" t="n">
        <x:v>249.96800082200357</x:v>
      </x:c>
      <x:c r="O1991" s="23" t="n">
        <x:v>2501.953729227197</x:v>
      </x:c>
      <x:c r="P1991" s="23" t="n">
        <x:v>1024.3320278008468</x:v>
      </x:c>
      <x:c r="Q1991" s="23" t="n">
        <x:v>249.58379842989018</x:v>
      </x:c>
      <x:c r="R1991" s="23" t="n">
        <x:v>2511.355634139695</x:v>
      </x:c>
      <x:c r="S1991" s="23" t="n">
        <x:v>1023.3829125064243</x:v>
      </x:c>
      <x:c r="T1991" s="23" t="n">
        <x:v>-0.38420239211339435</x:v>
      </x:c>
      <x:c r="U1991" s="23" t="n">
        <x:v>9.40190491249814</x:v>
      </x:c>
      <x:c r="V1991" s="23" t="n">
        <x:v>-0.9491152944225405</x:v>
      </x:c>
    </x:row>
    <x:row r="1992">
      <x:c r="A1992" s="23" t="n">
        <x:v>1991</x:v>
      </x:c>
      <x:c r="B1992" s="23" t="str">
        <x:v>Train</x:v>
      </x:c>
      <x:c r="C1992" s="23" t="str">
        <x:v>Switching</x:v>
      </x:c>
      <x:c r="D1992" s="23" t="n">
        <x:v>1066.502135177143</x:v>
      </x:c>
      <x:c r="E1992" s="23" t="n">
        <x:v>608.519028883893</x:v>
      </x:c>
      <x:c r="F1992" s="23" t="n">
        <x:v>682.3059350252151</x:v>
      </x:c>
      <x:c r="G1992" s="23" t="n">
        <x:v>99.3281471147202</x:v>
      </x:c>
      <x:c r="H1992" s="23" t="n">
        <x:v>29.392194810323417</x:v>
      </x:c>
      <x:c r="I1992" s="23" t="n">
        <x:v>0.8290095649636351</x:v>
      </x:c>
      <x:c r="J1992" s="23" t="n">
        <x:v>7</x:v>
      </x:c>
      <x:c r="K1992" s="23" t="n">
        <x:v>183.7824969958365</x:v>
      </x:c>
      <x:c r="L1992" s="23" t="n">
        <x:v>15385</x:v>
      </x:c>
      <x:c r="M1992" s="23" t="n">
        <x:v>1200</x:v>
      </x:c>
      <x:c r="N1992" s="23" t="n">
        <x:v>250.02051033847027</x:v>
      </x:c>
      <x:c r="O1992" s="23" t="n">
        <x:v>2502.892359289892</x:v>
      </x:c>
      <x:c r="P1992" s="23" t="n">
        <x:v>1066.502135177143</x:v>
      </x:c>
      <x:c r="Q1992" s="23" t="n">
        <x:v>249.80988600556108</x:v>
      </x:c>
      <x:c r="R1992" s="23" t="n">
        <x:v>2473.4635338141647</x:v>
      </x:c>
      <x:c r="S1992" s="23" t="n">
        <x:v>1062.9612382922328</x:v>
      </x:c>
      <x:c r="T1992" s="23" t="n">
        <x:v>-0.21062433290919103</x:v>
      </x:c>
      <x:c r="U1992" s="23" t="n">
        <x:v>-29.42882547572708</x:v>
      </x:c>
      <x:c r="V1992" s="23" t="n">
        <x:v>-3.5408968849101257</x:v>
      </x:c>
    </x:row>
    <x:row r="1993">
      <x:c r="A1993" s="23" t="n">
        <x:v>1992</x:v>
      </x:c>
      <x:c r="B1993" s="23" t="str">
        <x:v>Train</x:v>
      </x:c>
      <x:c r="C1993" s="23" t="str">
        <x:v>Switching</x:v>
      </x:c>
      <x:c r="D1993" s="23" t="n">
        <x:v>1062.9371446440928</x:v>
      </x:c>
      <x:c r="E1993" s="23" t="n">
        <x:v>1189.7619192488492</x:v>
      </x:c>
      <x:c r="F1993" s="23" t="n">
        <x:v>388.20422952994704</x:v>
      </x:c>
      <x:c r="G1993" s="23" t="n">
        <x:v>323.49095264915377</x:v>
      </x:c>
      <x:c r="H1993" s="23" t="n">
        <x:v>15.653828678186983</x:v>
      </x:c>
      <x:c r="I1993" s="23" t="n">
        <x:v>0.8357356282416731</x:v>
      </x:c>
      <x:c r="J1993" s="23" t="n">
        <x:v>7</x:v>
      </x:c>
      <x:c r="K1993" s="23" t="n">
        <x:v>181.6940170901439</x:v>
      </x:c>
      <x:c r="L1993" s="23" t="n">
        <x:v>11245</x:v>
      </x:c>
      <x:c r="M1993" s="23" t="n">
        <x:v>1195</x:v>
      </x:c>
      <x:c r="N1993" s="23" t="n">
        <x:v>249.95465201882135</x:v>
      </x:c>
      <x:c r="O1993" s="23" t="n">
        <x:v>2495.427642236837</x:v>
      </x:c>
      <x:c r="P1993" s="23" t="n">
        <x:v>1062.9371446440928</x:v>
      </x:c>
      <x:c r="Q1993" s="23" t="n">
        <x:v>252.09781276316824</x:v>
      </x:c>
      <x:c r="R1993" s="23" t="n">
        <x:v>2481.209704168055</x:v>
      </x:c>
      <x:c r="S1993" s="23" t="n">
        <x:v>1063.2074486988286</x:v>
      </x:c>
      <x:c r="T1993" s="23" t="n">
        <x:v>2.1431607443468863</x:v>
      </x:c>
      <x:c r="U1993" s="23" t="n">
        <x:v>-14.217938068782132</x:v>
      </x:c>
      <x:c r="V1993" s="23" t="n">
        <x:v>0.27030405473578867</x:v>
      </x:c>
    </x:row>
    <x:row r="1994">
      <x:c r="A1994" s="23" t="n">
        <x:v>1993</x:v>
      </x:c>
      <x:c r="B1994" s="23" t="str">
        <x:v>Train</x:v>
      </x:c>
      <x:c r="C1994" s="23" t="str">
        <x:v>Switching</x:v>
      </x:c>
      <x:c r="D1994" s="23" t="n">
        <x:v>1017.9515609517694</x:v>
      </x:c>
      <x:c r="E1994" s="23" t="n">
        <x:v>848.7482391647063</x:v>
      </x:c>
      <x:c r="F1994" s="23" t="n">
        <x:v>606.1475785449147</x:v>
      </x:c>
      <x:c r="G1994" s="23" t="n">
        <x:v>169.12791457260028</x:v>
      </x:c>
      <x:c r="H1994" s="23" t="n">
        <x:v>25.689843660220504</x:v>
      </x:c>
      <x:c r="I1994" s="23" t="n">
        <x:v>0.8479473488894291</x:v>
      </x:c>
      <x:c r="J1994" s="23" t="n">
        <x:v>7</x:v>
      </x:c>
      <x:c r="K1994" s="23" t="n">
        <x:v>171.49844475013649</x:v>
      </x:c>
      <x:c r="L1994" s="23" t="n">
        <x:v>13170</x:v>
      </x:c>
      <x:c r="M1994" s="23" t="n">
        <x:v>1200</x:v>
      </x:c>
      <x:c r="N1994" s="23" t="n">
        <x:v>250.03089066420335</x:v>
      </x:c>
      <x:c r="O1994" s="23" t="n">
        <x:v>2504.2537669503613</x:v>
      </x:c>
      <x:c r="P1994" s="23" t="n">
        <x:v>1017.9515609517694</x:v>
      </x:c>
      <x:c r="Q1994" s="23" t="n">
        <x:v>246.43555390271723</x:v>
      </x:c>
      <x:c r="R1994" s="23" t="n">
        <x:v>2456.0614469711377</x:v>
      </x:c>
      <x:c r="S1994" s="23" t="n">
        <x:v>1006.0567854642596</x:v>
      </x:c>
      <x:c r="T1994" s="23" t="n">
        <x:v>-3.5953367614861236</x:v>
      </x:c>
      <x:c r="U1994" s="23" t="n">
        <x:v>-48.19231997922361</x:v>
      </x:c>
      <x:c r="V1994" s="23" t="n">
        <x:v>-11.894775487509719</x:v>
      </x:c>
    </x:row>
    <x:row r="1995">
      <x:c r="A1995" s="23" t="n">
        <x:v>1994</x:v>
      </x:c>
      <x:c r="B1995" s="23" t="str">
        <x:v>Train</x:v>
      </x:c>
      <x:c r="C1995" s="23" t="str">
        <x:v>Switching</x:v>
      </x:c>
      <x:c r="D1995" s="23" t="n">
        <x:v>1027.8348766849376</x:v>
      </x:c>
      <x:c r="E1995" s="23" t="n">
        <x:v>1178.60483082477</x:v>
      </x:c>
      <x:c r="F1995" s="23" t="n">
        <x:v>725.0601739622653</x:v>
      </x:c>
      <x:c r="G1995" s="23" t="n">
        <x:v>286.5573304425925</x:v>
      </x:c>
      <x:c r="H1995" s="23" t="n">
        <x:v>21.153531555552036</x:v>
      </x:c>
      <x:c r="I1995" s="23" t="n">
        <x:v>0.8196100020827726</x:v>
      </x:c>
      <x:c r="J1995" s="23" t="n">
        <x:v>7</x:v>
      </x:c>
      <x:c r="K1995" s="23" t="n">
        <x:v>179.15051480460727</x:v>
      </x:c>
      <x:c r="L1995" s="23" t="n">
        <x:v>9765</x:v>
      </x:c>
      <x:c r="M1995" s="23" t="n">
        <x:v>1195</x:v>
      </x:c>
      <x:c r="N1995" s="23" t="n">
        <x:v>250.02076770904245</x:v>
      </x:c>
      <x:c r="O1995" s="23" t="n">
        <x:v>2497.1015984150977</x:v>
      </x:c>
      <x:c r="P1995" s="23" t="n">
        <x:v>1027.8348766849376</x:v>
      </x:c>
      <x:c r="Q1995" s="23" t="n">
        <x:v>251.23484004484297</x:v>
      </x:c>
      <x:c r="R1995" s="23" t="n">
        <x:v>2487.556750454342</x:v>
      </x:c>
      <x:c r="S1995" s="23" t="n">
        <x:v>1019.248264452197</x:v>
      </x:c>
      <x:c r="T1995" s="23" t="n">
        <x:v>1.2140723358005232</x:v>
      </x:c>
      <x:c r="U1995" s="23" t="n">
        <x:v>-9.54484796075576</x:v>
      </x:c>
      <x:c r="V1995" s="23" t="n">
        <x:v>-8.586612232740663</x:v>
      </x:c>
    </x:row>
    <x:row r="1996">
      <x:c r="A1996" s="23" t="n">
        <x:v>1995</x:v>
      </x:c>
      <x:c r="B1996" s="23" t="str">
        <x:v>Validation</x:v>
      </x:c>
      <x:c r="C1996" s="23" t="str">
        <x:v>Switching</x:v>
      </x:c>
      <x:c r="D1996" s="23" t="n">
        <x:v>1049.1893495200202</x:v>
      </x:c>
      <x:c r="E1996" s="23" t="n">
        <x:v>1195.4866992891766</x:v>
      </x:c>
      <x:c r="F1996" s="23" t="n">
        <x:v>412.5098455697298</x:v>
      </x:c>
      <x:c r="G1996" s="23" t="n">
        <x:v>139.4525897759013</x:v>
      </x:c>
      <x:c r="H1996" s="23" t="n">
        <x:v>19.529207826592028</x:v>
      </x:c>
      <x:c r="I1996" s="23" t="n">
        <x:v>0.8404351702216082</x:v>
      </x:c>
      <x:c r="J1996" s="23" t="n">
        <x:v>7</x:v>
      </x:c>
      <x:c r="K1996" s="23" t="n">
        <x:v>178.34117145413185</x:v>
      </x:c>
      <x:c r="L1996" s="23" t="n">
        <x:v>12240</x:v>
      </x:c>
      <x:c r="M1996" s="23" t="n">
        <x:v>1200</x:v>
      </x:c>
      <x:c r="N1996" s="23" t="n">
        <x:v>250.03528370615487</x:v>
      </x:c>
      <x:c r="O1996" s="23" t="n">
        <x:v>2504.972250902536</x:v>
      </x:c>
      <x:c r="P1996" s="23" t="n">
        <x:v>1049.1893495200202</x:v>
      </x:c>
      <x:c r="Q1996" s="23" t="n">
        <x:v>250.93207257711003</x:v>
      </x:c>
      <x:c r="R1996" s="23" t="n">
        <x:v>2494.75601296463</x:v>
      </x:c>
      <x:c r="S1996" s="23" t="n">
        <x:v>1046.7976140426779</x:v>
      </x:c>
      <x:c r="T1996" s="23" t="n">
        <x:v>0.896788870955163</x:v>
      </x:c>
      <x:c r="U1996" s="23" t="n">
        <x:v>-10.216237937906044</x:v>
      </x:c>
      <x:c r="V1996" s="23" t="n">
        <x:v>-2.3917354773423085</x:v>
      </x:c>
    </x:row>
    <x:row r="1997">
      <x:c r="A1997" s="23" t="n">
        <x:v>1996</x:v>
      </x:c>
      <x:c r="B1997" s="23" t="str">
        <x:v>Validation</x:v>
      </x:c>
      <x:c r="C1997" s="23" t="str">
        <x:v>Switching</x:v>
      </x:c>
      <x:c r="D1997" s="23" t="n">
        <x:v>1045.3820387250744</x:v>
      </x:c>
      <x:c r="E1997" s="23" t="n">
        <x:v>1134.81588489376</x:v>
      </x:c>
      <x:c r="F1997" s="23" t="n">
        <x:v>697.2289036028087</x:v>
      </x:c>
      <x:c r="G1997" s="23" t="n">
        <x:v>133.24790894519538</x:v>
      </x:c>
      <x:c r="H1997" s="23" t="n">
        <x:v>11.049551520030946</x:v>
      </x:c>
      <x:c r="I1997" s="23" t="n">
        <x:v>0.8598007383570075</x:v>
      </x:c>
      <x:c r="J1997" s="23" t="n">
        <x:v>7</x:v>
      </x:c>
      <x:c r="K1997" s="23" t="n">
        <x:v>173.69174575473548</x:v>
      </x:c>
      <x:c r="L1997" s="23" t="n">
        <x:v>10880</x:v>
      </x:c>
      <x:c r="M1997" s="23" t="n">
        <x:v>1195</x:v>
      </x:c>
      <x:c r="N1997" s="23" t="n">
        <x:v>249.960378229473</x:v>
      </x:c>
      <x:c r="O1997" s="23" t="n">
        <x:v>2495.7976936759715</x:v>
      </x:c>
      <x:c r="P1997" s="23" t="n">
        <x:v>1045.3820387250744</x:v>
      </x:c>
      <x:c r="Q1997" s="23" t="n">
        <x:v>250.27254056665222</x:v>
      </x:c>
      <x:c r="R1997" s="23" t="n">
        <x:v>2487.7667942664875</x:v>
      </x:c>
      <x:c r="S1997" s="23" t="n">
        <x:v>1044.7815477585686</x:v>
      </x:c>
      <x:c r="T1997" s="23" t="n">
        <x:v>0.3121623371792168</x:v>
      </x:c>
      <x:c r="U1997" s="23" t="n">
        <x:v>-8.030899409483936</x:v>
      </x:c>
      <x:c r="V1997" s="23" t="n">
        <x:v>-0.6004909665057312</x:v>
      </x:c>
    </x:row>
    <x:row r="1998">
      <x:c r="A1998" s="23" t="n">
        <x:v>1997</x:v>
      </x:c>
      <x:c r="B1998" s="23" t="str">
        <x:v>Validation</x:v>
      </x:c>
      <x:c r="C1998" s="23" t="str">
        <x:v>Switching</x:v>
      </x:c>
      <x:c r="D1998" s="23" t="n">
        <x:v>1009.059222927317</x:v>
      </x:c>
      <x:c r="E1998" s="23" t="n">
        <x:v>983.297582610976</x:v>
      </x:c>
      <x:c r="F1998" s="23" t="n">
        <x:v>603.6244412884116</x:v>
      </x:c>
      <x:c r="G1998" s="23" t="n">
        <x:v>278.4767390531488</x:v>
      </x:c>
      <x:c r="H1998" s="23" t="n">
        <x:v>12.671870339661837</x:v>
      </x:c>
      <x:c r="I1998" s="23" t="n">
        <x:v>0.7905428850674071</x:v>
      </x:c>
      <x:c r="J1998" s="23" t="n">
        <x:v>7</x:v>
      </x:c>
      <x:c r="K1998" s="23" t="n">
        <x:v>182.34471561748856</x:v>
      </x:c>
      <x:c r="L1998" s="23" t="n">
        <x:v>11465</x:v>
      </x:c>
      <x:c r="M1998" s="23" t="n">
        <x:v>1195</x:v>
      </x:c>
      <x:c r="N1998" s="23" t="n">
        <x:v>250.0119843994425</x:v>
      </x:c>
      <x:c r="O1998" s="23" t="n">
        <x:v>2495.218614031904</x:v>
      </x:c>
      <x:c r="P1998" s="23" t="n">
        <x:v>1009.059222927317</x:v>
      </x:c>
      <x:c r="Q1998" s="23" t="n">
        <x:v>252.44093796987775</x:v>
      </x:c>
      <x:c r="R1998" s="23" t="n">
        <x:v>2504.372532772012</x:v>
      </x:c>
      <x:c r="S1998" s="23" t="n">
        <x:v>1005.9430441483635</x:v>
      </x:c>
      <x:c r="T1998" s="23" t="n">
        <x:v>2.4289535704352545</x:v>
      </x:c>
      <x:c r="U1998" s="23" t="n">
        <x:v>9.15391874010811</x:v>
      </x:c>
      <x:c r="V1998" s="23" t="n">
        <x:v>-3.1161787789535538</x:v>
      </x:c>
    </x:row>
    <x:row r="1999">
      <x:c r="A1999" s="23" t="n">
        <x:v>1998</x:v>
      </x:c>
      <x:c r="B1999" s="23" t="str">
        <x:v>Hidden Test</x:v>
      </x:c>
      <x:c r="C1999" s="23" t="str">
        <x:v>Switching</x:v>
      </x:c>
      <x:c r="D1999" s="23" t="n">
        <x:v>1079.1736023616977</x:v>
      </x:c>
      <x:c r="E1999" s="23" t="n">
        <x:v>712.1523034526035</x:v>
      </x:c>
      <x:c r="F1999" s="23" t="n">
        <x:v>636.9837705977261</x:v>
      </x:c>
      <x:c r="G1999" s="23" t="n">
        <x:v>176.9883557409048</x:v>
      </x:c>
      <x:c r="H1999" s="23" t="n">
        <x:v>16.96338280523196</x:v>
      </x:c>
      <x:c r="I1999" s="23" t="n">
        <x:v>0.8471370994998142</x:v>
      </x:c>
      <x:c r="J1999" s="23" t="n">
        <x:v>7</x:v>
      </x:c>
      <x:c r="K1999" s="23" t="n">
        <x:v>181.98666729537604</x:v>
      </x:c>
      <x:c r="L1999" s="23" t="n">
        <x:v>14015</x:v>
      </x:c>
      <x:c r="M1999" s="23" t="n">
        <x:v>1200</x:v>
      </x:c>
      <x:c r="N1999" s="23" t="n">
        <x:v>250.03349104876727</x:v>
      </x:c>
      <x:c r="O1999" s="23" t="n">
        <x:v>2503.683875530701</x:v>
      </x:c>
      <x:c r="P1999" s="23" t="n">
        <x:v>1079.1736023616977</x:v>
      </x:c>
      <x:c r="Q1999" s="23" t="n">
        <x:v>248.56086549187984</x:v>
      </x:c>
      <x:c r="R1999" s="23" t="n">
        <x:v>2446.9096897482596</x:v>
      </x:c>
      <x:c r="S1999" s="23" t="n">
        <x:v>1089.8918657575825</x:v>
      </x:c>
      <x:c r="T1999" s="23" t="n">
        <x:v>-1.4726255568874365</x:v>
      </x:c>
      <x:c r="U1999" s="23" t="n">
        <x:v>-56.774185782441236</x:v>
      </x:c>
      <x:c r="V1999" s="23" t="n">
        <x:v>10.718263395884833</x:v>
      </x:c>
    </x:row>
    <x:row r="2000">
      <x:c r="A2000" s="23" t="n">
        <x:v>1999</x:v>
      </x:c>
      <x:c r="B2000" s="23" t="str">
        <x:v>Hidden Test</x:v>
      </x:c>
      <x:c r="C2000" s="23" t="str">
        <x:v>Switching</x:v>
      </x:c>
      <x:c r="D2000" s="23" t="n">
        <x:v>975.1447251299396</x:v>
      </x:c>
      <x:c r="E2000" s="23" t="n">
        <x:v>639.0308042173274</x:v>
      </x:c>
      <x:c r="F2000" s="23" t="n">
        <x:v>597.8978641331196</x:v>
      </x:c>
      <x:c r="G2000" s="23" t="n">
        <x:v>259.20210625743493</x:v>
      </x:c>
      <x:c r="H2000" s="23" t="n">
        <x:v>25.154293208383024</x:v>
      </x:c>
      <x:c r="I2000" s="23" t="n">
        <x:v>0.8571242064028047</x:v>
      </x:c>
      <x:c r="J2000" s="23" t="n">
        <x:v>6</x:v>
      </x:c>
      <x:c r="K2000" s="23" t="n">
        <x:v>189.61560021396932</x:v>
      </x:c>
      <x:c r="L2000" s="23" t="n">
        <x:v>16675</x:v>
      </x:c>
      <x:c r="M2000" s="23" t="n">
        <x:v>1200</x:v>
      </x:c>
      <x:c r="N2000" s="23" t="n">
        <x:v>249.97929111209905</x:v>
      </x:c>
      <x:c r="O2000" s="23" t="n">
        <x:v>2502.265094112983</x:v>
      </x:c>
      <x:c r="P2000" s="23" t="n">
        <x:v>975.1447251299396</x:v>
      </x:c>
      <x:c r="Q2000" s="23" t="n">
        <x:v>250.7910126918525</x:v>
      </x:c>
      <x:c r="R2000" s="23" t="n">
        <x:v>2464.5943586810813</x:v>
      </x:c>
      <x:c r="S2000" s="23" t="n">
        <x:v>971.0957699833599</x:v>
      </x:c>
      <x:c r="T2000" s="23" t="n">
        <x:v>0.8117215797534527</x:v>
      </x:c>
      <x:c r="U2000" s="23" t="n">
        <x:v>-37.6707354319019</x:v>
      </x:c>
      <x:c r="V2000" s="23" t="n">
        <x:v>-4.048955146579715</x:v>
      </x:c>
    </x:row>
    <x:row r="2001">
      <x:c r="A2001" s="23" t="n">
        <x:v>2000</x:v>
      </x:c>
      <x:c r="B2001" s="23" t="str">
        <x:v>Hidden Test</x:v>
      </x:c>
      <x:c r="C2001" s="23" t="str">
        <x:v>Switching</x:v>
      </x:c>
      <x:c r="D2001" s="23" t="n">
        <x:v>1088.3319377782755</x:v>
      </x:c>
      <x:c r="E2001" s="23" t="n">
        <x:v>1051.2758461758494</x:v>
      </x:c>
      <x:c r="F2001" s="23" t="n">
        <x:v>707.7231003902853</x:v>
      </x:c>
      <x:c r="G2001" s="23" t="n">
        <x:v>291.3152054371312</x:v>
      </x:c>
      <x:c r="H2001" s="23" t="n">
        <x:v>8.118556597735733</x:v>
      </x:c>
      <x:c r="I2001" s="23" t="n">
        <x:v>0.8078638137783856</x:v>
      </x:c>
      <x:c r="J2001" s="23" t="n">
        <x:v>7</x:v>
      </x:c>
      <x:c r="K2001" s="23" t="n">
        <x:v>192.45321854932422</x:v>
      </x:c>
      <x:c r="L2001" s="23" t="n">
        <x:v>10430</x:v>
      </x:c>
      <x:c r="M2001" s="23" t="n">
        <x:v>1195</x:v>
      </x:c>
      <x:c r="N2001" s="23" t="n">
        <x:v>249.9882706425055</x:v>
      </x:c>
      <x:c r="O2001" s="23" t="n">
        <x:v>2496.2905583718843</x:v>
      </x:c>
      <x:c r="P2001" s="23" t="n">
        <x:v>1088.3319377782755</x:v>
      </x:c>
      <x:c r="Q2001" s="23" t="n">
        <x:v>254.13552571859213</x:v>
      </x:c>
      <x:c r="R2001" s="23" t="n">
        <x:v>2523.1385743689866</x:v>
      </x:c>
      <x:c r="S2001" s="23" t="n">
        <x:v>1087.8493929444812</x:v>
      </x:c>
      <x:c r="T2001" s="23" t="n">
        <x:v>4.147255076086623</x:v>
      </x:c>
      <x:c r="U2001" s="23" t="n">
        <x:v>26.848015997102266</x:v>
      </x:c>
      <x:c r="V2001" s="23" t="n">
        <x:v>-0.4825448337942362</x:v>
      </x:c>
    </x:row>
  </x:sheetData>
  <x:pageMargins left="0.7" right="0.7" top="0.75" bottom="0.75" header="0.3" footer="0.3"/>
  <x:tableParts count="1">
    <x:tablePart xmlns:r="http://schemas.openxmlformats.org/officeDocument/2006/relationships" r:id="R2ab7d32b5c434e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21" t="str">
        <x:v>Type</x:v>
      </x:c>
      <x:c r="B1" s="21" t="str">
        <x:v>Vtest</x:v>
      </x:c>
      <x:c r="C1" s="21" t="str">
        <x:v>Cload</x:v>
      </x:c>
      <x:c r="D1" s="21" t="str">
        <x:v>Cdiv</x:v>
      </x:c>
      <x:c r="E1" s="21" t="str">
        <x:v>Cstray</x:v>
      </x:c>
      <x:c r="F1" s="21" t="str">
        <x:v>L</x:v>
      </x:c>
      <x:c r="G1" s="21" t="str">
        <x:v>Eta</x:v>
      </x:c>
      <x:c r="H1" s="21" t="str">
        <x:v>Rf</x:v>
      </x:c>
      <x:c r="I1" s="21" t="str">
        <x:v>Rt</x:v>
      </x:c>
      <x:c r="J1" s="21" t="str">
        <x:v>Distance</x:v>
      </x:c>
      <x:c r="K1" s="21" t="str">
        <x:v>Rank</x:v>
      </x:c>
      <x:c r="L1" s="21" t="str">
        <x:v>Use</x:v>
      </x:c>
      <x:c r="M1" s="21" t="str">
        <x:v>Weight</x:v>
      </x:c>
      <x:c r="N1" s="21" t="str">
        <x:v>Residual Front/Peak</x:v>
      </x:c>
      <x:c r="O1" s="21" t="str">
        <x:v>Weighted residual</x:v>
      </x:c>
      <x:c r="P1" s="21" t="str">
        <x:v>Residual Tail</x:v>
      </x:c>
      <x:c r="Q1" s="21" t="str">
        <x:v>Residual Crest</x:v>
      </x:c>
    </x:row>
    <x:row r="2">
      <x:c r="A2" s="23" t="str">
        <x:v>Lightning</x:v>
      </x:c>
      <x:c r="B2" s="23" t="n">
        <x:v>1404.498256277293</x:v>
      </x:c>
      <x:c r="C2" s="23" t="n">
        <x:v>796.9073470099829</x:v>
      </x:c>
      <x:c r="D2" s="23" t="n">
        <x:v>383.9852148666978</x:v>
      </x:c>
      <x:c r="E2" s="23" t="n">
        <x:v>163.87698704609647</x:v>
      </x:c>
      <x:c r="F2" s="23" t="n">
        <x:v>21.27743093110621</x:v>
      </x:c>
      <x:c r="G2" s="23" t="n">
        <x:v>0.8374539385293611</x:v>
      </x:c>
      <x:c r="H2" s="23" t="n">
        <x:v>55</x:v>
      </x:c>
      <x:c r="I2" s="23" t="n">
        <x:v>25</x:v>
      </x:c>
      <x:c r="J2" s="23" t="n">
        <x:f>(IF(A2='Hybrid Calculator'!$B$6,0,1))^2+((B2-'Hybrid Calculator'!$B$7)/1500)^2+((C2-'Hybrid Calculator'!$B$8)/1300)^2+((D2-'Hybrid Calculator'!$B$9)/800)^2+((E2-'Hybrid Calculator'!$B$10)/350)^2+((F2-'Hybrid Calculator'!$B$11)/30)^2+(G2-'Hybrid Calculator'!$B$12)^2+((H2-'Hybrid Calculator'!$E$14)/IF(A2="Lightning",100,30000))^2+((I2-'Hybrid Calculator'!$E$17)/IF(A2="Lightning",100,30000))^2</x:f>
        <x:v>0.03583300969362049</x:v>
      </x:c>
      <x:c r="K2" s="23" t="n">
        <x:f>RANK(J2,$J$2:$J$1401,1)</x:f>
        <x:v>29</x:v>
      </x:c>
      <x:c r="L2" s="23" t="n">
        <x:f>IF(K2&lt;=7,1,0)</x:f>
        <x:v>0</x:v>
      </x:c>
      <x:c r="M2" s="23" t="n">
        <x:f>IF(L2=1,1/(J2+0.000001),0)</x:f>
        <x:v>0</x:v>
      </x:c>
      <x:c r="N2" s="23" t="n">
        <x:v>-0.019879298977119486</x:v>
      </x:c>
      <x:c r="O2" s="23" t="n">
        <x:f>M2</x:f>
        <x:v>0</x:v>
      </x:c>
      <x:c r="P2" s="23" t="n">
        <x:v>-0.3326916403942377</x:v>
      </x:c>
      <x:c r="Q2" s="23" t="n">
        <x:v>9.294870859534967</x:v>
      </x:c>
    </x:row>
    <x:row r="3">
      <x:c r="A3" s="23" t="str">
        <x:v>Lightning</x:v>
      </x:c>
      <x:c r="B3" s="23" t="n">
        <x:v>1465.010655450169</x:v>
      </x:c>
      <x:c r="C3" s="23" t="n">
        <x:v>802.2513500647619</x:v>
      </x:c>
      <x:c r="D3" s="23" t="n">
        <x:v>369.63737243786454</x:v>
      </x:c>
      <x:c r="E3" s="23" t="n">
        <x:v>199.86520350910723</x:v>
      </x:c>
      <x:c r="F3" s="23" t="n">
        <x:v>24.446143113542348</x:v>
      </x:c>
      <x:c r="G3" s="23" t="n">
        <x:v>0.8013258869806305</x:v>
      </x:c>
      <x:c r="H3" s="23" t="n">
        <x:v>50</x:v>
      </x:c>
      <x:c r="I3" s="23" t="n">
        <x:v>25</x:v>
      </x:c>
      <x:c r="J3" s="23" t="n">
        <x:f>(IF(A3='Hybrid Calculator'!$B$6,0,1))^2+((B3-'Hybrid Calculator'!$B$7)/1500)^2+((C3-'Hybrid Calculator'!$B$8)/1300)^2+((D3-'Hybrid Calculator'!$B$9)/800)^2+((E3-'Hybrid Calculator'!$B$10)/350)^2+((F3-'Hybrid Calculator'!$B$11)/30)^2+(G3-'Hybrid Calculator'!$B$12)^2+((H3-'Hybrid Calculator'!$E$14)/IF(A3="Lightning",100,30000))^2+((I3-'Hybrid Calculator'!$E$17)/IF(A3="Lightning",100,30000))^2</x:f>
        <x:v>0.08854646322226788</x:v>
      </x:c>
      <x:c r="K3" s="23" t="n">
        <x:f>RANK(J3,$J$2:$J$1401,1)</x:f>
        <x:v>168</x:v>
      </x:c>
      <x:c r="L3" s="23" t="n">
        <x:f>IF(K3&lt;=7,1,0)</x:f>
        <x:v>0</x:v>
      </x:c>
      <x:c r="M3" s="23" t="n">
        <x:f>IF(L3=1,1/(J3+0.000001),0)</x:f>
        <x:v>0</x:v>
      </x:c>
      <x:c r="N3" s="23" t="n">
        <x:v>-0.005649570038557261</x:v>
      </x:c>
      <x:c r="O3" s="23" t="n">
        <x:f>M3</x:f>
        <x:v>0</x:v>
      </x:c>
      <x:c r="P3" s="23" t="n">
        <x:v>-0.1317489035411441</x:v>
      </x:c>
      <x:c r="Q3" s="23" t="n">
        <x:v>8.630547441212002</x:v>
      </x:c>
    </x:row>
    <x:row r="4">
      <x:c r="A4" s="23" t="str">
        <x:v>Lightning</x:v>
      </x:c>
      <x:c r="B4" s="23" t="n">
        <x:v>1392.5916019594297</x:v>
      </x:c>
      <x:c r="C4" s="23" t="n">
        <x:v>693.8674343400635</x:v>
      </x:c>
      <x:c r="D4" s="23" t="n">
        <x:v>623.5932778567076</x:v>
      </x:c>
      <x:c r="E4" s="23" t="n">
        <x:v>170.7822658191435</x:v>
      </x:c>
      <x:c r="F4" s="23" t="n">
        <x:v>22.082605068571866</x:v>
      </x:c>
      <x:c r="G4" s="23" t="n">
        <x:v>0.8135303726862185</x:v>
      </x:c>
      <x:c r="H4" s="23" t="n">
        <x:v>50</x:v>
      </x:c>
      <x:c r="I4" s="23" t="n">
        <x:v>25</x:v>
      </x:c>
      <x:c r="J4" s="23" t="n">
        <x:f>(IF(A4='Hybrid Calculator'!$B$6,0,1))^2+((B4-'Hybrid Calculator'!$B$7)/1500)^2+((C4-'Hybrid Calculator'!$B$8)/1300)^2+((D4-'Hybrid Calculator'!$B$9)/800)^2+((E4-'Hybrid Calculator'!$B$10)/350)^2+((F4-'Hybrid Calculator'!$B$11)/30)^2+(G4-'Hybrid Calculator'!$B$12)^2+((H4-'Hybrid Calculator'!$E$14)/IF(A4="Lightning",100,30000))^2+((I4-'Hybrid Calculator'!$E$17)/IF(A4="Lightning",100,30000))^2</x:f>
        <x:v>0.05658770771312522</x:v>
      </x:c>
      <x:c r="K4" s="23" t="n">
        <x:f>RANK(J4,$J$2:$J$1401,1)</x:f>
        <x:v>76</x:v>
      </x:c>
      <x:c r="L4" s="23" t="n">
        <x:f>IF(K4&lt;=7,1,0)</x:f>
        <x:v>0</x:v>
      </x:c>
      <x:c r="M4" s="23" t="n">
        <x:f>IF(L4=1,1/(J4+0.000001),0)</x:f>
        <x:v>0</x:v>
      </x:c>
      <x:c r="N4" s="23" t="n">
        <x:v>-0.011242617676292754</x:v>
      </x:c>
      <x:c r="O4" s="23" t="n">
        <x:f>M4</x:f>
        <x:v>0</x:v>
      </x:c>
      <x:c r="P4" s="23" t="n">
        <x:v>-1.4765274914553714</x:v>
      </x:c>
      <x:c r="Q4" s="23" t="n">
        <x:v>-5.3937075444798666</x:v>
      </x:c>
    </x:row>
    <x:row r="5">
      <x:c r="A5" s="23" t="str">
        <x:v>Lightning</x:v>
      </x:c>
      <x:c r="B5" s="23" t="n">
        <x:v>1401.121345104184</x:v>
      </x:c>
      <x:c r="C5" s="23" t="n">
        <x:v>783.6021971423179</x:v>
      </x:c>
      <x:c r="D5" s="23" t="n">
        <x:v>411.9338455609977</x:v>
      </x:c>
      <x:c r="E5" s="23" t="n">
        <x:v>160.4435055470094</x:v>
      </x:c>
      <x:c r="F5" s="23" t="n">
        <x:v>11.087711356114596</x:v>
      </x:c>
      <x:c r="G5" s="23" t="n">
        <x:v>0.8025316928885877</x:v>
      </x:c>
      <x:c r="H5" s="23" t="n">
        <x:v>55</x:v>
      </x:c>
      <x:c r="I5" s="23" t="n">
        <x:v>25</x:v>
      </x:c>
      <x:c r="J5" s="23" t="n">
        <x:f>(IF(A5='Hybrid Calculator'!$B$6,0,1))^2+((B5-'Hybrid Calculator'!$B$7)/1500)^2+((C5-'Hybrid Calculator'!$B$8)/1300)^2+((D5-'Hybrid Calculator'!$B$9)/800)^2+((E5-'Hybrid Calculator'!$B$10)/350)^2+((F5-'Hybrid Calculator'!$B$11)/30)^2+(G5-'Hybrid Calculator'!$B$12)^2+((H5-'Hybrid Calculator'!$E$14)/IF(A5="Lightning",100,30000))^2+((I5-'Hybrid Calculator'!$E$17)/IF(A5="Lightning",100,30000))^2</x:f>
        <x:v>0.07972247178016523</x:v>
      </x:c>
      <x:c r="K5" s="23" t="n">
        <x:f>RANK(J5,$J$2:$J$1401,1)</x:f>
        <x:v>139</x:v>
      </x:c>
      <x:c r="L5" s="23" t="n">
        <x:f>IF(K5&lt;=7,1,0)</x:f>
        <x:v>0</x:v>
      </x:c>
      <x:c r="M5" s="23" t="n">
        <x:f>IF(L5=1,1/(J5+0.000001),0)</x:f>
        <x:v>0</x:v>
      </x:c>
      <x:c r="N5" s="23" t="n">
        <x:v>-0.001107765701664043</x:v>
      </x:c>
      <x:c r="O5" s="23" t="n">
        <x:f>M5</x:f>
        <x:v>0</x:v>
      </x:c>
      <x:c r="P5" s="23" t="n">
        <x:v>0.5050812420209496</x:v>
      </x:c>
      <x:c r="Q5" s="23" t="n">
        <x:v>15.729061785508293</x:v>
      </x:c>
    </x:row>
    <x:row r="6">
      <x:c r="A6" s="23" t="str">
        <x:v>Lightning</x:v>
      </x:c>
      <x:c r="B6" s="23" t="n">
        <x:v>1358.607933903113</x:v>
      </x:c>
      <x:c r="C6" s="23" t="n">
        <x:v>628.5578587907366</x:v>
      </x:c>
      <x:c r="D6" s="23" t="n">
        <x:v>518.2140512391925</x:v>
      </x:c>
      <x:c r="E6" s="23" t="n">
        <x:v>197.54131625639275</x:v>
      </x:c>
      <x:c r="F6" s="23" t="n">
        <x:v>9.624362550675869</x:v>
      </x:c>
      <x:c r="G6" s="23" t="n">
        <x:v>0.8513077791244723</x:v>
      </x:c>
      <x:c r="H6" s="23" t="n">
        <x:v>65</x:v>
      </x:c>
      <x:c r="I6" s="23" t="n">
        <x:v>25</x:v>
      </x:c>
      <x:c r="J6" s="23" t="n">
        <x:f>(IF(A6='Hybrid Calculator'!$B$6,0,1))^2+((B6-'Hybrid Calculator'!$B$7)/1500)^2+((C6-'Hybrid Calculator'!$B$8)/1300)^2+((D6-'Hybrid Calculator'!$B$9)/800)^2+((E6-'Hybrid Calculator'!$B$10)/350)^2+((F6-'Hybrid Calculator'!$B$11)/30)^2+(G6-'Hybrid Calculator'!$B$12)^2+((H6-'Hybrid Calculator'!$E$14)/IF(A6="Lightning",100,30000))^2+((I6-'Hybrid Calculator'!$E$17)/IF(A6="Lightning",100,30000))^2</x:f>
        <x:v>0.16095371708127892</x:v>
      </x:c>
      <x:c r="K6" s="23" t="n">
        <x:f>RANK(J6,$J$2:$J$1401,1)</x:f>
        <x:v>356</x:v>
      </x:c>
      <x:c r="L6" s="23" t="n">
        <x:f>IF(K6&lt;=7,1,0)</x:f>
        <x:v>0</x:v>
      </x:c>
      <x:c r="M6" s="23" t="n">
        <x:f>IF(L6=1,1/(J6+0.000001),0)</x:f>
        <x:v>0</x:v>
      </x:c>
      <x:c r="N6" s="23" t="n">
        <x:v>0.0006180186395774445</x:v>
      </x:c>
      <x:c r="O6" s="23" t="n">
        <x:f>M6</x:f>
        <x:v>0</x:v>
      </x:c>
      <x:c r="P6" s="23" t="n">
        <x:v>-1.2518621829899246</x:v>
      </x:c>
      <x:c r="Q6" s="23" t="n">
        <x:v>14.637008072209483</x:v>
      </x:c>
    </x:row>
    <x:row r="7">
      <x:c r="A7" s="23" t="str">
        <x:v>Lightning</x:v>
      </x:c>
      <x:c r="B7" s="23" t="n">
        <x:v>1433.584059693385</x:v>
      </x:c>
      <x:c r="C7" s="23" t="n">
        <x:v>1000.2757522976026</x:v>
      </x:c>
      <x:c r="D7" s="23" t="n">
        <x:v>534.6383688040078</x:v>
      </x:c>
      <x:c r="E7" s="23" t="n">
        <x:v>127.03792510554194</x:v>
      </x:c>
      <x:c r="F7" s="23" t="n">
        <x:v>17.79468999663368</x:v>
      </x:c>
      <x:c r="G7" s="23" t="n">
        <x:v>0.8395095429709182</x:v>
      </x:c>
      <x:c r="H7" s="23" t="n">
        <x:v>45</x:v>
      </x:c>
      <x:c r="I7" s="23" t="n">
        <x:v>25</x:v>
      </x:c>
      <x:c r="J7" s="23" t="n">
        <x:f>(IF(A7='Hybrid Calculator'!$B$6,0,1))^2+((B7-'Hybrid Calculator'!$B$7)/1500)^2+((C7-'Hybrid Calculator'!$B$8)/1300)^2+((D7-'Hybrid Calculator'!$B$9)/800)^2+((E7-'Hybrid Calculator'!$B$10)/350)^2+((F7-'Hybrid Calculator'!$B$11)/30)^2+(G7-'Hybrid Calculator'!$B$12)^2+((H7-'Hybrid Calculator'!$E$14)/IF(A7="Lightning",100,30000))^2+((I7-'Hybrid Calculator'!$E$17)/IF(A7="Lightning",100,30000))^2</x:f>
        <x:v>0.02300756323939418</x:v>
      </x:c>
      <x:c r="K7" s="23" t="n">
        <x:f>RANK(J7,$J$2:$J$1401,1)</x:f>
        <x:v>12</x:v>
      </x:c>
      <x:c r="L7" s="23" t="n">
        <x:f>IF(K7&lt;=7,1,0)</x:f>
        <x:v>0</x:v>
      </x:c>
      <x:c r="M7" s="23" t="n">
        <x:f>IF(L7=1,1/(J7+0.000001),0)</x:f>
        <x:v>0</x:v>
      </x:c>
      <x:c r="N7" s="23" t="n">
        <x:v>-0.006812215935237065</x:v>
      </x:c>
      <x:c r="O7" s="23" t="n">
        <x:f>M7</x:f>
        <x:v>0</x:v>
      </x:c>
      <x:c r="P7" s="23" t="n">
        <x:v>1.0428270137126532</x:v>
      </x:c>
      <x:c r="Q7" s="23" t="n">
        <x:v>-3.7750166078792518</x:v>
      </x:c>
    </x:row>
    <x:row r="8">
      <x:c r="A8" s="23" t="str">
        <x:v>Lightning</x:v>
      </x:c>
      <x:c r="B8" s="23" t="n">
        <x:v>1492.9545208113268</x:v>
      </x:c>
      <x:c r="C8" s="23" t="n">
        <x:v>1073.0425685760565</x:v>
      </x:c>
      <x:c r="D8" s="23" t="n">
        <x:v>463.7866109609604</x:v>
      </x:c>
      <x:c r="E8" s="23" t="n">
        <x:v>300.64811357995495</x:v>
      </x:c>
      <x:c r="F8" s="23" t="n">
        <x:v>17.70408276002854</x:v>
      </x:c>
      <x:c r="G8" s="23" t="n">
        <x:v>0.8140215560770594</x:v>
      </x:c>
      <x:c r="H8" s="23" t="n">
        <x:v>35</x:v>
      </x:c>
      <x:c r="I8" s="23" t="n">
        <x:v>25</x:v>
      </x:c>
      <x:c r="J8" s="23" t="n">
        <x:f>(IF(A8='Hybrid Calculator'!$B$6,0,1))^2+((B8-'Hybrid Calculator'!$B$7)/1500)^2+((C8-'Hybrid Calculator'!$B$8)/1300)^2+((D8-'Hybrid Calculator'!$B$9)/800)^2+((E8-'Hybrid Calculator'!$B$10)/350)^2+((F8-'Hybrid Calculator'!$B$11)/30)^2+(G8-'Hybrid Calculator'!$B$12)^2+((H8-'Hybrid Calculator'!$E$14)/IF(A8="Lightning",100,30000))^2+((I8-'Hybrid Calculator'!$E$17)/IF(A8="Lightning",100,30000))^2</x:f>
        <x:v>0.24204184790595143</x:v>
      </x:c>
      <x:c r="K8" s="23" t="n">
        <x:f>RANK(J8,$J$2:$J$1401,1)</x:f>
        <x:v>523</x:v>
      </x:c>
      <x:c r="L8" s="23" t="n">
        <x:f>IF(K8&lt;=7,1,0)</x:f>
        <x:v>0</x:v>
      </x:c>
      <x:c r="M8" s="23" t="n">
        <x:f>IF(L8=1,1/(J8+0.000001),0)</x:f>
        <x:v>0</x:v>
      </x:c>
      <x:c r="N8" s="23" t="n">
        <x:v>-0.002923908527749264</x:v>
      </x:c>
      <x:c r="O8" s="23" t="n">
        <x:f>M8</x:f>
        <x:v>0</x:v>
      </x:c>
      <x:c r="P8" s="23" t="n">
        <x:v>1.3800221610160222</x:v>
      </x:c>
      <x:c r="Q8" s="23" t="n">
        <x:v>-2.8294298642772446</x:v>
      </x:c>
    </x:row>
    <x:row r="9">
      <x:c r="A9" s="23" t="str">
        <x:v>Lightning</x:v>
      </x:c>
      <x:c r="B9" s="23" t="n">
        <x:v>1443.9684216747992</x:v>
      </x:c>
      <x:c r="C9" s="23" t="n">
        <x:v>697.4932444281876</x:v>
      </x:c>
      <x:c r="D9" s="23" t="n">
        <x:v>624.5390838943422</x:v>
      </x:c>
      <x:c r="E9" s="23" t="n">
        <x:v>119.40401191357523</x:v>
      </x:c>
      <x:c r="F9" s="23" t="n">
        <x:v>9.931374458130449</x:v>
      </x:c>
      <x:c r="G9" s="23" t="n">
        <x:v>0.8226563204172999</x:v>
      </x:c>
      <x:c r="H9" s="23" t="n">
        <x:v>55</x:v>
      </x:c>
      <x:c r="I9" s="23" t="n">
        <x:v>25</x:v>
      </x:c>
      <x:c r="J9" s="23" t="n">
        <x:f>(IF(A9='Hybrid Calculator'!$B$6,0,1))^2+((B9-'Hybrid Calculator'!$B$7)/1500)^2+((C9-'Hybrid Calculator'!$B$8)/1300)^2+((D9-'Hybrid Calculator'!$B$9)/800)^2+((E9-'Hybrid Calculator'!$B$10)/350)^2+((F9-'Hybrid Calculator'!$B$11)/30)^2+(G9-'Hybrid Calculator'!$B$12)^2+((H9-'Hybrid Calculator'!$E$14)/IF(A9="Lightning",100,30000))^2+((I9-'Hybrid Calculator'!$E$17)/IF(A9="Lightning",100,30000))^2</x:f>
        <x:v>0.12988465226094284</x:v>
      </x:c>
      <x:c r="K9" s="23" t="n">
        <x:f>RANK(J9,$J$2:$J$1401,1)</x:f>
        <x:v>275</x:v>
      </x:c>
      <x:c r="L9" s="23" t="n">
        <x:f>IF(K9&lt;=7,1,0)</x:f>
        <x:v>0</x:v>
      </x:c>
      <x:c r="M9" s="23" t="n">
        <x:f>IF(L9=1,1/(J9+0.000001),0)</x:f>
        <x:v>0</x:v>
      </x:c>
      <x:c r="N9" s="23" t="n">
        <x:v>0.003136526127006878</x:v>
      </x:c>
      <x:c r="O9" s="23" t="n">
        <x:f>M9</x:f>
        <x:v>0</x:v>
      </x:c>
      <x:c r="P9" s="23" t="n">
        <x:v>-1.2968388348099467</x:v>
      </x:c>
      <x:c r="Q9" s="23" t="n">
        <x:v>6.218063280561864</x:v>
      </x:c>
    </x:row>
    <x:row r="10">
      <x:c r="A10" s="23" t="str">
        <x:v>Lightning</x:v>
      </x:c>
      <x:c r="B10" s="23" t="n">
        <x:v>1408.1499399617314</x:v>
      </x:c>
      <x:c r="C10" s="23" t="n">
        <x:v>878.3083200803958</x:v>
      </x:c>
      <x:c r="D10" s="23" t="n">
        <x:v>479.18523270636797</x:v>
      </x:c>
      <x:c r="E10" s="23" t="n">
        <x:v>169.9360976764001</x:v>
      </x:c>
      <x:c r="F10" s="23" t="n">
        <x:v>24.89615867100656</x:v>
      </x:c>
      <x:c r="G10" s="23" t="n">
        <x:v>0.8208806673553772</x:v>
      </x:c>
      <x:c r="H10" s="23" t="n">
        <x:v>45</x:v>
      </x:c>
      <x:c r="I10" s="23" t="n">
        <x:v>25</x:v>
      </x:c>
      <x:c r="J10" s="23" t="n">
        <x:f>(IF(A10='Hybrid Calculator'!$B$6,0,1))^2+((B10-'Hybrid Calculator'!$B$7)/1500)^2+((C10-'Hybrid Calculator'!$B$8)/1300)^2+((D10-'Hybrid Calculator'!$B$9)/800)^2+((E10-'Hybrid Calculator'!$B$10)/350)^2+((F10-'Hybrid Calculator'!$B$11)/30)^2+(G10-'Hybrid Calculator'!$B$12)^2+((H10-'Hybrid Calculator'!$E$14)/IF(A10="Lightning",100,30000))^2+((I10-'Hybrid Calculator'!$E$17)/IF(A10="Lightning",100,30000))^2</x:f>
        <x:v>0.052479071229157535</x:v>
      </x:c>
      <x:c r="K10" s="23" t="n">
        <x:f>RANK(J10,$J$2:$J$1401,1)</x:f>
        <x:v>59</x:v>
      </x:c>
      <x:c r="L10" s="23" t="n">
        <x:f>IF(K10&lt;=7,1,0)</x:f>
        <x:v>0</x:v>
      </x:c>
      <x:c r="M10" s="23" t="n">
        <x:f>IF(L10=1,1/(J10+0.000001),0)</x:f>
        <x:v>0</x:v>
      </x:c>
      <x:c r="N10" s="23" t="n">
        <x:v>-0.008949552393103799</x:v>
      </x:c>
      <x:c r="O10" s="23" t="n">
        <x:f>M10</x:f>
        <x:v>0</x:v>
      </x:c>
      <x:c r="P10" s="23" t="n">
        <x:v>-1.1186748529994404</x:v>
      </x:c>
      <x:c r="Q10" s="23" t="n">
        <x:v>-5.077996436688409</x:v>
      </x:c>
    </x:row>
    <x:row r="11">
      <x:c r="A11" s="23" t="str">
        <x:v>Lightning</x:v>
      </x:c>
      <x:c r="B11" s="23" t="n">
        <x:v>1364.8114964948036</x:v>
      </x:c>
      <x:c r="C11" s="23" t="n">
        <x:v>1213.6572383577004</x:v>
      </x:c>
      <x:c r="D11" s="23" t="n">
        <x:v>514.9978668428957</x:v>
      </x:c>
      <x:c r="E11" s="23" t="n">
        <x:v>310.4586626123637</x:v>
      </x:c>
      <x:c r="F11" s="23" t="n">
        <x:v>9.267361734528095</x:v>
      </x:c>
      <x:c r="G11" s="23" t="n">
        <x:v>0.7979057388426737</x:v>
      </x:c>
      <x:c r="H11" s="23" t="n">
        <x:v>35</x:v>
      </x:c>
      <x:c r="I11" s="23" t="n">
        <x:v>25</x:v>
      </x:c>
      <x:c r="J11" s="23" t="n">
        <x:f>(IF(A11='Hybrid Calculator'!$B$6,0,1))^2+((B11-'Hybrid Calculator'!$B$7)/1500)^2+((C11-'Hybrid Calculator'!$B$8)/1300)^2+((D11-'Hybrid Calculator'!$B$9)/800)^2+((E11-'Hybrid Calculator'!$B$10)/350)^2+((F11-'Hybrid Calculator'!$B$11)/30)^2+(G11-'Hybrid Calculator'!$B$12)^2+((H11-'Hybrid Calculator'!$E$14)/IF(A11="Lightning",100,30000))^2+((I11-'Hybrid Calculator'!$E$17)/IF(A11="Lightning",100,30000))^2</x:f>
        <x:v>0.40809445404460887</x:v>
      </x:c>
      <x:c r="K11" s="23" t="n">
        <x:f>RANK(J11,$J$2:$J$1401,1)</x:f>
        <x:v>689</x:v>
      </x:c>
      <x:c r="L11" s="23" t="n">
        <x:f>IF(K11&lt;=7,1,0)</x:f>
        <x:v>0</x:v>
      </x:c>
      <x:c r="M11" s="23" t="n">
        <x:f>IF(L11=1,1/(J11+0.000001),0)</x:f>
        <x:v>0</x:v>
      </x:c>
      <x:c r="N11" s="23" t="n">
        <x:v>0.00939223354824148</x:v>
      </x:c>
      <x:c r="O11" s="23" t="n">
        <x:f>M11</x:f>
        <x:v>0</x:v>
      </x:c>
      <x:c r="P11" s="23" t="n">
        <x:v>0.5664457022031542</x:v>
      </x:c>
      <x:c r="Q11" s="23" t="n">
        <x:v>-3.5845701097125584</x:v>
      </x:c>
    </x:row>
    <x:row r="12">
      <x:c r="A12" s="23" t="str">
        <x:v>Lightning</x:v>
      </x:c>
      <x:c r="B12" s="23" t="n">
        <x:v>1481.31246145349</x:v>
      </x:c>
      <x:c r="C12" s="23" t="n">
        <x:v>1078.0146206379868</x:v>
      </x:c>
      <x:c r="D12" s="23" t="n">
        <x:v>651.4533091336489</x:v>
      </x:c>
      <x:c r="E12" s="23" t="n">
        <x:v>244.8830475169234</x:v>
      </x:c>
      <x:c r="F12" s="23" t="n">
        <x:v>9.204288811422884</x:v>
      </x:c>
      <x:c r="G12" s="23" t="n">
        <x:v>0.79008695616154</x:v>
      </x:c>
      <x:c r="H12" s="23" t="n">
        <x:v>35</x:v>
      </x:c>
      <x:c r="I12" s="23" t="n">
        <x:v>25</x:v>
      </x:c>
      <x:c r="J12" s="23" t="n">
        <x:f>(IF(A12='Hybrid Calculator'!$B$6,0,1))^2+((B12-'Hybrid Calculator'!$B$7)/1500)^2+((C12-'Hybrid Calculator'!$B$8)/1300)^2+((D12-'Hybrid Calculator'!$B$9)/800)^2+((E12-'Hybrid Calculator'!$B$10)/350)^2+((F12-'Hybrid Calculator'!$B$11)/30)^2+(G12-'Hybrid Calculator'!$B$12)^2+((H12-'Hybrid Calculator'!$E$14)/IF(A12="Lightning",100,30000))^2+((I12-'Hybrid Calculator'!$E$17)/IF(A12="Lightning",100,30000))^2</x:f>
        <x:v>0.26091223259707513</x:v>
      </x:c>
      <x:c r="K12" s="23" t="n">
        <x:f>RANK(J12,$J$2:$J$1401,1)</x:f>
        <x:v>560</x:v>
      </x:c>
      <x:c r="L12" s="23" t="n">
        <x:f>IF(K12&lt;=7,1,0)</x:f>
        <x:v>0</x:v>
      </x:c>
      <x:c r="M12" s="23" t="n">
        <x:f>IF(L12=1,1/(J12+0.000001),0)</x:f>
        <x:v>0</x:v>
      </x:c>
      <x:c r="N12" s="23" t="n">
        <x:v>0.026309074815727085</x:v>
      </x:c>
      <x:c r="O12" s="23" t="n">
        <x:f>M12</x:f>
        <x:v>0</x:v>
      </x:c>
      <x:c r="P12" s="23" t="n">
        <x:v>1.128928659263508</x:v>
      </x:c>
      <x:c r="Q12" s="23" t="n">
        <x:v>5.06495321489615</x:v>
      </x:c>
    </x:row>
    <x:row r="13">
      <x:c r="A13" s="23" t="str">
        <x:v>Lightning</x:v>
      </x:c>
      <x:c r="B13" s="23" t="n">
        <x:v>1440.386587602552</x:v>
      </x:c>
      <x:c r="C13" s="23" t="n">
        <x:v>687.2704466339201</x:v>
      </x:c>
      <x:c r="D13" s="23" t="n">
        <x:v>376.8476973287761</x:v>
      </x:c>
      <x:c r="E13" s="23" t="n">
        <x:v>303.6396063817665</x:v>
      </x:c>
      <x:c r="F13" s="23" t="n">
        <x:v>10.18500507203862</x:v>
      </x:c>
      <x:c r="G13" s="23" t="n">
        <x:v>0.8051487333700061</x:v>
      </x:c>
      <x:c r="H13" s="23" t="n">
        <x:v>55</x:v>
      </x:c>
      <x:c r="I13" s="23" t="n">
        <x:v>25</x:v>
      </x:c>
      <x:c r="J13" s="23" t="n">
        <x:f>(IF(A13='Hybrid Calculator'!$B$6,0,1))^2+((B13-'Hybrid Calculator'!$B$7)/1500)^2+((C13-'Hybrid Calculator'!$B$8)/1300)^2+((D13-'Hybrid Calculator'!$B$9)/800)^2+((E13-'Hybrid Calculator'!$B$10)/350)^2+((F13-'Hybrid Calculator'!$B$11)/30)^2+(G13-'Hybrid Calculator'!$B$12)^2+((H13-'Hybrid Calculator'!$E$14)/IF(A13="Lightning",100,30000))^2+((I13-'Hybrid Calculator'!$E$17)/IF(A13="Lightning",100,30000))^2</x:f>
        <x:v>0.31170879232492615</x:v>
      </x:c>
      <x:c r="K13" s="23" t="n">
        <x:f>RANK(J13,$J$2:$J$1401,1)</x:f>
        <x:v>609</x:v>
      </x:c>
      <x:c r="L13" s="23" t="n">
        <x:f>IF(K13&lt;=7,1,0)</x:f>
        <x:v>0</x:v>
      </x:c>
      <x:c r="M13" s="23" t="n">
        <x:f>IF(L13=1,1/(J13+0.000001),0)</x:f>
        <x:v>0</x:v>
      </x:c>
      <x:c r="N13" s="23" t="n">
        <x:v>0.00981036594060769</x:v>
      </x:c>
      <x:c r="O13" s="23" t="n">
        <x:f>M13</x:f>
        <x:v>0</x:v>
      </x:c>
      <x:c r="P13" s="23" t="n">
        <x:v>0.2102805103937726</x:v>
      </x:c>
      <x:c r="Q13" s="23" t="n">
        <x:v>10.233890076872285</x:v>
      </x:c>
    </x:row>
    <x:row r="14">
      <x:c r="A14" s="23" t="str">
        <x:v>Lightning</x:v>
      </x:c>
      <x:c r="B14" s="23" t="n">
        <x:v>1414.0609995927662</x:v>
      </x:c>
      <x:c r="C14" s="23" t="n">
        <x:v>906.6151617909782</x:v>
      </x:c>
      <x:c r="D14" s="23" t="n">
        <x:v>630.3841909393668</x:v>
      </x:c>
      <x:c r="E14" s="23" t="n">
        <x:v>198.65658668102697</x:v>
      </x:c>
      <x:c r="F14" s="23" t="n">
        <x:v>22.428676206618547</x:v>
      </x:c>
      <x:c r="G14" s="23" t="n">
        <x:v>0.8009973727189936</x:v>
      </x:c>
      <x:c r="H14" s="23" t="n">
        <x:v>40</x:v>
      </x:c>
      <x:c r="I14" s="23" t="n">
        <x:v>25</x:v>
      </x:c>
      <x:c r="J14" s="23" t="n">
        <x:f>(IF(A14='Hybrid Calculator'!$B$6,0,1))^2+((B14-'Hybrid Calculator'!$B$7)/1500)^2+((C14-'Hybrid Calculator'!$B$8)/1300)^2+((D14-'Hybrid Calculator'!$B$9)/800)^2+((E14-'Hybrid Calculator'!$B$10)/350)^2+((F14-'Hybrid Calculator'!$B$11)/30)^2+(G14-'Hybrid Calculator'!$B$12)^2+((H14-'Hybrid Calculator'!$E$14)/IF(A14="Lightning",100,30000))^2+((I14-'Hybrid Calculator'!$E$17)/IF(A14="Lightning",100,30000))^2</x:f>
        <x:v>0.07534912725204565</x:v>
      </x:c>
      <x:c r="K14" s="23" t="n">
        <x:f>RANK(J14,$J$2:$J$1401,1)</x:f>
        <x:v>122</x:v>
      </x:c>
      <x:c r="L14" s="23" t="n">
        <x:f>IF(K14&lt;=7,1,0)</x:f>
        <x:v>0</x:v>
      </x:c>
      <x:c r="M14" s="23" t="n">
        <x:f>IF(L14=1,1/(J14+0.000001),0)</x:f>
        <x:v>0</x:v>
      </x:c>
      <x:c r="N14" s="23" t="n">
        <x:v>0.011985328613943969</x:v>
      </x:c>
      <x:c r="O14" s="23" t="n">
        <x:f>M14</x:f>
        <x:v>0</x:v>
      </x:c>
      <x:c r="P14" s="23" t="n">
        <x:v>-0.5970682249510233</x:v>
      </x:c>
      <x:c r="Q14" s="23" t="n">
        <x:v>-12.276347310222718</x:v>
      </x:c>
    </x:row>
    <x:row r="15">
      <x:c r="A15" s="23" t="str">
        <x:v>Lightning</x:v>
      </x:c>
      <x:c r="B15" s="23" t="n">
        <x:v>1396.9164589536376</x:v>
      </x:c>
      <x:c r="C15" s="23" t="n">
        <x:v>835.0833316100761</x:v>
      </x:c>
      <x:c r="D15" s="23" t="n">
        <x:v>525.9953503496945</x:v>
      </x:c>
      <x:c r="E15" s="23" t="n">
        <x:v>301.85500897467136</x:v>
      </x:c>
      <x:c r="F15" s="23" t="n">
        <x:v>9.569089109543711</x:v>
      </x:c>
      <x:c r="G15" s="23" t="n">
        <x:v>0.8512295047892258</x:v>
      </x:c>
      <x:c r="H15" s="23" t="n">
        <x:v>45</x:v>
      </x:c>
      <x:c r="I15" s="23" t="n">
        <x:v>25</x:v>
      </x:c>
      <x:c r="J15" s="23" t="n">
        <x:f>(IF(A15='Hybrid Calculator'!$B$6,0,1))^2+((B15-'Hybrid Calculator'!$B$7)/1500)^2+((C15-'Hybrid Calculator'!$B$8)/1300)^2+((D15-'Hybrid Calculator'!$B$9)/800)^2+((E15-'Hybrid Calculator'!$B$10)/350)^2+((F15-'Hybrid Calculator'!$B$11)/30)^2+(G15-'Hybrid Calculator'!$B$12)^2+((H15-'Hybrid Calculator'!$E$14)/IF(A15="Lightning",100,30000))^2+((I15-'Hybrid Calculator'!$E$17)/IF(A15="Lightning",100,30000))^2</x:f>
        <x:v>0.2818813022160722</x:v>
      </x:c>
      <x:c r="K15" s="23" t="n">
        <x:f>RANK(J15,$J$2:$J$1401,1)</x:f>
        <x:v>585</x:v>
      </x:c>
      <x:c r="L15" s="23" t="n">
        <x:f>IF(K15&lt;=7,1,0)</x:f>
        <x:v>0</x:v>
      </x:c>
      <x:c r="M15" s="23" t="n">
        <x:f>IF(L15=1,1/(J15+0.000001),0)</x:f>
        <x:v>0</x:v>
      </x:c>
      <x:c r="N15" s="23" t="n">
        <x:v>0.0015350862595755466</x:v>
      </x:c>
      <x:c r="O15" s="23" t="n">
        <x:f>M15</x:f>
        <x:v>0</x:v>
      </x:c>
      <x:c r="P15" s="23" t="n">
        <x:v>-0.1010980720636212</x:v>
      </x:c>
      <x:c r="Q15" s="23" t="n">
        <x:v>1.154031721201136</x:v>
      </x:c>
    </x:row>
    <x:row r="16">
      <x:c r="A16" s="23" t="str">
        <x:v>Lightning</x:v>
      </x:c>
      <x:c r="B16" s="23" t="n">
        <x:v>1487.3781942296773</x:v>
      </x:c>
      <x:c r="C16" s="23" t="n">
        <x:v>704.6948481234722</x:v>
      </x:c>
      <x:c r="D16" s="23" t="n">
        <x:v>593.3950183913112</x:v>
      </x:c>
      <x:c r="E16" s="23" t="n">
        <x:v>322.13436647551134</x:v>
      </x:c>
      <x:c r="F16" s="23" t="n">
        <x:v>9.352968648076057</x:v>
      </x:c>
      <x:c r="G16" s="23" t="n">
        <x:v>0.8006031997338869</x:v>
      </x:c>
      <x:c r="H16" s="23" t="n">
        <x:v>45</x:v>
      </x:c>
      <x:c r="I16" s="23" t="n">
        <x:v>25</x:v>
      </x:c>
      <x:c r="J16" s="23" t="n">
        <x:f>(IF(A16='Hybrid Calculator'!$B$6,0,1))^2+((B16-'Hybrid Calculator'!$B$7)/1500)^2+((C16-'Hybrid Calculator'!$B$8)/1300)^2+((D16-'Hybrid Calculator'!$B$9)/800)^2+((E16-'Hybrid Calculator'!$B$10)/350)^2+((F16-'Hybrid Calculator'!$B$11)/30)^2+(G16-'Hybrid Calculator'!$B$12)^2+((H16-'Hybrid Calculator'!$E$14)/IF(A16="Lightning",100,30000))^2+((I16-'Hybrid Calculator'!$E$17)/IF(A16="Lightning",100,30000))^2</x:f>
        <x:v>0.3655721004321691</x:v>
      </x:c>
      <x:c r="K16" s="23" t="n">
        <x:f>RANK(J16,$J$2:$J$1401,1)</x:f>
        <x:v>663</x:v>
      </x:c>
      <x:c r="L16" s="23" t="n">
        <x:f>IF(K16&lt;=7,1,0)</x:f>
        <x:v>0</x:v>
      </x:c>
      <x:c r="M16" s="23" t="n">
        <x:f>IF(L16=1,1/(J16+0.000001),0)</x:f>
        <x:v>0</x:v>
      </x:c>
      <x:c r="N16" s="23" t="n">
        <x:v>0.01814869382025841</x:v>
      </x:c>
      <x:c r="O16" s="23" t="n">
        <x:f>M16</x:f>
        <x:v>0</x:v>
      </x:c>
      <x:c r="P16" s="23" t="n">
        <x:v>-0.3042214278807478</x:v>
      </x:c>
      <x:c r="Q16" s="23" t="n">
        <x:v>0.1393133633666821</x:v>
      </x:c>
    </x:row>
    <x:row r="17">
      <x:c r="A17" s="23" t="str">
        <x:v>Lightning</x:v>
      </x:c>
      <x:c r="B17" s="23" t="n">
        <x:v>1375.9331380133517</x:v>
      </x:c>
      <x:c r="C17" s="23" t="n">
        <x:v>1215.168104111217</x:v>
      </x:c>
      <x:c r="D17" s="23" t="n">
        <x:v>529.6553266234696</x:v>
      </x:c>
      <x:c r="E17" s="23" t="n">
        <x:v>128.1094499118626</x:v>
      </x:c>
      <x:c r="F17" s="23" t="n">
        <x:v>24.819575196597725</x:v>
      </x:c>
      <x:c r="G17" s="23" t="n">
        <x:v>0.7982651298260317</x:v>
      </x:c>
      <x:c r="H17" s="23" t="n">
        <x:v>40</x:v>
      </x:c>
      <x:c r="I17" s="23" t="n">
        <x:v>25</x:v>
      </x:c>
      <x:c r="J17" s="23" t="n">
        <x:f>(IF(A17='Hybrid Calculator'!$B$6,0,1))^2+((B17-'Hybrid Calculator'!$B$7)/1500)^2+((C17-'Hybrid Calculator'!$B$8)/1300)^2+((D17-'Hybrid Calculator'!$B$9)/800)^2+((E17-'Hybrid Calculator'!$B$10)/350)^2+((F17-'Hybrid Calculator'!$B$11)/30)^2+(G17-'Hybrid Calculator'!$B$12)^2+((H17-'Hybrid Calculator'!$E$14)/IF(A17="Lightning",100,30000))^2+((I17-'Hybrid Calculator'!$E$17)/IF(A17="Lightning",100,30000))^2</x:f>
        <x:v>0.1401068271664972</x:v>
      </x:c>
      <x:c r="K17" s="23" t="n">
        <x:f>RANK(J17,$J$2:$J$1401,1)</x:f>
        <x:v>302</x:v>
      </x:c>
      <x:c r="L17" s="23" t="n">
        <x:f>IF(K17&lt;=7,1,0)</x:f>
        <x:v>0</x:v>
      </x:c>
      <x:c r="M17" s="23" t="n">
        <x:f>IF(L17=1,1/(J17+0.000001),0)</x:f>
        <x:v>0</x:v>
      </x:c>
      <x:c r="N17" s="23" t="n">
        <x:v>-0.006653699082074471</x:v>
      </x:c>
      <x:c r="O17" s="23" t="n">
        <x:f>M17</x:f>
        <x:v>0</x:v>
      </x:c>
      <x:c r="P17" s="23" t="n">
        <x:v>0.549450797064786</x:v>
      </x:c>
      <x:c r="Q17" s="23" t="n">
        <x:v>-18.75514926341839</x:v>
      </x:c>
    </x:row>
    <x:row r="18">
      <x:c r="A18" s="23" t="str">
        <x:v>Lightning</x:v>
      </x:c>
      <x:c r="B18" s="23" t="n">
        <x:v>1363.902879995294</x:v>
      </x:c>
      <x:c r="C18" s="23" t="n">
        <x:v>715.8489043009467</x:v>
      </x:c>
      <x:c r="D18" s="23" t="n">
        <x:v>350.5389019846916</x:v>
      </x:c>
      <x:c r="E18" s="23" t="n">
        <x:v>273.9082862227224</x:v>
      </x:c>
      <x:c r="F18" s="23" t="n">
        <x:v>29.92448457609862</x:v>
      </x:c>
      <x:c r="G18" s="23" t="n">
        <x:v>0.8405353098711931</x:v>
      </x:c>
      <x:c r="H18" s="23" t="n">
        <x:v>55</x:v>
      </x:c>
      <x:c r="I18" s="23" t="n">
        <x:v>25</x:v>
      </x:c>
      <x:c r="J18" s="23" t="n">
        <x:f>(IF(A18='Hybrid Calculator'!$B$6,0,1))^2+((B18-'Hybrid Calculator'!$B$7)/1500)^2+((C18-'Hybrid Calculator'!$B$8)/1300)^2+((D18-'Hybrid Calculator'!$B$9)/800)^2+((E18-'Hybrid Calculator'!$B$10)/350)^2+((F18-'Hybrid Calculator'!$B$11)/30)^2+(G18-'Hybrid Calculator'!$B$12)^2+((H18-'Hybrid Calculator'!$E$14)/IF(A18="Lightning",100,30000))^2+((I18-'Hybrid Calculator'!$E$17)/IF(A18="Lightning",100,30000))^2</x:f>
        <x:v>0.32048737120857235</x:v>
      </x:c>
      <x:c r="K18" s="23" t="n">
        <x:f>RANK(J18,$J$2:$J$1401,1)</x:f>
        <x:v>625</x:v>
      </x:c>
      <x:c r="L18" s="23" t="n">
        <x:f>IF(K18&lt;=7,1,0)</x:f>
        <x:v>0</x:v>
      </x:c>
      <x:c r="M18" s="23" t="n">
        <x:f>IF(L18=1,1/(J18+0.000001),0)</x:f>
        <x:v>0</x:v>
      </x:c>
      <x:c r="N18" s="23" t="n">
        <x:v>-0.005666435731394248</x:v>
      </x:c>
      <x:c r="O18" s="23" t="n">
        <x:f>M18</x:f>
        <x:v>0</x:v>
      </x:c>
      <x:c r="P18" s="23" t="n">
        <x:v>-0.7102414794685501</x:v>
      </x:c>
      <x:c r="Q18" s="23" t="n">
        <x:v>-1.0125620468604666</x:v>
      </x:c>
    </x:row>
    <x:row r="19">
      <x:c r="A19" s="23" t="str">
        <x:v>Lightning</x:v>
      </x:c>
      <x:c r="B19" s="23" t="n">
        <x:v>1488.584000885021</x:v>
      </x:c>
      <x:c r="C19" s="23" t="n">
        <x:v>1117.761120107025</x:v>
      </x:c>
      <x:c r="D19" s="23" t="n">
        <x:v>708.0863556824625</x:v>
      </x:c>
      <x:c r="E19" s="23" t="n">
        <x:v>196.01221247110516</x:v>
      </x:c>
      <x:c r="F19" s="23" t="n">
        <x:v>11.254280438181013</x:v>
      </x:c>
      <x:c r="G19" s="23" t="n">
        <x:v>0.8483540957141668</x:v>
      </x:c>
      <x:c r="H19" s="23" t="n">
        <x:v>35</x:v>
      </x:c>
      <x:c r="I19" s="23" t="n">
        <x:v>25</x:v>
      </x:c>
      <x:c r="J19" s="23" t="n">
        <x:f>(IF(A19='Hybrid Calculator'!$B$6,0,1))^2+((B19-'Hybrid Calculator'!$B$7)/1500)^2+((C19-'Hybrid Calculator'!$B$8)/1300)^2+((D19-'Hybrid Calculator'!$B$9)/800)^2+((E19-'Hybrid Calculator'!$B$10)/350)^2+((F19-'Hybrid Calculator'!$B$11)/30)^2+(G19-'Hybrid Calculator'!$B$12)^2+((H19-'Hybrid Calculator'!$E$14)/IF(A19="Lightning",100,30000))^2+((I19-'Hybrid Calculator'!$E$17)/IF(A19="Lightning",100,30000))^2</x:f>
        <x:v>0.21079711011990385</x:v>
      </x:c>
      <x:c r="K19" s="23" t="n">
        <x:f>RANK(J19,$J$2:$J$1401,1)</x:f>
        <x:v>466</x:v>
      </x:c>
      <x:c r="L19" s="23" t="n">
        <x:f>IF(K19&lt;=7,1,0)</x:f>
        <x:v>0</x:v>
      </x:c>
      <x:c r="M19" s="23" t="n">
        <x:f>IF(L19=1,1/(J19+0.000001),0)</x:f>
        <x:v>0</x:v>
      </x:c>
      <x:c r="N19" s="23" t="n">
        <x:v>0.005671739046230639</x:v>
      </x:c>
      <x:c r="O19" s="23" t="n">
        <x:f>M19</x:f>
        <x:v>0</x:v>
      </x:c>
      <x:c r="P19" s="23" t="n">
        <x:v>0.8067629916764218</x:v>
      </x:c>
      <x:c r="Q19" s="23" t="n">
        <x:v>-9.57008520979366</x:v>
      </x:c>
    </x:row>
    <x:row r="20">
      <x:c r="A20" s="23" t="str">
        <x:v>Lightning</x:v>
      </x:c>
      <x:c r="B20" s="23" t="n">
        <x:v>1406.6861227154732</x:v>
      </x:c>
      <x:c r="C20" s="23" t="n">
        <x:v>1049.9003986245953</x:v>
      </x:c>
      <x:c r="D20" s="23" t="n">
        <x:v>605.0552533939481</x:v>
      </x:c>
      <x:c r="E20" s="23" t="n">
        <x:v>292.5517191016115</x:v>
      </x:c>
      <x:c r="F20" s="23" t="n">
        <x:v>26.4144050758332</x:v>
      </x:c>
      <x:c r="G20" s="23" t="n">
        <x:v>0.8116438302886673</x:v>
      </x:c>
      <x:c r="H20" s="23" t="n">
        <x:v>35</x:v>
      </x:c>
      <x:c r="I20" s="23" t="n">
        <x:v>25</x:v>
      </x:c>
      <x:c r="J20" s="23" t="n">
        <x:f>(IF(A20='Hybrid Calculator'!$B$6,0,1))^2+((B20-'Hybrid Calculator'!$B$7)/1500)^2+((C20-'Hybrid Calculator'!$B$8)/1300)^2+((D20-'Hybrid Calculator'!$B$9)/800)^2+((E20-'Hybrid Calculator'!$B$10)/350)^2+((F20-'Hybrid Calculator'!$B$11)/30)^2+(G20-'Hybrid Calculator'!$B$12)^2+((H20-'Hybrid Calculator'!$E$14)/IF(A20="Lightning",100,30000))^2+((I20-'Hybrid Calculator'!$E$17)/IF(A20="Lightning",100,30000))^2</x:f>
        <x:v>0.2990918774655921</x:v>
      </x:c>
      <x:c r="K20" s="23" t="n">
        <x:f>RANK(J20,$J$2:$J$1401,1)</x:f>
        <x:v>596</x:v>
      </x:c>
      <x:c r="L20" s="23" t="n">
        <x:f>IF(K20&lt;=7,1,0)</x:f>
        <x:v>0</x:v>
      </x:c>
      <x:c r="M20" s="23" t="n">
        <x:f>IF(L20=1,1/(J20+0.000001),0)</x:f>
        <x:v>0</x:v>
      </x:c>
      <x:c r="N20" s="23" t="n">
        <x:v>-0.0016835476377083936</x:v>
      </x:c>
      <x:c r="O20" s="23" t="n">
        <x:f>M20</x:f>
        <x:v>0</x:v>
      </x:c>
      <x:c r="P20" s="23" t="n">
        <x:v>0.5686803150512105</x:v>
      </x:c>
      <x:c r="Q20" s="23" t="n">
        <x:v>-15.019757319897963</x:v>
      </x:c>
    </x:row>
    <x:row r="21">
      <x:c r="A21" s="23" t="str">
        <x:v>Lightning</x:v>
      </x:c>
      <x:c r="B21" s="23" t="n">
        <x:v>1359.6737301559187</x:v>
      </x:c>
      <x:c r="C21" s="23" t="n">
        <x:v>604.7578985104337</x:v>
      </x:c>
      <x:c r="D21" s="23" t="n">
        <x:v>469.66908434405923</x:v>
      </x:c>
      <x:c r="E21" s="23" t="n">
        <x:v>253.1531152036041</x:v>
      </x:c>
      <x:c r="F21" s="23" t="n">
        <x:v>29.832911964971572</x:v>
      </x:c>
      <x:c r="G21" s="23" t="n">
        <x:v>0.8122154218005017</x:v>
      </x:c>
      <x:c r="H21" s="23" t="n">
        <x:v>55</x:v>
      </x:c>
      <x:c r="I21" s="23" t="n">
        <x:v>25</x:v>
      </x:c>
      <x:c r="J21" s="23" t="n">
        <x:f>(IF(A21='Hybrid Calculator'!$B$6,0,1))^2+((B21-'Hybrid Calculator'!$B$7)/1500)^2+((C21-'Hybrid Calculator'!$B$8)/1300)^2+((D21-'Hybrid Calculator'!$B$9)/800)^2+((E21-'Hybrid Calculator'!$B$10)/350)^2+((F21-'Hybrid Calculator'!$B$11)/30)^2+(G21-'Hybrid Calculator'!$B$12)^2+((H21-'Hybrid Calculator'!$E$14)/IF(A21="Lightning",100,30000))^2+((I21-'Hybrid Calculator'!$E$17)/IF(A21="Lightning",100,30000))^2</x:f>
        <x:v>0.2710498954869537</x:v>
      </x:c>
      <x:c r="K21" s="23" t="n">
        <x:f>RANK(J21,$J$2:$J$1401,1)</x:f>
        <x:v>575</x:v>
      </x:c>
      <x:c r="L21" s="23" t="n">
        <x:f>IF(K21&lt;=7,1,0)</x:f>
        <x:v>0</x:v>
      </x:c>
      <x:c r="M21" s="23" t="n">
        <x:f>IF(L21=1,1/(J21+0.000001),0)</x:f>
        <x:v>0</x:v>
      </x:c>
      <x:c r="N21" s="23" t="n">
        <x:v>-0.020864169281332945</x:v>
      </x:c>
      <x:c r="O21" s="23" t="n">
        <x:f>M21</x:f>
        <x:v>0</x:v>
      </x:c>
      <x:c r="P21" s="23" t="n">
        <x:v>-1.3152313824816773</x:v>
      </x:c>
      <x:c r="Q21" s="23" t="n">
        <x:v>-0.14899292622294524</x:v>
      </x:c>
    </x:row>
    <x:row r="22">
      <x:c r="A22" s="23" t="str">
        <x:v>Lightning</x:v>
      </x:c>
      <x:c r="B22" s="23" t="n">
        <x:v>1405.1374331815168</x:v>
      </x:c>
      <x:c r="C22" s="23" t="n">
        <x:v>692.6321942941286</x:v>
      </x:c>
      <x:c r="D22" s="23" t="n">
        <x:v>538.7086872011423</x:v>
      </x:c>
      <x:c r="E22" s="23" t="n">
        <x:v>93.74416908947751</x:v>
      </x:c>
      <x:c r="F22" s="23" t="n">
        <x:v>14.342217707075179</x:v>
      </x:c>
      <x:c r="G22" s="23" t="n">
        <x:v>0.850843887727242</x:v>
      </x:c>
      <x:c r="H22" s="23" t="n">
        <x:v>55</x:v>
      </x:c>
      <x:c r="I22" s="23" t="n">
        <x:v>25</x:v>
      </x:c>
      <x:c r="J22" s="23" t="n">
        <x:f>(IF(A22='Hybrid Calculator'!$B$6,0,1))^2+((B22-'Hybrid Calculator'!$B$7)/1500)^2+((C22-'Hybrid Calculator'!$B$8)/1300)^2+((D22-'Hybrid Calculator'!$B$9)/800)^2+((E22-'Hybrid Calculator'!$B$10)/350)^2+((F22-'Hybrid Calculator'!$B$11)/30)^2+(G22-'Hybrid Calculator'!$B$12)^2+((H22-'Hybrid Calculator'!$E$14)/IF(A22="Lightning",100,30000))^2+((I22-'Hybrid Calculator'!$E$17)/IF(A22="Lightning",100,30000))^2</x:f>
        <x:v>0.06566388995800287</x:v>
      </x:c>
      <x:c r="K22" s="23" t="n">
        <x:f>RANK(J22,$J$2:$J$1401,1)</x:f>
        <x:v>95</x:v>
      </x:c>
      <x:c r="L22" s="23" t="n">
        <x:f>IF(K22&lt;=7,1,0)</x:f>
        <x:v>0</x:v>
      </x:c>
      <x:c r="M22" s="23" t="n">
        <x:f>IF(L22=1,1/(J22+0.000001),0)</x:f>
        <x:v>0</x:v>
      </x:c>
      <x:c r="N22" s="23" t="n">
        <x:v>0.002276859119037855</x:v>
      </x:c>
      <x:c r="O22" s="23" t="n">
        <x:f>M22</x:f>
        <x:v>0</x:v>
      </x:c>
      <x:c r="P22" s="23" t="n">
        <x:v>-1.572340676381188</x:v>
      </x:c>
      <x:c r="Q22" s="23" t="n">
        <x:v>16.46227939008918</x:v>
      </x:c>
    </x:row>
    <x:row r="23">
      <x:c r="A23" s="23" t="str">
        <x:v>Lightning</x:v>
      </x:c>
      <x:c r="B23" s="23" t="n">
        <x:v>1481.8573393276893</x:v>
      </x:c>
      <x:c r="C23" s="23" t="n">
        <x:v>700.3366775345057</x:v>
      </x:c>
      <x:c r="D23" s="23" t="n">
        <x:v>418.6875726096332</x:v>
      </x:c>
      <x:c r="E23" s="23" t="n">
        <x:v>252.6407742826268</x:v>
      </x:c>
      <x:c r="F23" s="23" t="n">
        <x:v>25.057020868640393</x:v>
      </x:c>
      <x:c r="G23" s="23" t="n">
        <x:v>0.8118109469860793</x:v>
      </x:c>
      <x:c r="H23" s="23" t="n">
        <x:v>50</x:v>
      </x:c>
      <x:c r="I23" s="23" t="n">
        <x:v>25</x:v>
      </x:c>
      <x:c r="J23" s="23" t="n">
        <x:f>(IF(A23='Hybrid Calculator'!$B$6,0,1))^2+((B23-'Hybrid Calculator'!$B$7)/1500)^2+((C23-'Hybrid Calculator'!$B$8)/1300)^2+((D23-'Hybrid Calculator'!$B$9)/800)^2+((E23-'Hybrid Calculator'!$B$10)/350)^2+((F23-'Hybrid Calculator'!$B$11)/30)^2+(G23-'Hybrid Calculator'!$B$12)^2+((H23-'Hybrid Calculator'!$E$14)/IF(A23="Lightning",100,30000))^2+((I23-'Hybrid Calculator'!$E$17)/IF(A23="Lightning",100,30000))^2</x:f>
        <x:v>0.15886129219799847</x:v>
      </x:c>
      <x:c r="K23" s="23" t="n">
        <x:f>RANK(J23,$J$2:$J$1401,1)</x:f>
        <x:v>348</x:v>
      </x:c>
      <x:c r="L23" s="23" t="n">
        <x:f>IF(K23&lt;=7,1,0)</x:f>
        <x:v>0</x:v>
      </x:c>
      <x:c r="M23" s="23" t="n">
        <x:f>IF(L23=1,1/(J23+0.000001),0)</x:f>
        <x:v>0</x:v>
      </x:c>
      <x:c r="N23" s="23" t="n">
        <x:v>-0.01866647330684068</x:v>
      </x:c>
      <x:c r="O23" s="23" t="n">
        <x:f>M23</x:f>
        <x:v>0</x:v>
      </x:c>
      <x:c r="P23" s="23" t="n">
        <x:v>-1.5482382134503467</x:v>
      </x:c>
      <x:c r="Q23" s="23" t="n">
        <x:v>-7.985671477778624</x:v>
      </x:c>
    </x:row>
    <x:row r="24">
      <x:c r="A24" s="23" t="str">
        <x:v>Lightning</x:v>
      </x:c>
      <x:c r="B24" s="23" t="n">
        <x:v>1455.1547288428992</x:v>
      </x:c>
      <x:c r="C24" s="23" t="n">
        <x:v>1078.5621651331894</x:v>
      </x:c>
      <x:c r="D24" s="23" t="n">
        <x:v>713.9153873547912</x:v>
      </x:c>
      <x:c r="E24" s="23" t="n">
        <x:v>301.6024518129416</x:v>
      </x:c>
      <x:c r="F24" s="23" t="n">
        <x:v>19.450641822069883</x:v>
      </x:c>
      <x:c r="G24" s="23" t="n">
        <x:v>0.8179121063300409</x:v>
      </x:c>
      <x:c r="H24" s="23" t="n">
        <x:v>35</x:v>
      </x:c>
      <x:c r="I24" s="23" t="n">
        <x:v>25</x:v>
      </x:c>
      <x:c r="J24" s="23" t="n">
        <x:f>(IF(A24='Hybrid Calculator'!$B$6,0,1))^2+((B24-'Hybrid Calculator'!$B$7)/1500)^2+((C24-'Hybrid Calculator'!$B$8)/1300)^2+((D24-'Hybrid Calculator'!$B$9)/800)^2+((E24-'Hybrid Calculator'!$B$10)/350)^2+((F24-'Hybrid Calculator'!$B$11)/30)^2+(G24-'Hybrid Calculator'!$B$12)^2+((H24-'Hybrid Calculator'!$E$14)/IF(A24="Lightning",100,30000))^2+((I24-'Hybrid Calculator'!$E$17)/IF(A24="Lightning",100,30000))^2</x:f>
        <x:v>0.31394274405290895</x:v>
      </x:c>
      <x:c r="K24" s="23" t="n">
        <x:f>RANK(J24,$J$2:$J$1401,1)</x:f>
        <x:v>614</x:v>
      </x:c>
      <x:c r="L24" s="23" t="n">
        <x:f>IF(K24&lt;=7,1,0)</x:f>
        <x:v>0</x:v>
      </x:c>
      <x:c r="M24" s="23" t="n">
        <x:f>IF(L24=1,1/(J24+0.000001),0)</x:f>
        <x:v>0</x:v>
      </x:c>
      <x:c r="N24" s="23" t="n">
        <x:v>0.003314101168987893</x:v>
      </x:c>
      <x:c r="O24" s="23" t="n">
        <x:f>M24</x:f>
        <x:v>0</x:v>
      </x:c>
      <x:c r="P24" s="23" t="n">
        <x:v>-0.04126259657815723</x:v>
      </x:c>
      <x:c r="Q24" s="23" t="n">
        <x:v>-13.470749014838702</x:v>
      </x:c>
    </x:row>
    <x:row r="25">
      <x:c r="A25" s="23" t="str">
        <x:v>Lightning</x:v>
      </x:c>
      <x:c r="B25" s="23" t="n">
        <x:v>1479.4425189611502</x:v>
      </x:c>
      <x:c r="C25" s="23" t="n">
        <x:v>791.8973526684567</x:v>
      </x:c>
      <x:c r="D25" s="23" t="n">
        <x:v>531.1659355647862</x:v>
      </x:c>
      <x:c r="E25" s="23" t="n">
        <x:v>157.07697805017233</x:v>
      </x:c>
      <x:c r="F25" s="23" t="n">
        <x:v>18.199724155012518</x:v>
      </x:c>
      <x:c r="G25" s="23" t="n">
        <x:v>0.837862874227576</x:v>
      </x:c>
      <x:c r="H25" s="23" t="n">
        <x:v>50</x:v>
      </x:c>
      <x:c r="I25" s="23" t="n">
        <x:v>25</x:v>
      </x:c>
      <x:c r="J25" s="23" t="n">
        <x:f>(IF(A25='Hybrid Calculator'!$B$6,0,1))^2+((B25-'Hybrid Calculator'!$B$7)/1500)^2+((C25-'Hybrid Calculator'!$B$8)/1300)^2+((D25-'Hybrid Calculator'!$B$9)/800)^2+((E25-'Hybrid Calculator'!$B$10)/350)^2+((F25-'Hybrid Calculator'!$B$11)/30)^2+(G25-'Hybrid Calculator'!$B$12)^2+((H25-'Hybrid Calculator'!$E$14)/IF(A25="Lightning",100,30000))^2+((I25-'Hybrid Calculator'!$E$17)/IF(A25="Lightning",100,30000))^2</x:f>
        <x:v>0.005660704988629728</x:v>
      </x:c>
      <x:c r="K25" s="23" t="n">
        <x:f>RANK(J25,$J$2:$J$1401,1)</x:f>
        <x:v>2</x:v>
      </x:c>
      <x:c r="L25" s="23" t="n">
        <x:f>IF(K25&lt;=7,1,0)</x:f>
        <x:v>1</x:v>
      </x:c>
      <x:c r="M25" s="23" t="n">
        <x:f>IF(L25=1,1/(J25+0.000001),0)</x:f>
        <x:v>176.62523957152075</x:v>
      </x:c>
      <x:c r="N25" s="23" t="n">
        <x:v>-0.012315053656522412</x:v>
      </x:c>
      <x:c r="O25" s="23" t="n">
        <x:f>M25</x:f>
        <x:v>176.62523957152075</x:v>
      </x:c>
      <x:c r="P25" s="23" t="n">
        <x:v>0.26101117394845375</x:v>
      </x:c>
      <x:c r="Q25" s="23" t="n">
        <x:v>5.900124063579369</x:v>
      </x:c>
    </x:row>
    <x:row r="26">
      <x:c r="A26" s="23" t="str">
        <x:v>Lightning</x:v>
      </x:c>
      <x:c r="B26" s="23" t="n">
        <x:v>1499.6580671751872</x:v>
      </x:c>
      <x:c r="C26" s="23" t="n">
        <x:v>1161.9248888571747</x:v>
      </x:c>
      <x:c r="D26" s="23" t="n">
        <x:v>675.5810283124447</x:v>
      </x:c>
      <x:c r="E26" s="23" t="n">
        <x:v>239.73685070639476</x:v>
      </x:c>
      <x:c r="F26" s="23" t="n">
        <x:v>11.55863683577627</x:v>
      </x:c>
      <x:c r="G26" s="23" t="n">
        <x:v>0.8255490733101033</x:v>
      </x:c>
      <x:c r="H26" s="23" t="n">
        <x:v>35</x:v>
      </x:c>
      <x:c r="I26" s="23" t="n">
        <x:v>25</x:v>
      </x:c>
      <x:c r="J26" s="23" t="n">
        <x:f>(IF(A26='Hybrid Calculator'!$B$6,0,1))^2+((B26-'Hybrid Calculator'!$B$7)/1500)^2+((C26-'Hybrid Calculator'!$B$8)/1300)^2+((D26-'Hybrid Calculator'!$B$9)/800)^2+((E26-'Hybrid Calculator'!$B$10)/350)^2+((F26-'Hybrid Calculator'!$B$11)/30)^2+(G26-'Hybrid Calculator'!$B$12)^2+((H26-'Hybrid Calculator'!$E$14)/IF(A26="Lightning",100,30000))^2+((I26-'Hybrid Calculator'!$E$17)/IF(A26="Lightning",100,30000))^2</x:f>
        <x:v>0.25002264061190843</x:v>
      </x:c>
      <x:c r="K26" s="23" t="n">
        <x:f>RANK(J26,$J$2:$J$1401,1)</x:f>
        <x:v>541</x:v>
      </x:c>
      <x:c r="L26" s="23" t="n">
        <x:f>IF(K26&lt;=7,1,0)</x:f>
        <x:v>0</x:v>
      </x:c>
      <x:c r="M26" s="23" t="n">
        <x:f>IF(L26=1,1/(J26+0.000001),0)</x:f>
        <x:v>0</x:v>
      </x:c>
      <x:c r="N26" s="23" t="n">
        <x:v>0.006569873996741249</x:v>
      </x:c>
      <x:c r="O26" s="23" t="n">
        <x:f>M26</x:f>
        <x:v>0</x:v>
      </x:c>
      <x:c r="P26" s="23" t="n">
        <x:v>0.26247458591249284</x:v>
      </x:c>
      <x:c r="Q26" s="23" t="n">
        <x:v>-2.5593246948751585</x:v>
      </x:c>
    </x:row>
    <x:row r="27">
      <x:c r="A27" s="23" t="str">
        <x:v>Lightning</x:v>
      </x:c>
      <x:c r="B27" s="23" t="n">
        <x:v>1365.7694546389394</x:v>
      </x:c>
      <x:c r="C27" s="23" t="n">
        <x:v>759.8699979484081</x:v>
      </x:c>
      <x:c r="D27" s="23" t="n">
        <x:v>572.6333885453641</x:v>
      </x:c>
      <x:c r="E27" s="23" t="n">
        <x:v>164.68478836584836</x:v>
      </x:c>
      <x:c r="F27" s="23" t="n">
        <x:v>8.560705812182277</x:v>
      </x:c>
      <x:c r="G27" s="23" t="n">
        <x:v>0.8155675576161594</x:v>
      </x:c>
      <x:c r="H27" s="23" t="n">
        <x:v>50</x:v>
      </x:c>
      <x:c r="I27" s="23" t="n">
        <x:v>25</x:v>
      </x:c>
      <x:c r="J27" s="23" t="n">
        <x:f>(IF(A27='Hybrid Calculator'!$B$6,0,1))^2+((B27-'Hybrid Calculator'!$B$7)/1500)^2+((C27-'Hybrid Calculator'!$B$8)/1300)^2+((D27-'Hybrid Calculator'!$B$9)/800)^2+((E27-'Hybrid Calculator'!$B$10)/350)^2+((F27-'Hybrid Calculator'!$B$11)/30)^2+(G27-'Hybrid Calculator'!$B$12)^2+((H27-'Hybrid Calculator'!$E$14)/IF(A27="Lightning",100,30000))^2+((I27-'Hybrid Calculator'!$E$17)/IF(A27="Lightning",100,30000))^2</x:f>
        <x:v>0.12615530597293462</x:v>
      </x:c>
      <x:c r="K27" s="23" t="n">
        <x:f>RANK(J27,$J$2:$J$1401,1)</x:f>
        <x:v>266</x:v>
      </x:c>
      <x:c r="L27" s="23" t="n">
        <x:f>IF(K27&lt;=7,1,0)</x:f>
        <x:v>0</x:v>
      </x:c>
      <x:c r="M27" s="23" t="n">
        <x:f>IF(L27=1,1/(J27+0.000001),0)</x:f>
        <x:v>0</x:v>
      </x:c>
      <x:c r="N27" s="23" t="n">
        <x:v>-0.0001277832628332476</x:v>
      </x:c>
      <x:c r="O27" s="23" t="n">
        <x:f>M27</x:f>
        <x:v>0</x:v>
      </x:c>
      <x:c r="P27" s="23" t="n">
        <x:v>0.013513455054294354</x:v>
      </x:c>
      <x:c r="Q27" s="23" t="n">
        <x:v>14.79390739591463</x:v>
      </x:c>
    </x:row>
    <x:row r="28">
      <x:c r="A28" s="23" t="str">
        <x:v>Lightning</x:v>
      </x:c>
      <x:c r="B28" s="23" t="n">
        <x:v>1366.650692280382</x:v>
      </x:c>
      <x:c r="C28" s="23" t="n">
        <x:v>725.5721941008233</x:v>
      </x:c>
      <x:c r="D28" s="23" t="n">
        <x:v>540.6645262613893</x:v>
      </x:c>
      <x:c r="E28" s="23" t="n">
        <x:v>308.12651755521074</x:v>
      </x:c>
      <x:c r="F28" s="23" t="n">
        <x:v>16.85725107230246</x:v>
      </x:c>
      <x:c r="G28" s="23" t="n">
        <x:v>0.8505646989052185</x:v>
      </x:c>
      <x:c r="H28" s="23" t="n">
        <x:v>45</x:v>
      </x:c>
      <x:c r="I28" s="23" t="n">
        <x:v>25</x:v>
      </x:c>
      <x:c r="J28" s="23" t="n">
        <x:f>(IF(A28='Hybrid Calculator'!$B$6,0,1))^2+((B28-'Hybrid Calculator'!$B$7)/1500)^2+((C28-'Hybrid Calculator'!$B$8)/1300)^2+((D28-'Hybrid Calculator'!$B$9)/800)^2+((E28-'Hybrid Calculator'!$B$10)/350)^2+((F28-'Hybrid Calculator'!$B$11)/30)^2+(G28-'Hybrid Calculator'!$B$12)^2+((H28-'Hybrid Calculator'!$E$14)/IF(A28="Lightning",100,30000))^2+((I28-'Hybrid Calculator'!$E$17)/IF(A28="Lightning",100,30000))^2</x:f>
        <x:v>0.2238049630285226</x:v>
      </x:c>
      <x:c r="K28" s="23" t="n">
        <x:f>RANK(J28,$J$2:$J$1401,1)</x:f>
        <x:v>494</x:v>
      </x:c>
      <x:c r="L28" s="23" t="n">
        <x:f>IF(K28&lt;=7,1,0)</x:f>
        <x:v>0</x:v>
      </x:c>
      <x:c r="M28" s="23" t="n">
        <x:f>IF(L28=1,1/(J28+0.000001),0)</x:f>
        <x:v>0</x:v>
      </x:c>
      <x:c r="N28" s="23" t="n">
        <x:v>0.010929089524155167</x:v>
      </x:c>
      <x:c r="O28" s="23" t="n">
        <x:f>M28</x:f>
        <x:v>0</x:v>
      </x:c>
      <x:c r="P28" s="23" t="n">
        <x:v>-0.14203637088147758</x:v>
      </x:c>
      <x:c r="Q28" s="23" t="n">
        <x:v>9.220175747461326</x:v>
      </x:c>
    </x:row>
    <x:row r="29">
      <x:c r="A29" s="23" t="str">
        <x:v>Lightning</x:v>
      </x:c>
      <x:c r="B29" s="23" t="n">
        <x:v>1485.5111466371454</x:v>
      </x:c>
      <x:c r="C29" s="23" t="n">
        <x:v>1149.3210251675919</x:v>
      </x:c>
      <x:c r="D29" s="23" t="n">
        <x:v>647.1453958190978</x:v>
      </x:c>
      <x:c r="E29" s="23" t="n">
        <x:v>101.50185802020133</x:v>
      </x:c>
      <x:c r="F29" s="23" t="n">
        <x:v>24.652950056362897</x:v>
      </x:c>
      <x:c r="G29" s="23" t="n">
        <x:v>0.8055465636262671</x:v>
      </x:c>
      <x:c r="H29" s="23" t="n">
        <x:v>35</x:v>
      </x:c>
      <x:c r="I29" s="23" t="n">
        <x:v>25</x:v>
      </x:c>
      <x:c r="J29" s="23" t="n">
        <x:f>(IF(A29='Hybrid Calculator'!$B$6,0,1))^2+((B29-'Hybrid Calculator'!$B$7)/1500)^2+((C29-'Hybrid Calculator'!$B$8)/1300)^2+((D29-'Hybrid Calculator'!$B$9)/800)^2+((E29-'Hybrid Calculator'!$B$10)/350)^2+((F29-'Hybrid Calculator'!$B$11)/30)^2+(G29-'Hybrid Calculator'!$B$12)^2+((H29-'Hybrid Calculator'!$E$14)/IF(A29="Lightning",100,30000))^2+((I29-'Hybrid Calculator'!$E$17)/IF(A29="Lightning",100,30000))^2</x:f>
        <x:v>0.17244671703698425</x:v>
      </x:c>
      <x:c r="K29" s="23" t="n">
        <x:f>RANK(J29,$J$2:$J$1401,1)</x:f>
        <x:v>387</x:v>
      </x:c>
      <x:c r="L29" s="23" t="n">
        <x:f>IF(K29&lt;=7,1,0)</x:f>
        <x:v>0</x:v>
      </x:c>
      <x:c r="M29" s="23" t="n">
        <x:f>IF(L29=1,1/(J29+0.000001),0)</x:f>
        <x:v>0</x:v>
      </x:c>
      <x:c r="N29" s="23" t="n">
        <x:v>0.011342313896740341</x:v>
      </x:c>
      <x:c r="O29" s="23" t="n">
        <x:f>M29</x:f>
        <x:v>0</x:v>
      </x:c>
      <x:c r="P29" s="23" t="n">
        <x:v>0.02155596530632664</x:v>
      </x:c>
      <x:c r="Q29" s="23" t="n">
        <x:v>-16.436282543352036</x:v>
      </x:c>
    </x:row>
    <x:row r="30">
      <x:c r="A30" s="23" t="str">
        <x:v>Lightning</x:v>
      </x:c>
      <x:c r="B30" s="23" t="n">
        <x:v>1366.906520538032</x:v>
      </x:c>
      <x:c r="C30" s="23" t="n">
        <x:v>649.8713095090352</x:v>
      </x:c>
      <x:c r="D30" s="23" t="n">
        <x:v>377.633667178452</x:v>
      </x:c>
      <x:c r="E30" s="23" t="n">
        <x:v>220.17962623620406</x:v>
      </x:c>
      <x:c r="F30" s="23" t="n">
        <x:v>12.521247347816825</x:v>
      </x:c>
      <x:c r="G30" s="23" t="n">
        <x:v>0.848657200646121</x:v>
      </x:c>
      <x:c r="H30" s="23" t="n">
        <x:v>60</x:v>
      </x:c>
      <x:c r="I30" s="23" t="n">
        <x:v>25</x:v>
      </x:c>
      <x:c r="J30" s="23" t="n">
        <x:f>(IF(A30='Hybrid Calculator'!$B$6,0,1))^2+((B30-'Hybrid Calculator'!$B$7)/1500)^2+((C30-'Hybrid Calculator'!$B$8)/1300)^2+((D30-'Hybrid Calculator'!$B$9)/800)^2+((E30-'Hybrid Calculator'!$B$10)/350)^2+((F30-'Hybrid Calculator'!$B$11)/30)^2+(G30-'Hybrid Calculator'!$B$12)^2+((H30-'Hybrid Calculator'!$E$14)/IF(A30="Lightning",100,30000))^2+((I30-'Hybrid Calculator'!$E$17)/IF(A30="Lightning",100,30000))^2</x:f>
        <x:v>0.1393391559048318</x:v>
      </x:c>
      <x:c r="K30" s="23" t="n">
        <x:f>RANK(J30,$J$2:$J$1401,1)</x:f>
        <x:v>300</x:v>
      </x:c>
      <x:c r="L30" s="23" t="n">
        <x:f>IF(K30&lt;=7,1,0)</x:f>
        <x:v>0</x:v>
      </x:c>
      <x:c r="M30" s="23" t="n">
        <x:f>IF(L30=1,1/(J30+0.000001),0)</x:f>
        <x:v>0</x:v>
      </x:c>
      <x:c r="N30" s="23" t="n">
        <x:v>-0.00013549345484786812</x:v>
      </x:c>
      <x:c r="O30" s="23" t="n">
        <x:f>M30</x:f>
        <x:v>0</x:v>
      </x:c>
      <x:c r="P30" s="23" t="n">
        <x:v>0.1804200467638637</x:v>
      </x:c>
      <x:c r="Q30" s="23" t="n">
        <x:v>22.85607148981194</x:v>
      </x:c>
    </x:row>
    <x:row r="31">
      <x:c r="A31" s="23" t="str">
        <x:v>Lightning</x:v>
      </x:c>
      <x:c r="B31" s="23" t="n">
        <x:v>1447.5146677927114</x:v>
      </x:c>
      <x:c r="C31" s="23" t="n">
        <x:v>763.8773884857073</x:v>
      </x:c>
      <x:c r="D31" s="23" t="n">
        <x:v>635.238987300545</x:v>
      </x:c>
      <x:c r="E31" s="23" t="n">
        <x:v>279.8522679787129</x:v>
      </x:c>
      <x:c r="F31" s="23" t="n">
        <x:v>21.67293490888551</x:v>
      </x:c>
      <x:c r="G31" s="23" t="n">
        <x:v>0.8319131619902328</x:v>
      </x:c>
      <x:c r="H31" s="23" t="n">
        <x:v>45</x:v>
      </x:c>
      <x:c r="I31" s="23" t="n">
        <x:v>25</x:v>
      </x:c>
      <x:c r="J31" s="23" t="n">
        <x:f>(IF(A31='Hybrid Calculator'!$B$6,0,1))^2+((B31-'Hybrid Calculator'!$B$7)/1500)^2+((C31-'Hybrid Calculator'!$B$8)/1300)^2+((D31-'Hybrid Calculator'!$B$9)/800)^2+((E31-'Hybrid Calculator'!$B$10)/350)^2+((F31-'Hybrid Calculator'!$B$11)/30)^2+(G31-'Hybrid Calculator'!$B$12)^2+((H31-'Hybrid Calculator'!$E$14)/IF(A31="Lightning",100,30000))^2+((I31-'Hybrid Calculator'!$E$17)/IF(A31="Lightning",100,30000))^2</x:f>
        <x:v>0.18466544742580357</x:v>
      </x:c>
      <x:c r="K31" s="23" t="n">
        <x:f>RANK(J31,$J$2:$J$1401,1)</x:f>
        <x:v>412</x:v>
      </x:c>
      <x:c r="L31" s="23" t="n">
        <x:f>IF(K31&lt;=7,1,0)</x:f>
        <x:v>0</x:v>
      </x:c>
      <x:c r="M31" s="23" t="n">
        <x:f>IF(L31=1,1/(J31+0.000001),0)</x:f>
        <x:v>0</x:v>
      </x:c>
      <x:c r="N31" s="23" t="n">
        <x:v>-0.005167367487418195</x:v>
      </x:c>
      <x:c r="O31" s="23" t="n">
        <x:f>M31</x:f>
        <x:v>0</x:v>
      </x:c>
      <x:c r="P31" s="23" t="n">
        <x:v>-0.7915103925882576</x:v>
      </x:c>
      <x:c r="Q31" s="23" t="n">
        <x:v>-3.0320121465340435</x:v>
      </x:c>
    </x:row>
    <x:row r="32">
      <x:c r="A32" s="23" t="str">
        <x:v>Lightning</x:v>
      </x:c>
      <x:c r="B32" s="23" t="n">
        <x:v>1451.939935865812</x:v>
      </x:c>
      <x:c r="C32" s="23" t="n">
        <x:v>1064.3480254919268</x:v>
      </x:c>
      <x:c r="D32" s="23" t="n">
        <x:v>442.6622349768877</x:v>
      </x:c>
      <x:c r="E32" s="23" t="n">
        <x:v>268.18880821345374</x:v>
      </x:c>
      <x:c r="F32" s="23" t="n">
        <x:v>11.080747322179377</x:v>
      </x:c>
      <x:c r="G32" s="23" t="n">
        <x:v>0.8095043737324886</x:v>
      </x:c>
      <x:c r="H32" s="23" t="n">
        <x:v>45</x:v>
      </x:c>
      <x:c r="I32" s="23" t="n">
        <x:v>25</x:v>
      </x:c>
      <x:c r="J32" s="23" t="n">
        <x:f>(IF(A32='Hybrid Calculator'!$B$6,0,1))^2+((B32-'Hybrid Calculator'!$B$7)/1500)^2+((C32-'Hybrid Calculator'!$B$8)/1300)^2+((D32-'Hybrid Calculator'!$B$9)/800)^2+((E32-'Hybrid Calculator'!$B$10)/350)^2+((F32-'Hybrid Calculator'!$B$11)/30)^2+(G32-'Hybrid Calculator'!$B$12)^2+((H32-'Hybrid Calculator'!$E$14)/IF(A32="Lightning",100,30000))^2+((I32-'Hybrid Calculator'!$E$17)/IF(A32="Lightning",100,30000))^2</x:f>
        <x:v>0.21044685672985203</x:v>
      </x:c>
      <x:c r="K32" s="23" t="n">
        <x:f>RANK(J32,$J$2:$J$1401,1)</x:f>
        <x:v>465</x:v>
      </x:c>
      <x:c r="L32" s="23" t="n">
        <x:f>IF(K32&lt;=7,1,0)</x:f>
        <x:v>0</x:v>
      </x:c>
      <x:c r="M32" s="23" t="n">
        <x:f>IF(L32=1,1/(J32+0.000001),0)</x:f>
        <x:v>0</x:v>
      </x:c>
      <x:c r="N32" s="23" t="n">
        <x:v>0.006333356479829577</x:v>
      </x:c>
      <x:c r="O32" s="23" t="n">
        <x:f>M32</x:f>
        <x:v>0</x:v>
      </x:c>
      <x:c r="P32" s="23" t="n">
        <x:v>0.6226457764973361</x:v>
      </x:c>
      <x:c r="Q32" s="23" t="n">
        <x:v>4.153189249991101</x:v>
      </x:c>
    </x:row>
    <x:row r="33">
      <x:c r="A33" s="23" t="str">
        <x:v>Lightning</x:v>
      </x:c>
      <x:c r="B33" s="23" t="n">
        <x:v>1478.7662638700567</x:v>
      </x:c>
      <x:c r="C33" s="23" t="n">
        <x:v>603.3735090401024</x:v>
      </x:c>
      <x:c r="D33" s="23" t="n">
        <x:v>407.5871746055782</x:v>
      </x:c>
      <x:c r="E33" s="23" t="n">
        <x:v>196.39846197795123</x:v>
      </x:c>
      <x:c r="F33" s="23" t="n">
        <x:v>26.38679413823411</x:v>
      </x:c>
      <x:c r="G33" s="23" t="n">
        <x:v>0.8081568530574441</x:v>
      </x:c>
      <x:c r="H33" s="23" t="n">
        <x:v>55</x:v>
      </x:c>
      <x:c r="I33" s="23" t="n">
        <x:v>25</x:v>
      </x:c>
      <x:c r="J33" s="23" t="n">
        <x:f>(IF(A33='Hybrid Calculator'!$B$6,0,1))^2+((B33-'Hybrid Calculator'!$B$7)/1500)^2+((C33-'Hybrid Calculator'!$B$8)/1300)^2+((D33-'Hybrid Calculator'!$B$9)/800)^2+((E33-'Hybrid Calculator'!$B$10)/350)^2+((F33-'Hybrid Calculator'!$B$11)/30)^2+(G33-'Hybrid Calculator'!$B$12)^2+((H33-'Hybrid Calculator'!$E$14)/IF(A33="Lightning",100,30000))^2+((I33-'Hybrid Calculator'!$E$17)/IF(A33="Lightning",100,30000))^2</x:f>
        <x:v>0.1399467421893502</x:v>
      </x:c>
      <x:c r="K33" s="23" t="n">
        <x:f>RANK(J33,$J$2:$J$1401,1)</x:f>
        <x:v>301</x:v>
      </x:c>
      <x:c r="L33" s="23" t="n">
        <x:f>IF(K33&lt;=7,1,0)</x:f>
        <x:v>0</x:v>
      </x:c>
      <x:c r="M33" s="23" t="n">
        <x:f>IF(L33=1,1/(J33+0.000001),0)</x:f>
        <x:v>0</x:v>
      </x:c>
      <x:c r="N33" s="23" t="n">
        <x:v>-0.00866128344002215</x:v>
      </x:c>
      <x:c r="O33" s="23" t="n">
        <x:f>M33</x:f>
        <x:v>0</x:v>
      </x:c>
      <x:c r="P33" s="23" t="n">
        <x:v>-0.31088987716979233</x:v>
      </x:c>
      <x:c r="Q33" s="23" t="n">
        <x:v>10.679610708599057</x:v>
      </x:c>
    </x:row>
    <x:row r="34">
      <x:c r="A34" s="23" t="str">
        <x:v>Lightning</x:v>
      </x:c>
      <x:c r="B34" s="23" t="n">
        <x:v>1401.3010127004236</x:v>
      </x:c>
      <x:c r="C34" s="23" t="n">
        <x:v>615.4932635719888</x:v>
      </x:c>
      <x:c r="D34" s="23" t="n">
        <x:v>551.8408289179206</x:v>
      </x:c>
      <x:c r="E34" s="23" t="n">
        <x:v>80.11361931683496</x:v>
      </x:c>
      <x:c r="F34" s="23" t="n">
        <x:v>23.94651061668992</x:v>
      </x:c>
      <x:c r="G34" s="23" t="n">
        <x:v>0.8497473583393731</x:v>
      </x:c>
      <x:c r="H34" s="23" t="n">
        <x:v>60</x:v>
      </x:c>
      <x:c r="I34" s="23" t="n">
        <x:v>25</x:v>
      </x:c>
      <x:c r="J34" s="23" t="n">
        <x:f>(IF(A34='Hybrid Calculator'!$B$6,0,1))^2+((B34-'Hybrid Calculator'!$B$7)/1500)^2+((C34-'Hybrid Calculator'!$B$8)/1300)^2+((D34-'Hybrid Calculator'!$B$9)/800)^2+((E34-'Hybrid Calculator'!$B$10)/350)^2+((F34-'Hybrid Calculator'!$B$11)/30)^2+(G34-'Hybrid Calculator'!$B$12)^2+((H34-'Hybrid Calculator'!$E$14)/IF(A34="Lightning",100,30000))^2+((I34-'Hybrid Calculator'!$E$17)/IF(A34="Lightning",100,30000))^2</x:f>
        <x:v>0.12070496296500613</x:v>
      </x:c>
      <x:c r="K34" s="23" t="n">
        <x:f>RANK(J34,$J$2:$J$1401,1)</x:f>
        <x:v>251</x:v>
      </x:c>
      <x:c r="L34" s="23" t="n">
        <x:f>IF(K34&lt;=7,1,0)</x:f>
        <x:v>0</x:v>
      </x:c>
      <x:c r="M34" s="23" t="n">
        <x:f>IF(L34=1,1/(J34+0.000001),0)</x:f>
        <x:v>0</x:v>
      </x:c>
      <x:c r="N34" s="23" t="n">
        <x:v>-0.015316521778895975</x:v>
      </x:c>
      <x:c r="O34" s="23" t="n">
        <x:f>M34</x:f>
        <x:v>0</x:v>
      </x:c>
      <x:c r="P34" s="23" t="n">
        <x:v>-1.1196774744099827</x:v>
      </x:c>
      <x:c r="Q34" s="23" t="n">
        <x:v>-0.5462406780673064</x:v>
      </x:c>
    </x:row>
    <x:row r="35">
      <x:c r="A35" s="23" t="str">
        <x:v>Lightning</x:v>
      </x:c>
      <x:c r="B35" s="23" t="n">
        <x:v>1359.67197624268</x:v>
      </x:c>
      <x:c r="C35" s="23" t="n">
        <x:v>953.8840197725222</x:v>
      </x:c>
      <x:c r="D35" s="23" t="n">
        <x:v>412.4344860203564</x:v>
      </x:c>
      <x:c r="E35" s="23" t="n">
        <x:v>240.79388931393623</x:v>
      </x:c>
      <x:c r="F35" s="23" t="n">
        <x:v>8.671200016979128</x:v>
      </x:c>
      <x:c r="G35" s="23" t="n">
        <x:v>0.8167328650457785</x:v>
      </x:c>
      <x:c r="H35" s="23" t="n">
        <x:v>50</x:v>
      </x:c>
      <x:c r="I35" s="23" t="n">
        <x:v>25</x:v>
      </x:c>
      <x:c r="J35" s="23" t="n">
        <x:f>(IF(A35='Hybrid Calculator'!$B$6,0,1))^2+((B35-'Hybrid Calculator'!$B$7)/1500)^2+((C35-'Hybrid Calculator'!$B$8)/1300)^2+((D35-'Hybrid Calculator'!$B$9)/800)^2+((E35-'Hybrid Calculator'!$B$10)/350)^2+((F35-'Hybrid Calculator'!$B$11)/30)^2+(G35-'Hybrid Calculator'!$B$12)^2+((H35-'Hybrid Calculator'!$E$14)/IF(A35="Lightning",100,30000))^2+((I35-'Hybrid Calculator'!$E$17)/IF(A35="Lightning",100,30000))^2</x:f>
        <x:v>0.19490735457267422</x:v>
      </x:c>
      <x:c r="K35" s="23" t="n">
        <x:f>RANK(J35,$J$2:$J$1401,1)</x:f>
        <x:v>435</x:v>
      </x:c>
      <x:c r="L35" s="23" t="n">
        <x:f>IF(K35&lt;=7,1,0)</x:f>
        <x:v>0</x:v>
      </x:c>
      <x:c r="M35" s="23" t="n">
        <x:f>IF(L35=1,1/(J35+0.000001),0)</x:f>
        <x:v>0</x:v>
      </x:c>
      <x:c r="N35" s="23" t="n">
        <x:v>-0.0032518478109526683</x:v>
      </x:c>
      <x:c r="O35" s="23" t="n">
        <x:f>M35</x:f>
        <x:v>0</x:v>
      </x:c>
      <x:c r="P35" s="23" t="n">
        <x:v>0.2819295239634556</x:v>
      </x:c>
      <x:c r="Q35" s="23" t="n">
        <x:v>8.1825133473003</x:v>
      </x:c>
    </x:row>
    <x:row r="36">
      <x:c r="A36" s="23" t="str">
        <x:v>Lightning</x:v>
      </x:c>
      <x:c r="B36" s="23" t="n">
        <x:v>1454.0374139556661</x:v>
      </x:c>
      <x:c r="C36" s="23" t="n">
        <x:v>651.4572546933778</x:v>
      </x:c>
      <x:c r="D36" s="23" t="n">
        <x:v>497.88472428917885</x:v>
      </x:c>
      <x:c r="E36" s="23" t="n">
        <x:v>276.9528966001235</x:v>
      </x:c>
      <x:c r="F36" s="23" t="n">
        <x:v>14.97226761188358</x:v>
      </x:c>
      <x:c r="G36" s="23" t="n">
        <x:v>0.8311732551991009</x:v>
      </x:c>
      <x:c r="H36" s="23" t="n">
        <x:v>55</x:v>
      </x:c>
      <x:c r="I36" s="23" t="n">
        <x:v>25</x:v>
      </x:c>
      <x:c r="J36" s="23" t="n">
        <x:f>(IF(A36='Hybrid Calculator'!$B$6,0,1))^2+((B36-'Hybrid Calculator'!$B$7)/1500)^2+((C36-'Hybrid Calculator'!$B$8)/1300)^2+((D36-'Hybrid Calculator'!$B$9)/800)^2+((E36-'Hybrid Calculator'!$B$10)/350)^2+((F36-'Hybrid Calculator'!$B$11)/30)^2+(G36-'Hybrid Calculator'!$B$12)^2+((H36-'Hybrid Calculator'!$E$14)/IF(A36="Lightning",100,30000))^2+((I36-'Hybrid Calculator'!$E$17)/IF(A36="Lightning",100,30000))^2</x:f>
        <x:v>0.17172687775864254</x:v>
      </x:c>
      <x:c r="K36" s="23" t="n">
        <x:f>RANK(J36,$J$2:$J$1401,1)</x:f>
        <x:v>384</x:v>
      </x:c>
      <x:c r="L36" s="23" t="n">
        <x:f>IF(K36&lt;=7,1,0)</x:f>
        <x:v>0</x:v>
      </x:c>
      <x:c r="M36" s="23" t="n">
        <x:f>IF(L36=1,1/(J36+0.000001),0)</x:f>
        <x:v>0</x:v>
      </x:c>
      <x:c r="N36" s="23" t="n">
        <x:v>-0.010001695446156589</x:v>
      </x:c>
      <x:c r="O36" s="23" t="n">
        <x:f>M36</x:f>
        <x:v>0</x:v>
      </x:c>
      <x:c r="P36" s="23" t="n">
        <x:v>-0.13136738017872318</x:v>
      </x:c>
      <x:c r="Q36" s="23" t="n">
        <x:v>6.225221627249539</x:v>
      </x:c>
    </x:row>
    <x:row r="37">
      <x:c r="A37" s="23" t="str">
        <x:v>Lightning</x:v>
      </x:c>
      <x:c r="B37" s="23" t="n">
        <x:v>1427.9104266199283</x:v>
      </x:c>
      <x:c r="C37" s="23" t="n">
        <x:v>765.8788392320275</x:v>
      </x:c>
      <x:c r="D37" s="23" t="n">
        <x:v>367.42576798424125</x:v>
      </x:c>
      <x:c r="E37" s="23" t="n">
        <x:v>155.55072393734008</x:v>
      </x:c>
      <x:c r="F37" s="23" t="n">
        <x:v>19.24453389039263</x:v>
      </x:c>
      <x:c r="G37" s="23" t="n">
        <x:v>0.8058053674455733</x:v>
      </x:c>
      <x:c r="H37" s="23" t="n">
        <x:v>60</x:v>
      </x:c>
      <x:c r="I37" s="23" t="n">
        <x:v>25</x:v>
      </x:c>
      <x:c r="J37" s="23" t="n">
        <x:f>(IF(A37='Hybrid Calculator'!$B$6,0,1))^2+((B37-'Hybrid Calculator'!$B$7)/1500)^2+((C37-'Hybrid Calculator'!$B$8)/1300)^2+((D37-'Hybrid Calculator'!$B$9)/800)^2+((E37-'Hybrid Calculator'!$B$10)/350)^2+((F37-'Hybrid Calculator'!$B$11)/30)^2+(G37-'Hybrid Calculator'!$B$12)^2+((H37-'Hybrid Calculator'!$E$14)/IF(A37="Lightning",100,30000))^2+((I37-'Hybrid Calculator'!$E$17)/IF(A37="Lightning",100,30000))^2</x:f>
        <x:v>0.04272227682230189</x:v>
      </x:c>
      <x:c r="K37" s="23" t="n">
        <x:f>RANK(J37,$J$2:$J$1401,1)</x:f>
        <x:v>38</x:v>
      </x:c>
      <x:c r="L37" s="23" t="n">
        <x:f>IF(K37&lt;=7,1,0)</x:f>
        <x:v>0</x:v>
      </x:c>
      <x:c r="M37" s="23" t="n">
        <x:f>IF(L37=1,1/(J37+0.000001),0)</x:f>
        <x:v>0</x:v>
      </x:c>
      <x:c r="N37" s="23" t="n">
        <x:v>0.0030828409448124816</x:v>
      </x:c>
      <x:c r="O37" s="23" t="n">
        <x:f>M37</x:f>
        <x:v>0</x:v>
      </x:c>
      <x:c r="P37" s="23" t="n">
        <x:v>-0.7537249169035292</x:v>
      </x:c>
      <x:c r="Q37" s="23" t="n">
        <x:v>8.296214902063412</x:v>
      </x:c>
    </x:row>
    <x:row r="38">
      <x:c r="A38" s="23" t="str">
        <x:v>Lightning</x:v>
      </x:c>
      <x:c r="B38" s="23" t="n">
        <x:v>1424.898122716695</x:v>
      </x:c>
      <x:c r="C38" s="23" t="n">
        <x:v>743.542545416858</x:v>
      </x:c>
      <x:c r="D38" s="23" t="n">
        <x:v>386.217955686152</x:v>
      </x:c>
      <x:c r="E38" s="23" t="n">
        <x:v>196.94730079034343</x:v>
      </x:c>
      <x:c r="F38" s="23" t="n">
        <x:v>9.308123486116529</x:v>
      </x:c>
      <x:c r="G38" s="23" t="n">
        <x:v>0.8009429839183577</x:v>
      </x:c>
      <x:c r="H38" s="23" t="n">
        <x:v>60</x:v>
      </x:c>
      <x:c r="I38" s="23" t="n">
        <x:v>25</x:v>
      </x:c>
      <x:c r="J38" s="23" t="n">
        <x:f>(IF(A38='Hybrid Calculator'!$B$6,0,1))^2+((B38-'Hybrid Calculator'!$B$7)/1500)^2+((C38-'Hybrid Calculator'!$B$8)/1300)^2+((D38-'Hybrid Calculator'!$B$9)/800)^2+((E38-'Hybrid Calculator'!$B$10)/350)^2+((F38-'Hybrid Calculator'!$B$11)/30)^2+(G38-'Hybrid Calculator'!$B$12)^2+((H38-'Hybrid Calculator'!$E$14)/IF(A38="Lightning",100,30000))^2+((I38-'Hybrid Calculator'!$E$17)/IF(A38="Lightning",100,30000))^2</x:f>
        <x:v>0.1491685561205901</x:v>
      </x:c>
      <x:c r="K38" s="23" t="n">
        <x:f>RANK(J38,$J$2:$J$1401,1)</x:f>
        <x:v>325</x:v>
      </x:c>
      <x:c r="L38" s="23" t="n">
        <x:f>IF(K38&lt;=7,1,0)</x:f>
        <x:v>0</x:v>
      </x:c>
      <x:c r="M38" s="23" t="n">
        <x:f>IF(L38=1,1/(J38+0.000001),0)</x:f>
        <x:v>0</x:v>
      </x:c>
      <x:c r="N38" s="23" t="n">
        <x:v>0.0035334277163086014</x:v>
      </x:c>
      <x:c r="O38" s="23" t="n">
        <x:f>M38</x:f>
        <x:v>0</x:v>
      </x:c>
      <x:c r="P38" s="23" t="n">
        <x:v>-1.0090807699672837</x:v>
      </x:c>
      <x:c r="Q38" s="23" t="n">
        <x:v>13.406182681361543</x:v>
      </x:c>
    </x:row>
    <x:row r="39">
      <x:c r="A39" s="23" t="str">
        <x:v>Lightning</x:v>
      </x:c>
      <x:c r="B39" s="23" t="n">
        <x:v>1410.8754671760835</x:v>
      </x:c>
      <x:c r="C39" s="23" t="n">
        <x:v>697.116353851743</x:v>
      </x:c>
      <x:c r="D39" s="23" t="n">
        <x:v>566.824156884104</x:v>
      </x:c>
      <x:c r="E39" s="23" t="n">
        <x:v>157.60293898172677</x:v>
      </x:c>
      <x:c r="F39" s="23" t="n">
        <x:v>16.010248572099954</x:v>
      </x:c>
      <x:c r="G39" s="23" t="n">
        <x:v>0.822448086612858</x:v>
      </x:c>
      <x:c r="H39" s="23" t="n">
        <x:v>55</x:v>
      </x:c>
      <x:c r="I39" s="23" t="n">
        <x:v>25</x:v>
      </x:c>
      <x:c r="J39" s="23" t="n">
        <x:f>(IF(A39='Hybrid Calculator'!$B$6,0,1))^2+((B39-'Hybrid Calculator'!$B$7)/1500)^2+((C39-'Hybrid Calculator'!$B$8)/1300)^2+((D39-'Hybrid Calculator'!$B$9)/800)^2+((E39-'Hybrid Calculator'!$B$10)/350)^2+((F39-'Hybrid Calculator'!$B$11)/30)^2+(G39-'Hybrid Calculator'!$B$12)^2+((H39-'Hybrid Calculator'!$E$14)/IF(A39="Lightning",100,30000))^2+((I39-'Hybrid Calculator'!$E$17)/IF(A39="Lightning",100,30000))^2</x:f>
        <x:v>0.03076187379981723</x:v>
      </x:c>
      <x:c r="K39" s="23" t="n">
        <x:f>RANK(J39,$J$2:$J$1401,1)</x:f>
        <x:v>24</x:v>
      </x:c>
      <x:c r="L39" s="23" t="n">
        <x:f>IF(K39&lt;=7,1,0)</x:f>
        <x:v>0</x:v>
      </x:c>
      <x:c r="M39" s="23" t="n">
        <x:f>IF(L39=1,1/(J39+0.000001),0)</x:f>
        <x:v>0</x:v>
      </x:c>
      <x:c r="N39" s="23" t="n">
        <x:v>0.009990398233946873</x:v>
      </x:c>
      <x:c r="O39" s="23" t="n">
        <x:f>M39</x:f>
        <x:v>0</x:v>
      </x:c>
      <x:c r="P39" s="23" t="n">
        <x:v>-0.724716427286964</x:v>
      </x:c>
      <x:c r="Q39" s="23" t="n">
        <x:v>12.157136608960627</x:v>
      </x:c>
    </x:row>
    <x:row r="40">
      <x:c r="A40" s="23" t="str">
        <x:v>Lightning</x:v>
      </x:c>
      <x:c r="B40" s="23" t="n">
        <x:v>1429.5092044165358</x:v>
      </x:c>
      <x:c r="C40" s="23" t="n">
        <x:v>1006.8637307384051</x:v>
      </x:c>
      <x:c r="D40" s="23" t="n">
        <x:v>352.98555456101894</x:v>
      </x:c>
      <x:c r="E40" s="23" t="n">
        <x:v>95.39554324699566</x:v>
      </x:c>
      <x:c r="F40" s="23" t="n">
        <x:v>14.656337481923401</x:v>
      </x:c>
      <x:c r="G40" s="23" t="n">
        <x:v>0.8069927989388817</x:v>
      </x:c>
      <x:c r="H40" s="23" t="n">
        <x:v>50</x:v>
      </x:c>
      <x:c r="I40" s="23" t="n">
        <x:v>25</x:v>
      </x:c>
      <x:c r="J40" s="23" t="n">
        <x:f>(IF(A40='Hybrid Calculator'!$B$6,0,1))^2+((B40-'Hybrid Calculator'!$B$7)/1500)^2+((C40-'Hybrid Calculator'!$B$8)/1300)^2+((D40-'Hybrid Calculator'!$B$9)/800)^2+((E40-'Hybrid Calculator'!$B$10)/350)^2+((F40-'Hybrid Calculator'!$B$11)/30)^2+(G40-'Hybrid Calculator'!$B$12)^2+((H40-'Hybrid Calculator'!$E$14)/IF(A40="Lightning",100,30000))^2+((I40-'Hybrid Calculator'!$E$17)/IF(A40="Lightning",100,30000))^2</x:f>
        <x:v>0.08926406368633778</x:v>
      </x:c>
      <x:c r="K40" s="23" t="n">
        <x:f>RANK(J40,$J$2:$J$1401,1)</x:f>
        <x:v>171</x:v>
      </x:c>
      <x:c r="L40" s="23" t="n">
        <x:f>IF(K40&lt;=7,1,0)</x:f>
        <x:v>0</x:v>
      </x:c>
      <x:c r="M40" s="23" t="n">
        <x:f>IF(L40=1,1/(J40+0.000001),0)</x:f>
        <x:v>0</x:v>
      </x:c>
      <x:c r="N40" s="23" t="n">
        <x:v>0.007396615028079978</x:v>
      </x:c>
      <x:c r="O40" s="23" t="n">
        <x:f>M40</x:f>
        <x:v>0</x:v>
      </x:c>
      <x:c r="P40" s="23" t="n">
        <x:v>1.0567016881532254</x:v>
      </x:c>
      <x:c r="Q40" s="23" t="n">
        <x:v>12.18962321408867</x:v>
      </x:c>
    </x:row>
    <x:row r="41">
      <x:c r="A41" s="23" t="str">
        <x:v>Lightning</x:v>
      </x:c>
      <x:c r="B41" s="23" t="n">
        <x:v>1392.1426073997281</x:v>
      </x:c>
      <x:c r="C41" s="23" t="n">
        <x:v>1072.2996565047652</x:v>
      </x:c>
      <x:c r="D41" s="23" t="n">
        <x:v>681.8078625015914</x:v>
      </x:c>
      <x:c r="E41" s="23" t="n">
        <x:v>190.47353164758533</x:v>
      </x:c>
      <x:c r="F41" s="23" t="n">
        <x:v>9.256876736413687</x:v>
      </x:c>
      <x:c r="G41" s="23" t="n">
        <x:v>0.8470919185318053</x:v>
      </x:c>
      <x:c r="H41" s="23" t="n">
        <x:v>40</x:v>
      </x:c>
      <x:c r="I41" s="23" t="n">
        <x:v>25</x:v>
      </x:c>
      <x:c r="J41" s="23" t="n">
        <x:f>(IF(A41='Hybrid Calculator'!$B$6,0,1))^2+((B41-'Hybrid Calculator'!$B$7)/1500)^2+((C41-'Hybrid Calculator'!$B$8)/1300)^2+((D41-'Hybrid Calculator'!$B$9)/800)^2+((E41-'Hybrid Calculator'!$B$10)/350)^2+((F41-'Hybrid Calculator'!$B$11)/30)^2+(G41-'Hybrid Calculator'!$B$12)^2+((H41-'Hybrid Calculator'!$E$14)/IF(A41="Lightning",100,30000))^2+((I41-'Hybrid Calculator'!$E$17)/IF(A41="Lightning",100,30000))^2</x:f>
        <x:v>0.20040217901812013</x:v>
      </x:c>
      <x:c r="K41" s="23" t="n">
        <x:f>RANK(J41,$J$2:$J$1401,1)</x:f>
        <x:v>448</x:v>
      </x:c>
      <x:c r="L41" s="23" t="n">
        <x:f>IF(K41&lt;=7,1,0)</x:f>
        <x:v>0</x:v>
      </x:c>
      <x:c r="M41" s="23" t="n">
        <x:f>IF(L41=1,1/(J41+0.000001),0)</x:f>
        <x:v>0</x:v>
      </x:c>
      <x:c r="N41" s="23" t="n">
        <x:v>0.023926821153103184</x:v>
      </x:c>
      <x:c r="O41" s="23" t="n">
        <x:f>M41</x:f>
        <x:v>0</x:v>
      </x:c>
      <x:c r="P41" s="23" t="n">
        <x:v>-0.012905875874189121</x:v>
      </x:c>
      <x:c r="Q41" s="23" t="n">
        <x:v>-7.502194471448092</x:v>
      </x:c>
    </x:row>
    <x:row r="42">
      <x:c r="A42" s="23" t="str">
        <x:v>Lightning</x:v>
      </x:c>
      <x:c r="B42" s="23" t="n">
        <x:v>1365.121315838769</x:v>
      </x:c>
      <x:c r="C42" s="23" t="n">
        <x:v>1222.5124664488249</x:v>
      </x:c>
      <x:c r="D42" s="23" t="n">
        <x:v>729.4830230996013</x:v>
      </x:c>
      <x:c r="E42" s="23" t="n">
        <x:v>250.907533087302</x:v>
      </x:c>
      <x:c r="F42" s="23" t="n">
        <x:v>23.0065638422966</x:v>
      </x:c>
      <x:c r="G42" s="23" t="n">
        <x:v>0.8086871177540161</x:v>
      </x:c>
      <x:c r="H42" s="23" t="n">
        <x:v>30</x:v>
      </x:c>
      <x:c r="I42" s="23" t="n">
        <x:v>25</x:v>
      </x:c>
      <x:c r="J42" s="23" t="n">
        <x:f>(IF(A42='Hybrid Calculator'!$B$6,0,1))^2+((B42-'Hybrid Calculator'!$B$7)/1500)^2+((C42-'Hybrid Calculator'!$B$8)/1300)^2+((D42-'Hybrid Calculator'!$B$9)/800)^2+((E42-'Hybrid Calculator'!$B$10)/350)^2+((F42-'Hybrid Calculator'!$B$11)/30)^2+(G42-'Hybrid Calculator'!$B$12)^2+((H42-'Hybrid Calculator'!$E$14)/IF(A42="Lightning",100,30000))^2+((I42-'Hybrid Calculator'!$E$17)/IF(A42="Lightning",100,30000))^2</x:f>
        <x:v>0.3118031431467386</x:v>
      </x:c>
      <x:c r="K42" s="23" t="n">
        <x:f>RANK(J42,$J$2:$J$1401,1)</x:f>
        <x:v>610</x:v>
      </x:c>
      <x:c r="L42" s="23" t="n">
        <x:f>IF(K42&lt;=7,1,0)</x:f>
        <x:v>0</x:v>
      </x:c>
      <x:c r="M42" s="23" t="n">
        <x:f>IF(L42=1,1/(J42+0.000001),0)</x:f>
        <x:v>0</x:v>
      </x:c>
      <x:c r="N42" s="23" t="n">
        <x:v>0.01807093106622215</x:v>
      </x:c>
      <x:c r="O42" s="23" t="n">
        <x:f>M42</x:f>
        <x:v>0</x:v>
      </x:c>
      <x:c r="P42" s="23" t="n">
        <x:v>-0.2970732127258984</x:v>
      </x:c>
      <x:c r="Q42" s="23" t="n">
        <x:v>-16.590545745663803</x:v>
      </x:c>
    </x:row>
    <x:row r="43">
      <x:c r="A43" s="23" t="str">
        <x:v>Lightning</x:v>
      </x:c>
      <x:c r="B43" s="23" t="n">
        <x:v>1370.167954370845</x:v>
      </x:c>
      <x:c r="C43" s="23" t="n">
        <x:v>1031.8570831557736</x:v>
      </x:c>
      <x:c r="D43" s="23" t="n">
        <x:v>420.6363362260163</x:v>
      </x:c>
      <x:c r="E43" s="23" t="n">
        <x:v>106.2398743070662</x:v>
      </x:c>
      <x:c r="F43" s="23" t="n">
        <x:v>28.75022070715204</x:v>
      </x:c>
      <x:c r="G43" s="23" t="n">
        <x:v>0.8355511243408547</x:v>
      </x:c>
      <x:c r="H43" s="23" t="n">
        <x:v>45</x:v>
      </x:c>
      <x:c r="I43" s="23" t="n">
        <x:v>25</x:v>
      </x:c>
      <x:c r="J43" s="23" t="n">
        <x:f>(IF(A43='Hybrid Calculator'!$B$6,0,1))^2+((B43-'Hybrid Calculator'!$B$7)/1500)^2+((C43-'Hybrid Calculator'!$B$8)/1300)^2+((D43-'Hybrid Calculator'!$B$9)/800)^2+((E43-'Hybrid Calculator'!$B$10)/350)^2+((F43-'Hybrid Calculator'!$B$11)/30)^2+(G43-'Hybrid Calculator'!$B$12)^2+((H43-'Hybrid Calculator'!$E$14)/IF(A43="Lightning",100,30000))^2+((I43-'Hybrid Calculator'!$E$17)/IF(A43="Lightning",100,30000))^2</x:f>
        <x:v>0.1658622338391341</x:v>
      </x:c>
      <x:c r="K43" s="23" t="n">
        <x:f>RANK(J43,$J$2:$J$1401,1)</x:f>
        <x:v>371</x:v>
      </x:c>
      <x:c r="L43" s="23" t="n">
        <x:f>IF(K43&lt;=7,1,0)</x:f>
        <x:v>0</x:v>
      </x:c>
      <x:c r="M43" s="23" t="n">
        <x:f>IF(L43=1,1/(J43+0.000001),0)</x:f>
        <x:v>0</x:v>
      </x:c>
      <x:c r="N43" s="23" t="n">
        <x:v>-0.015338118437612014</x:v>
      </x:c>
      <x:c r="O43" s="23" t="n">
        <x:f>M43</x:f>
        <x:v>0</x:v>
      </x:c>
      <x:c r="P43" s="23" t="n">
        <x:v>1.1901068896869305</x:v>
      </x:c>
      <x:c r="Q43" s="23" t="n">
        <x:v>-15.77923018898855</x:v>
      </x:c>
    </x:row>
    <x:row r="44">
      <x:c r="A44" s="23" t="str">
        <x:v>Lightning</x:v>
      </x:c>
      <x:c r="B44" s="23" t="n">
        <x:v>1361.2942542415112</x:v>
      </x:c>
      <x:c r="C44" s="23" t="n">
        <x:v>1050.456705398392</x:v>
      </x:c>
      <x:c r="D44" s="23" t="n">
        <x:v>442.9215019568801</x:v>
      </x:c>
      <x:c r="E44" s="23" t="n">
        <x:v>240.91997810872272</x:v>
      </x:c>
      <x:c r="F44" s="23" t="n">
        <x:v>19.930900510400534</x:v>
      </x:c>
      <x:c r="G44" s="23" t="n">
        <x:v>0.8516177222528495</x:v>
      </x:c>
      <x:c r="H44" s="23" t="n">
        <x:v>45</x:v>
      </x:c>
      <x:c r="I44" s="23" t="n">
        <x:v>25</x:v>
      </x:c>
      <x:c r="J44" s="23" t="n">
        <x:f>(IF(A44='Hybrid Calculator'!$B$6,0,1))^2+((B44-'Hybrid Calculator'!$B$7)/1500)^2+((C44-'Hybrid Calculator'!$B$8)/1300)^2+((D44-'Hybrid Calculator'!$B$9)/800)^2+((E44-'Hybrid Calculator'!$B$10)/350)^2+((F44-'Hybrid Calculator'!$B$11)/30)^2+(G44-'Hybrid Calculator'!$B$12)^2+((H44-'Hybrid Calculator'!$E$14)/IF(A44="Lightning",100,30000))^2+((I44-'Hybrid Calculator'!$E$17)/IF(A44="Lightning",100,30000))^2</x:f>
        <x:v>0.10392697274856383</x:v>
      </x:c>
      <x:c r="K44" s="23" t="n">
        <x:f>RANK(J44,$J$2:$J$1401,1)</x:f>
        <x:v>213</x:v>
      </x:c>
      <x:c r="L44" s="23" t="n">
        <x:f>IF(K44&lt;=7,1,0)</x:f>
        <x:v>0</x:v>
      </x:c>
      <x:c r="M44" s="23" t="n">
        <x:f>IF(L44=1,1/(J44+0.000001),0)</x:f>
        <x:v>0</x:v>
      </x:c>
      <x:c r="N44" s="23" t="n">
        <x:v>0.006142440566687668</x:v>
      </x:c>
      <x:c r="O44" s="23" t="n">
        <x:f>M44</x:f>
        <x:v>0</x:v>
      </x:c>
      <x:c r="P44" s="23" t="n">
        <x:v>-0.6811177119708489</x:v>
      </x:c>
      <x:c r="Q44" s="23" t="n">
        <x:v>-4.6789737461874665</x:v>
      </x:c>
    </x:row>
    <x:row r="45">
      <x:c r="A45" s="23" t="str">
        <x:v>Lightning</x:v>
      </x:c>
      <x:c r="B45" s="23" t="n">
        <x:v>1462.3568754759617</x:v>
      </x:c>
      <x:c r="C45" s="23" t="n">
        <x:v>1092.1012247679755</x:v>
      </x:c>
      <x:c r="D45" s="23" t="n">
        <x:v>685.1391364820302</x:v>
      </x:c>
      <x:c r="E45" s="23" t="n">
        <x:v>308.4874627366662</x:v>
      </x:c>
      <x:c r="F45" s="23" t="n">
        <x:v>21.457729341927916</x:v>
      </x:c>
      <x:c r="G45" s="23" t="n">
        <x:v>0.7967657162575051</x:v>
      </x:c>
      <x:c r="H45" s="23" t="n">
        <x:v>30</x:v>
      </x:c>
      <x:c r="I45" s="23" t="n">
        <x:v>25</x:v>
      </x:c>
      <x:c r="J45" s="23" t="n">
        <x:f>(IF(A45='Hybrid Calculator'!$B$6,0,1))^2+((B45-'Hybrid Calculator'!$B$7)/1500)^2+((C45-'Hybrid Calculator'!$B$8)/1300)^2+((D45-'Hybrid Calculator'!$B$9)/800)^2+((E45-'Hybrid Calculator'!$B$10)/350)^2+((F45-'Hybrid Calculator'!$B$11)/30)^2+(G45-'Hybrid Calculator'!$B$12)^2+((H45-'Hybrid Calculator'!$E$14)/IF(A45="Lightning",100,30000))^2+((I45-'Hybrid Calculator'!$E$17)/IF(A45="Lightning",100,30000))^2</x:f>
        <x:v>0.344166682279327</x:v>
      </x:c>
      <x:c r="K45" s="23" t="n">
        <x:f>RANK(J45,$J$2:$J$1401,1)</x:f>
        <x:v>643</x:v>
      </x:c>
      <x:c r="L45" s="23" t="n">
        <x:f>IF(K45&lt;=7,1,0)</x:f>
        <x:v>0</x:v>
      </x:c>
      <x:c r="M45" s="23" t="n">
        <x:f>IF(L45=1,1/(J45+0.000001),0)</x:f>
        <x:v>0</x:v>
      </x:c>
      <x:c r="N45" s="23" t="n">
        <x:v>0.013774070465905952</x:v>
      </x:c>
      <x:c r="O45" s="23" t="n">
        <x:f>M45</x:f>
        <x:v>0</x:v>
      </x:c>
      <x:c r="P45" s="23" t="n">
        <x:v>1.174452714931462</x:v>
      </x:c>
      <x:c r="Q45" s="23" t="n">
        <x:v>-23.946965899363477</x:v>
      </x:c>
    </x:row>
    <x:row r="46">
      <x:c r="A46" s="23" t="str">
        <x:v>Lightning</x:v>
      </x:c>
      <x:c r="B46" s="23" t="n">
        <x:v>1389.1219146782532</x:v>
      </x:c>
      <x:c r="C46" s="23" t="n">
        <x:v>991.9067333568819</x:v>
      </x:c>
      <x:c r="D46" s="23" t="n">
        <x:v>355.4061822593212</x:v>
      </x:c>
      <x:c r="E46" s="23" t="n">
        <x:v>92.47024111216888</x:v>
      </x:c>
      <x:c r="F46" s="23" t="n">
        <x:v>15.66517189797014</x:v>
      </x:c>
      <x:c r="G46" s="23" t="n">
        <x:v>0.8518767041130924</x:v>
      </x:c>
      <x:c r="H46" s="23" t="n">
        <x:v>50</x:v>
      </x:c>
      <x:c r="I46" s="23" t="n">
        <x:v>25</x:v>
      </x:c>
      <x:c r="J46" s="23" t="n">
        <x:f>(IF(A46='Hybrid Calculator'!$B$6,0,1))^2+((B46-'Hybrid Calculator'!$B$7)/1500)^2+((C46-'Hybrid Calculator'!$B$8)/1300)^2+((D46-'Hybrid Calculator'!$B$9)/800)^2+((E46-'Hybrid Calculator'!$B$10)/350)^2+((F46-'Hybrid Calculator'!$B$11)/30)^2+(G46-'Hybrid Calculator'!$B$12)^2+((H46-'Hybrid Calculator'!$E$14)/IF(A46="Lightning",100,30000))^2+((I46-'Hybrid Calculator'!$E$17)/IF(A46="Lightning",100,30000))^2</x:f>
        <x:v>0.08211859857382443</x:v>
      </x:c>
      <x:c r="K46" s="23" t="n">
        <x:f>RANK(J46,$J$2:$J$1401,1)</x:f>
        <x:v>146</x:v>
      </x:c>
      <x:c r="L46" s="23" t="n">
        <x:f>IF(K46&lt;=7,1,0)</x:f>
        <x:v>0</x:v>
      </x:c>
      <x:c r="M46" s="23" t="n">
        <x:f>IF(L46=1,1/(J46+0.000001),0)</x:f>
        <x:v>0</x:v>
      </x:c>
      <x:c r="N46" s="23" t="n">
        <x:v>0.010572801124243414</x:v>
      </x:c>
      <x:c r="O46" s="23" t="n">
        <x:f>M46</x:f>
        <x:v>0</x:v>
      </x:c>
      <x:c r="P46" s="23" t="n">
        <x:v>1.26677236649833</x:v>
      </x:c>
      <x:c r="Q46" s="23" t="n">
        <x:v>2.72825505114929</x:v>
      </x:c>
    </x:row>
    <x:row r="47">
      <x:c r="A47" s="23" t="str">
        <x:v>Lightning</x:v>
      </x:c>
      <x:c r="B47" s="23" t="n">
        <x:v>1447.4562385934405</x:v>
      </x:c>
      <x:c r="C47" s="23" t="n">
        <x:v>1167.4714174121618</x:v>
      </x:c>
      <x:c r="D47" s="23" t="n">
        <x:v>512.7767144702375</x:v>
      </x:c>
      <x:c r="E47" s="23" t="n">
        <x:v>83.17547575104982</x:v>
      </x:c>
      <x:c r="F47" s="23" t="n">
        <x:v>27.165652827825397</x:v>
      </x:c>
      <x:c r="G47" s="23" t="n">
        <x:v>0.8519396001379937</x:v>
      </x:c>
      <x:c r="H47" s="23" t="n">
        <x:v>40</x:v>
      </x:c>
      <x:c r="I47" s="23" t="n">
        <x:v>25</x:v>
      </x:c>
      <x:c r="J47" s="23" t="n">
        <x:f>(IF(A47='Hybrid Calculator'!$B$6,0,1))^2+((B47-'Hybrid Calculator'!$B$7)/1500)^2+((C47-'Hybrid Calculator'!$B$8)/1300)^2+((D47-'Hybrid Calculator'!$B$9)/800)^2+((E47-'Hybrid Calculator'!$B$10)/350)^2+((F47-'Hybrid Calculator'!$B$11)/30)^2+(G47-'Hybrid Calculator'!$B$12)^2+((H47-'Hybrid Calculator'!$E$14)/IF(A47="Lightning",100,30000))^2+((I47-'Hybrid Calculator'!$E$17)/IF(A47="Lightning",100,30000))^2</x:f>
        <x:v>0.19102772843300192</x:v>
      </x:c>
      <x:c r="K47" s="23" t="n">
        <x:f>RANK(J47,$J$2:$J$1401,1)</x:f>
        <x:v>425</x:v>
      </x:c>
      <x:c r="L47" s="23" t="n">
        <x:f>IF(K47&lt;=7,1,0)</x:f>
        <x:v>0</x:v>
      </x:c>
      <x:c r="M47" s="23" t="n">
        <x:f>IF(L47=1,1/(J47+0.000001),0)</x:f>
        <x:v>0</x:v>
      </x:c>
      <x:c r="N47" s="23" t="n">
        <x:v>-0.00018295439522519885</x:v>
      </x:c>
      <x:c r="O47" s="23" t="n">
        <x:f>M47</x:f>
        <x:v>0</x:v>
      </x:c>
      <x:c r="P47" s="23" t="n">
        <x:v>-0.31852007028054174</x:v>
      </x:c>
      <x:c r="Q47" s="23" t="n">
        <x:v>-15.064800259783624</x:v>
      </x:c>
    </x:row>
    <x:row r="48">
      <x:c r="A48" s="23" t="str">
        <x:v>Lightning</x:v>
      </x:c>
      <x:c r="B48" s="23" t="n">
        <x:v>1376.1366072110832</x:v>
      </x:c>
      <x:c r="C48" s="23" t="n">
        <x:v>1126.6223046346568</x:v>
      </x:c>
      <x:c r="D48" s="23" t="n">
        <x:v>623.886882700026</x:v>
      </x:c>
      <x:c r="E48" s="23" t="n">
        <x:v>116.15840623388067</x:v>
      </x:c>
      <x:c r="F48" s="23" t="n">
        <x:v>19.45350302197039</x:v>
      </x:c>
      <x:c r="G48" s="23" t="n">
        <x:v>0.8514445384894498</x:v>
      </x:c>
      <x:c r="H48" s="23" t="n">
        <x:v>40</x:v>
      </x:c>
      <x:c r="I48" s="23" t="n">
        <x:v>25</x:v>
      </x:c>
      <x:c r="J48" s="23" t="n">
        <x:f>(IF(A48='Hybrid Calculator'!$B$6,0,1))^2+((B48-'Hybrid Calculator'!$B$7)/1500)^2+((C48-'Hybrid Calculator'!$B$8)/1300)^2+((D48-'Hybrid Calculator'!$B$9)/800)^2+((E48-'Hybrid Calculator'!$B$10)/350)^2+((F48-'Hybrid Calculator'!$B$11)/30)^2+(G48-'Hybrid Calculator'!$B$12)^2+((H48-'Hybrid Calculator'!$E$14)/IF(A48="Lightning",100,30000))^2+((I48-'Hybrid Calculator'!$E$17)/IF(A48="Lightning",100,30000))^2</x:f>
        <x:v>0.09166835702533727</x:v>
      </x:c>
      <x:c r="K48" s="23" t="n">
        <x:f>RANK(J48,$J$2:$J$1401,1)</x:f>
        <x:v>179</x:v>
      </x:c>
      <x:c r="L48" s="23" t="n">
        <x:f>IF(K48&lt;=7,1,0)</x:f>
        <x:v>0</x:v>
      </x:c>
      <x:c r="M48" s="23" t="n">
        <x:f>IF(L48=1,1/(J48+0.000001),0)</x:f>
        <x:v>0</x:v>
      </x:c>
      <x:c r="N48" s="23" t="n">
        <x:v>0.006638534616582703</x:v>
      </x:c>
      <x:c r="O48" s="23" t="n">
        <x:f>M48</x:f>
        <x:v>0</x:v>
      </x:c>
      <x:c r="P48" s="23" t="n">
        <x:v>0.8362546319722952</x:v>
      </x:c>
      <x:c r="Q48" s="23" t="n">
        <x:v>-14.318016130700926</x:v>
      </x:c>
    </x:row>
    <x:row r="49">
      <x:c r="A49" s="23" t="str">
        <x:v>Lightning</x:v>
      </x:c>
      <x:c r="B49" s="23" t="n">
        <x:v>1437.7821055823006</x:v>
      </x:c>
      <x:c r="C49" s="23" t="n">
        <x:v>1010.3864907519892</x:v>
      </x:c>
      <x:c r="D49" s="23" t="n">
        <x:v>397.36193055287004</x:v>
      </x:c>
      <x:c r="E49" s="23" t="n">
        <x:v>87.4254407081753</x:v>
      </x:c>
      <x:c r="F49" s="23" t="n">
        <x:v>20.382635646034032</x:v>
      </x:c>
      <x:c r="G49" s="23" t="n">
        <x:v>0.8084297597268597</x:v>
      </x:c>
      <x:c r="H49" s="23" t="n">
        <x:v>50</x:v>
      </x:c>
      <x:c r="I49" s="23" t="n">
        <x:v>25</x:v>
      </x:c>
      <x:c r="J49" s="23" t="n">
        <x:f>(IF(A49='Hybrid Calculator'!$B$6,0,1))^2+((B49-'Hybrid Calculator'!$B$7)/1500)^2+((C49-'Hybrid Calculator'!$B$8)/1300)^2+((D49-'Hybrid Calculator'!$B$9)/800)^2+((E49-'Hybrid Calculator'!$B$10)/350)^2+((F49-'Hybrid Calculator'!$B$11)/30)^2+(G49-'Hybrid Calculator'!$B$12)^2+((H49-'Hybrid Calculator'!$E$14)/IF(A49="Lightning",100,30000))^2+((I49-'Hybrid Calculator'!$E$17)/IF(A49="Lightning",100,30000))^2</x:f>
        <x:v>0.067789965990317</x:v>
      </x:c>
      <x:c r="K49" s="23" t="n">
        <x:f>RANK(J49,$J$2:$J$1401,1)</x:f>
        <x:v>105</x:v>
      </x:c>
      <x:c r="L49" s="23" t="n">
        <x:f>IF(K49&lt;=7,1,0)</x:f>
        <x:v>0</x:v>
      </x:c>
      <x:c r="M49" s="23" t="n">
        <x:f>IF(L49=1,1/(J49+0.000001),0)</x:f>
        <x:v>0</x:v>
      </x:c>
      <x:c r="N49" s="23" t="n">
        <x:v>-0.01228697222394004</x:v>
      </x:c>
      <x:c r="O49" s="23" t="n">
        <x:f>M49</x:f>
        <x:v>0</x:v>
      </x:c>
      <x:c r="P49" s="23" t="n">
        <x:v>-0.4968549622775953</x:v>
      </x:c>
      <x:c r="Q49" s="23" t="n">
        <x:v>4.52928495664878</x:v>
      </x:c>
    </x:row>
    <x:row r="50">
      <x:c r="A50" s="23" t="str">
        <x:v>Lightning</x:v>
      </x:c>
      <x:c r="B50" s="23" t="n">
        <x:v>1392.8062971448526</x:v>
      </x:c>
      <x:c r="C50" s="23" t="n">
        <x:v>977.716003882233</x:v>
      </x:c>
      <x:c r="D50" s="23" t="n">
        <x:v>463.72692696750164</x:v>
      </x:c>
      <x:c r="E50" s="23" t="n">
        <x:v>209.711106128525</x:v>
      </x:c>
      <x:c r="F50" s="23" t="n">
        <x:v>24.539210711605847</x:v>
      </x:c>
      <x:c r="G50" s="23" t="n">
        <x:v>0.837419371760916</x:v>
      </x:c>
      <x:c r="H50" s="23" t="n">
        <x:v>45</x:v>
      </x:c>
      <x:c r="I50" s="23" t="n">
        <x:v>25</x:v>
      </x:c>
      <x:c r="J50" s="23" t="n">
        <x:f>(IF(A50='Hybrid Calculator'!$B$6,0,1))^2+((B50-'Hybrid Calculator'!$B$7)/1500)^2+((C50-'Hybrid Calculator'!$B$8)/1300)^2+((D50-'Hybrid Calculator'!$B$9)/800)^2+((E50-'Hybrid Calculator'!$B$10)/350)^2+((F50-'Hybrid Calculator'!$B$11)/30)^2+(G50-'Hybrid Calculator'!$B$12)^2+((H50-'Hybrid Calculator'!$E$14)/IF(A50="Lightning",100,30000))^2+((I50-'Hybrid Calculator'!$E$17)/IF(A50="Lightning",100,30000))^2</x:f>
        <x:v>0.08460156817615147</x:v>
      </x:c>
      <x:c r="K50" s="23" t="n">
        <x:f>RANK(J50,$J$2:$J$1401,1)</x:f>
        <x:v>151</x:v>
      </x:c>
      <x:c r="L50" s="23" t="n">
        <x:f>IF(K50&lt;=7,1,0)</x:f>
        <x:v>0</x:v>
      </x:c>
      <x:c r="M50" s="23" t="n">
        <x:f>IF(L50=1,1/(J50+0.000001),0)</x:f>
        <x:v>0</x:v>
      </x:c>
      <x:c r="N50" s="23" t="n">
        <x:v>-0.01380959487861233</x:v>
      </x:c>
      <x:c r="O50" s="23" t="n">
        <x:f>M50</x:f>
        <x:v>0</x:v>
      </x:c>
      <x:c r="P50" s="23" t="n">
        <x:v>0.6145420934403489</x:v>
      </x:c>
      <x:c r="Q50" s="23" t="n">
        <x:v>-7.779869328603354</x:v>
      </x:c>
    </x:row>
    <x:row r="51">
      <x:c r="A51" s="23" t="str">
        <x:v>Lightning</x:v>
      </x:c>
      <x:c r="B51" s="23" t="n">
        <x:v>1452.3369840695523</x:v>
      </x:c>
      <x:c r="C51" s="23" t="n">
        <x:v>1049.8804588336498</x:v>
      </x:c>
      <x:c r="D51" s="23" t="n">
        <x:v>580.2672388963401</x:v>
      </x:c>
      <x:c r="E51" s="23" t="n">
        <x:v>123.9069498097524</x:v>
      </x:c>
      <x:c r="F51" s="23" t="n">
        <x:v>10.169118277262896</x:v>
      </x:c>
      <x:c r="G51" s="23" t="n">
        <x:v>0.8052534977160395</x:v>
      </x:c>
      <x:c r="H51" s="23" t="n">
        <x:v>40</x:v>
      </x:c>
      <x:c r="I51" s="23" t="n">
        <x:v>25</x:v>
      </x:c>
      <x:c r="J51" s="23" t="n">
        <x:f>(IF(A51='Hybrid Calculator'!$B$6,0,1))^2+((B51-'Hybrid Calculator'!$B$7)/1500)^2+((C51-'Hybrid Calculator'!$B$8)/1300)^2+((D51-'Hybrid Calculator'!$B$9)/800)^2+((E51-'Hybrid Calculator'!$B$10)/350)^2+((F51-'Hybrid Calculator'!$B$11)/30)^2+(G51-'Hybrid Calculator'!$B$12)^2+((H51-'Hybrid Calculator'!$E$14)/IF(A51="Lightning",100,30000))^2+((I51-'Hybrid Calculator'!$E$17)/IF(A51="Lightning",100,30000))^2</x:f>
        <x:v>0.12692990966459758</x:v>
      </x:c>
      <x:c r="K51" s="23" t="n">
        <x:f>RANK(J51,$J$2:$J$1401,1)</x:f>
        <x:v>269</x:v>
      </x:c>
      <x:c r="L51" s="23" t="n">
        <x:f>IF(K51&lt;=7,1,0)</x:f>
        <x:v>0</x:v>
      </x:c>
      <x:c r="M51" s="23" t="n">
        <x:f>IF(L51=1,1/(J51+0.000001),0)</x:f>
        <x:v>0</x:v>
      </x:c>
      <x:c r="N51" s="23" t="n">
        <x:v>-0.0009293935197651759</x:v>
      </x:c>
      <x:c r="O51" s="23" t="n">
        <x:f>M51</x:f>
        <x:v>0</x:v>
      </x:c>
      <x:c r="P51" s="23" t="n">
        <x:v>1.3489846767786489</x:v>
      </x:c>
      <x:c r="Q51" s="23" t="n">
        <x:v>3.1746485332264456</x:v>
      </x:c>
    </x:row>
    <x:row r="52">
      <x:c r="A52" s="23" t="str">
        <x:v>Lightning</x:v>
      </x:c>
      <x:c r="B52" s="23" t="n">
        <x:v>1399.6517332736403</x:v>
      </x:c>
      <x:c r="C52" s="23" t="n">
        <x:v>759.1958420234732</x:v>
      </x:c>
      <x:c r="D52" s="23" t="n">
        <x:v>419.1620333120227</x:v>
      </x:c>
      <x:c r="E52" s="23" t="n">
        <x:v>97.45367731200531</x:v>
      </x:c>
      <x:c r="F52" s="23" t="n">
        <x:v>20.429538778960705</x:v>
      </x:c>
      <x:c r="G52" s="23" t="n">
        <x:v>0.8575485521764494</x:v>
      </x:c>
      <x:c r="H52" s="23" t="n">
        <x:v>60</x:v>
      </x:c>
      <x:c r="I52" s="23" t="n">
        <x:v>25</x:v>
      </x:c>
      <x:c r="J52" s="23" t="n">
        <x:f>(IF(A52='Hybrid Calculator'!$B$6,0,1))^2+((B52-'Hybrid Calculator'!$B$7)/1500)^2+((C52-'Hybrid Calculator'!$B$8)/1300)^2+((D52-'Hybrid Calculator'!$B$9)/800)^2+((E52-'Hybrid Calculator'!$B$10)/350)^2+((F52-'Hybrid Calculator'!$B$11)/30)^2+(G52-'Hybrid Calculator'!$B$12)^2+((H52-'Hybrid Calculator'!$E$14)/IF(A52="Lightning",100,30000))^2+((I52-'Hybrid Calculator'!$E$17)/IF(A52="Lightning",100,30000))^2</x:f>
        <x:v>0.05346150813789289</x:v>
      </x:c>
      <x:c r="K52" s="23" t="n">
        <x:f>RANK(J52,$J$2:$J$1401,1)</x:f>
        <x:v>63</x:v>
      </x:c>
      <x:c r="L52" s="23" t="n">
        <x:f>IF(K52&lt;=7,1,0)</x:f>
        <x:v>0</x:v>
      </x:c>
      <x:c r="M52" s="23" t="n">
        <x:f>IF(L52=1,1/(J52+0.000001),0)</x:f>
        <x:v>0</x:v>
      </x:c>
      <x:c r="N52" s="23" t="n">
        <x:v>-0.011014725672604309</x:v>
      </x:c>
      <x:c r="O52" s="23" t="n">
        <x:f>M52</x:f>
        <x:v>0</x:v>
      </x:c>
      <x:c r="P52" s="23" t="n">
        <x:v>-1.3566694788258786</x:v>
      </x:c>
      <x:c r="Q52" s="23" t="n">
        <x:v>7.617618876288134</x:v>
      </x:c>
    </x:row>
    <x:row r="53">
      <x:c r="A53" s="23" t="str">
        <x:v>Lightning</x:v>
      </x:c>
      <x:c r="B53" s="23" t="n">
        <x:v>1430.1515317638405</x:v>
      </x:c>
      <x:c r="C53" s="23" t="n">
        <x:v>876.5507440781221</x:v>
      </x:c>
      <x:c r="D53" s="23" t="n">
        <x:v>553.5266575403512</x:v>
      </x:c>
      <x:c r="E53" s="23" t="n">
        <x:v>145.04346383735538</x:v>
      </x:c>
      <x:c r="F53" s="23" t="n">
        <x:v>10.698156310711056</x:v>
      </x:c>
      <x:c r="G53" s="23" t="n">
        <x:v>0.8149027600279078</x:v>
      </x:c>
      <x:c r="H53" s="23" t="n">
        <x:v>50</x:v>
      </x:c>
      <x:c r="I53" s="23" t="n">
        <x:v>25</x:v>
      </x:c>
      <x:c r="J53" s="23" t="n">
        <x:f>(IF(A53='Hybrid Calculator'!$B$6,0,1))^2+((B53-'Hybrid Calculator'!$B$7)/1500)^2+((C53-'Hybrid Calculator'!$B$8)/1300)^2+((D53-'Hybrid Calculator'!$B$9)/800)^2+((E53-'Hybrid Calculator'!$B$10)/350)^2+((F53-'Hybrid Calculator'!$B$11)/30)^2+(G53-'Hybrid Calculator'!$B$12)^2+((H53-'Hybrid Calculator'!$E$14)/IF(A53="Lightning",100,30000))^2+((I53-'Hybrid Calculator'!$E$17)/IF(A53="Lightning",100,30000))^2</x:f>
        <x:v>0.07276413568291296</x:v>
      </x:c>
      <x:c r="K53" s="23" t="n">
        <x:f>RANK(J53,$J$2:$J$1401,1)</x:f>
        <x:v>117</x:v>
      </x:c>
      <x:c r="L53" s="23" t="n">
        <x:f>IF(K53&lt;=7,1,0)</x:f>
        <x:v>0</x:v>
      </x:c>
      <x:c r="M53" s="23" t="n">
        <x:f>IF(L53=1,1/(J53+0.000001),0)</x:f>
        <x:v>0</x:v>
      </x:c>
      <x:c r="N53" s="23" t="n">
        <x:v>-0.0025740224094288333</x:v>
      </x:c>
      <x:c r="O53" s="23" t="n">
        <x:f>M53</x:f>
        <x:v>0</x:v>
      </x:c>
      <x:c r="P53" s="23" t="n">
        <x:v>0.9481977184819925</x:v>
      </x:c>
      <x:c r="Q53" s="23" t="n">
        <x:v>14.595026207381352</x:v>
      </x:c>
    </x:row>
    <x:row r="54">
      <x:c r="A54" s="23" t="str">
        <x:v>Lightning</x:v>
      </x:c>
      <x:c r="B54" s="23" t="n">
        <x:v>1358.8952935533598</x:v>
      </x:c>
      <x:c r="C54" s="23" t="n">
        <x:v>1136.9524426874705</x:v>
      </x:c>
      <x:c r="D54" s="23" t="n">
        <x:v>422.68218100070953</x:v>
      </x:c>
      <x:c r="E54" s="23" t="n">
        <x:v>206.09837198397145</x:v>
      </x:c>
      <x:c r="F54" s="23" t="n">
        <x:v>25.744637968949974</x:v>
      </x:c>
      <x:c r="G54" s="23" t="n">
        <x:v>0.8304369695461356</x:v>
      </x:c>
      <x:c r="H54" s="23" t="n">
        <x:v>40</x:v>
      </x:c>
      <x:c r="I54" s="23" t="n">
        <x:v>25</x:v>
      </x:c>
      <x:c r="J54" s="23" t="n">
        <x:f>(IF(A54='Hybrid Calculator'!$B$6,0,1))^2+((B54-'Hybrid Calculator'!$B$7)/1500)^2+((C54-'Hybrid Calculator'!$B$8)/1300)^2+((D54-'Hybrid Calculator'!$B$9)/800)^2+((E54-'Hybrid Calculator'!$B$10)/350)^2+((F54-'Hybrid Calculator'!$B$11)/30)^2+(G54-'Hybrid Calculator'!$B$12)^2+((H54-'Hybrid Calculator'!$E$14)/IF(A54="Lightning",100,30000))^2+((I54-'Hybrid Calculator'!$E$17)/IF(A54="Lightning",100,30000))^2</x:f>
        <x:v>0.15412111603965845</x:v>
      </x:c>
      <x:c r="K54" s="23" t="n">
        <x:f>RANK(J54,$J$2:$J$1401,1)</x:f>
        <x:v>337</x:v>
      </x:c>
      <x:c r="L54" s="23" t="n">
        <x:f>IF(K54&lt;=7,1,0)</x:f>
        <x:v>0</x:v>
      </x:c>
      <x:c r="M54" s="23" t="n">
        <x:f>IF(L54=1,1/(J54+0.000001),0)</x:f>
        <x:v>0</x:v>
      </x:c>
      <x:c r="N54" s="23" t="n">
        <x:v>-0.012626988671631256</x:v>
      </x:c>
      <x:c r="O54" s="23" t="n">
        <x:f>M54</x:f>
        <x:v>0</x:v>
      </x:c>
      <x:c r="P54" s="23" t="n">
        <x:v>1.299312807935891</x:v>
      </x:c>
      <x:c r="Q54" s="23" t="n">
        <x:v>-7.563401016031776</x:v>
      </x:c>
    </x:row>
    <x:row r="55">
      <x:c r="A55" s="23" t="str">
        <x:v>Lightning</x:v>
      </x:c>
      <x:c r="B55" s="23" t="n">
        <x:v>1453.8600531290285</x:v>
      </x:c>
      <x:c r="C55" s="23" t="n">
        <x:v>1208.1607659347355</x:v>
      </x:c>
      <x:c r="D55" s="23" t="n">
        <x:v>351.4533526264131</x:v>
      </x:c>
      <x:c r="E55" s="23" t="n">
        <x:v>102.62979338411242</x:v>
      </x:c>
      <x:c r="F55" s="23" t="n">
        <x:v>22.594772098120302</x:v>
      </x:c>
      <x:c r="G55" s="23" t="n">
        <x:v>0.7907003789488226</x:v>
      </x:c>
      <x:c r="H55" s="23" t="n">
        <x:v>40</x:v>
      </x:c>
      <x:c r="I55" s="23" t="n">
        <x:v>25</x:v>
      </x:c>
      <x:c r="J55" s="23" t="n">
        <x:f>(IF(A55='Hybrid Calculator'!$B$6,0,1))^2+((B55-'Hybrid Calculator'!$B$7)/1500)^2+((C55-'Hybrid Calculator'!$B$8)/1300)^2+((D55-'Hybrid Calculator'!$B$9)/800)^2+((E55-'Hybrid Calculator'!$B$10)/350)^2+((F55-'Hybrid Calculator'!$B$11)/30)^2+(G55-'Hybrid Calculator'!$B$12)^2+((H55-'Hybrid Calculator'!$E$14)/IF(A55="Lightning",100,30000))^2+((I55-'Hybrid Calculator'!$E$17)/IF(A55="Lightning",100,30000))^2</x:f>
        <x:v>0.1585597761718066</x:v>
      </x:c>
      <x:c r="K55" s="23" t="n">
        <x:f>RANK(J55,$J$2:$J$1401,1)</x:f>
        <x:v>347</x:v>
      </x:c>
      <x:c r="L55" s="23" t="n">
        <x:f>IF(K55&lt;=7,1,0)</x:f>
        <x:v>0</x:v>
      </x:c>
      <x:c r="M55" s="23" t="n">
        <x:f>IF(L55=1,1/(J55+0.000001),0)</x:f>
        <x:v>0</x:v>
      </x:c>
      <x:c r="N55" s="23" t="n">
        <x:v>-0.001983726430930144</x:v>
      </x:c>
      <x:c r="O55" s="23" t="n">
        <x:f>M55</x:f>
        <x:v>0</x:v>
      </x:c>
      <x:c r="P55" s="23" t="n">
        <x:v>0.2959518558854839</x:v>
      </x:c>
      <x:c r="Q55" s="23" t="n">
        <x:v>-8.523550579006042</x:v>
      </x:c>
    </x:row>
    <x:row r="56">
      <x:c r="A56" s="23" t="str">
        <x:v>Lightning</x:v>
      </x:c>
      <x:c r="B56" s="23" t="n">
        <x:v>1372.0306986942887</x:v>
      </x:c>
      <x:c r="C56" s="23" t="n">
        <x:v>748.001996462699</x:v>
      </x:c>
      <x:c r="D56" s="23" t="n">
        <x:v>704.8346193507314</x:v>
      </x:c>
      <x:c r="E56" s="23" t="n">
        <x:v>323.25122829759493</x:v>
      </x:c>
      <x:c r="F56" s="23" t="n">
        <x:v>13.26231617294252</x:v>
      </x:c>
      <x:c r="G56" s="23" t="n">
        <x:v>0.8091585626569577</x:v>
      </x:c>
      <x:c r="H56" s="23" t="n">
        <x:v>40</x:v>
      </x:c>
      <x:c r="I56" s="23" t="n">
        <x:v>25</x:v>
      </x:c>
      <x:c r="J56" s="23" t="n">
        <x:f>(IF(A56='Hybrid Calculator'!$B$6,0,1))^2+((B56-'Hybrid Calculator'!$B$7)/1500)^2+((C56-'Hybrid Calculator'!$B$8)/1300)^2+((D56-'Hybrid Calculator'!$B$9)/800)^2+((E56-'Hybrid Calculator'!$B$10)/350)^2+((F56-'Hybrid Calculator'!$B$11)/30)^2+(G56-'Hybrid Calculator'!$B$12)^2+((H56-'Hybrid Calculator'!$E$14)/IF(A56="Lightning",100,30000))^2+((I56-'Hybrid Calculator'!$E$17)/IF(A56="Lightning",100,30000))^2</x:f>
        <x:v>0.35858861985928214</x:v>
      </x:c>
      <x:c r="K56" s="23" t="n">
        <x:f>RANK(J56,$J$2:$J$1401,1)</x:f>
        <x:v>656</x:v>
      </x:c>
      <x:c r="L56" s="23" t="n">
        <x:f>IF(K56&lt;=7,1,0)</x:f>
        <x:v>0</x:v>
      </x:c>
      <x:c r="M56" s="23" t="n">
        <x:f>IF(L56=1,1/(J56+0.000001),0)</x:f>
        <x:v>0</x:v>
      </x:c>
      <x:c r="N56" s="23" t="n">
        <x:v>0.0049743405631916815</x:v>
      </x:c>
      <x:c r="O56" s="23" t="n">
        <x:f>M56</x:f>
        <x:v>0</x:v>
      </x:c>
      <x:c r="P56" s="23" t="n">
        <x:v>-0.19311809185111883</x:v>
      </x:c>
      <x:c r="Q56" s="23" t="n">
        <x:v>-4.993847677208123</x:v>
      </x:c>
    </x:row>
    <x:row r="57">
      <x:c r="A57" s="23" t="str">
        <x:v>Lightning</x:v>
      </x:c>
      <x:c r="B57" s="23" t="n">
        <x:v>1401.5314587042667</x:v>
      </x:c>
      <x:c r="C57" s="23" t="n">
        <x:v>759.0763002866879</x:v>
      </x:c>
      <x:c r="D57" s="23" t="n">
        <x:v>369.80238864198327</x:v>
      </x:c>
      <x:c r="E57" s="23" t="n">
        <x:v>120.86342896334827</x:v>
      </x:c>
      <x:c r="F57" s="23" t="n">
        <x:v>8.713874523062259</x:v>
      </x:c>
      <x:c r="G57" s="23" t="n">
        <x:v>0.8001308951200917</x:v>
      </x:c>
      <x:c r="H57" s="23" t="n">
        <x:v>60</x:v>
      </x:c>
      <x:c r="I57" s="23" t="n">
        <x:v>25</x:v>
      </x:c>
      <x:c r="J57" s="23" t="n">
        <x:f>(IF(A57='Hybrid Calculator'!$B$6,0,1))^2+((B57-'Hybrid Calculator'!$B$7)/1500)^2+((C57-'Hybrid Calculator'!$B$8)/1300)^2+((D57-'Hybrid Calculator'!$B$9)/800)^2+((E57-'Hybrid Calculator'!$B$10)/350)^2+((F57-'Hybrid Calculator'!$B$11)/30)^2+(G57-'Hybrid Calculator'!$B$12)^2+((H57-'Hybrid Calculator'!$E$14)/IF(A57="Lightning",100,30000))^2+((I57-'Hybrid Calculator'!$E$17)/IF(A57="Lightning",100,30000))^2</x:f>
        <x:v>0.15535723550525193</x:v>
      </x:c>
      <x:c r="K57" s="23" t="n">
        <x:f>RANK(J57,$J$2:$J$1401,1)</x:f>
        <x:v>343</x:v>
      </x:c>
      <x:c r="L57" s="23" t="n">
        <x:f>IF(K57&lt;=7,1,0)</x:f>
        <x:v>0</x:v>
      </x:c>
      <x:c r="M57" s="23" t="n">
        <x:f>IF(L57=1,1/(J57+0.000001),0)</x:f>
        <x:v>0</x:v>
      </x:c>
      <x:c r="N57" s="23" t="n">
        <x:v>-0.01317805742631517</x:v>
      </x:c>
      <x:c r="O57" s="23" t="n">
        <x:f>M57</x:f>
        <x:v>0</x:v>
      </x:c>
      <x:c r="P57" s="23" t="n">
        <x:v>-0.45298143892699017</x:v>
      </x:c>
      <x:c r="Q57" s="23" t="n">
        <x:v>26.439185048378476</x:v>
      </x:c>
    </x:row>
    <x:row r="58">
      <x:c r="A58" s="23" t="str">
        <x:v>Lightning</x:v>
      </x:c>
      <x:c r="B58" s="23" t="n">
        <x:v>1357.322169933468</x:v>
      </x:c>
      <x:c r="C58" s="23" t="n">
        <x:v>688.047708326485</x:v>
      </x:c>
      <x:c r="D58" s="23" t="n">
        <x:v>543.9361998811364</x:v>
      </x:c>
      <x:c r="E58" s="23" t="n">
        <x:v>172.20896108308807</x:v>
      </x:c>
      <x:c r="F58" s="23" t="n">
        <x:v>23.836816193535924</x:v>
      </x:c>
      <x:c r="G58" s="23" t="n">
        <x:v>0.8143983115931042</x:v>
      </x:c>
      <x:c r="H58" s="23" t="n">
        <x:v>50</x:v>
      </x:c>
      <x:c r="I58" s="23" t="n">
        <x:v>25</x:v>
      </x:c>
      <x:c r="J58" s="23" t="n">
        <x:f>(IF(A58='Hybrid Calculator'!$B$6,0,1))^2+((B58-'Hybrid Calculator'!$B$7)/1500)^2+((C58-'Hybrid Calculator'!$B$8)/1300)^2+((D58-'Hybrid Calculator'!$B$9)/800)^2+((E58-'Hybrid Calculator'!$B$10)/350)^2+((F58-'Hybrid Calculator'!$B$11)/30)^2+(G58-'Hybrid Calculator'!$B$12)^2+((H58-'Hybrid Calculator'!$E$14)/IF(A58="Lightning",100,30000))^2+((I58-'Hybrid Calculator'!$E$17)/IF(A58="Lightning",100,30000))^2</x:f>
        <x:v>0.05627580795417411</x:v>
      </x:c>
      <x:c r="K58" s="23" t="n">
        <x:f>RANK(J58,$J$2:$J$1401,1)</x:f>
        <x:v>73</x:v>
      </x:c>
      <x:c r="L58" s="23" t="n">
        <x:f>IF(K58&lt;=7,1,0)</x:f>
        <x:v>0</x:v>
      </x:c>
      <x:c r="M58" s="23" t="n">
        <x:f>IF(L58=1,1/(J58+0.000001),0)</x:f>
        <x:v>0</x:v>
      </x:c>
      <x:c r="N58" s="23" t="n">
        <x:v>0.0017774106099521791</x:v>
      </x:c>
      <x:c r="O58" s="23" t="n">
        <x:f>M58</x:f>
        <x:v>0</x:v>
      </x:c>
      <x:c r="P58" s="23" t="n">
        <x:v>-0.7387096532833297</x:v>
      </x:c>
      <x:c r="Q58" s="23" t="n">
        <x:v>-7.182137880911796</x:v>
      </x:c>
    </x:row>
    <x:row r="59">
      <x:c r="A59" s="23" t="str">
        <x:v>Lightning</x:v>
      </x:c>
      <x:c r="B59" s="23" t="n">
        <x:v>1378.568555752281</x:v>
      </x:c>
      <x:c r="C59" s="23" t="n">
        <x:v>1079.5863003702834</x:v>
      </x:c>
      <x:c r="D59" s="23" t="n">
        <x:v>559.2726328410208</x:v>
      </x:c>
      <x:c r="E59" s="23" t="n">
        <x:v>94.75430582650006</x:v>
      </x:c>
      <x:c r="F59" s="23" t="n">
        <x:v>27.353210643399507</x:v>
      </x:c>
      <x:c r="G59" s="23" t="n">
        <x:v>0.8286263180756942</x:v>
      </x:c>
      <x:c r="H59" s="23" t="n">
        <x:v>40</x:v>
      </x:c>
      <x:c r="I59" s="23" t="n">
        <x:v>25</x:v>
      </x:c>
      <x:c r="J59" s="23" t="n">
        <x:f>(IF(A59='Hybrid Calculator'!$B$6,0,1))^2+((B59-'Hybrid Calculator'!$B$7)/1500)^2+((C59-'Hybrid Calculator'!$B$8)/1300)^2+((D59-'Hybrid Calculator'!$B$9)/800)^2+((E59-'Hybrid Calculator'!$B$10)/350)^2+((F59-'Hybrid Calculator'!$B$11)/30)^2+(G59-'Hybrid Calculator'!$B$12)^2+((H59-'Hybrid Calculator'!$E$14)/IF(A59="Lightning",100,30000))^2+((I59-'Hybrid Calculator'!$E$17)/IF(A59="Lightning",100,30000))^2</x:f>
        <x:v>0.15971444669708718</x:v>
      </x:c>
      <x:c r="K59" s="23" t="n">
        <x:f>RANK(J59,$J$2:$J$1401,1)</x:f>
        <x:v>353</x:v>
      </x:c>
      <x:c r="L59" s="23" t="n">
        <x:f>IF(K59&lt;=7,1,0)</x:f>
        <x:v>0</x:v>
      </x:c>
      <x:c r="M59" s="23" t="n">
        <x:f>IF(L59=1,1/(J59+0.000001),0)</x:f>
        <x:v>0</x:v>
      </x:c>
      <x:c r="N59" s="23" t="n">
        <x:v>0.0023293888810715924</x:v>
      </x:c>
      <x:c r="O59" s="23" t="n">
        <x:f>M59</x:f>
        <x:v>0</x:v>
      </x:c>
      <x:c r="P59" s="23" t="n">
        <x:v>0.874633920753979</x:v>
      </x:c>
      <x:c r="Q59" s="23" t="n">
        <x:v>-17.525000217544857</x:v>
      </x:c>
    </x:row>
    <x:row r="60">
      <x:c r="A60" s="23" t="str">
        <x:v>Lightning</x:v>
      </x:c>
      <x:c r="B60" s="23" t="n">
        <x:v>1496.6327244183049</x:v>
      </x:c>
      <x:c r="C60" s="23" t="n">
        <x:v>691.097824240569</x:v>
      </x:c>
      <x:c r="D60" s="23" t="n">
        <x:v>448.0542864650488</x:v>
      </x:c>
      <x:c r="E60" s="23" t="n">
        <x:v>271.003390296828</x:v>
      </x:c>
      <x:c r="F60" s="23" t="n">
        <x:v>27.998072233982384</x:v>
      </x:c>
      <x:c r="G60" s="23" t="n">
        <x:v>0.854841524779331</x:v>
      </x:c>
      <x:c r="H60" s="23" t="n">
        <x:v>50</x:v>
      </x:c>
      <x:c r="I60" s="23" t="n">
        <x:v>25</x:v>
      </x:c>
      <x:c r="J60" s="23" t="n">
        <x:f>(IF(A60='Hybrid Calculator'!$B$6,0,1))^2+((B60-'Hybrid Calculator'!$B$7)/1500)^2+((C60-'Hybrid Calculator'!$B$8)/1300)^2+((D60-'Hybrid Calculator'!$B$9)/800)^2+((E60-'Hybrid Calculator'!$B$10)/350)^2+((F60-'Hybrid Calculator'!$B$11)/30)^2+(G60-'Hybrid Calculator'!$B$12)^2+((H60-'Hybrid Calculator'!$E$14)/IF(A60="Lightning",100,30000))^2+((I60-'Hybrid Calculator'!$E$17)/IF(A60="Lightning",100,30000))^2</x:f>
        <x:v>0.2424135889440282</x:v>
      </x:c>
      <x:c r="K60" s="23" t="n">
        <x:f>RANK(J60,$J$2:$J$1401,1)</x:f>
        <x:v>526</x:v>
      </x:c>
      <x:c r="L60" s="23" t="n">
        <x:f>IF(K60&lt;=7,1,0)</x:f>
        <x:v>0</x:v>
      </x:c>
      <x:c r="M60" s="23" t="n">
        <x:f>IF(L60=1,1/(J60+0.000001),0)</x:f>
        <x:v>0</x:v>
      </x:c>
      <x:c r="N60" s="23" t="n">
        <x:v>-0.017702633201457596</x:v>
      </x:c>
      <x:c r="O60" s="23" t="n">
        <x:f>M60</x:f>
        <x:v>0</x:v>
      </x:c>
      <x:c r="P60" s="23" t="n">
        <x:v>-0.4106190226917761</x:v>
      </x:c>
      <x:c r="Q60" s="23" t="n">
        <x:v>-9.650969641485972</x:v>
      </x:c>
    </x:row>
    <x:row r="61">
      <x:c r="A61" s="23" t="str">
        <x:v>Lightning</x:v>
      </x:c>
      <x:c r="B61" s="23" t="n">
        <x:v>1466.63858568063</x:v>
      </x:c>
      <x:c r="C61" s="23" t="n">
        <x:v>718.0410689208657</x:v>
      </x:c>
      <x:c r="D61" s="23" t="n">
        <x:v>635.3474992327392</x:v>
      </x:c>
      <x:c r="E61" s="23" t="n">
        <x:v>167.8672277322039</x:v>
      </x:c>
      <x:c r="F61" s="23" t="n">
        <x:v>8.550698712002486</x:v>
      </x:c>
      <x:c r="G61" s="23" t="n">
        <x:v>0.8058043815381826</x:v>
      </x:c>
      <x:c r="H61" s="23" t="n">
        <x:v>45</x:v>
      </x:c>
      <x:c r="I61" s="23" t="n">
        <x:v>25</x:v>
      </x:c>
      <x:c r="J61" s="23" t="n">
        <x:f>(IF(A61='Hybrid Calculator'!$B$6,0,1))^2+((B61-'Hybrid Calculator'!$B$7)/1500)^2+((C61-'Hybrid Calculator'!$B$8)/1300)^2+((D61-'Hybrid Calculator'!$B$9)/800)^2+((E61-'Hybrid Calculator'!$B$10)/350)^2+((F61-'Hybrid Calculator'!$B$11)/30)^2+(G61-'Hybrid Calculator'!$B$12)^2+((H61-'Hybrid Calculator'!$E$14)/IF(A61="Lightning",100,30000))^2+((I61-'Hybrid Calculator'!$E$17)/IF(A61="Lightning",100,30000))^2</x:f>
        <x:v>0.15499243002260077</x:v>
      </x:c>
      <x:c r="K61" s="23" t="n">
        <x:f>RANK(J61,$J$2:$J$1401,1)</x:f>
        <x:v>340</x:v>
      </x:c>
      <x:c r="L61" s="23" t="n">
        <x:f>IF(K61&lt;=7,1,0)</x:f>
        <x:v>0</x:v>
      </x:c>
      <x:c r="M61" s="23" t="n">
        <x:f>IF(L61=1,1/(J61+0.000001),0)</x:f>
        <x:v>0</x:v>
      </x:c>
      <x:c r="N61" s="23" t="n">
        <x:v>0.003814592221141</x:v>
      </x:c>
      <x:c r="O61" s="23" t="n">
        <x:f>M61</x:f>
        <x:v>0</x:v>
      </x:c>
      <x:c r="P61" s="23" t="n">
        <x:v>-0.5498223350124789</x:v>
      </x:c>
      <x:c r="Q61" s="23" t="n">
        <x:v>18.58621994908617</x:v>
      </x:c>
    </x:row>
    <x:row r="62">
      <x:c r="A62" s="23" t="str">
        <x:v>Lightning</x:v>
      </x:c>
      <x:c r="B62" s="23" t="n">
        <x:v>1395.7971290219575</x:v>
      </x:c>
      <x:c r="C62" s="23" t="n">
        <x:v>823.5803689691238</x:v>
      </x:c>
      <x:c r="D62" s="23" t="n">
        <x:v>575.9092388674617</x:v>
      </x:c>
      <x:c r="E62" s="23" t="n">
        <x:v>123.90815674560145</x:v>
      </x:c>
      <x:c r="F62" s="23" t="n">
        <x:v>10.958908960223198</x:v>
      </x:c>
      <x:c r="G62" s="23" t="n">
        <x:v>0.8572334438399412</x:v>
      </x:c>
      <x:c r="H62" s="23" t="n">
        <x:v>50</x:v>
      </x:c>
      <x:c r="I62" s="23" t="n">
        <x:v>25</x:v>
      </x:c>
      <x:c r="J62" s="23" t="n">
        <x:f>(IF(A62='Hybrid Calculator'!$B$6,0,1))^2+((B62-'Hybrid Calculator'!$B$7)/1500)^2+((C62-'Hybrid Calculator'!$B$8)/1300)^2+((D62-'Hybrid Calculator'!$B$9)/800)^2+((E62-'Hybrid Calculator'!$B$10)/350)^2+((F62-'Hybrid Calculator'!$B$11)/30)^2+(G62-'Hybrid Calculator'!$B$12)^2+((H62-'Hybrid Calculator'!$E$14)/IF(A62="Lightning",100,30000))^2+((I62-'Hybrid Calculator'!$E$17)/IF(A62="Lightning",100,30000))^2</x:f>
        <x:v>0.07992597746900884</x:v>
      </x:c>
      <x:c r="K62" s="23" t="n">
        <x:f>RANK(J62,$J$2:$J$1401,1)</x:f>
        <x:v>140</x:v>
      </x:c>
      <x:c r="L62" s="23" t="n">
        <x:f>IF(K62&lt;=7,1,0)</x:f>
        <x:v>0</x:v>
      </x:c>
      <x:c r="M62" s="23" t="n">
        <x:f>IF(L62=1,1/(J62+0.000001),0)</x:f>
        <x:v>0</x:v>
      </x:c>
      <x:c r="N62" s="23" t="n">
        <x:v>0.003711717206360543</x:v>
      </x:c>
      <x:c r="O62" s="23" t="n">
        <x:f>M62</x:f>
        <x:v>0</x:v>
      </x:c>
      <x:c r="P62" s="23" t="n">
        <x:v>-0.2953071839139554</x:v>
      </x:c>
      <x:c r="Q62" s="23" t="n">
        <x:v>13.093900705262058</x:v>
      </x:c>
    </x:row>
    <x:row r="63">
      <x:c r="A63" s="23" t="str">
        <x:v>Lightning</x:v>
      </x:c>
      <x:c r="B63" s="23" t="n">
        <x:v>1367.376088828314</x:v>
      </x:c>
      <x:c r="C63" s="23" t="n">
        <x:v>1118.5576302697882</x:v>
      </x:c>
      <x:c r="D63" s="23" t="n">
        <x:v>591.827077884227</x:v>
      </x:c>
      <x:c r="E63" s="23" t="n">
        <x:v>149.5265200920403</x:v>
      </x:c>
      <x:c r="F63" s="23" t="n">
        <x:v>24.708841300103813</x:v>
      </x:c>
      <x:c r="G63" s="23" t="n">
        <x:v>0.857640843144618</x:v>
      </x:c>
      <x:c r="H63" s="23" t="n">
        <x:v>45</x:v>
      </x:c>
      <x:c r="I63" s="23" t="n">
        <x:v>25</x:v>
      </x:c>
      <x:c r="J63" s="23" t="n">
        <x:f>(IF(A63='Hybrid Calculator'!$B$6,0,1))^2+((B63-'Hybrid Calculator'!$B$7)/1500)^2+((C63-'Hybrid Calculator'!$B$8)/1300)^2+((D63-'Hybrid Calculator'!$B$9)/800)^2+((E63-'Hybrid Calculator'!$B$10)/350)^2+((F63-'Hybrid Calculator'!$B$11)/30)^2+(G63-'Hybrid Calculator'!$B$12)^2+((H63-'Hybrid Calculator'!$E$14)/IF(A63="Lightning",100,30000))^2+((I63-'Hybrid Calculator'!$E$17)/IF(A63="Lightning",100,30000))^2</x:f>
        <x:v>0.10407924085612753</x:v>
      </x:c>
      <x:c r="K63" s="23" t="n">
        <x:f>RANK(J63,$J$2:$J$1401,1)</x:f>
        <x:v>215</x:v>
      </x:c>
      <x:c r="L63" s="23" t="n">
        <x:f>IF(K63&lt;=7,1,0)</x:f>
        <x:v>0</x:v>
      </x:c>
      <x:c r="M63" s="23" t="n">
        <x:f>IF(L63=1,1/(J63+0.000001),0)</x:f>
        <x:v>0</x:v>
      </x:c>
      <x:c r="N63" s="23" t="n">
        <x:v>-0.010736203105737196</x:v>
      </x:c>
      <x:c r="O63" s="23" t="n">
        <x:f>M63</x:f>
        <x:v>0</x:v>
      </x:c>
      <x:c r="P63" s="23" t="n">
        <x:v>0.08231513694310166</x:v>
      </x:c>
      <x:c r="Q63" s="23" t="n">
        <x:v>-17.2341395406836</x:v>
      </x:c>
    </x:row>
    <x:row r="64">
      <x:c r="A64" s="23" t="str">
        <x:v>Lightning</x:v>
      </x:c>
      <x:c r="B64" s="23" t="n">
        <x:v>1483.2062606932595</x:v>
      </x:c>
      <x:c r="C64" s="23" t="n">
        <x:v>1191.4594562840648</x:v>
      </x:c>
      <x:c r="D64" s="23" t="n">
        <x:v>414.5633324980736</x:v>
      </x:c>
      <x:c r="E64" s="23" t="n">
        <x:v>189.65846566250548</x:v>
      </x:c>
      <x:c r="F64" s="23" t="n">
        <x:v>13.858501012437046</x:v>
      </x:c>
      <x:c r="G64" s="23" t="n">
        <x:v>0.8427902523777449</x:v>
      </x:c>
      <x:c r="H64" s="23" t="n">
        <x:v>40</x:v>
      </x:c>
      <x:c r="I64" s="23" t="n">
        <x:v>25</x:v>
      </x:c>
      <x:c r="J64" s="23" t="n">
        <x:f>(IF(A64='Hybrid Calculator'!$B$6,0,1))^2+((B64-'Hybrid Calculator'!$B$7)/1500)^2+((C64-'Hybrid Calculator'!$B$8)/1300)^2+((D64-'Hybrid Calculator'!$B$9)/800)^2+((E64-'Hybrid Calculator'!$B$10)/350)^2+((F64-'Hybrid Calculator'!$B$11)/30)^2+(G64-'Hybrid Calculator'!$B$12)^2+((H64-'Hybrid Calculator'!$E$14)/IF(A64="Lightning",100,30000))^2+((I64-'Hybrid Calculator'!$E$17)/IF(A64="Lightning",100,30000))^2</x:f>
        <x:v>0.1291977441908956</x:v>
      </x:c>
      <x:c r="K64" s="23" t="n">
        <x:f>RANK(J64,$J$2:$J$1401,1)</x:f>
        <x:v>274</x:v>
      </x:c>
      <x:c r="L64" s="23" t="n">
        <x:f>IF(K64&lt;=7,1,0)</x:f>
        <x:v>0</x:v>
      </x:c>
      <x:c r="M64" s="23" t="n">
        <x:f>IF(L64=1,1/(J64+0.000001),0)</x:f>
        <x:v>0</x:v>
      </x:c>
      <x:c r="N64" s="23" t="n">
        <x:v>0.018755397351670755</x:v>
      </x:c>
      <x:c r="O64" s="23" t="n">
        <x:f>M64</x:f>
        <x:v>0</x:v>
      </x:c>
      <x:c r="P64" s="23" t="n">
        <x:v>0.11157108878848021</x:v>
      </x:c>
      <x:c r="Q64" s="23" t="n">
        <x:v>-5.679552659790488</x:v>
      </x:c>
    </x:row>
    <x:row r="65">
      <x:c r="A65" s="23" t="str">
        <x:v>Lightning</x:v>
      </x:c>
      <x:c r="B65" s="23" t="n">
        <x:v>1493.109640746843</x:v>
      </x:c>
      <x:c r="C65" s="23" t="n">
        <x:v>644.0887845121324</x:v>
      </x:c>
      <x:c r="D65" s="23" t="n">
        <x:v>403.83645510300994</x:v>
      </x:c>
      <x:c r="E65" s="23" t="n">
        <x:v>217.41095422301441</x:v>
      </x:c>
      <x:c r="F65" s="23" t="n">
        <x:v>10.428364952560514</x:v>
      </x:c>
      <x:c r="G65" s="23" t="n">
        <x:v>0.851619587885216</x:v>
      </x:c>
      <x:c r="H65" s="23" t="n">
        <x:v>60</x:v>
      </x:c>
      <x:c r="I65" s="23" t="n">
        <x:v>25</x:v>
      </x:c>
      <x:c r="J65" s="23" t="n">
        <x:f>(IF(A65='Hybrid Calculator'!$B$6,0,1))^2+((B65-'Hybrid Calculator'!$B$7)/1500)^2+((C65-'Hybrid Calculator'!$B$8)/1300)^2+((D65-'Hybrid Calculator'!$B$9)/800)^2+((E65-'Hybrid Calculator'!$B$10)/350)^2+((F65-'Hybrid Calculator'!$B$11)/30)^2+(G65-'Hybrid Calculator'!$B$12)^2+((H65-'Hybrid Calculator'!$E$14)/IF(A65="Lightning",100,30000))^2+((I65-'Hybrid Calculator'!$E$17)/IF(A65="Lightning",100,30000))^2</x:f>
        <x:v>0.16208520157387943</x:v>
      </x:c>
      <x:c r="K65" s="23" t="n">
        <x:f>RANK(J65,$J$2:$J$1401,1)</x:f>
        <x:v>359</x:v>
      </x:c>
      <x:c r="L65" s="23" t="n">
        <x:f>IF(K65&lt;=7,1,0)</x:f>
        <x:v>0</x:v>
      </x:c>
      <x:c r="M65" s="23" t="n">
        <x:f>IF(L65=1,1/(J65+0.000001),0)</x:f>
        <x:v>0</x:v>
      </x:c>
      <x:c r="N65" s="23" t="n">
        <x:v>-0.014213796437274384</x:v>
      </x:c>
      <x:c r="O65" s="23" t="n">
        <x:f>M65</x:f>
        <x:v>0</x:v>
      </x:c>
      <x:c r="P65" s="23" t="n">
        <x:v>-0.0575869916727072</x:v>
      </x:c>
      <x:c r="Q65" s="23" t="n">
        <x:v>16.319861644560888</x:v>
      </x:c>
    </x:row>
    <x:row r="66">
      <x:c r="A66" s="23" t="str">
        <x:v>Lightning</x:v>
      </x:c>
      <x:c r="B66" s="23" t="n">
        <x:v>1496.3152773678303</x:v>
      </x:c>
      <x:c r="C66" s="23" t="n">
        <x:v>914.0404956764542</x:v>
      </x:c>
      <x:c r="D66" s="23" t="n">
        <x:v>571.2369428947568</x:v>
      </x:c>
      <x:c r="E66" s="23" t="n">
        <x:v>152.99942761892453</x:v>
      </x:c>
      <x:c r="F66" s="23" t="n">
        <x:v>23.95214575342834</x:v>
      </x:c>
      <x:c r="G66" s="23" t="n">
        <x:v>0.8046482022595592</x:v>
      </x:c>
      <x:c r="H66" s="23" t="n">
        <x:v>40</x:v>
      </x:c>
      <x:c r="I66" s="23" t="n">
        <x:v>25</x:v>
      </x:c>
      <x:c r="J66" s="23" t="n">
        <x:f>(IF(A66='Hybrid Calculator'!$B$6,0,1))^2+((B66-'Hybrid Calculator'!$B$7)/1500)^2+((C66-'Hybrid Calculator'!$B$8)/1300)^2+((D66-'Hybrid Calculator'!$B$9)/800)^2+((E66-'Hybrid Calculator'!$B$10)/350)^2+((F66-'Hybrid Calculator'!$B$11)/30)^2+(G66-'Hybrid Calculator'!$B$12)^2+((H66-'Hybrid Calculator'!$E$14)/IF(A66="Lightning",100,30000))^2+((I66-'Hybrid Calculator'!$E$17)/IF(A66="Lightning",100,30000))^2</x:f>
        <x:v>0.055954234192356345</x:v>
      </x:c>
      <x:c r="K66" s="23" t="n">
        <x:f>RANK(J66,$J$2:$J$1401,1)</x:f>
        <x:v>71</x:v>
      </x:c>
      <x:c r="L66" s="23" t="n">
        <x:f>IF(K66&lt;=7,1,0)</x:f>
        <x:v>0</x:v>
      </x:c>
      <x:c r="M66" s="23" t="n">
        <x:f>IF(L66=1,1/(J66+0.000001),0)</x:f>
        <x:v>0</x:v>
      </x:c>
      <x:c r="N66" s="23" t="n">
        <x:v>0.003756337927559361</x:v>
      </x:c>
      <x:c r="O66" s="23" t="n">
        <x:f>M66</x:f>
        <x:v>0</x:v>
      </x:c>
      <x:c r="P66" s="23" t="n">
        <x:v>-0.35240730489775984</x:v>
      </x:c>
      <x:c r="Q66" s="23" t="n">
        <x:v>-2.793824839329318</x:v>
      </x:c>
    </x:row>
    <x:row r="67">
      <x:c r="A67" s="23" t="str">
        <x:v>Lightning</x:v>
      </x:c>
      <x:c r="B67" s="23" t="n">
        <x:v>1438.476049771998</x:v>
      </x:c>
      <x:c r="C67" s="23" t="n">
        <x:v>739.3467011163011</x:v>
      </x:c>
      <x:c r="D67" s="23" t="n">
        <x:v>486.0737190581858</x:v>
      </x:c>
      <x:c r="E67" s="23" t="n">
        <x:v>206.02657242678106</x:v>
      </x:c>
      <x:c r="F67" s="23" t="n">
        <x:v>24.674739923793823</x:v>
      </x:c>
      <x:c r="G67" s="23" t="n">
        <x:v>0.8493891082750634</x:v>
      </x:c>
      <x:c r="H67" s="23" t="n">
        <x:v>50</x:v>
      </x:c>
      <x:c r="I67" s="23" t="n">
        <x:v>25</x:v>
      </x:c>
      <x:c r="J67" s="23" t="n">
        <x:f>(IF(A67='Hybrid Calculator'!$B$6,0,1))^2+((B67-'Hybrid Calculator'!$B$7)/1500)^2+((C67-'Hybrid Calculator'!$B$8)/1300)^2+((D67-'Hybrid Calculator'!$B$9)/800)^2+((E67-'Hybrid Calculator'!$B$10)/350)^2+((F67-'Hybrid Calculator'!$B$11)/30)^2+(G67-'Hybrid Calculator'!$B$12)^2+((H67-'Hybrid Calculator'!$E$14)/IF(A67="Lightning",100,30000))^2+((I67-'Hybrid Calculator'!$E$17)/IF(A67="Lightning",100,30000))^2</x:f>
        <x:v>0.07648061941976697</x:v>
      </x:c>
      <x:c r="K67" s="23" t="n">
        <x:f>RANK(J67,$J$2:$J$1401,1)</x:f>
        <x:v>126</x:v>
      </x:c>
      <x:c r="L67" s="23" t="n">
        <x:f>IF(K67&lt;=7,1,0)</x:f>
        <x:v>0</x:v>
      </x:c>
      <x:c r="M67" s="23" t="n">
        <x:f>IF(L67=1,1/(J67+0.000001),0)</x:f>
        <x:v>0</x:v>
      </x:c>
      <x:c r="N67" s="23" t="n">
        <x:v>-0.006713056965197861</x:v>
      </x:c>
      <x:c r="O67" s="23" t="n">
        <x:f>M67</x:f>
        <x:v>0</x:v>
      </x:c>
      <x:c r="P67" s="23" t="n">
        <x:v>0.3642393407925866</x:v>
      </x:c>
      <x:c r="Q67" s="23" t="n">
        <x:v>-9.630220303583656</x:v>
      </x:c>
    </x:row>
    <x:row r="68">
      <x:c r="A68" s="23" t="str">
        <x:v>Lightning</x:v>
      </x:c>
      <x:c r="B68" s="23" t="n">
        <x:v>1365.5809768242761</x:v>
      </x:c>
      <x:c r="C68" s="23" t="n">
        <x:v>1080.3873714641668</x:v>
      </x:c>
      <x:c r="D68" s="23" t="n">
        <x:v>714.8803535848856</x:v>
      </x:c>
      <x:c r="E68" s="23" t="n">
        <x:v>183.1112942728214</x:v>
      </x:c>
      <x:c r="F68" s="23" t="n">
        <x:v>19.97824858967215</x:v>
      </x:c>
      <x:c r="G68" s="23" t="n">
        <x:v>0.8072684254753404</x:v>
      </x:c>
      <x:c r="H68" s="23" t="n">
        <x:v>35</x:v>
      </x:c>
      <x:c r="I68" s="23" t="n">
        <x:v>25</x:v>
      </x:c>
      <x:c r="J68" s="23" t="n">
        <x:f>(IF(A68='Hybrid Calculator'!$B$6,0,1))^2+((B68-'Hybrid Calculator'!$B$7)/1500)^2+((C68-'Hybrid Calculator'!$B$8)/1300)^2+((D68-'Hybrid Calculator'!$B$9)/800)^2+((E68-'Hybrid Calculator'!$B$10)/350)^2+((F68-'Hybrid Calculator'!$B$11)/30)^2+(G68-'Hybrid Calculator'!$B$12)^2+((H68-'Hybrid Calculator'!$E$14)/IF(A68="Lightning",100,30000))^2+((I68-'Hybrid Calculator'!$E$17)/IF(A68="Lightning",100,30000))^2</x:f>
        <x:v>0.13916263798503836</x:v>
      </x:c>
      <x:c r="K68" s="23" t="n">
        <x:f>RANK(J68,$J$2:$J$1401,1)</x:f>
        <x:v>299</x:v>
      </x:c>
      <x:c r="L68" s="23" t="n">
        <x:f>IF(K68&lt;=7,1,0)</x:f>
        <x:v>0</x:v>
      </x:c>
      <x:c r="M68" s="23" t="n">
        <x:f>IF(L68=1,1/(J68+0.000001),0)</x:f>
        <x:v>0</x:v>
      </x:c>
      <x:c r="N68" s="23" t="n">
        <x:v>0.017558789638723704</x:v>
      </x:c>
      <x:c r="O68" s="23" t="n">
        <x:f>M68</x:f>
        <x:v>0</x:v>
      </x:c>
      <x:c r="P68" s="23" t="n">
        <x:v>-0.3724094096583883</x:v>
      </x:c>
      <x:c r="Q68" s="23" t="n">
        <x:v>-7.302435853850511</x:v>
      </x:c>
    </x:row>
    <x:row r="69">
      <x:c r="A69" s="23" t="str">
        <x:v>Lightning</x:v>
      </x:c>
      <x:c r="B69" s="23" t="n">
        <x:v>1438.4242594591342</x:v>
      </x:c>
      <x:c r="C69" s="23" t="n">
        <x:v>928.8411154877394</x:v>
      </x:c>
      <x:c r="D69" s="23" t="n">
        <x:v>387.66240729019046</x:v>
      </x:c>
      <x:c r="E69" s="23" t="n">
        <x:v>150.5761833814904</x:v>
      </x:c>
      <x:c r="F69" s="23" t="n">
        <x:v>19.498086031060666</x:v>
      </x:c>
      <x:c r="G69" s="23" t="n">
        <x:v>0.792686557546258</x:v>
      </x:c>
      <x:c r="H69" s="23" t="n">
        <x:v>45</x:v>
      </x:c>
      <x:c r="I69" s="23" t="n">
        <x:v>25</x:v>
      </x:c>
      <x:c r="J69" s="23" t="n">
        <x:f>(IF(A69='Hybrid Calculator'!$B$6,0,1))^2+((B69-'Hybrid Calculator'!$B$7)/1500)^2+((C69-'Hybrid Calculator'!$B$8)/1300)^2+((D69-'Hybrid Calculator'!$B$9)/800)^2+((E69-'Hybrid Calculator'!$B$10)/350)^2+((F69-'Hybrid Calculator'!$B$11)/30)^2+(G69-'Hybrid Calculator'!$B$12)^2+((H69-'Hybrid Calculator'!$E$14)/IF(A69="Lightning",100,30000))^2+((I69-'Hybrid Calculator'!$E$17)/IF(A69="Lightning",100,30000))^2</x:f>
        <x:v>0.02783208539802136</x:v>
      </x:c>
      <x:c r="K69" s="23" t="n">
        <x:f>RANK(J69,$J$2:$J$1401,1)</x:f>
        <x:v>21</x:v>
      </x:c>
      <x:c r="L69" s="23" t="n">
        <x:f>IF(K69&lt;=7,1,0)</x:f>
        <x:v>0</x:v>
      </x:c>
      <x:c r="M69" s="23" t="n">
        <x:f>IF(L69=1,1/(J69+0.000001),0)</x:f>
        <x:v>0</x:v>
      </x:c>
      <x:c r="N69" s="23" t="n">
        <x:v>0.0008768644772769729</x:v>
      </x:c>
      <x:c r="O69" s="23" t="n">
        <x:f>M69</x:f>
        <x:v>0</x:v>
      </x:c>
      <x:c r="P69" s="23" t="n">
        <x:v>-0.3825623651149215</x:v>
      </x:c>
      <x:c r="Q69" s="23" t="n">
        <x:v>2.409658955127952</x:v>
      </x:c>
    </x:row>
    <x:row r="70">
      <x:c r="A70" s="23" t="str">
        <x:v>Lightning</x:v>
      </x:c>
      <x:c r="B70" s="23" t="n">
        <x:v>1391.3488320540637</x:v>
      </x:c>
      <x:c r="C70" s="23" t="n">
        <x:v>817.034940503072</x:v>
      </x:c>
      <x:c r="D70" s="23" t="n">
        <x:v>742.4831127747893</x:v>
      </x:c>
      <x:c r="E70" s="23" t="n">
        <x:v>109.82415334554389</x:v>
      </x:c>
      <x:c r="F70" s="23" t="n">
        <x:v>17.49207464978099</x:v>
      </x:c>
      <x:c r="G70" s="23" t="n">
        <x:v>0.8432952066906728</x:v>
      </x:c>
      <x:c r="H70" s="23" t="n">
        <x:v>45</x:v>
      </x:c>
      <x:c r="I70" s="23" t="n">
        <x:v>25</x:v>
      </x:c>
      <x:c r="J70" s="23" t="n">
        <x:f>(IF(A70='Hybrid Calculator'!$B$6,0,1))^2+((B70-'Hybrid Calculator'!$B$7)/1500)^2+((C70-'Hybrid Calculator'!$B$8)/1300)^2+((D70-'Hybrid Calculator'!$B$9)/800)^2+((E70-'Hybrid Calculator'!$B$10)/350)^2+((F70-'Hybrid Calculator'!$B$11)/30)^2+(G70-'Hybrid Calculator'!$B$12)^2+((H70-'Hybrid Calculator'!$E$14)/IF(A70="Lightning",100,30000))^2+((I70-'Hybrid Calculator'!$E$17)/IF(A70="Lightning",100,30000))^2</x:f>
        <x:v>0.11036604797169097</x:v>
      </x:c>
      <x:c r="K70" s="23" t="n">
        <x:f>RANK(J70,$J$2:$J$1401,1)</x:f>
        <x:v>229</x:v>
      </x:c>
      <x:c r="L70" s="23" t="n">
        <x:f>IF(K70&lt;=7,1,0)</x:f>
        <x:v>0</x:v>
      </x:c>
      <x:c r="M70" s="23" t="n">
        <x:f>IF(L70=1,1/(J70+0.000001),0)</x:f>
        <x:v>0</x:v>
      </x:c>
      <x:c r="N70" s="23" t="n">
        <x:v>-0.005647669414382106</x:v>
      </x:c>
      <x:c r="O70" s="23" t="n">
        <x:f>M70</x:f>
        <x:v>0</x:v>
      </x:c>
      <x:c r="P70" s="23" t="n">
        <x:v>-1.0819357710588875</x:v>
      </x:c>
      <x:c r="Q70" s="23" t="n">
        <x:v>1.9579449100267539</x:v>
      </x:c>
    </x:row>
    <x:row r="71">
      <x:c r="A71" s="23" t="str">
        <x:v>Lightning</x:v>
      </x:c>
      <x:c r="B71" s="23" t="n">
        <x:v>1466.0836003837176</x:v>
      </x:c>
      <x:c r="C71" s="23" t="n">
        <x:v>991.4685814408585</x:v>
      </x:c>
      <x:c r="D71" s="23" t="n">
        <x:v>746.2874014861882</x:v>
      </x:c>
      <x:c r="E71" s="23" t="n">
        <x:v>318.36624156683683</x:v>
      </x:c>
      <x:c r="F71" s="23" t="n">
        <x:v>19.198970841709524</x:v>
      </x:c>
      <x:c r="G71" s="23" t="n">
        <x:v>0.8540620652912185</x:v>
      </x:c>
      <x:c r="H71" s="23" t="n">
        <x:v>35</x:v>
      </x:c>
      <x:c r="I71" s="23" t="n">
        <x:v>25</x:v>
      </x:c>
      <x:c r="J71" s="23" t="n">
        <x:f>(IF(A71='Hybrid Calculator'!$B$6,0,1))^2+((B71-'Hybrid Calculator'!$B$7)/1500)^2+((C71-'Hybrid Calculator'!$B$8)/1300)^2+((D71-'Hybrid Calculator'!$B$9)/800)^2+((E71-'Hybrid Calculator'!$B$10)/350)^2+((F71-'Hybrid Calculator'!$B$11)/30)^2+(G71-'Hybrid Calculator'!$B$12)^2+((H71-'Hybrid Calculator'!$E$14)/IF(A71="Lightning",100,30000))^2+((I71-'Hybrid Calculator'!$E$17)/IF(A71="Lightning",100,30000))^2</x:f>
        <x:v>0.36297841677838755</x:v>
      </x:c>
      <x:c r="K71" s="23" t="n">
        <x:f>RANK(J71,$J$2:$J$1401,1)</x:f>
        <x:v>660</x:v>
      </x:c>
      <x:c r="L71" s="23" t="n">
        <x:f>IF(K71&lt;=7,1,0)</x:f>
        <x:v>0</x:v>
      </x:c>
      <x:c r="M71" s="23" t="n">
        <x:f>IF(L71=1,1/(J71+0.000001),0)</x:f>
        <x:v>0</x:v>
      </x:c>
      <x:c r="N71" s="23" t="n">
        <x:v>0.01022940186387511</x:v>
      </x:c>
      <x:c r="O71" s="23" t="n">
        <x:f>M71</x:f>
        <x:v>0</x:v>
      </x:c>
      <x:c r="P71" s="23" t="n">
        <x:v>-0.6364376020776348</x:v>
      </x:c>
      <x:c r="Q71" s="23" t="n">
        <x:v>-7.227430132534664</x:v>
      </x:c>
    </x:row>
    <x:row r="72">
      <x:c r="A72" s="23" t="str">
        <x:v>Lightning</x:v>
      </x:c>
      <x:c r="B72" s="23" t="n">
        <x:v>1390.3548358473927</x:v>
      </x:c>
      <x:c r="C72" s="23" t="n">
        <x:v>680.3793346392922</x:v>
      </x:c>
      <x:c r="D72" s="23" t="n">
        <x:v>451.80593859404325</x:v>
      </x:c>
      <x:c r="E72" s="23" t="n">
        <x:v>220.22839936660603</x:v>
      </x:c>
      <x:c r="F72" s="23" t="n">
        <x:v>28.721596993505955</x:v>
      </x:c>
      <x:c r="G72" s="23" t="n">
        <x:v>0.8581835346878507</x:v>
      </x:c>
      <x:c r="H72" s="23" t="n">
        <x:v>55</x:v>
      </x:c>
      <x:c r="I72" s="23" t="n">
        <x:v>25</x:v>
      </x:c>
      <x:c r="J72" s="23" t="n">
        <x:f>(IF(A72='Hybrid Calculator'!$B$6,0,1))^2+((B72-'Hybrid Calculator'!$B$7)/1500)^2+((C72-'Hybrid Calculator'!$B$8)/1300)^2+((D72-'Hybrid Calculator'!$B$9)/800)^2+((E72-'Hybrid Calculator'!$B$10)/350)^2+((F72-'Hybrid Calculator'!$B$11)/30)^2+(G72-'Hybrid Calculator'!$B$12)^2+((H72-'Hybrid Calculator'!$E$14)/IF(A72="Lightning",100,30000))^2+((I72-'Hybrid Calculator'!$E$17)/IF(A72="Lightning",100,30000))^2</x:f>
        <x:v>0.18149647626130458</x:v>
      </x:c>
      <x:c r="K72" s="23" t="n">
        <x:f>RANK(J72,$J$2:$J$1401,1)</x:f>
        <x:v>404</x:v>
      </x:c>
      <x:c r="L72" s="23" t="n">
        <x:f>IF(K72&lt;=7,1,0)</x:f>
        <x:v>0</x:v>
      </x:c>
      <x:c r="M72" s="23" t="n">
        <x:f>IF(L72=1,1/(J72+0.000001),0)</x:f>
        <x:v>0</x:v>
      </x:c>
      <x:c r="N72" s="23" t="n">
        <x:v>-0.008668056857613404</x:v>
      </x:c>
      <x:c r="O72" s="23" t="n">
        <x:f>M72</x:f>
        <x:v>0</x:v>
      </x:c>
      <x:c r="P72" s="23" t="n">
        <x:v>-0.6189869610351906</x:v>
      </x:c>
      <x:c r="Q72" s="23" t="n">
        <x:v>-4.132823304618341</x:v>
      </x:c>
    </x:row>
    <x:row r="73">
      <x:c r="A73" s="23" t="str">
        <x:v>Lightning</x:v>
      </x:c>
      <x:c r="B73" s="23" t="n">
        <x:v>1432.3505061795004</x:v>
      </x:c>
      <x:c r="C73" s="23" t="n">
        <x:v>650.7373913889751</x:v>
      </x:c>
      <x:c r="D73" s="23" t="n">
        <x:v>725.2897945232689</x:v>
      </x:c>
      <x:c r="E73" s="23" t="n">
        <x:v>167.2850208543241</x:v>
      </x:c>
      <x:c r="F73" s="23" t="n">
        <x:v>21.935199259314686</x:v>
      </x:c>
      <x:c r="G73" s="23" t="n">
        <x:v>0.830538292392157</x:v>
      </x:c>
      <x:c r="H73" s="23" t="n">
        <x:v>45</x:v>
      </x:c>
      <x:c r="I73" s="23" t="n">
        <x:v>25</x:v>
      </x:c>
      <x:c r="J73" s="23" t="n">
        <x:f>(IF(A73='Hybrid Calculator'!$B$6,0,1))^2+((B73-'Hybrid Calculator'!$B$7)/1500)^2+((C73-'Hybrid Calculator'!$B$8)/1300)^2+((D73-'Hybrid Calculator'!$B$9)/800)^2+((E73-'Hybrid Calculator'!$B$10)/350)^2+((F73-'Hybrid Calculator'!$B$11)/30)^2+(G73-'Hybrid Calculator'!$B$12)^2+((H73-'Hybrid Calculator'!$E$14)/IF(A73="Lightning",100,30000))^2+((I73-'Hybrid Calculator'!$E$17)/IF(A73="Lightning",100,30000))^2</x:f>
        <x:v>0.12098568041576503</x:v>
      </x:c>
      <x:c r="K73" s="23" t="n">
        <x:f>RANK(J73,$J$2:$J$1401,1)</x:f>
        <x:v>252</x:v>
      </x:c>
      <x:c r="L73" s="23" t="n">
        <x:f>IF(K73&lt;=7,1,0)</x:f>
        <x:v>0</x:v>
      </x:c>
      <x:c r="M73" s="23" t="n">
        <x:f>IF(L73=1,1/(J73+0.000001),0)</x:f>
        <x:v>0</x:v>
      </x:c>
      <x:c r="N73" s="23" t="n">
        <x:v>-0.007024205584558629</x:v>
      </x:c>
      <x:c r="O73" s="23" t="n">
        <x:f>M73</x:f>
        <x:v>0</x:v>
      </x:c>
      <x:c r="P73" s="23" t="n">
        <x:v>0.38916489675398935</x:v>
      </x:c>
      <x:c r="Q73" s="23" t="n">
        <x:v>4.546623298968598</x:v>
      </x:c>
    </x:row>
    <x:row r="74">
      <x:c r="A74" s="23" t="str">
        <x:v>Lightning</x:v>
      </x:c>
      <x:c r="B74" s="23" t="n">
        <x:v>1388.6294099735096</x:v>
      </x:c>
      <x:c r="C74" s="23" t="n">
        <x:v>834.2008587089367</x:v>
      </x:c>
      <x:c r="D74" s="23" t="n">
        <x:v>588.6379539966583</x:v>
      </x:c>
      <x:c r="E74" s="23" t="n">
        <x:v>164.25217302283272</x:v>
      </x:c>
      <x:c r="F74" s="23" t="n">
        <x:v>21.843968498520553</x:v>
      </x:c>
      <x:c r="G74" s="23" t="n">
        <x:v>0.7927315760380589</x:v>
      </x:c>
      <x:c r="H74" s="23" t="n">
        <x:v>45</x:v>
      </x:c>
      <x:c r="I74" s="23" t="n">
        <x:v>25</x:v>
      </x:c>
      <x:c r="J74" s="23" t="n">
        <x:f>(IF(A74='Hybrid Calculator'!$B$6,0,1))^2+((B74-'Hybrid Calculator'!$B$7)/1500)^2+((C74-'Hybrid Calculator'!$B$8)/1300)^2+((D74-'Hybrid Calculator'!$B$9)/800)^2+((E74-'Hybrid Calculator'!$B$10)/350)^2+((F74-'Hybrid Calculator'!$B$11)/30)^2+(G74-'Hybrid Calculator'!$B$12)^2+((H74-'Hybrid Calculator'!$E$14)/IF(A74="Lightning",100,30000))^2+((I74-'Hybrid Calculator'!$E$17)/IF(A74="Lightning",100,30000))^2</x:f>
        <x:v>0.030338002396990513</x:v>
      </x:c>
      <x:c r="K74" s="23" t="n">
        <x:f>RANK(J74,$J$2:$J$1401,1)</x:f>
        <x:v>23</x:v>
      </x:c>
      <x:c r="L74" s="23" t="n">
        <x:f>IF(K74&lt;=7,1,0)</x:f>
        <x:v>0</x:v>
      </x:c>
      <x:c r="M74" s="23" t="n">
        <x:f>IF(L74=1,1/(J74+0.000001),0)</x:f>
        <x:v>0</x:v>
      </x:c>
      <x:c r="N74" s="23" t="n">
        <x:v>-0.011014447015632811</x:v>
      </x:c>
      <x:c r="O74" s="23" t="n">
        <x:f>M74</x:f>
        <x:v>0</x:v>
      </x:c>
      <x:c r="P74" s="23" t="n">
        <x:v>0.6286606718692056</x:v>
      </x:c>
      <x:c r="Q74" s="23" t="n">
        <x:v>-6.397828616354673</x:v>
      </x:c>
    </x:row>
    <x:row r="75">
      <x:c r="A75" s="23" t="str">
        <x:v>Lightning</x:v>
      </x:c>
      <x:c r="B75" s="23" t="n">
        <x:v>1398.9494779030792</x:v>
      </x:c>
      <x:c r="C75" s="23" t="n">
        <x:v>882.1728819049895</x:v>
      </x:c>
      <x:c r="D75" s="23" t="n">
        <x:v>639.0443599782884</x:v>
      </x:c>
      <x:c r="E75" s="23" t="n">
        <x:v>116.07503103557974</x:v>
      </x:c>
      <x:c r="F75" s="23" t="n">
        <x:v>16.804531258996576</x:v>
      </x:c>
      <x:c r="G75" s="23" t="n">
        <x:v>0.7950507439766079</x:v>
      </x:c>
      <x:c r="H75" s="23" t="n">
        <x:v>45</x:v>
      </x:c>
      <x:c r="I75" s="23" t="n">
        <x:v>25</x:v>
      </x:c>
      <x:c r="J75" s="23" t="n">
        <x:f>(IF(A75='Hybrid Calculator'!$B$6,0,1))^2+((B75-'Hybrid Calculator'!$B$7)/1500)^2+((C75-'Hybrid Calculator'!$B$8)/1300)^2+((D75-'Hybrid Calculator'!$B$9)/800)^2+((E75-'Hybrid Calculator'!$B$10)/350)^2+((F75-'Hybrid Calculator'!$B$11)/30)^2+(G75-'Hybrid Calculator'!$B$12)^2+((H75-'Hybrid Calculator'!$E$14)/IF(A75="Lightning",100,30000))^2+((I75-'Hybrid Calculator'!$E$17)/IF(A75="Lightning",100,30000))^2</x:f>
        <x:v>0.04683404147370443</x:v>
      </x:c>
      <x:c r="K75" s="23" t="n">
        <x:f>RANK(J75,$J$2:$J$1401,1)</x:f>
        <x:v>47</x:v>
      </x:c>
      <x:c r="L75" s="23" t="n">
        <x:f>IF(K75&lt;=7,1,0)</x:f>
        <x:v>0</x:v>
      </x:c>
      <x:c r="M75" s="23" t="n">
        <x:f>IF(L75=1,1/(J75+0.000001),0)</x:f>
        <x:v>0</x:v>
      </x:c>
      <x:c r="N75" s="23" t="n">
        <x:v>0.0033717044830887666</x:v>
      </x:c>
      <x:c r="O75" s="23" t="n">
        <x:f>M75</x:f>
        <x:v>0</x:v>
      </x:c>
      <x:c r="P75" s="23" t="n">
        <x:v>-0.5056921287286045</x:v>
      </x:c>
      <x:c r="Q75" s="23" t="n">
        <x:v>2.160881303348333</x:v>
      </x:c>
    </x:row>
    <x:row r="76">
      <x:c r="A76" s="23" t="str">
        <x:v>Lightning</x:v>
      </x:c>
      <x:c r="B76" s="23" t="n">
        <x:v>1384.7956677898765</x:v>
      </x:c>
      <x:c r="C76" s="23" t="n">
        <x:v>1225.4652735195123</x:v>
      </x:c>
      <x:c r="D76" s="23" t="n">
        <x:v>557.907229848206</x:v>
      </x:c>
      <x:c r="E76" s="23" t="n">
        <x:v>127.61892143869773</x:v>
      </x:c>
      <x:c r="F76" s="23" t="n">
        <x:v>25.091777255758643</x:v>
      </x:c>
      <x:c r="G76" s="23" t="n">
        <x:v>0.859141345184762</x:v>
      </x:c>
      <x:c r="H76" s="23" t="n">
        <x:v>35</x:v>
      </x:c>
      <x:c r="I76" s="23" t="n">
        <x:v>25</x:v>
      </x:c>
      <x:c r="J76" s="23" t="n">
        <x:f>(IF(A76='Hybrid Calculator'!$B$6,0,1))^2+((B76-'Hybrid Calculator'!$B$7)/1500)^2+((C76-'Hybrid Calculator'!$B$8)/1300)^2+((D76-'Hybrid Calculator'!$B$9)/800)^2+((E76-'Hybrid Calculator'!$B$10)/350)^2+((F76-'Hybrid Calculator'!$B$11)/30)^2+(G76-'Hybrid Calculator'!$B$12)^2+((H76-'Hybrid Calculator'!$E$14)/IF(A76="Lightning",100,30000))^2+((I76-'Hybrid Calculator'!$E$17)/IF(A76="Lightning",100,30000))^2</x:f>
        <x:v>0.16577511612938964</x:v>
      </x:c>
      <x:c r="K76" s="23" t="n">
        <x:f>RANK(J76,$J$2:$J$1401,1)</x:f>
        <x:v>369</x:v>
      </x:c>
      <x:c r="L76" s="23" t="n">
        <x:f>IF(K76&lt;=7,1,0)</x:f>
        <x:v>0</x:v>
      </x:c>
      <x:c r="M76" s="23" t="n">
        <x:f>IF(L76=1,1/(J76+0.000001),0)</x:f>
        <x:v>0</x:v>
      </x:c>
      <x:c r="N76" s="23" t="n">
        <x:v>-0.0015525787268355629</x:v>
      </x:c>
      <x:c r="O76" s="23" t="n">
        <x:f>M76</x:f>
        <x:v>0</x:v>
      </x:c>
      <x:c r="P76" s="23" t="n">
        <x:v>0.8461761649374253</x:v>
      </x:c>
      <x:c r="Q76" s="23" t="n">
        <x:v>-10.978001958096911</x:v>
      </x:c>
    </x:row>
    <x:row r="77">
      <x:c r="A77" s="23" t="str">
        <x:v>Lightning</x:v>
      </x:c>
      <x:c r="B77" s="23" t="n">
        <x:v>1478.6868204013444</x:v>
      </x:c>
      <x:c r="C77" s="23" t="n">
        <x:v>882.2678897762671</x:v>
      </x:c>
      <x:c r="D77" s="23" t="n">
        <x:v>357.7993989922106</x:v>
      </x:c>
      <x:c r="E77" s="23" t="n">
        <x:v>323.14668658189476</x:v>
      </x:c>
      <x:c r="F77" s="23" t="n">
        <x:v>12.179975498933345</x:v>
      </x:c>
      <x:c r="G77" s="23" t="n">
        <x:v>0.7992618190916255</x:v>
      </x:c>
      <x:c r="H77" s="23" t="n">
        <x:v>45</x:v>
      </x:c>
      <x:c r="I77" s="23" t="n">
        <x:v>25</x:v>
      </x:c>
      <x:c r="J77" s="23" t="n">
        <x:f>(IF(A77='Hybrid Calculator'!$B$6,0,1))^2+((B77-'Hybrid Calculator'!$B$7)/1500)^2+((C77-'Hybrid Calculator'!$B$8)/1300)^2+((D77-'Hybrid Calculator'!$B$9)/800)^2+((E77-'Hybrid Calculator'!$B$10)/350)^2+((F77-'Hybrid Calculator'!$B$11)/30)^2+(G77-'Hybrid Calculator'!$B$12)^2+((H77-'Hybrid Calculator'!$E$14)/IF(A77="Lightning",100,30000))^2+((I77-'Hybrid Calculator'!$E$17)/IF(A77="Lightning",100,30000))^2</x:f>
        <x:v>0.3255361635525853</x:v>
      </x:c>
      <x:c r="K77" s="23" t="n">
        <x:f>RANK(J77,$J$2:$J$1401,1)</x:f>
        <x:v>630</x:v>
      </x:c>
      <x:c r="L77" s="23" t="n">
        <x:f>IF(K77&lt;=7,1,0)</x:f>
        <x:v>0</x:v>
      </x:c>
      <x:c r="M77" s="23" t="n">
        <x:f>IF(L77=1,1/(J77+0.000001),0)</x:f>
        <x:v>0</x:v>
      </x:c>
      <x:c r="N77" s="23" t="n">
        <x:v>0.0012006195056406543</x:v>
      </x:c>
      <x:c r="O77" s="23" t="n">
        <x:f>M77</x:f>
        <x:v>0</x:v>
      </x:c>
      <x:c r="P77" s="23" t="n">
        <x:v>0.4465526775747364</x:v>
      </x:c>
      <x:c r="Q77" s="23" t="n">
        <x:v>18.42865853844978</x:v>
      </x:c>
    </x:row>
    <x:row r="78">
      <x:c r="A78" s="23" t="str">
        <x:v>Lightning</x:v>
      </x:c>
      <x:c r="B78" s="23" t="n">
        <x:v>1485.9021848766133</x:v>
      </x:c>
      <x:c r="C78" s="23" t="n">
        <x:v>685.3317430824973</x:v>
      </x:c>
      <x:c r="D78" s="23" t="n">
        <x:v>518.0606622248888</x:v>
      </x:c>
      <x:c r="E78" s="23" t="n">
        <x:v>122.63567010639235</x:v>
      </x:c>
      <x:c r="F78" s="23" t="n">
        <x:v>25.406473563052714</x:v>
      </x:c>
      <x:c r="G78" s="23" t="n">
        <x:v>0.8587305682036095</x:v>
      </x:c>
      <x:c r="H78" s="23" t="n">
        <x:v>55</x:v>
      </x:c>
      <x:c r="I78" s="23" t="n">
        <x:v>25</x:v>
      </x:c>
      <x:c r="J78" s="23" t="n">
        <x:f>(IF(A78='Hybrid Calculator'!$B$6,0,1))^2+((B78-'Hybrid Calculator'!$B$7)/1500)^2+((C78-'Hybrid Calculator'!$B$8)/1300)^2+((D78-'Hybrid Calculator'!$B$9)/800)^2+((E78-'Hybrid Calculator'!$B$10)/350)^2+((F78-'Hybrid Calculator'!$B$11)/30)^2+(G78-'Hybrid Calculator'!$B$12)^2+((H78-'Hybrid Calculator'!$E$14)/IF(A78="Lightning",100,30000))^2+((I78-'Hybrid Calculator'!$E$17)/IF(A78="Lightning",100,30000))^2</x:f>
        <x:v>0.08131497192953131</x:v>
      </x:c>
      <x:c r="K78" s="23" t="n">
        <x:f>RANK(J78,$J$2:$J$1401,1)</x:f>
        <x:v>143</x:v>
      </x:c>
      <x:c r="L78" s="23" t="n">
        <x:f>IF(K78&lt;=7,1,0)</x:f>
        <x:v>0</x:v>
      </x:c>
      <x:c r="M78" s="23" t="n">
        <x:f>IF(L78=1,1/(J78+0.000001),0)</x:f>
        <x:v>0</x:v>
      </x:c>
      <x:c r="N78" s="23" t="n">
        <x:v>-0.011832200632659218</x:v>
      </x:c>
      <x:c r="O78" s="23" t="n">
        <x:f>M78</x:f>
        <x:v>0</x:v>
      </x:c>
      <x:c r="P78" s="23" t="n">
        <x:v>0.5038526839617603</x:v>
      </x:c>
      <x:c r="Q78" s="23" t="n">
        <x:v>-5.871406594247901</x:v>
      </x:c>
    </x:row>
    <x:row r="79">
      <x:c r="A79" s="23" t="str">
        <x:v>Lightning</x:v>
      </x:c>
      <x:c r="B79" s="23" t="n">
        <x:v>1455.4486072040163</x:v>
      </x:c>
      <x:c r="C79" s="23" t="n">
        <x:v>1156.0379983391613</x:v>
      </x:c>
      <x:c r="D79" s="23" t="n">
        <x:v>597.772107552737</x:v>
      </x:c>
      <x:c r="E79" s="23" t="n">
        <x:v>181.09463043045253</x:v>
      </x:c>
      <x:c r="F79" s="23" t="n">
        <x:v>16.688613313715905</x:v>
      </x:c>
      <x:c r="G79" s="23" t="n">
        <x:v>0.8385847993567587</x:v>
      </x:c>
      <x:c r="H79" s="23" t="n">
        <x:v>40</x:v>
      </x:c>
      <x:c r="I79" s="23" t="n">
        <x:v>25</x:v>
      </x:c>
      <x:c r="J79" s="23" t="n">
        <x:f>(IF(A79='Hybrid Calculator'!$B$6,0,1))^2+((B79-'Hybrid Calculator'!$B$7)/1500)^2+((C79-'Hybrid Calculator'!$B$8)/1300)^2+((D79-'Hybrid Calculator'!$B$9)/800)^2+((E79-'Hybrid Calculator'!$B$10)/350)^2+((F79-'Hybrid Calculator'!$B$11)/30)^2+(G79-'Hybrid Calculator'!$B$12)^2+((H79-'Hybrid Calculator'!$E$14)/IF(A79="Lightning",100,30000))^2+((I79-'Hybrid Calculator'!$E$17)/IF(A79="Lightning",100,30000))^2</x:f>
        <x:v>0.09265222096931247</x:v>
      </x:c>
      <x:c r="K79" s="23" t="n">
        <x:f>RANK(J79,$J$2:$J$1401,1)</x:f>
        <x:v>181</x:v>
      </x:c>
      <x:c r="L79" s="23" t="n">
        <x:f>IF(K79&lt;=7,1,0)</x:f>
        <x:v>0</x:v>
      </x:c>
      <x:c r="M79" s="23" t="n">
        <x:f>IF(L79=1,1/(J79+0.000001),0)</x:f>
        <x:v>0</x:v>
      </x:c>
      <x:c r="N79" s="23" t="n">
        <x:v>0.01536507936054643</x:v>
      </x:c>
      <x:c r="O79" s="23" t="n">
        <x:f>M79</x:f>
        <x:v>0</x:v>
      </x:c>
      <x:c r="P79" s="23" t="n">
        <x:v>0.2640699025043034</x:v>
      </x:c>
      <x:c r="Q79" s="23" t="n">
        <x:v>-1.3836984950978604</x:v>
      </x:c>
    </x:row>
    <x:row r="80">
      <x:c r="A80" s="23" t="str">
        <x:v>Lightning</x:v>
      </x:c>
      <x:c r="B80" s="23" t="n">
        <x:v>1377.9735838528723</x:v>
      </x:c>
      <x:c r="C80" s="23" t="n">
        <x:v>881.9825584883802</x:v>
      </x:c>
      <x:c r="D80" s="23" t="n">
        <x:v>486.37664820998907</x:v>
      </x:c>
      <x:c r="E80" s="23" t="n">
        <x:v>101.74307574750856</x:v>
      </x:c>
      <x:c r="F80" s="23" t="n">
        <x:v>25.79145411029458</x:v>
      </x:c>
      <x:c r="G80" s="23" t="n">
        <x:v>0.8388295611017385</x:v>
      </x:c>
      <x:c r="H80" s="23" t="n">
        <x:v>50</x:v>
      </x:c>
      <x:c r="I80" s="23" t="n">
        <x:v>25</x:v>
      </x:c>
      <x:c r="J80" s="23" t="n">
        <x:f>(IF(A80='Hybrid Calculator'!$B$6,0,1))^2+((B80-'Hybrid Calculator'!$B$7)/1500)^2+((C80-'Hybrid Calculator'!$B$8)/1300)^2+((D80-'Hybrid Calculator'!$B$9)/800)^2+((E80-'Hybrid Calculator'!$B$10)/350)^2+((F80-'Hybrid Calculator'!$B$11)/30)^2+(G80-'Hybrid Calculator'!$B$12)^2+((H80-'Hybrid Calculator'!$E$14)/IF(A80="Lightning",100,30000))^2+((I80-'Hybrid Calculator'!$E$17)/IF(A80="Lightning",100,30000))^2</x:f>
        <x:v>0.08031528998255875</x:v>
      </x:c>
      <x:c r="K80" s="23" t="n">
        <x:f>RANK(J80,$J$2:$J$1401,1)</x:f>
        <x:v>141</x:v>
      </x:c>
      <x:c r="L80" s="23" t="n">
        <x:f>IF(K80&lt;=7,1,0)</x:f>
        <x:v>0</x:v>
      </x:c>
      <x:c r="M80" s="23" t="n">
        <x:f>IF(L80=1,1/(J80+0.000001),0)</x:f>
        <x:v>0</x:v>
      </x:c>
      <x:c r="N80" s="23" t="n">
        <x:v>0.0007460385174995476</x:v>
      </x:c>
      <x:c r="O80" s="23" t="n">
        <x:f>M80</x:f>
        <x:v>0</x:v>
      </x:c>
      <x:c r="P80" s="23" t="n">
        <x:v>-0.42180672163694766</x:v>
      </x:c>
      <x:c r="Q80" s="23" t="n">
        <x:v>-12.982379182008344</x:v>
      </x:c>
    </x:row>
    <x:row r="81">
      <x:c r="A81" s="23" t="str">
        <x:v>Lightning</x:v>
      </x:c>
      <x:c r="B81" s="23" t="n">
        <x:v>1401.7369372886606</x:v>
      </x:c>
      <x:c r="C81" s="23" t="n">
        <x:v>864.1192824346945</x:v>
      </x:c>
      <x:c r="D81" s="23" t="n">
        <x:v>720.4854105599225</x:v>
      </x:c>
      <x:c r="E81" s="23" t="n">
        <x:v>281.52465254068375</x:v>
      </x:c>
      <x:c r="F81" s="23" t="n">
        <x:v>19.553280184511095</x:v>
      </x:c>
      <x:c r="G81" s="23" t="n">
        <x:v>0.7928401505155489</x:v>
      </x:c>
      <x:c r="H81" s="23" t="n">
        <x:v>40</x:v>
      </x:c>
      <x:c r="I81" s="23" t="n">
        <x:v>25</x:v>
      </x:c>
      <x:c r="J81" s="23" t="n">
        <x:f>(IF(A81='Hybrid Calculator'!$B$6,0,1))^2+((B81-'Hybrid Calculator'!$B$7)/1500)^2+((C81-'Hybrid Calculator'!$B$8)/1300)^2+((D81-'Hybrid Calculator'!$B$9)/800)^2+((E81-'Hybrid Calculator'!$B$10)/350)^2+((F81-'Hybrid Calculator'!$B$11)/30)^2+(G81-'Hybrid Calculator'!$B$12)^2+((H81-'Hybrid Calculator'!$E$14)/IF(A81="Lightning",100,30000))^2+((I81-'Hybrid Calculator'!$E$17)/IF(A81="Lightning",100,30000))^2</x:f>
        <x:v>0.2295020490770743</x:v>
      </x:c>
      <x:c r="K81" s="23" t="n">
        <x:f>RANK(J81,$J$2:$J$1401,1)</x:f>
        <x:v>503</x:v>
      </x:c>
      <x:c r="L81" s="23" t="n">
        <x:f>IF(K81&lt;=7,1,0)</x:f>
        <x:v>0</x:v>
      </x:c>
      <x:c r="M81" s="23" t="n">
        <x:f>IF(L81=1,1/(J81+0.000001),0)</x:f>
        <x:v>0</x:v>
      </x:c>
      <x:c r="N81" s="23" t="n">
        <x:v>0.017637243656166923</x:v>
      </x:c>
      <x:c r="O81" s="23" t="n">
        <x:f>M81</x:f>
        <x:v>0</x:v>
      </x:c>
      <x:c r="P81" s="23" t="n">
        <x:v>-0.32036743126595013</x:v>
      </x:c>
      <x:c r="Q81" s="23" t="n">
        <x:v>-5.169705091802371</x:v>
      </x:c>
    </x:row>
    <x:row r="82">
      <x:c r="A82" s="23" t="str">
        <x:v>Lightning</x:v>
      </x:c>
      <x:c r="B82" s="23" t="n">
        <x:v>1470.7862111041322</x:v>
      </x:c>
      <x:c r="C82" s="23" t="n">
        <x:v>1048.2759737526067</x:v>
      </x:c>
      <x:c r="D82" s="23" t="n">
        <x:v>669.1721476614475</x:v>
      </x:c>
      <x:c r="E82" s="23" t="n">
        <x:v>150.94585004961118</x:v>
      </x:c>
      <x:c r="F82" s="23" t="n">
        <x:v>25.606232359074056</x:v>
      </x:c>
      <x:c r="G82" s="23" t="n">
        <x:v>0.8444440372823738</x:v>
      </x:c>
      <x:c r="H82" s="23" t="n">
        <x:v>35</x:v>
      </x:c>
      <x:c r="I82" s="23" t="n">
        <x:v>25</x:v>
      </x:c>
      <x:c r="J82" s="23" t="n">
        <x:f>(IF(A82='Hybrid Calculator'!$B$6,0,1))^2+((B82-'Hybrid Calculator'!$B$7)/1500)^2+((C82-'Hybrid Calculator'!$B$8)/1300)^2+((D82-'Hybrid Calculator'!$B$9)/800)^2+((E82-'Hybrid Calculator'!$B$10)/350)^2+((F82-'Hybrid Calculator'!$B$11)/30)^2+(G82-'Hybrid Calculator'!$B$12)^2+((H82-'Hybrid Calculator'!$E$14)/IF(A82="Lightning",100,30000))^2+((I82-'Hybrid Calculator'!$E$17)/IF(A82="Lightning",100,30000))^2</x:f>
        <x:v>0.14812589282226654</x:v>
      </x:c>
      <x:c r="K82" s="23" t="n">
        <x:f>RANK(J82,$J$2:$J$1401,1)</x:f>
        <x:v>321</x:v>
      </x:c>
      <x:c r="L82" s="23" t="n">
        <x:f>IF(K82&lt;=7,1,0)</x:f>
        <x:v>0</x:v>
      </x:c>
      <x:c r="M82" s="23" t="n">
        <x:f>IF(L82=1,1/(J82+0.000001),0)</x:f>
        <x:v>0</x:v>
      </x:c>
      <x:c r="N82" s="23" t="n">
        <x:v>-0.008590708915405587</x:v>
      </x:c>
      <x:c r="O82" s="23" t="n">
        <x:f>M82</x:f>
        <x:v>0</x:v>
      </x:c>
      <x:c r="P82" s="23" t="n">
        <x:v>0.9566536864758532</x:v>
      </x:c>
      <x:c r="Q82" s="23" t="n">
        <x:v>-9.847841589849168</x:v>
      </x:c>
    </x:row>
    <x:row r="83">
      <x:c r="A83" s="23" t="str">
        <x:v>Lightning</x:v>
      </x:c>
      <x:c r="B83" s="23" t="n">
        <x:v>1371.46845421521</x:v>
      </x:c>
      <x:c r="C83" s="23" t="n">
        <x:v>661.3719956949353</x:v>
      </x:c>
      <x:c r="D83" s="23" t="n">
        <x:v>395.8943351171911</x:v>
      </x:c>
      <x:c r="E83" s="23" t="n">
        <x:v>306.6175822587684</x:v>
      </x:c>
      <x:c r="F83" s="23" t="n">
        <x:v>24.731111729051918</x:v>
      </x:c>
      <x:c r="G83" s="23" t="n">
        <x:v>0.8566409403737635</x:v>
      </x:c>
      <x:c r="H83" s="23" t="n">
        <x:v>55</x:v>
      </x:c>
      <x:c r="I83" s="23" t="n">
        <x:v>25</x:v>
      </x:c>
      <x:c r="J83" s="23" t="n">
        <x:f>(IF(A83='Hybrid Calculator'!$B$6,0,1))^2+((B83-'Hybrid Calculator'!$B$7)/1500)^2+((C83-'Hybrid Calculator'!$B$8)/1300)^2+((D83-'Hybrid Calculator'!$B$9)/800)^2+((E83-'Hybrid Calculator'!$B$10)/350)^2+((F83-'Hybrid Calculator'!$B$11)/30)^2+(G83-'Hybrid Calculator'!$B$12)^2+((H83-'Hybrid Calculator'!$E$14)/IF(A83="Lightning",100,30000))^2+((I83-'Hybrid Calculator'!$E$17)/IF(A83="Lightning",100,30000))^2</x:f>
        <x:v>0.2864822125903299</x:v>
      </x:c>
      <x:c r="K83" s="23" t="n">
        <x:f>RANK(J83,$J$2:$J$1401,1)</x:f>
        <x:v>589</x:v>
      </x:c>
      <x:c r="L83" s="23" t="n">
        <x:f>IF(K83&lt;=7,1,0)</x:f>
        <x:v>0</x:v>
      </x:c>
      <x:c r="M83" s="23" t="n">
        <x:f>IF(L83=1,1/(J83+0.000001),0)</x:f>
        <x:v>0</x:v>
      </x:c>
      <x:c r="N83" s="23" t="n">
        <x:v>-0.013406444301499176</x:v>
      </x:c>
      <x:c r="O83" s="23" t="n">
        <x:f>M83</x:f>
        <x:v>0</x:v>
      </x:c>
      <x:c r="P83" s="23" t="n">
        <x:v>0.22154580083700637</x:v>
      </x:c>
      <x:c r="Q83" s="23" t="n">
        <x:v>3.0001797887350676</x:v>
      </x:c>
    </x:row>
    <x:row r="84">
      <x:c r="A84" s="23" t="str">
        <x:v>Lightning</x:v>
      </x:c>
      <x:c r="B84" s="23" t="n">
        <x:v>1433.676986116916</x:v>
      </x:c>
      <x:c r="C84" s="23" t="n">
        <x:v>1123.1479735462926</x:v>
      </x:c>
      <x:c r="D84" s="23" t="n">
        <x:v>586.3762000575662</x:v>
      </x:c>
      <x:c r="E84" s="23" t="n">
        <x:v>198.01750591257587</x:v>
      </x:c>
      <x:c r="F84" s="23" t="n">
        <x:v>21.0280588734895</x:v>
      </x:c>
      <x:c r="G84" s="23" t="n">
        <x:v>0.7991951061715372</x:v>
      </x:c>
      <x:c r="H84" s="23" t="n">
        <x:v>40</x:v>
      </x:c>
      <x:c r="I84" s="23" t="n">
        <x:v>25</x:v>
      </x:c>
      <x:c r="J84" s="23" t="n">
        <x:f>(IF(A84='Hybrid Calculator'!$B$6,0,1))^2+((B84-'Hybrid Calculator'!$B$7)/1500)^2+((C84-'Hybrid Calculator'!$B$8)/1300)^2+((D84-'Hybrid Calculator'!$B$9)/800)^2+((E84-'Hybrid Calculator'!$B$10)/350)^2+((F84-'Hybrid Calculator'!$B$11)/30)^2+(G84-'Hybrid Calculator'!$B$12)^2+((H84-'Hybrid Calculator'!$E$14)/IF(A84="Lightning",100,30000))^2+((I84-'Hybrid Calculator'!$E$17)/IF(A84="Lightning",100,30000))^2</x:f>
        <x:v>0.09219478710290954</x:v>
      </x:c>
      <x:c r="K84" s="23" t="n">
        <x:f>RANK(J84,$J$2:$J$1401,1)</x:f>
        <x:v>180</x:v>
      </x:c>
      <x:c r="L84" s="23" t="n">
        <x:f>IF(K84&lt;=7,1,0)</x:f>
        <x:v>0</x:v>
      </x:c>
      <x:c r="M84" s="23" t="n">
        <x:f>IF(L84=1,1/(J84+0.000001),0)</x:f>
        <x:v>0</x:v>
      </x:c>
      <x:c r="N84" s="23" t="n">
        <x:v>-0.0069719323024726165</x:v>
      </x:c>
      <x:c r="O84" s="23" t="n">
        <x:f>M84</x:f>
        <x:v>0</x:v>
      </x:c>
      <x:c r="P84" s="23" t="n">
        <x:v>0.6866183819016598</x:v>
      </x:c>
      <x:c r="Q84" s="23" t="n">
        <x:v>-14.524362729418954</x:v>
      </x:c>
    </x:row>
    <x:row r="85">
      <x:c r="A85" s="23" t="str">
        <x:v>Lightning</x:v>
      </x:c>
      <x:c r="B85" s="23" t="n">
        <x:v>1416.70703884447</x:v>
      </x:c>
      <x:c r="C85" s="23" t="n">
        <x:v>683.3854113938287</x:v>
      </x:c>
      <x:c r="D85" s="23" t="n">
        <x:v>445.5966123379767</x:v>
      </x:c>
      <x:c r="E85" s="23" t="n">
        <x:v>233.48691237159073</x:v>
      </x:c>
      <x:c r="F85" s="23" t="n">
        <x:v>17.841243744362146</x:v>
      </x:c>
      <x:c r="G85" s="23" t="n">
        <x:v>0.858208890282549</x:v>
      </x:c>
      <x:c r="H85" s="23" t="n">
        <x:v>55</x:v>
      </x:c>
      <x:c r="I85" s="23" t="n">
        <x:v>25</x:v>
      </x:c>
      <x:c r="J85" s="23" t="n">
        <x:f>(IF(A85='Hybrid Calculator'!$B$6,0,1))^2+((B85-'Hybrid Calculator'!$B$7)/1500)^2+((C85-'Hybrid Calculator'!$B$8)/1300)^2+((D85-'Hybrid Calculator'!$B$9)/800)^2+((E85-'Hybrid Calculator'!$B$10)/350)^2+((F85-'Hybrid Calculator'!$B$11)/30)^2+(G85-'Hybrid Calculator'!$B$12)^2+((H85-'Hybrid Calculator'!$E$14)/IF(A85="Lightning",100,30000))^2+((I85-'Hybrid Calculator'!$E$17)/IF(A85="Lightning",100,30000))^2</x:f>
        <x:v>0.08242200936145964</x:v>
      </x:c>
      <x:c r="K85" s="23" t="n">
        <x:f>RANK(J85,$J$2:$J$1401,1)</x:f>
        <x:v>147</x:v>
      </x:c>
      <x:c r="L85" s="23" t="n">
        <x:f>IF(K85&lt;=7,1,0)</x:f>
        <x:v>0</x:v>
      </x:c>
      <x:c r="M85" s="23" t="n">
        <x:f>IF(L85=1,1/(J85+0.000001),0)</x:f>
        <x:v>0</x:v>
      </x:c>
      <x:c r="N85" s="23" t="n">
        <x:v>-0.003229424882792209</x:v>
      </x:c>
      <x:c r="O85" s="23" t="n">
        <x:f>M85</x:f>
        <x:v>0</x:v>
      </x:c>
      <x:c r="P85" s="23" t="n">
        <x:v>-0.5633768714834204</x:v>
      </x:c>
      <x:c r="Q85" s="23" t="n">
        <x:v>4.713763087320785</x:v>
      </x:c>
    </x:row>
    <x:row r="86">
      <x:c r="A86" s="23" t="str">
        <x:v>Lightning</x:v>
      </x:c>
      <x:c r="B86" s="23" t="n">
        <x:v>1380.1651988178492</x:v>
      </x:c>
      <x:c r="C86" s="23" t="n">
        <x:v>872.880730626639</x:v>
      </x:c>
      <x:c r="D86" s="23" t="n">
        <x:v>474.0556852892041</x:v>
      </x:c>
      <x:c r="E86" s="23" t="n">
        <x:v>257.48950101668015</x:v>
      </x:c>
      <x:c r="F86" s="23" t="n">
        <x:v>9.821316881105304</x:v>
      </x:c>
      <x:c r="G86" s="23" t="n">
        <x:v>0.8239659638446756</x:v>
      </x:c>
      <x:c r="H86" s="23" t="n">
        <x:v>50</x:v>
      </x:c>
      <x:c r="I86" s="23" t="n">
        <x:v>25</x:v>
      </x:c>
      <x:c r="J86" s="23" t="n">
        <x:f>(IF(A86='Hybrid Calculator'!$B$6,0,1))^2+((B86-'Hybrid Calculator'!$B$7)/1500)^2+((C86-'Hybrid Calculator'!$B$8)/1300)^2+((D86-'Hybrid Calculator'!$B$9)/800)^2+((E86-'Hybrid Calculator'!$B$10)/350)^2+((F86-'Hybrid Calculator'!$B$11)/30)^2+(G86-'Hybrid Calculator'!$B$12)^2+((H86-'Hybrid Calculator'!$E$14)/IF(A86="Lightning",100,30000))^2+((I86-'Hybrid Calculator'!$E$17)/IF(A86="Lightning",100,30000))^2</x:f>
        <x:v>0.18027733058242237</x:v>
      </x:c>
      <x:c r="K86" s="23" t="n">
        <x:f>RANK(J86,$J$2:$J$1401,1)</x:f>
        <x:v>402</x:v>
      </x:c>
      <x:c r="L86" s="23" t="n">
        <x:f>IF(K86&lt;=7,1,0)</x:f>
        <x:v>0</x:v>
      </x:c>
      <x:c r="M86" s="23" t="n">
        <x:f>IF(L86=1,1/(J86+0.000001),0)</x:f>
        <x:v>0</x:v>
      </x:c>
      <x:c r="N86" s="23" t="n">
        <x:v>0.005205464917436675</x:v>
      </x:c>
      <x:c r="O86" s="23" t="n">
        <x:f>M86</x:f>
        <x:v>0</x:v>
      </x:c>
      <x:c r="P86" s="23" t="n">
        <x:v>-0.09124036163375138</x:v>
      </x:c>
      <x:c r="Q86" s="23" t="n">
        <x:v>9.352176757986626</x:v>
      </x:c>
    </x:row>
    <x:row r="87">
      <x:c r="A87" s="23" t="str">
        <x:v>Lightning</x:v>
      </x:c>
      <x:c r="B87" s="23" t="n">
        <x:v>1358.3049754262902</x:v>
      </x:c>
      <x:c r="C87" s="23" t="n">
        <x:v>706.737113581039</x:v>
      </x:c>
      <x:c r="D87" s="23" t="n">
        <x:v>533.0324069596827</x:v>
      </x:c>
      <x:c r="E87" s="23" t="n">
        <x:v>149.76359686814249</x:v>
      </x:c>
      <x:c r="F87" s="23" t="n">
        <x:v>13.288266551215202</x:v>
      </x:c>
      <x:c r="G87" s="23" t="n">
        <x:v>0.8379648173647002</x:v>
      </x:c>
      <x:c r="H87" s="23" t="n">
        <x:v>55</x:v>
      </x:c>
      <x:c r="I87" s="23" t="n">
        <x:v>25</x:v>
      </x:c>
      <x:c r="J87" s="23" t="n">
        <x:f>(IF(A87='Hybrid Calculator'!$B$6,0,1))^2+((B87-'Hybrid Calculator'!$B$7)/1500)^2+((C87-'Hybrid Calculator'!$B$8)/1300)^2+((D87-'Hybrid Calculator'!$B$9)/800)^2+((E87-'Hybrid Calculator'!$B$10)/350)^2+((F87-'Hybrid Calculator'!$B$11)/30)^2+(G87-'Hybrid Calculator'!$B$12)^2+((H87-'Hybrid Calculator'!$E$14)/IF(A87="Lightning",100,30000))^2+((I87-'Hybrid Calculator'!$E$17)/IF(A87="Lightning",100,30000))^2</x:f>
        <x:v>0.04882979975401887</x:v>
      </x:c>
      <x:c r="K87" s="23" t="n">
        <x:f>RANK(J87,$J$2:$J$1401,1)</x:f>
        <x:v>49</x:v>
      </x:c>
      <x:c r="L87" s="23" t="n">
        <x:f>IF(K87&lt;=7,1,0)</x:f>
        <x:v>0</x:v>
      </x:c>
      <x:c r="M87" s="23" t="n">
        <x:f>IF(L87=1,1/(J87+0.000001),0)</x:f>
        <x:v>0</x:v>
      </x:c>
      <x:c r="N87" s="23" t="n">
        <x:v>-0.007902981329980907</x:v>
      </x:c>
      <x:c r="O87" s="23" t="n">
        <x:f>M87</x:f>
        <x:v>0</x:v>
      </x:c>
      <x:c r="P87" s="23" t="n">
        <x:v>-1.5954408221001941</x:v>
      </x:c>
      <x:c r="Q87" s="23" t="n">
        <x:v>17.659994532926703</x:v>
      </x:c>
    </x:row>
    <x:row r="88">
      <x:c r="A88" s="23" t="str">
        <x:v>Lightning</x:v>
      </x:c>
      <x:c r="B88" s="23" t="n">
        <x:v>1405.3079490317032</x:v>
      </x:c>
      <x:c r="C88" s="23" t="n">
        <x:v>813.5128304944374</x:v>
      </x:c>
      <x:c r="D88" s="23" t="n">
        <x:v>563.921806588769</x:v>
      </x:c>
      <x:c r="E88" s="23" t="n">
        <x:v>260.96209986833856</x:v>
      </x:c>
      <x:c r="F88" s="23" t="n">
        <x:v>29.85042987111956</x:v>
      </x:c>
      <x:c r="G88" s="23" t="n">
        <x:v>0.8408286567288451</x:v>
      </x:c>
      <x:c r="H88" s="23" t="n">
        <x:v>45</x:v>
      </x:c>
      <x:c r="I88" s="23" t="n">
        <x:v>25</x:v>
      </x:c>
      <x:c r="J88" s="23" t="n">
        <x:f>(IF(A88='Hybrid Calculator'!$B$6,0,1))^2+((B88-'Hybrid Calculator'!$B$7)/1500)^2+((C88-'Hybrid Calculator'!$B$8)/1300)^2+((D88-'Hybrid Calculator'!$B$9)/800)^2+((E88-'Hybrid Calculator'!$B$10)/350)^2+((F88-'Hybrid Calculator'!$B$11)/30)^2+(G88-'Hybrid Calculator'!$B$12)^2+((H88-'Hybrid Calculator'!$E$14)/IF(A88="Lightning",100,30000))^2+((I88-'Hybrid Calculator'!$E$17)/IF(A88="Lightning",100,30000))^2</x:f>
        <x:v>0.2539361814424511</x:v>
      </x:c>
      <x:c r="K88" s="23" t="n">
        <x:f>RANK(J88,$J$2:$J$1401,1)</x:f>
        <x:v>549</x:v>
      </x:c>
      <x:c r="L88" s="23" t="n">
        <x:f>IF(K88&lt;=7,1,0)</x:f>
        <x:v>0</x:v>
      </x:c>
      <x:c r="M88" s="23" t="n">
        <x:f>IF(L88=1,1/(J88+0.000001),0)</x:f>
        <x:v>0</x:v>
      </x:c>
      <x:c r="N88" s="23" t="n">
        <x:v>-0.011462704366583809</x:v>
      </x:c>
      <x:c r="O88" s="23" t="n">
        <x:f>M88</x:f>
        <x:v>0</x:v>
      </x:c>
      <x:c r="P88" s="23" t="n">
        <x:v>-0.8085676355486271</x:v>
      </x:c>
      <x:c r="Q88" s="23" t="n">
        <x:v>-9.707087265431255</x:v>
      </x:c>
    </x:row>
    <x:row r="89">
      <x:c r="A89" s="23" t="str">
        <x:v>Lightning</x:v>
      </x:c>
      <x:c r="B89" s="23" t="n">
        <x:v>1446.9655406079255</x:v>
      </x:c>
      <x:c r="C89" s="23" t="n">
        <x:v>1041.5259468834847</x:v>
      </x:c>
      <x:c r="D89" s="23" t="n">
        <x:v>460.8802552334964</x:v>
      </x:c>
      <x:c r="E89" s="23" t="n">
        <x:v>237.04357798676938</x:v>
      </x:c>
      <x:c r="F89" s="23" t="n">
        <x:v>9.818557004909962</x:v>
      </x:c>
      <x:c r="G89" s="23" t="n">
        <x:v>0.8370657509565353</x:v>
      </x:c>
      <x:c r="H89" s="23" t="n">
        <x:v>45</x:v>
      </x:c>
      <x:c r="I89" s="23" t="n">
        <x:v>25</x:v>
      </x:c>
      <x:c r="J89" s="23" t="n">
        <x:f>(IF(A89='Hybrid Calculator'!$B$6,0,1))^2+((B89-'Hybrid Calculator'!$B$7)/1500)^2+((C89-'Hybrid Calculator'!$B$8)/1300)^2+((D89-'Hybrid Calculator'!$B$9)/800)^2+((E89-'Hybrid Calculator'!$B$10)/350)^2+((F89-'Hybrid Calculator'!$B$11)/30)^2+(G89-'Hybrid Calculator'!$B$12)^2+((H89-'Hybrid Calculator'!$E$14)/IF(A89="Lightning",100,30000))^2+((I89-'Hybrid Calculator'!$E$17)/IF(A89="Lightning",100,30000))^2</x:f>
        <x:v>0.17269357629714963</x:v>
      </x:c>
      <x:c r="K89" s="23" t="n">
        <x:f>RANK(J89,$J$2:$J$1401,1)</x:f>
        <x:v>389</x:v>
      </x:c>
      <x:c r="L89" s="23" t="n">
        <x:f>IF(K89&lt;=7,1,0)</x:f>
        <x:v>0</x:v>
      </x:c>
      <x:c r="M89" s="23" t="n">
        <x:f>IF(L89=1,1/(J89+0.000001),0)</x:f>
        <x:v>0</x:v>
      </x:c>
      <x:c r="N89" s="23" t="n">
        <x:v>0.006181840954730289</x:v>
      </x:c>
      <x:c r="O89" s="23" t="n">
        <x:f>M89</x:f>
        <x:v>0</x:v>
      </x:c>
      <x:c r="P89" s="23" t="n">
        <x:v>0.07929498684514158</x:v>
      </x:c>
      <x:c r="Q89" s="23" t="n">
        <x:v>-1.0007159789149682</x:v>
      </x:c>
    </x:row>
    <x:row r="90">
      <x:c r="A90" s="23" t="str">
        <x:v>Lightning</x:v>
      </x:c>
      <x:c r="B90" s="23" t="n">
        <x:v>1455.3221243899316</x:v>
      </x:c>
      <x:c r="C90" s="23" t="n">
        <x:v>792.8781692753546</x:v>
      </x:c>
      <x:c r="D90" s="23" t="n">
        <x:v>404.2506104335189</x:v>
      </x:c>
      <x:c r="E90" s="23" t="n">
        <x:v>324.8494013515301</x:v>
      </x:c>
      <x:c r="F90" s="23" t="n">
        <x:v>8.774545099586248</x:v>
      </x:c>
      <x:c r="G90" s="23" t="n">
        <x:v>0.8246034951903858</x:v>
      </x:c>
      <x:c r="H90" s="23" t="n">
        <x:v>50</x:v>
      </x:c>
      <x:c r="I90" s="23" t="n">
        <x:v>25</x:v>
      </x:c>
      <x:c r="J90" s="23" t="n">
        <x:f>(IF(A90='Hybrid Calculator'!$B$6,0,1))^2+((B90-'Hybrid Calculator'!$B$7)/1500)^2+((C90-'Hybrid Calculator'!$B$8)/1300)^2+((D90-'Hybrid Calculator'!$B$9)/800)^2+((E90-'Hybrid Calculator'!$B$10)/350)^2+((F90-'Hybrid Calculator'!$B$11)/30)^2+(G90-'Hybrid Calculator'!$B$12)^2+((H90-'Hybrid Calculator'!$E$14)/IF(A90="Lightning",100,30000))^2+((I90-'Hybrid Calculator'!$E$17)/IF(A90="Lightning",100,30000))^2</x:f>
        <x:v>0.3713492176305606</x:v>
      </x:c>
      <x:c r="K90" s="23" t="n">
        <x:f>RANK(J90,$J$2:$J$1401,1)</x:f>
        <x:v>670</x:v>
      </x:c>
      <x:c r="L90" s="23" t="n">
        <x:f>IF(K90&lt;=7,1,0)</x:f>
        <x:v>0</x:v>
      </x:c>
      <x:c r="M90" s="23" t="n">
        <x:f>IF(L90=1,1/(J90+0.000001),0)</x:f>
        <x:v>0</x:v>
      </x:c>
      <x:c r="N90" s="23" t="n">
        <x:v>-0.001620159168307156</x:v>
      </x:c>
      <x:c r="O90" s="23" t="n">
        <x:f>M90</x:f>
        <x:v>0</x:v>
      </x:c>
      <x:c r="P90" s="23" t="n">
        <x:v>0.5778763732761973</x:v>
      </x:c>
      <x:c r="Q90" s="23" t="n">
        <x:v>17.124149499173882</x:v>
      </x:c>
    </x:row>
    <x:row r="91">
      <x:c r="A91" s="23" t="str">
        <x:v>Lightning</x:v>
      </x:c>
      <x:c r="B91" s="23" t="n">
        <x:v>1497.8187386062928</x:v>
      </x:c>
      <x:c r="C91" s="23" t="n">
        <x:v>692.2516199527308</x:v>
      </x:c>
      <x:c r="D91" s="23" t="n">
        <x:v>707.6283087022603</x:v>
      </x:c>
      <x:c r="E91" s="23" t="n">
        <x:v>176.85613680630922</x:v>
      </x:c>
      <x:c r="F91" s="23" t="n">
        <x:v>9.771837326232344</x:v>
      </x:c>
      <x:c r="G91" s="23" t="n">
        <x:v>0.8495602709380911</x:v>
      </x:c>
      <x:c r="H91" s="23" t="n">
        <x:v>50</x:v>
      </x:c>
      <x:c r="I91" s="23" t="n">
        <x:v>25</x:v>
      </x:c>
      <x:c r="J91" s="23" t="n">
        <x:f>(IF(A91='Hybrid Calculator'!$B$6,0,1))^2+((B91-'Hybrid Calculator'!$B$7)/1500)^2+((C91-'Hybrid Calculator'!$B$8)/1300)^2+((D91-'Hybrid Calculator'!$B$9)/800)^2+((E91-'Hybrid Calculator'!$B$10)/350)^2+((F91-'Hybrid Calculator'!$B$11)/30)^2+(G91-'Hybrid Calculator'!$B$12)^2+((H91-'Hybrid Calculator'!$E$14)/IF(A91="Lightning",100,30000))^2+((I91-'Hybrid Calculator'!$E$17)/IF(A91="Lightning",100,30000))^2</x:f>
        <x:v>0.17584684170643342</x:v>
      </x:c>
      <x:c r="K91" s="23" t="n">
        <x:f>RANK(J91,$J$2:$J$1401,1)</x:f>
        <x:v>393</x:v>
      </x:c>
      <x:c r="L91" s="23" t="n">
        <x:f>IF(K91&lt;=7,1,0)</x:f>
        <x:v>0</x:v>
      </x:c>
      <x:c r="M91" s="23" t="n">
        <x:f>IF(L91=1,1/(J91+0.000001),0)</x:f>
        <x:v>0</x:v>
      </x:c>
      <x:c r="N91" s="23" t="n">
        <x:v>0.009501964251196648</x:v>
      </x:c>
      <x:c r="O91" s="23" t="n">
        <x:f>M91</x:f>
        <x:v>0</x:v>
      </x:c>
      <x:c r="P91" s="23" t="n">
        <x:v>-1.0666948703087584</x:v>
      </x:c>
      <x:c r="Q91" s="23" t="n">
        <x:v>3.245945384030847</x:v>
      </x:c>
    </x:row>
    <x:row r="92">
      <x:c r="A92" s="23" t="str">
        <x:v>Lightning</x:v>
      </x:c>
      <x:c r="B92" s="23" t="n">
        <x:v>1491.3301825756207</x:v>
      </x:c>
      <x:c r="C92" s="23" t="n">
        <x:v>1066.1014842917211</x:v>
      </x:c>
      <x:c r="D92" s="23" t="n">
        <x:v>550.9752981364727</x:v>
      </x:c>
      <x:c r="E92" s="23" t="n">
        <x:v>144.09862585132942</x:v>
      </x:c>
      <x:c r="F92" s="23" t="n">
        <x:v>14.530671603046358</x:v>
      </x:c>
      <x:c r="G92" s="23" t="n">
        <x:v>0.8133658604486845</x:v>
      </x:c>
      <x:c r="H92" s="23" t="n">
        <x:v>40</x:v>
      </x:c>
      <x:c r="I92" s="23" t="n">
        <x:v>25</x:v>
      </x:c>
      <x:c r="J92" s="23" t="n">
        <x:f>(IF(A92='Hybrid Calculator'!$B$6,0,1))^2+((B92-'Hybrid Calculator'!$B$7)/1500)^2+((C92-'Hybrid Calculator'!$B$8)/1300)^2+((D92-'Hybrid Calculator'!$B$9)/800)^2+((E92-'Hybrid Calculator'!$B$10)/350)^2+((F92-'Hybrid Calculator'!$B$11)/30)^2+(G92-'Hybrid Calculator'!$B$12)^2+((H92-'Hybrid Calculator'!$E$14)/IF(A92="Lightning",100,30000))^2+((I92-'Hybrid Calculator'!$E$17)/IF(A92="Lightning",100,30000))^2</x:f>
        <x:v>0.0614830880274173</x:v>
      </x:c>
      <x:c r="K92" s="23" t="n">
        <x:f>RANK(J92,$J$2:$J$1401,1)</x:f>
        <x:v>87</x:v>
      </x:c>
      <x:c r="L92" s="23" t="n">
        <x:f>IF(K92&lt;=7,1,0)</x:f>
        <x:v>0</x:v>
      </x:c>
      <x:c r="M92" s="23" t="n">
        <x:f>IF(L92=1,1/(J92+0.000001),0)</x:f>
        <x:v>0</x:v>
      </x:c>
      <x:c r="N92" s="23" t="n">
        <x:v>0.0045954396126015595</x:v>
      </x:c>
      <x:c r="O92" s="23" t="n">
        <x:f>M92</x:f>
        <x:v>0</x:v>
      </x:c>
      <x:c r="P92" s="23" t="n">
        <x:v>-0.2878336748842969</x:v>
      </x:c>
      <x:c r="Q92" s="23" t="n">
        <x:v>9.147775312734211</x:v>
      </x:c>
    </x:row>
    <x:row r="93">
      <x:c r="A93" s="23" t="str">
        <x:v>Lightning</x:v>
      </x:c>
      <x:c r="B93" s="23" t="n">
        <x:v>1493.4836627799086</x:v>
      </x:c>
      <x:c r="C93" s="23" t="n">
        <x:v>943.1953344494104</x:v>
      </x:c>
      <x:c r="D93" s="23" t="n">
        <x:v>545.3960536979139</x:v>
      </x:c>
      <x:c r="E93" s="23" t="n">
        <x:v>149.19294327963144</x:v>
      </x:c>
      <x:c r="F93" s="23" t="n">
        <x:v>24.977797911968082</x:v>
      </x:c>
      <x:c r="G93" s="23" t="n">
        <x:v>0.809927453873679</x:v>
      </x:c>
      <x:c r="H93" s="23" t="n">
        <x:v>40</x:v>
      </x:c>
      <x:c r="I93" s="23" t="n">
        <x:v>25</x:v>
      </x:c>
      <x:c r="J93" s="23" t="n">
        <x:f>(IF(A93='Hybrid Calculator'!$B$6,0,1))^2+((B93-'Hybrid Calculator'!$B$7)/1500)^2+((C93-'Hybrid Calculator'!$B$8)/1300)^2+((D93-'Hybrid Calculator'!$B$9)/800)^2+((E93-'Hybrid Calculator'!$B$10)/350)^2+((F93-'Hybrid Calculator'!$B$11)/30)^2+(G93-'Hybrid Calculator'!$B$12)^2+((H93-'Hybrid Calculator'!$E$14)/IF(A93="Lightning",100,30000))^2+((I93-'Hybrid Calculator'!$E$17)/IF(A93="Lightning",100,30000))^2</x:f>
        <x:v>0.0671747934263495</x:v>
      </x:c>
      <x:c r="K93" s="23" t="n">
        <x:f>RANK(J93,$J$2:$J$1401,1)</x:f>
        <x:v>104</x:v>
      </x:c>
      <x:c r="L93" s="23" t="n">
        <x:f>IF(K93&lt;=7,1,0)</x:f>
        <x:v>0</x:v>
      </x:c>
      <x:c r="M93" s="23" t="n">
        <x:f>IF(L93=1,1/(J93+0.000001),0)</x:f>
        <x:v>0</x:v>
      </x:c>
      <x:c r="N93" s="23" t="n">
        <x:v>0.0018122133081925895</x:v>
      </x:c>
      <x:c r="O93" s="23" t="n">
        <x:f>M93</x:f>
        <x:v>0</x:v>
      </x:c>
      <x:c r="P93" s="23" t="n">
        <x:v>0.4811306201101928</x:v>
      </x:c>
      <x:c r="Q93" s="23" t="n">
        <x:v>-9.422492726276914</x:v>
      </x:c>
    </x:row>
    <x:row r="94">
      <x:c r="A94" s="23" t="str">
        <x:v>Lightning</x:v>
      </x:c>
      <x:c r="B94" s="23" t="n">
        <x:v>1494.7016472928226</x:v>
      </x:c>
      <x:c r="C94" s="23" t="n">
        <x:v>794.4378863438033</x:v>
      </x:c>
      <x:c r="D94" s="23" t="n">
        <x:v>458.43729320913553</x:v>
      </x:c>
      <x:c r="E94" s="23" t="n">
        <x:v>254.94132841238752</x:v>
      </x:c>
      <x:c r="F94" s="23" t="n">
        <x:v>10.084950784221292</x:v>
      </x:c>
      <x:c r="G94" s="23" t="n">
        <x:v>0.7960378224705347</x:v>
      </x:c>
      <x:c r="H94" s="23" t="n">
        <x:v>45</x:v>
      </x:c>
      <x:c r="I94" s="23" t="n">
        <x:v>25</x:v>
      </x:c>
      <x:c r="J94" s="23" t="n">
        <x:f>(IF(A94='Hybrid Calculator'!$B$6,0,1))^2+((B94-'Hybrid Calculator'!$B$7)/1500)^2+((C94-'Hybrid Calculator'!$B$8)/1300)^2+((D94-'Hybrid Calculator'!$B$9)/800)^2+((E94-'Hybrid Calculator'!$B$10)/350)^2+((F94-'Hybrid Calculator'!$B$11)/30)^2+(G94-'Hybrid Calculator'!$B$12)^2+((H94-'Hybrid Calculator'!$E$14)/IF(A94="Lightning",100,30000))^2+((I94-'Hybrid Calculator'!$E$17)/IF(A94="Lightning",100,30000))^2</x:f>
        <x:v>0.17833992682659733</x:v>
      </x:c>
      <x:c r="K94" s="23" t="n">
        <x:f>RANK(J94,$J$2:$J$1401,1)</x:f>
        <x:v>398</x:v>
      </x:c>
      <x:c r="L94" s="23" t="n">
        <x:f>IF(K94&lt;=7,1,0)</x:f>
        <x:v>0</x:v>
      </x:c>
      <x:c r="M94" s="23" t="n">
        <x:f>IF(L94=1,1/(J94+0.000001),0)</x:f>
        <x:v>0</x:v>
      </x:c>
      <x:c r="N94" s="23" t="n">
        <x:v>-0.004260061871685927</x:v>
      </x:c>
      <x:c r="O94" s="23" t="n">
        <x:f>M94</x:f>
        <x:v>0</x:v>
      </x:c>
      <x:c r="P94" s="23" t="n">
        <x:v>0.7517989735861619</x:v>
      </x:c>
      <x:c r="Q94" s="23" t="n">
        <x:v>19.789611275919697</x:v>
      </x:c>
    </x:row>
    <x:row r="95">
      <x:c r="A95" s="23" t="str">
        <x:v>Lightning</x:v>
      </x:c>
      <x:c r="B95" s="23" t="n">
        <x:v>1357.435231434647</x:v>
      </x:c>
      <x:c r="C95" s="23" t="n">
        <x:v>1094.060457427986</x:v>
      </x:c>
      <x:c r="D95" s="23" t="n">
        <x:v>372.3658465780318</x:v>
      </x:c>
      <x:c r="E95" s="23" t="n">
        <x:v>208.2515546772629</x:v>
      </x:c>
      <x:c r="F95" s="23" t="n">
        <x:v>28.06982245342806</x:v>
      </x:c>
      <x:c r="G95" s="23" t="n">
        <x:v>0.8294952337304131</x:v>
      </x:c>
      <x:c r="H95" s="23" t="n">
        <x:v>40</x:v>
      </x:c>
      <x:c r="I95" s="23" t="n">
        <x:v>25</x:v>
      </x:c>
      <x:c r="J95" s="23" t="n">
        <x:f>(IF(A95='Hybrid Calculator'!$B$6,0,1))^2+((B95-'Hybrid Calculator'!$B$7)/1500)^2+((C95-'Hybrid Calculator'!$B$8)/1300)^2+((D95-'Hybrid Calculator'!$B$9)/800)^2+((E95-'Hybrid Calculator'!$B$10)/350)^2+((F95-'Hybrid Calculator'!$B$11)/30)^2+(G95-'Hybrid Calculator'!$B$12)^2+((H95-'Hybrid Calculator'!$E$14)/IF(A95="Lightning",100,30000))^2+((I95-'Hybrid Calculator'!$E$17)/IF(A95="Lightning",100,30000))^2</x:f>
        <x:v>0.20227595214924352</x:v>
      </x:c>
      <x:c r="K95" s="23" t="n">
        <x:f>RANK(J95,$J$2:$J$1401,1)</x:f>
        <x:v>450</x:v>
      </x:c>
      <x:c r="L95" s="23" t="n">
        <x:f>IF(K95&lt;=7,1,0)</x:f>
        <x:v>0</x:v>
      </x:c>
      <x:c r="M95" s="23" t="n">
        <x:f>IF(L95=1,1/(J95+0.000001),0)</x:f>
        <x:v>0</x:v>
      </x:c>
      <x:c r="N95" s="23" t="n">
        <x:v>-0.002137095661180366</x:v>
      </x:c>
      <x:c r="O95" s="23" t="n">
        <x:f>M95</x:f>
        <x:v>0</x:v>
      </x:c>
      <x:c r="P95" s="23" t="n">
        <x:v>1.3901778603947719</x:v>
      </x:c>
      <x:c r="Q95" s="23" t="n">
        <x:v>-8.887577283303017</x:v>
      </x:c>
    </x:row>
    <x:row r="96">
      <x:c r="A96" s="23" t="str">
        <x:v>Lightning</x:v>
      </x:c>
      <x:c r="B96" s="23" t="n">
        <x:v>1382.7012825524434</x:v>
      </x:c>
      <x:c r="C96" s="23" t="n">
        <x:v>1196.9201413565315</x:v>
      </x:c>
      <x:c r="D96" s="23" t="n">
        <x:v>720.298869535327</x:v>
      </x:c>
      <x:c r="E96" s="23" t="n">
        <x:v>217.65029952628538</x:v>
      </x:c>
      <x:c r="F96" s="23" t="n">
        <x:v>23.297566537745297</x:v>
      </x:c>
      <x:c r="G96" s="23" t="n">
        <x:v>0.8317923414777033</x:v>
      </x:c>
      <x:c r="H96" s="23" t="n">
        <x:v>35</x:v>
      </x:c>
      <x:c r="I96" s="23" t="n">
        <x:v>25</x:v>
      </x:c>
      <x:c r="J96" s="23" t="n">
        <x:f>(IF(A96='Hybrid Calculator'!$B$6,0,1))^2+((B96-'Hybrid Calculator'!$B$7)/1500)^2+((C96-'Hybrid Calculator'!$B$8)/1300)^2+((D96-'Hybrid Calculator'!$B$9)/800)^2+((E96-'Hybrid Calculator'!$B$10)/350)^2+((F96-'Hybrid Calculator'!$B$11)/30)^2+(G96-'Hybrid Calculator'!$B$12)^2+((H96-'Hybrid Calculator'!$E$14)/IF(A96="Lightning",100,30000))^2+((I96-'Hybrid Calculator'!$E$17)/IF(A96="Lightning",100,30000))^2</x:f>
        <x:v>0.23341375003227233</x:v>
      </x:c>
      <x:c r="K96" s="23" t="n">
        <x:f>RANK(J96,$J$2:$J$1401,1)</x:f>
        <x:v>510</x:v>
      </x:c>
      <x:c r="L96" s="23" t="n">
        <x:f>IF(K96&lt;=7,1,0)</x:f>
        <x:v>0</x:v>
      </x:c>
      <x:c r="M96" s="23" t="n">
        <x:f>IF(L96=1,1/(J96+0.000001),0)</x:f>
        <x:v>0</x:v>
      </x:c>
      <x:c r="N96" s="23" t="n">
        <x:v>0.0035035667443306107</x:v>
      </x:c>
      <x:c r="O96" s="23" t="n">
        <x:f>M96</x:f>
        <x:v>0</x:v>
      </x:c>
      <x:c r="P96" s="23" t="n">
        <x:v>-0.032841379665917714</x:v>
      </x:c>
      <x:c r="Q96" s="23" t="n">
        <x:v>-11.526392327453323</x:v>
      </x:c>
    </x:row>
    <x:row r="97">
      <x:c r="A97" s="23" t="str">
        <x:v>Lightning</x:v>
      </x:c>
      <x:c r="B97" s="23" t="n">
        <x:v>1498.7604095949791</x:v>
      </x:c>
      <x:c r="C97" s="23" t="n">
        <x:v>1060.1622071582824</x:v>
      </x:c>
      <x:c r="D97" s="23" t="n">
        <x:v>412.3472752980888</x:v>
      </x:c>
      <x:c r="E97" s="23" t="n">
        <x:v>263.0267127370462</x:v>
      </x:c>
      <x:c r="F97" s="23" t="n">
        <x:v>16.62713500065729</x:v>
      </x:c>
      <x:c r="G97" s="23" t="n">
        <x:v>0.8061651142500341</x:v>
      </x:c>
      <x:c r="H97" s="23" t="n">
        <x:v>40</x:v>
      </x:c>
      <x:c r="I97" s="23" t="n">
        <x:v>25</x:v>
      </x:c>
      <x:c r="J97" s="23" t="n">
        <x:f>(IF(A97='Hybrid Calculator'!$B$6,0,1))^2+((B97-'Hybrid Calculator'!$B$7)/1500)^2+((C97-'Hybrid Calculator'!$B$8)/1300)^2+((D97-'Hybrid Calculator'!$B$9)/800)^2+((E97-'Hybrid Calculator'!$B$10)/350)^2+((F97-'Hybrid Calculator'!$B$11)/30)^2+(G97-'Hybrid Calculator'!$B$12)^2+((H97-'Hybrid Calculator'!$E$14)/IF(A97="Lightning",100,30000))^2+((I97-'Hybrid Calculator'!$E$17)/IF(A97="Lightning",100,30000))^2</x:f>
        <x:v>0.1589325193452291</x:v>
      </x:c>
      <x:c r="K97" s="23" t="n">
        <x:f>RANK(J97,$J$2:$J$1401,1)</x:f>
        <x:v>349</x:v>
      </x:c>
      <x:c r="L97" s="23" t="n">
        <x:f>IF(K97&lt;=7,1,0)</x:f>
        <x:v>0</x:v>
      </x:c>
      <x:c r="M97" s="23" t="n">
        <x:f>IF(L97=1,1/(J97+0.000001),0)</x:f>
        <x:v>0</x:v>
      </x:c>
      <x:c r="N97" s="23" t="n">
        <x:v>0.0014434687166109406</x:v>
      </x:c>
      <x:c r="O97" s="23" t="n">
        <x:f>M97</x:f>
        <x:v>0</x:v>
      </x:c>
      <x:c r="P97" s="23" t="n">
        <x:v>0.5649899765585431</x:v>
      </x:c>
      <x:c r="Q97" s="23" t="n">
        <x:v>3.4022889002355896</x:v>
      </x:c>
    </x:row>
    <x:row r="98">
      <x:c r="A98" s="23" t="str">
        <x:v>Lightning</x:v>
      </x:c>
      <x:c r="B98" s="23" t="n">
        <x:v>1478.6836231593043</x:v>
      </x:c>
      <x:c r="C98" s="23" t="n">
        <x:v>1220.747559692245</x:v>
      </x:c>
      <x:c r="D98" s="23" t="n">
        <x:v>494.76364087313414</x:v>
      </x:c>
      <x:c r="E98" s="23" t="n">
        <x:v>326.09471420990303</x:v>
      </x:c>
      <x:c r="F98" s="23" t="n">
        <x:v>17.96047642081976</x:v>
      </x:c>
      <x:c r="G98" s="23" t="n">
        <x:v>0.8002068285853602</x:v>
      </x:c>
      <x:c r="H98" s="23" t="n">
        <x:v>30</x:v>
      </x:c>
      <x:c r="I98" s="23" t="n">
        <x:v>25</x:v>
      </x:c>
      <x:c r="J98" s="23" t="n">
        <x:f>(IF(A98='Hybrid Calculator'!$B$6,0,1))^2+((B98-'Hybrid Calculator'!$B$7)/1500)^2+((C98-'Hybrid Calculator'!$B$8)/1300)^2+((D98-'Hybrid Calculator'!$B$9)/800)^2+((E98-'Hybrid Calculator'!$B$10)/350)^2+((F98-'Hybrid Calculator'!$B$11)/30)^2+(G98-'Hybrid Calculator'!$B$12)^2+((H98-'Hybrid Calculator'!$E$14)/IF(A98="Lightning",100,30000))^2+((I98-'Hybrid Calculator'!$E$17)/IF(A98="Lightning",100,30000))^2</x:f>
        <x:v>0.37651001888465263</x:v>
      </x:c>
      <x:c r="K98" s="23" t="n">
        <x:f>RANK(J98,$J$2:$J$1401,1)</x:f>
        <x:v>673</x:v>
      </x:c>
      <x:c r="L98" s="23" t="n">
        <x:f>IF(K98&lt;=7,1,0)</x:f>
        <x:v>0</x:v>
      </x:c>
      <x:c r="M98" s="23" t="n">
        <x:f>IF(L98=1,1/(J98+0.000001),0)</x:f>
        <x:v>0</x:v>
      </x:c>
      <x:c r="N98" s="23" t="n">
        <x:v>0.015539994347494313</x:v>
      </x:c>
      <x:c r="O98" s="23" t="n">
        <x:f>M98</x:f>
        <x:v>0</x:v>
      </x:c>
      <x:c r="P98" s="23" t="n">
        <x:v>0.9646384150008771</x:v>
      </x:c>
      <x:c r="Q98" s="23" t="n">
        <x:v>-1.3633515167157384</x:v>
      </x:c>
    </x:row>
    <x:row r="99">
      <x:c r="A99" s="23" t="str">
        <x:v>Lightning</x:v>
      </x:c>
      <x:c r="B99" s="23" t="n">
        <x:v>1434.2543660779484</x:v>
      </x:c>
      <x:c r="C99" s="23" t="n">
        <x:v>1181.1264026677236</x:v>
      </x:c>
      <x:c r="D99" s="23" t="n">
        <x:v>429.2890307493508</x:v>
      </x:c>
      <x:c r="E99" s="23" t="n">
        <x:v>247.70953265950084</x:v>
      </x:c>
      <x:c r="F99" s="23" t="n">
        <x:v>9.660300298128277</x:v>
      </x:c>
      <x:c r="G99" s="23" t="n">
        <x:v>0.8553775734594092</x:v>
      </x:c>
      <x:c r="H99" s="23" t="n">
        <x:v>40</x:v>
      </x:c>
      <x:c r="I99" s="23" t="n">
        <x:v>25</x:v>
      </x:c>
      <x:c r="J99" s="23" t="n">
        <x:f>(IF(A99='Hybrid Calculator'!$B$6,0,1))^2+((B99-'Hybrid Calculator'!$B$7)/1500)^2+((C99-'Hybrid Calculator'!$B$8)/1300)^2+((D99-'Hybrid Calculator'!$B$9)/800)^2+((E99-'Hybrid Calculator'!$B$10)/350)^2+((F99-'Hybrid Calculator'!$B$11)/30)^2+(G99-'Hybrid Calculator'!$B$12)^2+((H99-'Hybrid Calculator'!$E$14)/IF(A99="Lightning",100,30000))^2+((I99-'Hybrid Calculator'!$E$17)/IF(A99="Lightning",100,30000))^2</x:f>
        <x:v>0.2487392045573277</x:v>
      </x:c>
      <x:c r="K99" s="23" t="n">
        <x:f>RANK(J99,$J$2:$J$1401,1)</x:f>
        <x:v>534</x:v>
      </x:c>
      <x:c r="L99" s="23" t="n">
        <x:f>IF(K99&lt;=7,1,0)</x:f>
        <x:v>0</x:v>
      </x:c>
      <x:c r="M99" s="23" t="n">
        <x:f>IF(L99=1,1/(J99+0.000001),0)</x:f>
        <x:v>0</x:v>
      </x:c>
      <x:c r="N99" s="23" t="n">
        <x:v>0.02198585356609617</x:v>
      </x:c>
      <x:c r="O99" s="23" t="n">
        <x:f>M99</x:f>
        <x:v>0</x:v>
      </x:c>
      <x:c r="P99" s="23" t="n">
        <x:v>0.4211429805323661</x:v>
      </x:c>
      <x:c r="Q99" s="23" t="n">
        <x:v>-2.099253103129513</x:v>
      </x:c>
    </x:row>
    <x:row r="100">
      <x:c r="A100" s="23" t="str">
        <x:v>Lightning</x:v>
      </x:c>
      <x:c r="B100" s="23" t="n">
        <x:v>1412.4134661164135</x:v>
      </x:c>
      <x:c r="C100" s="23" t="n">
        <x:v>643.7563492800109</x:v>
      </x:c>
      <x:c r="D100" s="23" t="n">
        <x:v>682.7566107735038</x:v>
      </x:c>
      <x:c r="E100" s="23" t="n">
        <x:v>199.98434719862416</x:v>
      </x:c>
      <x:c r="F100" s="23" t="n">
        <x:v>8.399324912577868</x:v>
      </x:c>
      <x:c r="G100" s="23" t="n">
        <x:v>0.8074796493374743</x:v>
      </x:c>
      <x:c r="H100" s="23" t="n">
        <x:v>50</x:v>
      </x:c>
      <x:c r="I100" s="23" t="n">
        <x:v>25</x:v>
      </x:c>
      <x:c r="J100" s="23" t="n">
        <x:f>(IF(A100='Hybrid Calculator'!$B$6,0,1))^2+((B100-'Hybrid Calculator'!$B$7)/1500)^2+((C100-'Hybrid Calculator'!$B$8)/1300)^2+((D100-'Hybrid Calculator'!$B$9)/800)^2+((E100-'Hybrid Calculator'!$B$10)/350)^2+((F100-'Hybrid Calculator'!$B$11)/30)^2+(G100-'Hybrid Calculator'!$B$12)^2+((H100-'Hybrid Calculator'!$E$14)/IF(A100="Lightning",100,30000))^2+((I100-'Hybrid Calculator'!$E$17)/IF(A100="Lightning",100,30000))^2</x:f>
        <x:v>0.21133911284104667</x:v>
      </x:c>
      <x:c r="K100" s="23" t="n">
        <x:f>RANK(J100,$J$2:$J$1401,1)</x:f>
        <x:v>471</x:v>
      </x:c>
      <x:c r="L100" s="23" t="n">
        <x:f>IF(K100&lt;=7,1,0)</x:f>
        <x:v>0</x:v>
      </x:c>
      <x:c r="M100" s="23" t="n">
        <x:f>IF(L100=1,1/(J100+0.000001),0)</x:f>
        <x:v>0</x:v>
      </x:c>
      <x:c r="N100" s="23" t="n">
        <x:v>0.0057573651695979056</x:v>
      </x:c>
      <x:c r="O100" s="23" t="n">
        <x:f>M100</x:f>
        <x:v>0</x:v>
      </x:c>
      <x:c r="P100" s="23" t="n">
        <x:v>-0.9622540616761412</x:v>
      </x:c>
      <x:c r="Q100" s="23" t="n">
        <x:v>14.265208269004688</x:v>
      </x:c>
    </x:row>
    <x:row r="101">
      <x:c r="A101" s="23" t="str">
        <x:v>Lightning</x:v>
      </x:c>
      <x:c r="B101" s="23" t="n">
        <x:v>1420.4384708893485</x:v>
      </x:c>
      <x:c r="C101" s="23" t="n">
        <x:v>735.0582514656708</x:v>
      </x:c>
      <x:c r="D101" s="23" t="n">
        <x:v>528.1323556788266</x:v>
      </x:c>
      <x:c r="E101" s="23" t="n">
        <x:v>238.6021799594164</x:v>
      </x:c>
      <x:c r="F101" s="23" t="n">
        <x:v>17.030026788357645</x:v>
      </x:c>
      <x:c r="G101" s="23" t="n">
        <x:v>0.7980607749475167</x:v>
      </x:c>
      <x:c r="H101" s="23" t="n">
        <x:v>50</x:v>
      </x:c>
      <x:c r="I101" s="23" t="n">
        <x:v>25</x:v>
      </x:c>
      <x:c r="J101" s="23" t="n">
        <x:f>(IF(A101='Hybrid Calculator'!$B$6,0,1))^2+((B101-'Hybrid Calculator'!$B$7)/1500)^2+((C101-'Hybrid Calculator'!$B$8)/1300)^2+((D101-'Hybrid Calculator'!$B$9)/800)^2+((E101-'Hybrid Calculator'!$B$10)/350)^2+((F101-'Hybrid Calculator'!$B$11)/30)^2+(G101-'Hybrid Calculator'!$B$12)^2+((H101-'Hybrid Calculator'!$E$14)/IF(A101="Lightning",100,30000))^2+((I101-'Hybrid Calculator'!$E$17)/IF(A101="Lightning",100,30000))^2</x:f>
        <x:v>0.07603007600073435</x:v>
      </x:c>
      <x:c r="K101" s="23" t="n">
        <x:f>RANK(J101,$J$2:$J$1401,1)</x:f>
        <x:v>123</x:v>
      </x:c>
      <x:c r="L101" s="23" t="n">
        <x:f>IF(K101&lt;=7,1,0)</x:f>
        <x:v>0</x:v>
      </x:c>
      <x:c r="M101" s="23" t="n">
        <x:f>IF(L101=1,1/(J101+0.000001),0)</x:f>
        <x:v>0</x:v>
      </x:c>
      <x:c r="N101" s="23" t="n">
        <x:v>0.007477262901980808</x:v>
      </x:c>
      <x:c r="O101" s="23" t="n">
        <x:f>M101</x:f>
        <x:v>0</x:v>
      </x:c>
      <x:c r="P101" s="23" t="n">
        <x:v>0.5874356505486773</x:v>
      </x:c>
      <x:c r="Q101" s="23" t="n">
        <x:v>15.121978976543232</x:v>
      </x:c>
    </x:row>
    <x:row r="102">
      <x:c r="A102" s="23" t="str">
        <x:v>Lightning</x:v>
      </x:c>
      <x:c r="B102" s="23" t="n">
        <x:v>1358.4202198544517</x:v>
      </x:c>
      <x:c r="C102" s="23" t="n">
        <x:v>608.0748510663398</x:v>
      </x:c>
      <x:c r="D102" s="23" t="n">
        <x:v>500.7171578705311</x:v>
      </x:c>
      <x:c r="E102" s="23" t="n">
        <x:v>187.26977180456743</x:v>
      </x:c>
      <x:c r="F102" s="23" t="n">
        <x:v>10.281839190982282</x:v>
      </x:c>
      <x:c r="G102" s="23" t="n">
        <x:v>0.8395500255911611</x:v>
      </x:c>
      <x:c r="H102" s="23" t="n">
        <x:v>60</x:v>
      </x:c>
      <x:c r="I102" s="23" t="n">
        <x:v>25</x:v>
      </x:c>
      <x:c r="J102" s="23" t="n">
        <x:f>(IF(A102='Hybrid Calculator'!$B$6,0,1))^2+((B102-'Hybrid Calculator'!$B$7)/1500)^2+((C102-'Hybrid Calculator'!$B$8)/1300)^2+((D102-'Hybrid Calculator'!$B$9)/800)^2+((E102-'Hybrid Calculator'!$B$10)/350)^2+((F102-'Hybrid Calculator'!$B$11)/30)^2+(G102-'Hybrid Calculator'!$B$12)^2+((H102-'Hybrid Calculator'!$E$14)/IF(A102="Lightning",100,30000))^2+((I102-'Hybrid Calculator'!$E$17)/IF(A102="Lightning",100,30000))^2</x:f>
        <x:v>0.1333664677637177</x:v>
      </x:c>
      <x:c r="K102" s="23" t="n">
        <x:f>RANK(J102,$J$2:$J$1401,1)</x:f>
        <x:v>285</x:v>
      </x:c>
      <x:c r="L102" s="23" t="n">
        <x:f>IF(K102&lt;=7,1,0)</x:f>
        <x:v>0</x:v>
      </x:c>
      <x:c r="M102" s="23" t="n">
        <x:f>IF(L102=1,1/(J102+0.000001),0)</x:f>
        <x:v>0</x:v>
      </x:c>
      <x:c r="N102" s="23" t="n">
        <x:v>0.004962889741294774</x:v>
      </x:c>
      <x:c r="O102" s="23" t="n">
        <x:f>M102</x:f>
        <x:v>0</x:v>
      </x:c>
      <x:c r="P102" s="23" t="n">
        <x:v>-1.7793604038218902</x:v>
      </x:c>
      <x:c r="Q102" s="23" t="n">
        <x:v>20.218112248064017</x:v>
      </x:c>
    </x:row>
    <x:row r="103">
      <x:c r="A103" s="23" t="str">
        <x:v>Lightning</x:v>
      </x:c>
      <x:c r="B103" s="23" t="n">
        <x:v>1369.0455265226774</x:v>
      </x:c>
      <x:c r="C103" s="23" t="n">
        <x:v>775.2632072195411</x:v>
      </x:c>
      <x:c r="D103" s="23" t="n">
        <x:v>592.1177162788808</x:v>
      </x:c>
      <x:c r="E103" s="23" t="n">
        <x:v>258.82268328685313</x:v>
      </x:c>
      <x:c r="F103" s="23" t="n">
        <x:v>19.960523733403534</x:v>
      </x:c>
      <x:c r="G103" s="23" t="n">
        <x:v>0.8026026692893357</x:v>
      </x:c>
      <x:c r="H103" s="23" t="n">
        <x:v>45</x:v>
      </x:c>
      <x:c r="I103" s="23" t="n">
        <x:v>25</x:v>
      </x:c>
      <x:c r="J103" s="23" t="n">
        <x:f>(IF(A103='Hybrid Calculator'!$B$6,0,1))^2+((B103-'Hybrid Calculator'!$B$7)/1500)^2+((C103-'Hybrid Calculator'!$B$8)/1300)^2+((D103-'Hybrid Calculator'!$B$9)/800)^2+((E103-'Hybrid Calculator'!$B$10)/350)^2+((F103-'Hybrid Calculator'!$B$11)/30)^2+(G103-'Hybrid Calculator'!$B$12)^2+((H103-'Hybrid Calculator'!$E$14)/IF(A103="Lightning",100,30000))^2+((I103-'Hybrid Calculator'!$E$17)/IF(A103="Lightning",100,30000))^2</x:f>
        <x:v>0.11980073082282715</x:v>
      </x:c>
      <x:c r="K103" s="23" t="n">
        <x:f>RANK(J103,$J$2:$J$1401,1)</x:f>
        <x:v>250</x:v>
      </x:c>
      <x:c r="L103" s="23" t="n">
        <x:f>IF(K103&lt;=7,1,0)</x:f>
        <x:v>0</x:v>
      </x:c>
      <x:c r="M103" s="23" t="n">
        <x:f>IF(L103=1,1/(J103+0.000001),0)</x:f>
        <x:v>0</x:v>
      </x:c>
      <x:c r="N103" s="23" t="n">
        <x:v>-0.0077084274889756</x:v>
      </x:c>
      <x:c r="O103" s="23" t="n">
        <x:f>M103</x:f>
        <x:v>0</x:v>
      </x:c>
      <x:c r="P103" s="23" t="n">
        <x:v>-0.2869193267371202</x:v>
      </x:c>
      <x:c r="Q103" s="23" t="n">
        <x:v>-6.900733849732887</x:v>
      </x:c>
    </x:row>
    <x:row r="104">
      <x:c r="A104" s="23" t="str">
        <x:v>Lightning</x:v>
      </x:c>
      <x:c r="B104" s="23" t="n">
        <x:v>1461.1342021264136</x:v>
      </x:c>
      <x:c r="C104" s="23" t="n">
        <x:v>1220.553546154406</x:v>
      </x:c>
      <x:c r="D104" s="23" t="n">
        <x:v>562.2195968404412</x:v>
      </x:c>
      <x:c r="E104" s="23" t="n">
        <x:v>154.28626535693184</x:v>
      </x:c>
      <x:c r="F104" s="23" t="n">
        <x:v>21.627701135352254</x:v>
      </x:c>
      <x:c r="G104" s="23" t="n">
        <x:v>0.8040821469505318</x:v>
      </x:c>
      <x:c r="H104" s="23" t="n">
        <x:v>35</x:v>
      </x:c>
      <x:c r="I104" s="23" t="n">
        <x:v>25</x:v>
      </x:c>
      <x:c r="J104" s="23" t="n">
        <x:f>(IF(A104='Hybrid Calculator'!$B$6,0,1))^2+((B104-'Hybrid Calculator'!$B$7)/1500)^2+((C104-'Hybrid Calculator'!$B$8)/1300)^2+((D104-'Hybrid Calculator'!$B$9)/800)^2+((E104-'Hybrid Calculator'!$B$10)/350)^2+((F104-'Hybrid Calculator'!$B$11)/30)^2+(G104-'Hybrid Calculator'!$B$12)^2+((H104-'Hybrid Calculator'!$E$14)/IF(A104="Lightning",100,30000))^2+((I104-'Hybrid Calculator'!$E$17)/IF(A104="Lightning",100,30000))^2</x:f>
        <x:v>0.12165046890308459</x:v>
      </x:c>
      <x:c r="K104" s="23" t="n">
        <x:f>RANK(J104,$J$2:$J$1401,1)</x:f>
        <x:v>257</x:v>
      </x:c>
      <x:c r="L104" s="23" t="n">
        <x:f>IF(K104&lt;=7,1,0)</x:f>
        <x:v>0</x:v>
      </x:c>
      <x:c r="M104" s="23" t="n">
        <x:f>IF(L104=1,1/(J104+0.000001),0)</x:f>
        <x:v>0</x:v>
      </x:c>
      <x:c r="N104" s="23" t="n">
        <x:v>0.007937677595730053</x:v>
      </x:c>
      <x:c r="O104" s="23" t="n">
        <x:f>M104</x:f>
        <x:v>0</x:v>
      </x:c>
      <x:c r="P104" s="23" t="n">
        <x:v>0.0937279325716176</x:v>
      </x:c>
      <x:c r="Q104" s="23" t="n">
        <x:v>-11.815433928397624</x:v>
      </x:c>
    </x:row>
    <x:row r="105">
      <x:c r="A105" s="23" t="str">
        <x:v>Lightning</x:v>
      </x:c>
      <x:c r="B105" s="23" t="n">
        <x:v>1367.545555124525</x:v>
      </x:c>
      <x:c r="C105" s="23" t="n">
        <x:v>819.0666654380038</x:v>
      </x:c>
      <x:c r="D105" s="23" t="n">
        <x:v>685.2199234999716</x:v>
      </x:c>
      <x:c r="E105" s="23" t="n">
        <x:v>103.49436213262379</x:v>
      </x:c>
      <x:c r="F105" s="23" t="n">
        <x:v>9.06883029686287</x:v>
      </x:c>
      <x:c r="G105" s="23" t="n">
        <x:v>0.8025471215927974</x:v>
      </x:c>
      <x:c r="H105" s="23" t="n">
        <x:v>50</x:v>
      </x:c>
      <x:c r="I105" s="23" t="n">
        <x:v>25</x:v>
      </x:c>
      <x:c r="J105" s="23" t="n">
        <x:f>(IF(A105='Hybrid Calculator'!$B$6,0,1))^2+((B105-'Hybrid Calculator'!$B$7)/1500)^2+((C105-'Hybrid Calculator'!$B$8)/1300)^2+((D105-'Hybrid Calculator'!$B$9)/800)^2+((E105-'Hybrid Calculator'!$B$10)/350)^2+((F105-'Hybrid Calculator'!$B$11)/30)^2+(G105-'Hybrid Calculator'!$B$12)^2+((H105-'Hybrid Calculator'!$E$14)/IF(A105="Lightning",100,30000))^2+((I105-'Hybrid Calculator'!$E$17)/IF(A105="Lightning",100,30000))^2</x:f>
        <x:v>0.1724269558612495</x:v>
      </x:c>
      <x:c r="K105" s="23" t="n">
        <x:f>RANK(J105,$J$2:$J$1401,1)</x:f>
        <x:v>386</x:v>
      </x:c>
      <x:c r="L105" s="23" t="n">
        <x:f>IF(K105&lt;=7,1,0)</x:f>
        <x:v>0</x:v>
      </x:c>
      <x:c r="M105" s="23" t="n">
        <x:f>IF(L105=1,1/(J105+0.000001),0)</x:f>
        <x:v>0</x:v>
      </x:c>
      <x:c r="N105" s="23" t="n">
        <x:v>0.00229452147308451</x:v>
      </x:c>
      <x:c r="O105" s="23" t="n">
        <x:f>M105</x:f>
        <x:v>0</x:v>
      </x:c>
      <x:c r="P105" s="23" t="n">
        <x:v>0.7812127295076507</x:v>
      </x:c>
      <x:c r="Q105" s="23" t="n">
        <x:v>4.386159395363848</x:v>
      </x:c>
    </x:row>
    <x:row r="106">
      <x:c r="A106" s="23" t="str">
        <x:v>Lightning</x:v>
      </x:c>
      <x:c r="B106" s="23" t="n">
        <x:v>1462.2360514244065</x:v>
      </x:c>
      <x:c r="C106" s="23" t="n">
        <x:v>1245.265426451806</x:v>
      </x:c>
      <x:c r="D106" s="23" t="n">
        <x:v>711.4823844283819</x:v>
      </x:c>
      <x:c r="E106" s="23" t="n">
        <x:v>180.22990097058937</x:v>
      </x:c>
      <x:c r="F106" s="23" t="n">
        <x:v>28.67384558636695</x:v>
      </x:c>
      <x:c r="G106" s="23" t="n">
        <x:v>0.7964213636214845</x:v>
      </x:c>
      <x:c r="H106" s="23" t="n">
        <x:v>30</x:v>
      </x:c>
      <x:c r="I106" s="23" t="n">
        <x:v>25</x:v>
      </x:c>
      <x:c r="J106" s="23" t="n">
        <x:f>(IF(A106='Hybrid Calculator'!$B$6,0,1))^2+((B106-'Hybrid Calculator'!$B$7)/1500)^2+((C106-'Hybrid Calculator'!$B$8)/1300)^2+((D106-'Hybrid Calculator'!$B$9)/800)^2+((E106-'Hybrid Calculator'!$B$10)/350)^2+((F106-'Hybrid Calculator'!$B$11)/30)^2+(G106-'Hybrid Calculator'!$B$12)^2+((H106-'Hybrid Calculator'!$E$14)/IF(A106="Lightning",100,30000))^2+((I106-'Hybrid Calculator'!$E$17)/IF(A106="Lightning",100,30000))^2</x:f>
        <x:v>0.325969186551763</x:v>
      </x:c>
      <x:c r="K106" s="23" t="n">
        <x:f>RANK(J106,$J$2:$J$1401,1)</x:f>
        <x:v>632</x:v>
      </x:c>
      <x:c r="L106" s="23" t="n">
        <x:f>IF(K106&lt;=7,1,0)</x:f>
        <x:v>0</x:v>
      </x:c>
      <x:c r="M106" s="23" t="n">
        <x:f>IF(L106=1,1/(J106+0.000001),0)</x:f>
        <x:v>0</x:v>
      </x:c>
      <x:c r="N106" s="23" t="n">
        <x:v>0.002701591954218152</x:v>
      </x:c>
      <x:c r="O106" s="23" t="n">
        <x:f>M106</x:f>
        <x:v>0</x:v>
      </x:c>
      <x:c r="P106" s="23" t="n">
        <x:v>0.7188246638354059</x:v>
      </x:c>
      <x:c r="Q106" s="23" t="n">
        <x:v>-24.59398154865721</x:v>
      </x:c>
    </x:row>
    <x:row r="107">
      <x:c r="A107" s="23" t="str">
        <x:v>Lightning</x:v>
      </x:c>
      <x:c r="B107" s="23" t="n">
        <x:v>1373.3126272796653</x:v>
      </x:c>
      <x:c r="C107" s="23" t="n">
        <x:v>974.1091503296047</x:v>
      </x:c>
      <x:c r="D107" s="23" t="n">
        <x:v>680.3978878073394</x:v>
      </x:c>
      <x:c r="E107" s="23" t="n">
        <x:v>104.14356300141662</x:v>
      </x:c>
      <x:c r="F107" s="23" t="n">
        <x:v>18.843529507052153</x:v>
      </x:c>
      <x:c r="G107" s="23" t="n">
        <x:v>0.8000107044167817</x:v>
      </x:c>
      <x:c r="H107" s="23" t="n">
        <x:v>40</x:v>
      </x:c>
      <x:c r="I107" s="23" t="n">
        <x:v>25</x:v>
      </x:c>
      <x:c r="J107" s="23" t="n">
        <x:f>(IF(A107='Hybrid Calculator'!$B$6,0,1))^2+((B107-'Hybrid Calculator'!$B$7)/1500)^2+((C107-'Hybrid Calculator'!$B$8)/1300)^2+((D107-'Hybrid Calculator'!$B$9)/800)^2+((E107-'Hybrid Calculator'!$B$10)/350)^2+((F107-'Hybrid Calculator'!$B$11)/30)^2+(G107-'Hybrid Calculator'!$B$12)^2+((H107-'Hybrid Calculator'!$E$14)/IF(A107="Lightning",100,30000))^2+((I107-'Hybrid Calculator'!$E$17)/IF(A107="Lightning",100,30000))^2</x:f>
        <x:v>0.08884719522887827</x:v>
      </x:c>
      <x:c r="K107" s="23" t="n">
        <x:f>RANK(J107,$J$2:$J$1401,1)</x:f>
        <x:v>169</x:v>
      </x:c>
      <x:c r="L107" s="23" t="n">
        <x:f>IF(K107&lt;=7,1,0)</x:f>
        <x:v>0</x:v>
      </x:c>
      <x:c r="M107" s="23" t="n">
        <x:f>IF(L107=1,1/(J107+0.000001),0)</x:f>
        <x:v>0</x:v>
      </x:c>
      <x:c r="N107" s="23" t="n">
        <x:v>-0.006949225517339341</x:v>
      </x:c>
      <x:c r="O107" s="23" t="n">
        <x:f>M107</x:f>
        <x:v>0</x:v>
      </x:c>
      <x:c r="P107" s="23" t="n">
        <x:v>-0.07725026154891879</x:v>
      </x:c>
      <x:c r="Q107" s="23" t="n">
        <x:v>-3.5726203358926796</x:v>
      </x:c>
    </x:row>
    <x:row r="108">
      <x:c r="A108" s="23" t="str">
        <x:v>Lightning</x:v>
      </x:c>
      <x:c r="B108" s="23" t="n">
        <x:v>1368.4614785481244</x:v>
      </x:c>
      <x:c r="C108" s="23" t="n">
        <x:v>721.2922219070606</x:v>
      </x:c>
      <x:c r="D108" s="23" t="n">
        <x:v>466.37786608189344</x:v>
      </x:c>
      <x:c r="E108" s="23" t="n">
        <x:v>306.2294705142267</x:v>
      </x:c>
      <x:c r="F108" s="23" t="n">
        <x:v>22.821372404694557</x:v>
      </x:c>
      <x:c r="G108" s="23" t="n">
        <x:v>0.8348490623966791</x:v>
      </x:c>
      <x:c r="H108" s="23" t="n">
        <x:v>50</x:v>
      </x:c>
      <x:c r="I108" s="23" t="n">
        <x:v>25</x:v>
      </x:c>
      <x:c r="J108" s="23" t="n">
        <x:f>(IF(A108='Hybrid Calculator'!$B$6,0,1))^2+((B108-'Hybrid Calculator'!$B$7)/1500)^2+((C108-'Hybrid Calculator'!$B$8)/1300)^2+((D108-'Hybrid Calculator'!$B$9)/800)^2+((E108-'Hybrid Calculator'!$B$10)/350)^2+((F108-'Hybrid Calculator'!$B$11)/30)^2+(G108-'Hybrid Calculator'!$B$12)^2+((H108-'Hybrid Calculator'!$E$14)/IF(A108="Lightning",100,30000))^2+((I108-'Hybrid Calculator'!$E$17)/IF(A108="Lightning",100,30000))^2</x:f>
        <x:v>0.23320499611924303</x:v>
      </x:c>
      <x:c r="K108" s="23" t="n">
        <x:f>RANK(J108,$J$2:$J$1401,1)</x:f>
        <x:v>509</x:v>
      </x:c>
      <x:c r="L108" s="23" t="n">
        <x:f>IF(K108&lt;=7,1,0)</x:f>
        <x:v>0</x:v>
      </x:c>
      <x:c r="M108" s="23" t="n">
        <x:f>IF(L108=1,1/(J108+0.000001),0)</x:f>
        <x:v>0</x:v>
      </x:c>
      <x:c r="N108" s="23" t="n">
        <x:v>0.00328673086849407</x:v>
      </x:c>
      <x:c r="O108" s="23" t="n">
        <x:f>M108</x:f>
        <x:v>0</x:v>
      </x:c>
      <x:c r="P108" s="23" t="n">
        <x:v>-0.42037842098955736</x:v>
      </x:c>
      <x:c r="Q108" s="23" t="n">
        <x:v>0.842270458259236</x:v>
      </x:c>
    </x:row>
    <x:row r="109">
      <x:c r="A109" s="23" t="str">
        <x:v>Lightning</x:v>
      </x:c>
      <x:c r="B109" s="23" t="n">
        <x:v>1361.9964917306788</x:v>
      </x:c>
      <x:c r="C109" s="23" t="n">
        <x:v>798.5022177686915</x:v>
      </x:c>
      <x:c r="D109" s="23" t="n">
        <x:v>446.90806986764073</x:v>
      </x:c>
      <x:c r="E109" s="23" t="n">
        <x:v>329.6397648938</x:v>
      </x:c>
      <x:c r="F109" s="23" t="n">
        <x:v>24.603562420699745</x:v>
      </x:c>
      <x:c r="G109" s="23" t="n">
        <x:v>0.8279648520564661</x:v>
      </x:c>
      <x:c r="H109" s="23" t="n">
        <x:v>45</x:v>
      </x:c>
      <x:c r="I109" s="23" t="n">
        <x:v>25</x:v>
      </x:c>
      <x:c r="J109" s="23" t="n">
        <x:f>(IF(A109='Hybrid Calculator'!$B$6,0,1))^2+((B109-'Hybrid Calculator'!$B$7)/1500)^2+((C109-'Hybrid Calculator'!$B$8)/1300)^2+((D109-'Hybrid Calculator'!$B$9)/800)^2+((E109-'Hybrid Calculator'!$B$10)/350)^2+((F109-'Hybrid Calculator'!$B$11)/30)^2+(G109-'Hybrid Calculator'!$B$12)^2+((H109-'Hybrid Calculator'!$E$14)/IF(A109="Lightning",100,30000))^2+((I109-'Hybrid Calculator'!$E$17)/IF(A109="Lightning",100,30000))^2</x:f>
        <x:v>0.3151261347941989</x:v>
      </x:c>
      <x:c r="K109" s="23" t="n">
        <x:f>RANK(J109,$J$2:$J$1401,1)</x:f>
        <x:v>616</x:v>
      </x:c>
      <x:c r="L109" s="23" t="n">
        <x:f>IF(K109&lt;=7,1,0)</x:f>
        <x:v>0</x:v>
      </x:c>
      <x:c r="M109" s="23" t="n">
        <x:f>IF(L109=1,1/(J109+0.000001),0)</x:f>
        <x:v>0</x:v>
      </x:c>
      <x:c r="N109" s="23" t="n">
        <x:v>0.00048058020360297604</x:v>
      </x:c>
      <x:c r="O109" s="23" t="n">
        <x:f>M109</x:f>
        <x:v>0</x:v>
      </x:c>
      <x:c r="P109" s="23" t="n">
        <x:v>-1.2073139347487114</x:v>
      </x:c>
      <x:c r="Q109" s="23" t="n">
        <x:v>-8.885213306485866</x:v>
      </x:c>
    </x:row>
    <x:row r="110">
      <x:c r="A110" s="23" t="str">
        <x:v>Lightning</x:v>
      </x:c>
      <x:c r="B110" s="23" t="n">
        <x:v>1438.3904931368306</x:v>
      </x:c>
      <x:c r="C110" s="23" t="n">
        <x:v>1124.3280420196243</x:v>
      </x:c>
      <x:c r="D110" s="23" t="n">
        <x:v>557.7457830309868</x:v>
      </x:c>
      <x:c r="E110" s="23" t="n">
        <x:v>169.95427651097998</x:v>
      </x:c>
      <x:c r="F110" s="23" t="n">
        <x:v>25.69912603031844</x:v>
      </x:c>
      <x:c r="G110" s="23" t="n">
        <x:v>0.7993835356435739</x:v>
      </x:c>
      <x:c r="H110" s="23" t="n">
        <x:v>40</x:v>
      </x:c>
      <x:c r="I110" s="23" t="n">
        <x:v>25</x:v>
      </x:c>
      <x:c r="J110" s="23" t="n">
        <x:f>(IF(A110='Hybrid Calculator'!$B$6,0,1))^2+((B110-'Hybrid Calculator'!$B$7)/1500)^2+((C110-'Hybrid Calculator'!$B$8)/1300)^2+((D110-'Hybrid Calculator'!$B$9)/800)^2+((E110-'Hybrid Calculator'!$B$10)/350)^2+((F110-'Hybrid Calculator'!$B$11)/30)^2+(G110-'Hybrid Calculator'!$B$12)^2+((H110-'Hybrid Calculator'!$E$14)/IF(A110="Lightning",100,30000))^2+((I110-'Hybrid Calculator'!$E$17)/IF(A110="Lightning",100,30000))^2</x:f>
        <x:v>0.12108151774286399</x:v>
      </x:c>
      <x:c r="K110" s="23" t="n">
        <x:f>RANK(J110,$J$2:$J$1401,1)</x:f>
        <x:v>253</x:v>
      </x:c>
      <x:c r="L110" s="23" t="n">
        <x:f>IF(K110&lt;=7,1,0)</x:f>
        <x:v>0</x:v>
      </x:c>
      <x:c r="M110" s="23" t="n">
        <x:f>IF(L110=1,1/(J110+0.000001),0)</x:f>
        <x:v>0</x:v>
      </x:c>
      <x:c r="N110" s="23" t="n">
        <x:v>0.004755797873278178</x:v>
      </x:c>
      <x:c r="O110" s="23" t="n">
        <x:f>M110</x:f>
        <x:v>0</x:v>
      </x:c>
      <x:c r="P110" s="23" t="n">
        <x:v>0.8098570645536256</x:v>
      </x:c>
      <x:c r="Q110" s="23" t="n">
        <x:v>-14.85645508211519</x:v>
      </x:c>
    </x:row>
    <x:row r="111">
      <x:c r="A111" s="23" t="str">
        <x:v>Lightning</x:v>
      </x:c>
      <x:c r="B111" s="23" t="n">
        <x:v>1451.9464607234113</x:v>
      </x:c>
      <x:c r="C111" s="23" t="n">
        <x:v>677.7652724646032</x:v>
      </x:c>
      <x:c r="D111" s="23" t="n">
        <x:v>407.5958929024637</x:v>
      </x:c>
      <x:c r="E111" s="23" t="n">
        <x:v>266.28791405353695</x:v>
      </x:c>
      <x:c r="F111" s="23" t="n">
        <x:v>25.52581219887361</x:v>
      </x:c>
      <x:c r="G111" s="23" t="n">
        <x:v>0.8019121720362455</x:v>
      </x:c>
      <x:c r="H111" s="23" t="n">
        <x:v>50</x:v>
      </x:c>
      <x:c r="I111" s="23" t="n">
        <x:v>25</x:v>
      </x:c>
      <x:c r="J111" s="23" t="n">
        <x:f>(IF(A111='Hybrid Calculator'!$B$6,0,1))^2+((B111-'Hybrid Calculator'!$B$7)/1500)^2+((C111-'Hybrid Calculator'!$B$8)/1300)^2+((D111-'Hybrid Calculator'!$B$9)/800)^2+((E111-'Hybrid Calculator'!$B$10)/350)^2+((F111-'Hybrid Calculator'!$B$11)/30)^2+(G111-'Hybrid Calculator'!$B$12)^2+((H111-'Hybrid Calculator'!$E$14)/IF(A111="Lightning",100,30000))^2+((I111-'Hybrid Calculator'!$E$17)/IF(A111="Lightning",100,30000))^2</x:f>
        <x:v>0.19678201515662172</x:v>
      </x:c>
      <x:c r="K111" s="23" t="n">
        <x:f>RANK(J111,$J$2:$J$1401,1)</x:f>
        <x:v>438</x:v>
      </x:c>
      <x:c r="L111" s="23" t="n">
        <x:f>IF(K111&lt;=7,1,0)</x:f>
        <x:v>0</x:v>
      </x:c>
      <x:c r="M111" s="23" t="n">
        <x:f>IF(L111=1,1/(J111+0.000001),0)</x:f>
        <x:v>0</x:v>
      </x:c>
      <x:c r="N111" s="23" t="n">
        <x:v>-0.0009112436354097309</x:v>
      </x:c>
      <x:c r="O111" s="23" t="n">
        <x:f>M111</x:f>
        <x:v>0</x:v>
      </x:c>
      <x:c r="P111" s="23" t="n">
        <x:v>0.37646325048920914</x:v>
      </x:c>
      <x:c r="Q111" s="23" t="n">
        <x:v>2.268710206880769</x:v>
      </x:c>
    </x:row>
    <x:row r="112">
      <x:c r="A112" s="23" t="str">
        <x:v>Lightning</x:v>
      </x:c>
      <x:c r="B112" s="23" t="n">
        <x:v>1437.1008574962616</x:v>
      </x:c>
      <x:c r="C112" s="23" t="n">
        <x:v>1207.6813632971607</x:v>
      </x:c>
      <x:c r="D112" s="23" t="n">
        <x:v>488.26854694634676</x:v>
      </x:c>
      <x:c r="E112" s="23" t="n">
        <x:v>297.2081606113352</x:v>
      </x:c>
      <x:c r="F112" s="23" t="n">
        <x:v>27.585154680535197</x:v>
      </x:c>
      <x:c r="G112" s="23" t="n">
        <x:v>0.8243258148920722</x:v>
      </x:c>
      <x:c r="H112" s="23" t="n">
        <x:v>35</x:v>
      </x:c>
      <x:c r="I112" s="23" t="n">
        <x:v>25</x:v>
      </x:c>
      <x:c r="J112" s="23" t="n">
        <x:f>(IF(A112='Hybrid Calculator'!$B$6,0,1))^2+((B112-'Hybrid Calculator'!$B$7)/1500)^2+((C112-'Hybrid Calculator'!$B$8)/1300)^2+((D112-'Hybrid Calculator'!$B$9)/800)^2+((E112-'Hybrid Calculator'!$B$10)/350)^2+((F112-'Hybrid Calculator'!$B$11)/30)^2+(G112-'Hybrid Calculator'!$B$12)^2+((H112-'Hybrid Calculator'!$E$14)/IF(A112="Lightning",100,30000))^2+((I112-'Hybrid Calculator'!$E$17)/IF(A112="Lightning",100,30000))^2</x:f>
        <x:v>0.3671116750914887</x:v>
      </x:c>
      <x:c r="K112" s="23" t="n">
        <x:f>RANK(J112,$J$2:$J$1401,1)</x:f>
        <x:v>664</x:v>
      </x:c>
      <x:c r="L112" s="23" t="n">
        <x:f>IF(K112&lt;=7,1,0)</x:f>
        <x:v>0</x:v>
      </x:c>
      <x:c r="M112" s="23" t="n">
        <x:f>IF(L112=1,1/(J112+0.000001),0)</x:f>
        <x:v>0</x:v>
      </x:c>
      <x:c r="N112" s="23" t="n">
        <x:v>-0.0008812269069664591</x:v>
      </x:c>
      <x:c r="O112" s="23" t="n">
        <x:f>M112</x:f>
        <x:v>0</x:v>
      </x:c>
      <x:c r="P112" s="23" t="n">
        <x:v>1.5806976350198028</x:v>
      </x:c>
      <x:c r="Q112" s="23" t="n">
        <x:v>-25.708770386432207</x:v>
      </x:c>
    </x:row>
    <x:row r="113">
      <x:c r="A113" s="23" t="str">
        <x:v>Lightning</x:v>
      </x:c>
      <x:c r="B113" s="23" t="n">
        <x:v>1375.5919298739173</x:v>
      </x:c>
      <x:c r="C113" s="23" t="n">
        <x:v>1000.762171507813</x:v>
      </x:c>
      <x:c r="D113" s="23" t="n">
        <x:v>385.06044605746865</x:v>
      </x:c>
      <x:c r="E113" s="23" t="n">
        <x:v>257.12562321685255</x:v>
      </x:c>
      <x:c r="F113" s="23" t="n">
        <x:v>15.656178173143417</x:v>
      </x:c>
      <x:c r="G113" s="23" t="n">
        <x:v>0.8191681948350743</x:v>
      </x:c>
      <x:c r="H113" s="23" t="n">
        <x:v>45</x:v>
      </x:c>
      <x:c r="I113" s="23" t="n">
        <x:v>25</x:v>
      </x:c>
      <x:c r="J113" s="23" t="n">
        <x:f>(IF(A113='Hybrid Calculator'!$B$6,0,1))^2+((B113-'Hybrid Calculator'!$B$7)/1500)^2+((C113-'Hybrid Calculator'!$B$8)/1300)^2+((D113-'Hybrid Calculator'!$B$9)/800)^2+((E113-'Hybrid Calculator'!$B$10)/350)^2+((F113-'Hybrid Calculator'!$B$11)/30)^2+(G113-'Hybrid Calculator'!$B$12)^2+((H113-'Hybrid Calculator'!$E$14)/IF(A113="Lightning",100,30000))^2+((I113-'Hybrid Calculator'!$E$17)/IF(A113="Lightning",100,30000))^2</x:f>
        <x:v>0.1403439694297869</x:v>
      </x:c>
      <x:c r="K113" s="23" t="n">
        <x:f>RANK(J113,$J$2:$J$1401,1)</x:f>
        <x:v>303</x:v>
      </x:c>
      <x:c r="L113" s="23" t="n">
        <x:f>IF(K113&lt;=7,1,0)</x:f>
        <x:v>0</x:v>
      </x:c>
      <x:c r="M113" s="23" t="n">
        <x:f>IF(L113=1,1/(J113+0.000001),0)</x:f>
        <x:v>0</x:v>
      </x:c>
      <x:c r="N113" s="23" t="n">
        <x:v>0.00808795243330418</x:v>
      </x:c>
      <x:c r="O113" s="23" t="n">
        <x:f>M113</x:f>
        <x:v>0</x:v>
      </x:c>
      <x:c r="P113" s="23" t="n">
        <x:v>0.02009832589614291</x:v>
      </x:c>
      <x:c r="Q113" s="23" t="n">
        <x:v>3.167926487023351</x:v>
      </x:c>
    </x:row>
    <x:row r="114">
      <x:c r="A114" s="23" t="str">
        <x:v>Lightning</x:v>
      </x:c>
      <x:c r="B114" s="23" t="n">
        <x:v>1443.1240341626108</x:v>
      </x:c>
      <x:c r="C114" s="23" t="n">
        <x:v>679.6237676753663</x:v>
      </x:c>
      <x:c r="D114" s="23" t="n">
        <x:v>507.12862852960825</x:v>
      </x:c>
      <x:c r="E114" s="23" t="n">
        <x:v>220.51902206847444</x:v>
      </x:c>
      <x:c r="F114" s="23" t="n">
        <x:v>28.61184581555426</x:v>
      </x:c>
      <x:c r="G114" s="23" t="n">
        <x:v>0.8022488254611381</x:v>
      </x:c>
      <x:c r="H114" s="23" t="n">
        <x:v>50</x:v>
      </x:c>
      <x:c r="I114" s="23" t="n">
        <x:v>25</x:v>
      </x:c>
      <x:c r="J114" s="23" t="n">
        <x:f>(IF(A114='Hybrid Calculator'!$B$6,0,1))^2+((B114-'Hybrid Calculator'!$B$7)/1500)^2+((C114-'Hybrid Calculator'!$B$8)/1300)^2+((D114-'Hybrid Calculator'!$B$9)/800)^2+((E114-'Hybrid Calculator'!$B$10)/350)^2+((F114-'Hybrid Calculator'!$B$11)/30)^2+(G114-'Hybrid Calculator'!$B$12)^2+((H114-'Hybrid Calculator'!$E$14)/IF(A114="Lightning",100,30000))^2+((I114-'Hybrid Calculator'!$E$17)/IF(A114="Lightning",100,30000))^2</x:f>
        <x:v>0.17192270510581745</x:v>
      </x:c>
      <x:c r="K114" s="23" t="n">
        <x:f>RANK(J114,$J$2:$J$1401,1)</x:f>
        <x:v>385</x:v>
      </x:c>
      <x:c r="L114" s="23" t="n">
        <x:f>IF(K114&lt;=7,1,0)</x:f>
        <x:v>0</x:v>
      </x:c>
      <x:c r="M114" s="23" t="n">
        <x:f>IF(L114=1,1/(J114+0.000001),0)</x:f>
        <x:v>0</x:v>
      </x:c>
      <x:c r="N114" s="23" t="n">
        <x:v>-0.018780038487163253</x:v>
      </x:c>
      <x:c r="O114" s="23" t="n">
        <x:f>M114</x:f>
        <x:v>0</x:v>
      </x:c>
      <x:c r="P114" s="23" t="n">
        <x:v>-1.648806847285421</x:v>
      </x:c>
      <x:c r="Q114" s="23" t="n">
        <x:v>-10.779034271708042</x:v>
      </x:c>
    </x:row>
    <x:row r="115">
      <x:c r="A115" s="23" t="str">
        <x:v>Lightning</x:v>
      </x:c>
      <x:c r="B115" s="23" t="n">
        <x:v>1384.3266756855883</x:v>
      </x:c>
      <x:c r="C115" s="23" t="n">
        <x:v>1012.7749155508354</x:v>
      </x:c>
      <x:c r="D115" s="23" t="n">
        <x:v>516.0008841194212</x:v>
      </x:c>
      <x:c r="E115" s="23" t="n">
        <x:v>277.5412929896265</x:v>
      </x:c>
      <x:c r="F115" s="23" t="n">
        <x:v>28.216288514900953</x:v>
      </x:c>
      <x:c r="G115" s="23" t="n">
        <x:v>0.8053801483521238</x:v>
      </x:c>
      <x:c r="H115" s="23" t="n">
        <x:v>40</x:v>
      </x:c>
      <x:c r="I115" s="23" t="n">
        <x:v>25</x:v>
      </x:c>
      <x:c r="J115" s="23" t="n">
        <x:f>(IF(A115='Hybrid Calculator'!$B$6,0,1))^2+((B115-'Hybrid Calculator'!$B$7)/1500)^2+((C115-'Hybrid Calculator'!$B$8)/1300)^2+((D115-'Hybrid Calculator'!$B$9)/800)^2+((E115-'Hybrid Calculator'!$B$10)/350)^2+((F115-'Hybrid Calculator'!$B$11)/30)^2+(G115-'Hybrid Calculator'!$B$12)^2+((H115-'Hybrid Calculator'!$E$14)/IF(A115="Lightning",100,30000))^2+((I115-'Hybrid Calculator'!$E$17)/IF(A115="Lightning",100,30000))^2</x:f>
        <x:v>0.264712850007643</x:v>
      </x:c>
      <x:c r="K115" s="23" t="n">
        <x:f>RANK(J115,$J$2:$J$1401,1)</x:f>
        <x:v>562</x:v>
      </x:c>
      <x:c r="L115" s="23" t="n">
        <x:f>IF(K115&lt;=7,1,0)</x:f>
        <x:v>0</x:v>
      </x:c>
      <x:c r="M115" s="23" t="n">
        <x:f>IF(L115=1,1/(J115+0.000001),0)</x:f>
        <x:v>0</x:v>
      </x:c>
      <x:c r="N115" s="23" t="n">
        <x:v>0.0037858865273583397</x:v>
      </x:c>
      <x:c r="O115" s="23" t="n">
        <x:f>M115</x:f>
        <x:v>0</x:v>
      </x:c>
      <x:c r="P115" s="23" t="n">
        <x:v>0.024295153670877312</x:v>
      </x:c>
      <x:c r="Q115" s="23" t="n">
        <x:v>-9.799107933547702</x:v>
      </x:c>
    </x:row>
    <x:row r="116">
      <x:c r="A116" s="23" t="str">
        <x:v>Lightning</x:v>
      </x:c>
      <x:c r="B116" s="23" t="n">
        <x:v>1410.3358909254894</x:v>
      </x:c>
      <x:c r="C116" s="23" t="n">
        <x:v>965.0960998260416</x:v>
      </x:c>
      <x:c r="D116" s="23" t="n">
        <x:v>404.77361492812634</x:v>
      </x:c>
      <x:c r="E116" s="23" t="n">
        <x:v>171.13464289112017</x:v>
      </x:c>
      <x:c r="F116" s="23" t="n">
        <x:v>25.641829480417073</x:v>
      </x:c>
      <x:c r="G116" s="23" t="n">
        <x:v>0.7944844120065682</x:v>
      </x:c>
      <x:c r="H116" s="23" t="n">
        <x:v>45</x:v>
      </x:c>
      <x:c r="I116" s="23" t="n">
        <x:v>25</x:v>
      </x:c>
      <x:c r="J116" s="23" t="n">
        <x:f>(IF(A116='Hybrid Calculator'!$B$6,0,1))^2+((B116-'Hybrid Calculator'!$B$7)/1500)^2+((C116-'Hybrid Calculator'!$B$8)/1300)^2+((D116-'Hybrid Calculator'!$B$9)/800)^2+((E116-'Hybrid Calculator'!$B$10)/350)^2+((F116-'Hybrid Calculator'!$B$11)/30)^2+(G116-'Hybrid Calculator'!$B$12)^2+((H116-'Hybrid Calculator'!$E$14)/IF(A116="Lightning",100,30000))^2+((I116-'Hybrid Calculator'!$E$17)/IF(A116="Lightning",100,30000))^2</x:f>
        <x:v>0.08557333814243856</x:v>
      </x:c>
      <x:c r="K116" s="23" t="n">
        <x:f>RANK(J116,$J$2:$J$1401,1)</x:f>
        <x:v>153</x:v>
      </x:c>
      <x:c r="L116" s="23" t="n">
        <x:f>IF(K116&lt;=7,1,0)</x:f>
        <x:v>0</x:v>
      </x:c>
      <x:c r="M116" s="23" t="n">
        <x:f>IF(L116=1,1/(J116+0.000001),0)</x:f>
        <x:v>0</x:v>
      </x:c>
      <x:c r="N116" s="23" t="n">
        <x:v>-0.0007237222062053128</x:v>
      </x:c>
      <x:c r="O116" s="23" t="n">
        <x:f>M116</x:f>
        <x:v>0</x:v>
      </x:c>
      <x:c r="P116" s="23" t="n">
        <x:v>0.08686308714096214</x:v>
      </x:c>
      <x:c r="Q116" s="23" t="n">
        <x:v>-10.924500561268133</x:v>
      </x:c>
    </x:row>
    <x:row r="117">
      <x:c r="A117" s="23" t="str">
        <x:v>Lightning</x:v>
      </x:c>
      <x:c r="B117" s="23" t="n">
        <x:v>1410.943474934902</x:v>
      </x:c>
      <x:c r="C117" s="23" t="n">
        <x:v>1133.113592909649</x:v>
      </x:c>
      <x:c r="D117" s="23" t="n">
        <x:v>600.2659174613655</x:v>
      </x:c>
      <x:c r="E117" s="23" t="n">
        <x:v>311.6809803014621</x:v>
      </x:c>
      <x:c r="F117" s="23" t="n">
        <x:v>16.162289030384272</x:v>
      </x:c>
      <x:c r="G117" s="23" t="n">
        <x:v>0.8515420774929225</x:v>
      </x:c>
      <x:c r="H117" s="23" t="n">
        <x:v>35</x:v>
      </x:c>
      <x:c r="I117" s="23" t="n">
        <x:v>25</x:v>
      </x:c>
      <x:c r="J117" s="23" t="n">
        <x:f>(IF(A117='Hybrid Calculator'!$B$6,0,1))^2+((B117-'Hybrid Calculator'!$B$7)/1500)^2+((C117-'Hybrid Calculator'!$B$8)/1300)^2+((D117-'Hybrid Calculator'!$B$9)/800)^2+((E117-'Hybrid Calculator'!$B$10)/350)^2+((F117-'Hybrid Calculator'!$B$11)/30)^2+(G117-'Hybrid Calculator'!$B$12)^2+((H117-'Hybrid Calculator'!$E$14)/IF(A117="Lightning",100,30000))^2+((I117-'Hybrid Calculator'!$E$17)/IF(A117="Lightning",100,30000))^2</x:f>
        <x:v>0.3061848141198775</x:v>
      </x:c>
      <x:c r="K117" s="23" t="n">
        <x:f>RANK(J117,$J$2:$J$1401,1)</x:f>
        <x:v>603</x:v>
      </x:c>
      <x:c r="L117" s="23" t="n">
        <x:f>IF(K117&lt;=7,1,0)</x:f>
        <x:v>0</x:v>
      </x:c>
      <x:c r="M117" s="23" t="n">
        <x:f>IF(L117=1,1/(J117+0.000001),0)</x:f>
        <x:v>0</x:v>
      </x:c>
      <x:c r="N117" s="23" t="n">
        <x:v>0.02273766264210475</x:v>
      </x:c>
      <x:c r="O117" s="23" t="n">
        <x:f>M117</x:f>
        <x:v>0</x:v>
      </x:c>
      <x:c r="P117" s="23" t="n">
        <x:v>0.8764935627009649</x:v>
      </x:c>
      <x:c r="Q117" s="23" t="n">
        <x:v>-8.19925294503878</x:v>
      </x:c>
    </x:row>
    <x:row r="118">
      <x:c r="A118" s="23" t="str">
        <x:v>Lightning</x:v>
      </x:c>
      <x:c r="B118" s="23" t="n">
        <x:v>1392.41519481875</x:v>
      </x:c>
      <x:c r="C118" s="23" t="n">
        <x:v>979.4521285104565</x:v>
      </x:c>
      <x:c r="D118" s="23" t="n">
        <x:v>416.24803077429533</x:v>
      </x:c>
      <x:c r="E118" s="23" t="n">
        <x:v>328.6573581700213</x:v>
      </x:c>
      <x:c r="F118" s="23" t="n">
        <x:v>25.43499542027712</x:v>
      </x:c>
      <x:c r="G118" s="23" t="n">
        <x:v>0.8566445569158532</x:v>
      </x:c>
      <x:c r="H118" s="23" t="n">
        <x:v>40</x:v>
      </x:c>
      <x:c r="I118" s="23" t="n">
        <x:v>25</x:v>
      </x:c>
      <x:c r="J118" s="23" t="n">
        <x:f>(IF(A118='Hybrid Calculator'!$B$6,0,1))^2+((B118-'Hybrid Calculator'!$B$7)/1500)^2+((C118-'Hybrid Calculator'!$B$8)/1300)^2+((D118-'Hybrid Calculator'!$B$9)/800)^2+((E118-'Hybrid Calculator'!$B$10)/350)^2+((F118-'Hybrid Calculator'!$B$11)/30)^2+(G118-'Hybrid Calculator'!$B$12)^2+((H118-'Hybrid Calculator'!$E$14)/IF(A118="Lightning",100,30000))^2+((I118-'Hybrid Calculator'!$E$17)/IF(A118="Lightning",100,30000))^2</x:f>
        <x:v>0.3466873448569045</x:v>
      </x:c>
      <x:c r="K118" s="23" t="n">
        <x:f>RANK(J118,$J$2:$J$1401,1)</x:f>
        <x:v>646</x:v>
      </x:c>
      <x:c r="L118" s="23" t="n">
        <x:f>IF(K118&lt;=7,1,0)</x:f>
        <x:v>0</x:v>
      </x:c>
      <x:c r="M118" s="23" t="n">
        <x:f>IF(L118=1,1/(J118+0.000001),0)</x:f>
        <x:v>0</x:v>
      </x:c>
      <x:c r="N118" s="23" t="n">
        <x:v>-0.004809967309915564</x:v>
      </x:c>
      <x:c r="O118" s="23" t="n">
        <x:f>M118</x:f>
        <x:v>0</x:v>
      </x:c>
      <x:c r="P118" s="23" t="n">
        <x:v>1.2283477953380668</x:v>
      </x:c>
      <x:c r="Q118" s="23" t="n">
        <x:v>-7.688087685252185</x:v>
      </x:c>
    </x:row>
    <x:row r="119">
      <x:c r="A119" s="23" t="str">
        <x:v>Lightning</x:v>
      </x:c>
      <x:c r="B119" s="23" t="n">
        <x:v>1417.8638438810594</x:v>
      </x:c>
      <x:c r="C119" s="23" t="n">
        <x:v>600.6340376799926</x:v>
      </x:c>
      <x:c r="D119" s="23" t="n">
        <x:v>703.8544443435967</x:v>
      </x:c>
      <x:c r="E119" s="23" t="n">
        <x:v>119.62388401851058</x:v>
      </x:c>
      <x:c r="F119" s="23" t="n">
        <x:v>8.401535599026829</x:v>
      </x:c>
      <x:c r="G119" s="23" t="n">
        <x:v>0.8257523903390394</x:v>
      </x:c>
      <x:c r="H119" s="23" t="n">
        <x:v>55</x:v>
      </x:c>
      <x:c r="I119" s="23" t="n">
        <x:v>25</x:v>
      </x:c>
      <x:c r="J119" s="23" t="n">
        <x:f>(IF(A119='Hybrid Calculator'!$B$6,0,1))^2+((B119-'Hybrid Calculator'!$B$7)/1500)^2+((C119-'Hybrid Calculator'!$B$8)/1300)^2+((D119-'Hybrid Calculator'!$B$9)/800)^2+((E119-'Hybrid Calculator'!$B$10)/350)^2+((F119-'Hybrid Calculator'!$B$11)/30)^2+(G119-'Hybrid Calculator'!$B$12)^2+((H119-'Hybrid Calculator'!$E$14)/IF(A119="Lightning",100,30000))^2+((I119-'Hybrid Calculator'!$E$17)/IF(A119="Lightning",100,30000))^2</x:f>
        <x:v>0.2251251609059984</x:v>
      </x:c>
      <x:c r="K119" s="23" t="n">
        <x:f>RANK(J119,$J$2:$J$1401,1)</x:f>
        <x:v>496</x:v>
      </x:c>
      <x:c r="L119" s="23" t="n">
        <x:f>IF(K119&lt;=7,1,0)</x:f>
        <x:v>0</x:v>
      </x:c>
      <x:c r="M119" s="23" t="n">
        <x:f>IF(L119=1,1/(J119+0.000001),0)</x:f>
        <x:v>0</x:v>
      </x:c>
      <x:c r="N119" s="23" t="n">
        <x:v>0.008287919729537352</x:v>
      </x:c>
      <x:c r="O119" s="23" t="n">
        <x:f>M119</x:f>
        <x:v>0</x:v>
      </x:c>
      <x:c r="P119" s="23" t="n">
        <x:v>-0.06156336483967806</x:v>
      </x:c>
      <x:c r="Q119" s="23" t="n">
        <x:v>11.357257989956452</x:v>
      </x:c>
    </x:row>
    <x:row r="120">
      <x:c r="A120" s="23" t="str">
        <x:v>Lightning</x:v>
      </x:c>
      <x:c r="B120" s="23" t="n">
        <x:v>1496.4773978339508</x:v>
      </x:c>
      <x:c r="C120" s="23" t="n">
        <x:v>929.5055959490128</x:v>
      </x:c>
      <x:c r="D120" s="23" t="n">
        <x:v>630.3330540657043</x:v>
      </x:c>
      <x:c r="E120" s="23" t="n">
        <x:v>249.52869103988633</x:v>
      </x:c>
      <x:c r="F120" s="23" t="n">
        <x:v>12.705374079756439</x:v>
      </x:c>
      <x:c r="G120" s="23" t="n">
        <x:v>0.8535841881460511</x:v>
      </x:c>
      <x:c r="H120" s="23" t="n">
        <x:v>40</x:v>
      </x:c>
      <x:c r="I120" s="23" t="n">
        <x:v>25</x:v>
      </x:c>
      <x:c r="J120" s="23" t="n">
        <x:f>(IF(A120='Hybrid Calculator'!$B$6,0,1))^2+((B120-'Hybrid Calculator'!$B$7)/1500)^2+((C120-'Hybrid Calculator'!$B$8)/1300)^2+((D120-'Hybrid Calculator'!$B$9)/800)^2+((E120-'Hybrid Calculator'!$B$10)/350)^2+((F120-'Hybrid Calculator'!$B$11)/30)^2+(G120-'Hybrid Calculator'!$B$12)^2+((H120-'Hybrid Calculator'!$E$14)/IF(A120="Lightning",100,30000))^2+((I120-'Hybrid Calculator'!$E$17)/IF(A120="Lightning",100,30000))^2</x:f>
        <x:v>0.16185414479249577</x:v>
      </x:c>
      <x:c r="K120" s="23" t="n">
        <x:f>RANK(J120,$J$2:$J$1401,1)</x:f>
        <x:v>358</x:v>
      </x:c>
      <x:c r="L120" s="23" t="n">
        <x:f>IF(K120&lt;=7,1,0)</x:f>
        <x:v>0</x:v>
      </x:c>
      <x:c r="M120" s="23" t="n">
        <x:f>IF(L120=1,1/(J120+0.000001),0)</x:f>
        <x:v>0</x:v>
      </x:c>
      <x:c r="N120" s="23" t="n">
        <x:v>0.0004606277277725557</x:v>
      </x:c>
      <x:c r="O120" s="23" t="n">
        <x:f>M120</x:f>
        <x:v>0</x:v>
      </x:c>
      <x:c r="P120" s="23" t="n">
        <x:v>-0.4448114169327795</x:v>
      </x:c>
      <x:c r="Q120" s="23" t="n">
        <x:v>4.566598945812984</x:v>
      </x:c>
    </x:row>
    <x:row r="121">
      <x:c r="A121" s="23" t="str">
        <x:v>Lightning</x:v>
      </x:c>
      <x:c r="B121" s="23" t="n">
        <x:v>1404.1750670294277</x:v>
      </x:c>
      <x:c r="C121" s="23" t="n">
        <x:v>1201.7152012325823</x:v>
      </x:c>
      <x:c r="D121" s="23" t="n">
        <x:v>410.7851362787187</x:v>
      </x:c>
      <x:c r="E121" s="23" t="n">
        <x:v>125.86970212403685</x:v>
      </x:c>
      <x:c r="F121" s="23" t="n">
        <x:v>14.59516049688682</x:v>
      </x:c>
      <x:c r="G121" s="23" t="n">
        <x:v>0.8304713779781014</x:v>
      </x:c>
      <x:c r="H121" s="23" t="n">
        <x:v>45</x:v>
      </x:c>
      <x:c r="I121" s="23" t="n">
        <x:v>25</x:v>
      </x:c>
      <x:c r="J121" s="23" t="n">
        <x:f>(IF(A121='Hybrid Calculator'!$B$6,0,1))^2+((B121-'Hybrid Calculator'!$B$7)/1500)^2+((C121-'Hybrid Calculator'!$B$8)/1300)^2+((D121-'Hybrid Calculator'!$B$9)/800)^2+((E121-'Hybrid Calculator'!$B$10)/350)^2+((F121-'Hybrid Calculator'!$B$11)/30)^2+(G121-'Hybrid Calculator'!$B$12)^2+((H121-'Hybrid Calculator'!$E$14)/IF(A121="Lightning",100,30000))^2+((I121-'Hybrid Calculator'!$E$17)/IF(A121="Lightning",100,30000))^2</x:f>
        <x:v>0.11013137861327531</x:v>
      </x:c>
      <x:c r="K121" s="23" t="n">
        <x:f>RANK(J121,$J$2:$J$1401,1)</x:f>
        <x:v>227</x:v>
      </x:c>
      <x:c r="L121" s="23" t="n">
        <x:f>IF(K121&lt;=7,1,0)</x:f>
        <x:v>0</x:v>
      </x:c>
      <x:c r="M121" s="23" t="n">
        <x:f>IF(L121=1,1/(J121+0.000001),0)</x:f>
        <x:v>0</x:v>
      </x:c>
      <x:c r="N121" s="23" t="n">
        <x:v>0.0009741208060232154</x:v>
      </x:c>
      <x:c r="O121" s="23" t="n">
        <x:f>M121</x:f>
        <x:v>0</x:v>
      </x:c>
      <x:c r="P121" s="23" t="n">
        <x:v>0.5784046367182967</x:v>
      </x:c>
      <x:c r="Q121" s="23" t="n">
        <x:v>-4.935354122666922</x:v>
      </x:c>
    </x:row>
    <x:row r="122">
      <x:c r="A122" s="23" t="str">
        <x:v>Lightning</x:v>
      </x:c>
      <x:c r="B122" s="23" t="n">
        <x:v>1374.434502236545</x:v>
      </x:c>
      <x:c r="C122" s="23" t="n">
        <x:v>1142.730418255087</x:v>
      </x:c>
      <x:c r="D122" s="23" t="n">
        <x:v>536.3939883187413</x:v>
      </x:c>
      <x:c r="E122" s="23" t="n">
        <x:v>297.39590127253905</x:v>
      </x:c>
      <x:c r="F122" s="23" t="n">
        <x:v>27.49927463196218</x:v>
      </x:c>
      <x:c r="G122" s="23" t="n">
        <x:v>0.8450462889787741</x:v>
      </x:c>
      <x:c r="H122" s="23" t="n">
        <x:v>35</x:v>
      </x:c>
      <x:c r="I122" s="23" t="n">
        <x:v>25</x:v>
      </x:c>
      <x:c r="J122" s="23" t="n">
        <x:f>(IF(A122='Hybrid Calculator'!$B$6,0,1))^2+((B122-'Hybrid Calculator'!$B$7)/1500)^2+((C122-'Hybrid Calculator'!$B$8)/1300)^2+((D122-'Hybrid Calculator'!$B$9)/800)^2+((E122-'Hybrid Calculator'!$B$10)/350)^2+((F122-'Hybrid Calculator'!$B$11)/30)^2+(G122-'Hybrid Calculator'!$B$12)^2+((H122-'Hybrid Calculator'!$E$14)/IF(A122="Lightning",100,30000))^2+((I122-'Hybrid Calculator'!$E$17)/IF(A122="Lightning",100,30000))^2</x:f>
        <x:v>0.344374996643545</x:v>
      </x:c>
      <x:c r="K122" s="23" t="n">
        <x:f>RANK(J122,$J$2:$J$1401,1)</x:f>
        <x:v>644</x:v>
      </x:c>
      <x:c r="L122" s="23" t="n">
        <x:f>IF(K122&lt;=7,1,0)</x:f>
        <x:v>0</x:v>
      </x:c>
      <x:c r="M122" s="23" t="n">
        <x:f>IF(L122=1,1/(J122+0.000001),0)</x:f>
        <x:v>0</x:v>
      </x:c>
      <x:c r="N122" s="23" t="n">
        <x:v>-0.009359646839717017</x:v>
      </x:c>
      <x:c r="O122" s="23" t="n">
        <x:f>M122</x:f>
        <x:v>0</x:v>
      </x:c>
      <x:c r="P122" s="23" t="n">
        <x:v>1.6775919387845946</x:v>
      </x:c>
      <x:c r="Q122" s="23" t="n">
        <x:v>-14.082410603756898</x:v>
      </x:c>
    </x:row>
    <x:row r="123">
      <x:c r="A123" s="23" t="str">
        <x:v>Lightning</x:v>
      </x:c>
      <x:c r="B123" s="23" t="n">
        <x:v>1483.9318108395673</x:v>
      </x:c>
      <x:c r="C123" s="23" t="n">
        <x:v>742.3410158837214</x:v>
      </x:c>
      <x:c r="D123" s="23" t="n">
        <x:v>431.7895592190325</x:v>
      </x:c>
      <x:c r="E123" s="23" t="n">
        <x:v>117.80390578322113</x:v>
      </x:c>
      <x:c r="F123" s="23" t="n">
        <x:v>17.265591223258525</x:v>
      </x:c>
      <x:c r="G123" s="23" t="n">
        <x:v>0.8581685129972175</x:v>
      </x:c>
      <x:c r="H123" s="23" t="n">
        <x:v>60</x:v>
      </x:c>
      <x:c r="I123" s="23" t="n">
        <x:v>25</x:v>
      </x:c>
      <x:c r="J123" s="23" t="n">
        <x:f>(IF(A123='Hybrid Calculator'!$B$6,0,1))^2+((B123-'Hybrid Calculator'!$B$7)/1500)^2+((C123-'Hybrid Calculator'!$B$8)/1300)^2+((D123-'Hybrid Calculator'!$B$9)/800)^2+((E123-'Hybrid Calculator'!$B$10)/350)^2+((F123-'Hybrid Calculator'!$B$11)/30)^2+(G123-'Hybrid Calculator'!$B$12)^2+((H123-'Hybrid Calculator'!$E$14)/IF(A123="Lightning",100,30000))^2+((I123-'Hybrid Calculator'!$E$17)/IF(A123="Lightning",100,30000))^2</x:f>
        <x:v>0.03728343783076522</x:v>
      </x:c>
      <x:c r="K123" s="23" t="n">
        <x:f>RANK(J123,$J$2:$J$1401,1)</x:f>
        <x:v>32</x:v>
      </x:c>
      <x:c r="L123" s="23" t="n">
        <x:f>IF(K123&lt;=7,1,0)</x:f>
        <x:v>0</x:v>
      </x:c>
      <x:c r="M123" s="23" t="n">
        <x:f>IF(L123=1,1/(J123+0.000001),0)</x:f>
        <x:v>0</x:v>
      </x:c>
      <x:c r="N123" s="23" t="n">
        <x:v>-0.007445133538436233</x:v>
      </x:c>
      <x:c r="O123" s="23" t="n">
        <x:f>M123</x:f>
        <x:v>0</x:v>
      </x:c>
      <x:c r="P123" s="23" t="n">
        <x:v>-0.3294942668510501</x:v>
      </x:c>
      <x:c r="Q123" s="23" t="n">
        <x:v>21.696308201939246</x:v>
      </x:c>
    </x:row>
    <x:row r="124">
      <x:c r="A124" s="23" t="str">
        <x:v>Lightning</x:v>
      </x:c>
      <x:c r="B124" s="23" t="n">
        <x:v>1390.1782690314576</x:v>
      </x:c>
      <x:c r="C124" s="23" t="n">
        <x:v>1114.2357258708216</x:v>
      </x:c>
      <x:c r="D124" s="23" t="n">
        <x:v>365.41496105492115</x:v>
      </x:c>
      <x:c r="E124" s="23" t="n">
        <x:v>256.5482073533349</x:v>
      </x:c>
      <x:c r="F124" s="23" t="n">
        <x:v>26.81983865890652</x:v>
      </x:c>
      <x:c r="G124" s="23" t="n">
        <x:v>0.8254365829261952</x:v>
      </x:c>
      <x:c r="H124" s="23" t="n">
        <x:v>40</x:v>
      </x:c>
      <x:c r="I124" s="23" t="n">
        <x:v>25</x:v>
      </x:c>
      <x:c r="J124" s="23" t="n">
        <x:f>(IF(A124='Hybrid Calculator'!$B$6,0,1))^2+((B124-'Hybrid Calculator'!$B$7)/1500)^2+((C124-'Hybrid Calculator'!$B$8)/1300)^2+((D124-'Hybrid Calculator'!$B$9)/800)^2+((E124-'Hybrid Calculator'!$B$10)/350)^2+((F124-'Hybrid Calculator'!$B$11)/30)^2+(G124-'Hybrid Calculator'!$B$12)^2+((H124-'Hybrid Calculator'!$E$14)/IF(A124="Lightning",100,30000))^2+((I124-'Hybrid Calculator'!$E$17)/IF(A124="Lightning",100,30000))^2</x:f>
        <x:v>0.24976858662039492</x:v>
      </x:c>
      <x:c r="K124" s="23" t="n">
        <x:f>RANK(J124,$J$2:$J$1401,1)</x:f>
        <x:v>539</x:v>
      </x:c>
      <x:c r="L124" s="23" t="n">
        <x:f>IF(K124&lt;=7,1,0)</x:f>
        <x:v>0</x:v>
      </x:c>
      <x:c r="M124" s="23" t="n">
        <x:f>IF(L124=1,1/(J124+0.000001),0)</x:f>
        <x:v>0</x:v>
      </x:c>
      <x:c r="N124" s="23" t="n">
        <x:v>-0.009608707548464324</x:v>
      </x:c>
      <x:c r="O124" s="23" t="n">
        <x:f>M124</x:f>
        <x:v>0</x:v>
      </x:c>
      <x:c r="P124" s="23" t="n">
        <x:v>0.9197205052299395</x:v>
      </x:c>
      <x:c r="Q124" s="23" t="n">
        <x:v>-14.677092822633085</x:v>
      </x:c>
    </x:row>
    <x:row r="125">
      <x:c r="A125" s="23" t="str">
        <x:v>Lightning</x:v>
      </x:c>
      <x:c r="B125" s="23" t="n">
        <x:v>1472.2545085824095</x:v>
      </x:c>
      <x:c r="C125" s="23" t="n">
        <x:v>692.336101224646</x:v>
      </x:c>
      <x:c r="D125" s="23" t="n">
        <x:v>443.74469919130206</x:v>
      </x:c>
      <x:c r="E125" s="23" t="n">
        <x:v>136.1553695006296</x:v>
      </x:c>
      <x:c r="F125" s="23" t="n">
        <x:v>14.638282525818795</x:v>
      </x:c>
      <x:c r="G125" s="23" t="n">
        <x:v>0.8040470397844911</x:v>
      </x:c>
      <x:c r="H125" s="23" t="n">
        <x:v>55</x:v>
      </x:c>
      <x:c r="I125" s="23" t="n">
        <x:v>25</x:v>
      </x:c>
      <x:c r="J125" s="23" t="n">
        <x:f>(IF(A125='Hybrid Calculator'!$B$6,0,1))^2+((B125-'Hybrid Calculator'!$B$7)/1500)^2+((C125-'Hybrid Calculator'!$B$8)/1300)^2+((D125-'Hybrid Calculator'!$B$9)/800)^2+((E125-'Hybrid Calculator'!$B$10)/350)^2+((F125-'Hybrid Calculator'!$B$11)/30)^2+(G125-'Hybrid Calculator'!$B$12)^2+((H125-'Hybrid Calculator'!$E$14)/IF(A125="Lightning",100,30000))^2+((I125-'Hybrid Calculator'!$E$17)/IF(A125="Lightning",100,30000))^2</x:f>
        <x:v>0.04153506583546207</x:v>
      </x:c>
      <x:c r="K125" s="23" t="n">
        <x:f>RANK(J125,$J$2:$J$1401,1)</x:f>
        <x:v>36</x:v>
      </x:c>
      <x:c r="L125" s="23" t="n">
        <x:f>IF(K125&lt;=7,1,0)</x:f>
        <x:v>0</x:v>
      </x:c>
      <x:c r="M125" s="23" t="n">
        <x:f>IF(L125=1,1/(J125+0.000001),0)</x:f>
        <x:v>0</x:v>
      </x:c>
      <x:c r="N125" s="23" t="n">
        <x:v>0.003305622377406614</x:v>
      </x:c>
      <x:c r="O125" s="23" t="n">
        <x:f>M125</x:f>
        <x:v>0</x:v>
      </x:c>
      <x:c r="P125" s="23" t="n">
        <x:v>0.3759279127007673</x:v>
      </x:c>
      <x:c r="Q125" s="23" t="n">
        <x:v>17.950773322042323</x:v>
      </x:c>
    </x:row>
    <x:row r="126">
      <x:c r="A126" s="23" t="str">
        <x:v>Lightning</x:v>
      </x:c>
      <x:c r="B126" s="23" t="n">
        <x:v>1452.1252123173326</x:v>
      </x:c>
      <x:c r="C126" s="23" t="n">
        <x:v>1052.5850507314317</x:v>
      </x:c>
      <x:c r="D126" s="23" t="n">
        <x:v>556.1617961153388</x:v>
      </x:c>
      <x:c r="E126" s="23" t="n">
        <x:v>303.8162959110923</x:v>
      </x:c>
      <x:c r="F126" s="23" t="n">
        <x:v>19.34921956434846</x:v>
      </x:c>
      <x:c r="G126" s="23" t="n">
        <x:v>0.8437372262054124</x:v>
      </x:c>
      <x:c r="H126" s="23" t="n">
        <x:v>40</x:v>
      </x:c>
      <x:c r="I126" s="23" t="n">
        <x:v>25</x:v>
      </x:c>
      <x:c r="J126" s="23" t="n">
        <x:f>(IF(A126='Hybrid Calculator'!$B$6,0,1))^2+((B126-'Hybrid Calculator'!$B$7)/1500)^2+((C126-'Hybrid Calculator'!$B$8)/1300)^2+((D126-'Hybrid Calculator'!$B$9)/800)^2+((E126-'Hybrid Calculator'!$B$10)/350)^2+((F126-'Hybrid Calculator'!$B$11)/30)^2+(G126-'Hybrid Calculator'!$B$12)^2+((H126-'Hybrid Calculator'!$E$14)/IF(A126="Lightning",100,30000))^2+((I126-'Hybrid Calculator'!$E$17)/IF(A126="Lightning",100,30000))^2</x:f>
        <x:v>0.23404295792877886</x:v>
      </x:c>
      <x:c r="K126" s="23" t="n">
        <x:f>RANK(J126,$J$2:$J$1401,1)</x:f>
        <x:v>512</x:v>
      </x:c>
      <x:c r="L126" s="23" t="n">
        <x:f>IF(K126&lt;=7,1,0)</x:f>
        <x:v>0</x:v>
      </x:c>
      <x:c r="M126" s="23" t="n">
        <x:f>IF(L126=1,1/(J126+0.000001),0)</x:f>
        <x:v>0</x:v>
      </x:c>
      <x:c r="N126" s="23" t="n">
        <x:v>0.0170343412448275</x:v>
      </x:c>
      <x:c r="O126" s="23" t="n">
        <x:f>M126</x:f>
        <x:v>0</x:v>
      </x:c>
      <x:c r="P126" s="23" t="n">
        <x:v>-0.3756494909555457</x:v>
      </x:c>
      <x:c r="Q126" s="23" t="n">
        <x:v>-7.961267498062398</x:v>
      </x:c>
    </x:row>
    <x:row r="127">
      <x:c r="A127" s="23" t="str">
        <x:v>Lightning</x:v>
      </x:c>
      <x:c r="B127" s="23" t="n">
        <x:v>1351.0870164376684</x:v>
      </x:c>
      <x:c r="C127" s="23" t="n">
        <x:v>1039.5997919840738</x:v>
      </x:c>
      <x:c r="D127" s="23" t="n">
        <x:v>655.9670601971447</x:v>
      </x:c>
      <x:c r="E127" s="23" t="n">
        <x:v>277.0636509358883</x:v>
      </x:c>
      <x:c r="F127" s="23" t="n">
        <x:v>24.068012634757906</x:v>
      </x:c>
      <x:c r="G127" s="23" t="n">
        <x:v>0.8406684366567061</x:v>
      </x:c>
      <x:c r="H127" s="23" t="n">
        <x:v>35</x:v>
      </x:c>
      <x:c r="I127" s="23" t="n">
        <x:v>25</x:v>
      </x:c>
      <x:c r="J127" s="23" t="n">
        <x:f>(IF(A127='Hybrid Calculator'!$B$6,0,1))^2+((B127-'Hybrid Calculator'!$B$7)/1500)^2+((C127-'Hybrid Calculator'!$B$8)/1300)^2+((D127-'Hybrid Calculator'!$B$9)/800)^2+((E127-'Hybrid Calculator'!$B$10)/350)^2+((F127-'Hybrid Calculator'!$B$11)/30)^2+(G127-'Hybrid Calculator'!$B$12)^2+((H127-'Hybrid Calculator'!$E$14)/IF(A127="Lightning",100,30000))^2+((I127-'Hybrid Calculator'!$E$17)/IF(A127="Lightning",100,30000))^2</x:f>
        <x:v>0.25088007292460546</x:v>
      </x:c>
      <x:c r="K127" s="23" t="n">
        <x:f>RANK(J127,$J$2:$J$1401,1)</x:f>
        <x:v>545</x:v>
      </x:c>
      <x:c r="L127" s="23" t="n">
        <x:f>IF(K127&lt;=7,1,0)</x:f>
        <x:v>0</x:v>
      </x:c>
      <x:c r="M127" s="23" t="n">
        <x:f>IF(L127=1,1/(J127+0.000001),0)</x:f>
        <x:v>0</x:v>
      </x:c>
      <x:c r="N127" s="23" t="n">
        <x:v>0.000987737916806175</x:v>
      </x:c>
      <x:c r="O127" s="23" t="n">
        <x:f>M127</x:f>
        <x:v>0</x:v>
      </x:c>
      <x:c r="P127" s="23" t="n">
        <x:v>0.24475044684999148</x:v>
      </x:c>
      <x:c r="Q127" s="23" t="n">
        <x:v>-16.114858791591132</x:v>
      </x:c>
    </x:row>
    <x:row r="128">
      <x:c r="A128" s="23" t="str">
        <x:v>Lightning</x:v>
      </x:c>
      <x:c r="B128" s="23" t="n">
        <x:v>1441.004214109853</x:v>
      </x:c>
      <x:c r="C128" s="23" t="n">
        <x:v>1141.2393949809484</x:v>
      </x:c>
      <x:c r="D128" s="23" t="n">
        <x:v>446.8460587784648</x:v>
      </x:c>
      <x:c r="E128" s="23" t="n">
        <x:v>317.7596332808025</x:v>
      </x:c>
      <x:c r="F128" s="23" t="n">
        <x:v>22.30912744998932</x:v>
      </x:c>
      <x:c r="G128" s="23" t="n">
        <x:v>0.794970600961242</x:v>
      </x:c>
      <x:c r="H128" s="23" t="n">
        <x:v>35</x:v>
      </x:c>
      <x:c r="I128" s="23" t="n">
        <x:v>25</x:v>
      </x:c>
      <x:c r="J128" s="23" t="n">
        <x:f>(IF(A128='Hybrid Calculator'!$B$6,0,1))^2+((B128-'Hybrid Calculator'!$B$7)/1500)^2+((C128-'Hybrid Calculator'!$B$8)/1300)^2+((D128-'Hybrid Calculator'!$B$9)/800)^2+((E128-'Hybrid Calculator'!$B$10)/350)^2+((F128-'Hybrid Calculator'!$B$11)/30)^2+(G128-'Hybrid Calculator'!$B$12)^2+((H128-'Hybrid Calculator'!$E$14)/IF(A128="Lightning",100,30000))^2+((I128-'Hybrid Calculator'!$E$17)/IF(A128="Lightning",100,30000))^2</x:f>
        <x:v>0.3237072749388483</x:v>
      </x:c>
      <x:c r="K128" s="23" t="n">
        <x:f>RANK(J128,$J$2:$J$1401,1)</x:f>
        <x:v>628</x:v>
      </x:c>
      <x:c r="L128" s="23" t="n">
        <x:f>IF(K128&lt;=7,1,0)</x:f>
        <x:v>0</x:v>
      </x:c>
      <x:c r="M128" s="23" t="n">
        <x:f>IF(L128=1,1/(J128+0.000001),0)</x:f>
        <x:v>0</x:v>
      </x:c>
      <x:c r="N128" s="23" t="n">
        <x:v>0.011660634087536481</x:v>
      </x:c>
      <x:c r="O128" s="23" t="n">
        <x:f>M128</x:f>
        <x:v>0</x:v>
      </x:c>
      <x:c r="P128" s="23" t="n">
        <x:v>1.4020239540965065</x:v>
      </x:c>
      <x:c r="Q128" s="23" t="n">
        <x:v>-16.398649172687783</x:v>
      </x:c>
    </x:row>
    <x:row r="129">
      <x:c r="A129" s="23" t="str">
        <x:v>Lightning</x:v>
      </x:c>
      <x:c r="B129" s="23" t="n">
        <x:v>1398.4102250193246</x:v>
      </x:c>
      <x:c r="C129" s="23" t="n">
        <x:v>882.5787776848301</x:v>
      </x:c>
      <x:c r="D129" s="23" t="n">
        <x:v>407.4584764428437</x:v>
      </x:c>
      <x:c r="E129" s="23" t="n">
        <x:v>308.08013344183564</x:v>
      </x:c>
      <x:c r="F129" s="23" t="n">
        <x:v>20.595815292093903</x:v>
      </x:c>
      <x:c r="G129" s="23" t="n">
        <x:v>0.8238627163833008</x:v>
      </x:c>
      <x:c r="H129" s="23" t="n">
        <x:v>45</x:v>
      </x:c>
      <x:c r="I129" s="23" t="n">
        <x:v>25</x:v>
      </x:c>
      <x:c r="J129" s="23" t="n">
        <x:f>(IF(A129='Hybrid Calculator'!$B$6,0,1))^2+((B129-'Hybrid Calculator'!$B$7)/1500)^2+((C129-'Hybrid Calculator'!$B$8)/1300)^2+((D129-'Hybrid Calculator'!$B$9)/800)^2+((E129-'Hybrid Calculator'!$B$10)/350)^2+((F129-'Hybrid Calculator'!$B$11)/30)^2+(G129-'Hybrid Calculator'!$B$12)^2+((H129-'Hybrid Calculator'!$E$14)/IF(A129="Lightning",100,30000))^2+((I129-'Hybrid Calculator'!$E$17)/IF(A129="Lightning",100,30000))^2</x:f>
        <x:v>0.22571333969036858</x:v>
      </x:c>
      <x:c r="K129" s="23" t="n">
        <x:f>RANK(J129,$J$2:$J$1401,1)</x:f>
        <x:v>499</x:v>
      </x:c>
      <x:c r="L129" s="23" t="n">
        <x:f>IF(K129&lt;=7,1,0)</x:f>
        <x:v>0</x:v>
      </x:c>
      <x:c r="M129" s="23" t="n">
        <x:f>IF(L129=1,1/(J129+0.000001),0)</x:f>
        <x:v>0</x:v>
      </x:c>
      <x:c r="N129" s="23" t="n">
        <x:v>-0.005515594717760974</x:v>
      </x:c>
      <x:c r="O129" s="23" t="n">
        <x:f>M129</x:f>
        <x:v>0</x:v>
      </x:c>
      <x:c r="P129" s="23" t="n">
        <x:v>-0.47490558065641864</x:v>
      </x:c>
      <x:c r="Q129" s="23" t="n">
        <x:v>3.9888487852024355</x:v>
      </x:c>
    </x:row>
    <x:row r="130">
      <x:c r="A130" s="23" t="str">
        <x:v>Lightning</x:v>
      </x:c>
      <x:c r="B130" s="23" t="n">
        <x:v>1395.2429824741557</x:v>
      </x:c>
      <x:c r="C130" s="23" t="n">
        <x:v>646.856289927382</x:v>
      </x:c>
      <x:c r="D130" s="23" t="n">
        <x:v>423.4988048672676</x:v>
      </x:c>
      <x:c r="E130" s="23" t="n">
        <x:v>262.874298596289</x:v>
      </x:c>
      <x:c r="F130" s="23" t="n">
        <x:v>21.27814234327525</x:v>
      </x:c>
      <x:c r="G130" s="23" t="n">
        <x:v>0.825246386115905</x:v>
      </x:c>
      <x:c r="H130" s="23" t="n">
        <x:v>55</x:v>
      </x:c>
      <x:c r="I130" s="23" t="n">
        <x:v>25</x:v>
      </x:c>
      <x:c r="J130" s="23" t="n">
        <x:f>(IF(A130='Hybrid Calculator'!$B$6,0,1))^2+((B130-'Hybrid Calculator'!$B$7)/1500)^2+((C130-'Hybrid Calculator'!$B$8)/1300)^2+((D130-'Hybrid Calculator'!$B$9)/800)^2+((E130-'Hybrid Calculator'!$B$10)/350)^2+((F130-'Hybrid Calculator'!$B$11)/30)^2+(G130-'Hybrid Calculator'!$B$12)^2+((H130-'Hybrid Calculator'!$E$14)/IF(A130="Lightning",100,30000))^2+((I130-'Hybrid Calculator'!$E$17)/IF(A130="Lightning",100,30000))^2</x:f>
        <x:v>0.1490646541064244</x:v>
      </x:c>
      <x:c r="K130" s="23" t="n">
        <x:f>RANK(J130,$J$2:$J$1401,1)</x:f>
        <x:v>324</x:v>
      </x:c>
      <x:c r="L130" s="23" t="n">
        <x:f>IF(K130&lt;=7,1,0)</x:f>
        <x:v>0</x:v>
      </x:c>
      <x:c r="M130" s="23" t="n">
        <x:f>IF(L130=1,1/(J130+0.000001),0)</x:f>
        <x:v>0</x:v>
      </x:c>
      <x:c r="N130" s="23" t="n">
        <x:v>-0.00806077285992024</x:v>
      </x:c>
      <x:c r="O130" s="23" t="n">
        <x:f>M130</x:f>
        <x:v>0</x:v>
      </x:c>
      <x:c r="P130" s="23" t="n">
        <x:v>0.1629259460727681</x:v>
      </x:c>
      <x:c r="Q130" s="23" t="n">
        <x:v>10.5012698280334</x:v>
      </x:c>
    </x:row>
    <x:row r="131">
      <x:c r="A131" s="23" t="str">
        <x:v>Lightning</x:v>
      </x:c>
      <x:c r="B131" s="23" t="n">
        <x:v>1439.9121052469127</x:v>
      </x:c>
      <x:c r="C131" s="23" t="n">
        <x:v>1173.7173574976623</x:v>
      </x:c>
      <x:c r="D131" s="23" t="n">
        <x:v>373.3433715067804</x:v>
      </x:c>
      <x:c r="E131" s="23" t="n">
        <x:v>154.9278204748407</x:v>
      </x:c>
      <x:c r="F131" s="23" t="n">
        <x:v>11.466573213692755</x:v>
      </x:c>
      <x:c r="G131" s="23" t="n">
        <x:v>0.8567291460651905</x:v>
      </x:c>
      <x:c r="H131" s="23" t="n">
        <x:v>45</x:v>
      </x:c>
      <x:c r="I131" s="23" t="n">
        <x:v>25</x:v>
      </x:c>
      <x:c r="J131" s="23" t="n">
        <x:f>(IF(A131='Hybrid Calculator'!$B$6,0,1))^2+((B131-'Hybrid Calculator'!$B$7)/1500)^2+((C131-'Hybrid Calculator'!$B$8)/1300)^2+((D131-'Hybrid Calculator'!$B$9)/800)^2+((E131-'Hybrid Calculator'!$B$10)/350)^2+((F131-'Hybrid Calculator'!$B$11)/30)^2+(G131-'Hybrid Calculator'!$B$12)^2+((H131-'Hybrid Calculator'!$E$14)/IF(A131="Lightning",100,30000))^2+((I131-'Hybrid Calculator'!$E$17)/IF(A131="Lightning",100,30000))^2</x:f>
        <x:v>0.1461848723996109</x:v>
      </x:c>
      <x:c r="K131" s="23" t="n">
        <x:f>RANK(J131,$J$2:$J$1401,1)</x:f>
        <x:v>320</x:v>
      </x:c>
      <x:c r="L131" s="23" t="n">
        <x:f>IF(K131&lt;=7,1,0)</x:f>
        <x:v>0</x:v>
      </x:c>
      <x:c r="M131" s="23" t="n">
        <x:f>IF(L131=1,1/(J131+0.000001),0)</x:f>
        <x:v>0</x:v>
      </x:c>
      <x:c r="N131" s="23" t="n">
        <x:v>0.016609704824854354</x:v>
      </x:c>
      <x:c r="O131" s="23" t="n">
        <x:f>M131</x:f>
        <x:v>0</x:v>
      </x:c>
      <x:c r="P131" s="23" t="n">
        <x:v>0.4471650213950582</x:v>
      </x:c>
      <x:c r="Q131" s="23" t="n">
        <x:v>2.1719112525288438</x:v>
      </x:c>
    </x:row>
    <x:row r="132">
      <x:c r="A132" s="23" t="str">
        <x:v>Lightning</x:v>
      </x:c>
      <x:c r="B132" s="23" t="n">
        <x:v>1413.9423217624426</x:v>
      </x:c>
      <x:c r="C132" s="23" t="n">
        <x:v>940.3479112661444</x:v>
      </x:c>
      <x:c r="D132" s="23" t="n">
        <x:v>664.1196684911847</x:v>
      </x:c>
      <x:c r="E132" s="23" t="n">
        <x:v>164.76404898101464</x:v>
      </x:c>
      <x:c r="F132" s="23" t="n">
        <x:v>24.51294626109302</x:v>
      </x:c>
      <x:c r="G132" s="23" t="n">
        <x:v>0.8252187221986242</x:v>
      </x:c>
      <x:c r="H132" s="23" t="n">
        <x:v>40</x:v>
      </x:c>
      <x:c r="I132" s="23" t="n">
        <x:v>25</x:v>
      </x:c>
      <x:c r="J132" s="23" t="n">
        <x:f>(IF(A132='Hybrid Calculator'!$B$6,0,1))^2+((B132-'Hybrid Calculator'!$B$7)/1500)^2+((C132-'Hybrid Calculator'!$B$8)/1300)^2+((D132-'Hybrid Calculator'!$B$9)/800)^2+((E132-'Hybrid Calculator'!$B$10)/350)^2+((F132-'Hybrid Calculator'!$B$11)/30)^2+(G132-'Hybrid Calculator'!$B$12)^2+((H132-'Hybrid Calculator'!$E$14)/IF(A132="Lightning",100,30000))^2+((I132-'Hybrid Calculator'!$E$17)/IF(A132="Lightning",100,30000))^2</x:f>
        <x:v>0.09895016571552179</x:v>
      </x:c>
      <x:c r="K132" s="23" t="n">
        <x:f>RANK(J132,$J$2:$J$1401,1)</x:f>
        <x:v>200</x:v>
      </x:c>
      <x:c r="L132" s="23" t="n">
        <x:f>IF(K132&lt;=7,1,0)</x:f>
        <x:v>0</x:v>
      </x:c>
      <x:c r="M132" s="23" t="n">
        <x:f>IF(L132=1,1/(J132+0.000001),0)</x:f>
        <x:v>0</x:v>
      </x:c>
      <x:c r="N132" s="23" t="n">
        <x:v>0.0047998691115715975</x:v>
      </x:c>
      <x:c r="O132" s="23" t="n">
        <x:f>M132</x:f>
        <x:v>0</x:v>
      </x:c>
      <x:c r="P132" s="23" t="n">
        <x:v>-0.14200998870235537</x:v>
      </x:c>
      <x:c r="Q132" s="23" t="n">
        <x:v>-17.167500486984636</x:v>
      </x:c>
    </x:row>
    <x:row r="133">
      <x:c r="A133" s="23" t="str">
        <x:v>Lightning</x:v>
      </x:c>
      <x:c r="B133" s="23" t="n">
        <x:v>1391.7712392867543</x:v>
      </x:c>
      <x:c r="C133" s="23" t="n">
        <x:v>1065.7639159122482</x:v>
      </x:c>
      <x:c r="D133" s="23" t="n">
        <x:v>371.89416447654366</x:v>
      </x:c>
      <x:c r="E133" s="23" t="n">
        <x:v>254.09531748853624</x:v>
      </x:c>
      <x:c r="F133" s="23" t="n">
        <x:v>13.927644711453468</x:v>
      </x:c>
      <x:c r="G133" s="23" t="n">
        <x:v>0.8027489965455606</x:v>
      </x:c>
      <x:c r="H133" s="23" t="n">
        <x:v>45</x:v>
      </x:c>
      <x:c r="I133" s="23" t="n">
        <x:v>25</x:v>
      </x:c>
      <x:c r="J133" s="23" t="n">
        <x:f>(IF(A133='Hybrid Calculator'!$B$6,0,1))^2+((B133-'Hybrid Calculator'!$B$7)/1500)^2+((C133-'Hybrid Calculator'!$B$8)/1300)^2+((D133-'Hybrid Calculator'!$B$9)/800)^2+((E133-'Hybrid Calculator'!$B$10)/350)^2+((F133-'Hybrid Calculator'!$B$11)/30)^2+(G133-'Hybrid Calculator'!$B$12)^2+((H133-'Hybrid Calculator'!$E$14)/IF(A133="Lightning",100,30000))^2+((I133-'Hybrid Calculator'!$E$17)/IF(A133="Lightning",100,30000))^2</x:f>
        <x:v>0.16816263464829612</x:v>
      </x:c>
      <x:c r="K133" s="23" t="n">
        <x:f>RANK(J133,$J$2:$J$1401,1)</x:f>
        <x:v>379</x:v>
      </x:c>
      <x:c r="L133" s="23" t="n">
        <x:f>IF(K133&lt;=7,1,0)</x:f>
        <x:v>0</x:v>
      </x:c>
      <x:c r="M133" s="23" t="n">
        <x:f>IF(L133=1,1/(J133+0.000001),0)</x:f>
        <x:v>0</x:v>
      </x:c>
      <x:c r="N133" s="23" t="n">
        <x:v>0.0120911880415151</x:v>
      </x:c>
      <x:c r="O133" s="23" t="n">
        <x:f>M133</x:f>
        <x:v>0</x:v>
      </x:c>
      <x:c r="P133" s="23" t="n">
        <x:v>1.3215571063463685</x:v>
      </x:c>
      <x:c r="Q133" s="23" t="n">
        <x:v>3.245355839634385</x:v>
      </x:c>
    </x:row>
    <x:row r="134">
      <x:c r="A134" s="23" t="str">
        <x:v>Lightning</x:v>
      </x:c>
      <x:c r="B134" s="23" t="n">
        <x:v>1406.183182890527</x:v>
      </x:c>
      <x:c r="C134" s="23" t="n">
        <x:v>1024.2812179611064</x:v>
      </x:c>
      <x:c r="D134" s="23" t="n">
        <x:v>687.0897803455591</x:v>
      </x:c>
      <x:c r="E134" s="23" t="n">
        <x:v>118.1605505826883</x:v>
      </x:c>
      <x:c r="F134" s="23" t="n">
        <x:v>29.95385653618723</x:v>
      </x:c>
      <x:c r="G134" s="23" t="n">
        <x:v>0.7907776123541408</x:v>
      </x:c>
      <x:c r="H134" s="23" t="n">
        <x:v>35</x:v>
      </x:c>
      <x:c r="I134" s="23" t="n">
        <x:v>25</x:v>
      </x:c>
      <x:c r="J134" s="23" t="n">
        <x:f>(IF(A134='Hybrid Calculator'!$B$6,0,1))^2+((B134-'Hybrid Calculator'!$B$7)/1500)^2+((C134-'Hybrid Calculator'!$B$8)/1300)^2+((D134-'Hybrid Calculator'!$B$9)/800)^2+((E134-'Hybrid Calculator'!$B$10)/350)^2+((F134-'Hybrid Calculator'!$B$11)/30)^2+(G134-'Hybrid Calculator'!$B$12)^2+((H134-'Hybrid Calculator'!$E$14)/IF(A134="Lightning",100,30000))^2+((I134-'Hybrid Calculator'!$E$17)/IF(A134="Lightning",100,30000))^2</x:f>
        <x:v>0.25021870432097776</x:v>
      </x:c>
      <x:c r="K134" s="23" t="n">
        <x:f>RANK(J134,$J$2:$J$1401,1)</x:f>
        <x:v>542</x:v>
      </x:c>
      <x:c r="L134" s="23" t="n">
        <x:f>IF(K134&lt;=7,1,0)</x:f>
        <x:v>0</x:v>
      </x:c>
      <x:c r="M134" s="23" t="n">
        <x:f>IF(L134=1,1/(J134+0.000001),0)</x:f>
        <x:v>0</x:v>
      </x:c>
      <x:c r="N134" s="23" t="n">
        <x:v>-0.011949708734717568</x:v>
      </x:c>
      <x:c r="O134" s="23" t="n">
        <x:f>M134</x:f>
        <x:v>0</x:v>
      </x:c>
      <x:c r="P134" s="23" t="n">
        <x:v>1.2809166579250402</x:v>
      </x:c>
      <x:c r="Q134" s="23" t="n">
        <x:v>-17.39577430410941</x:v>
      </x:c>
    </x:row>
    <x:row r="135">
      <x:c r="A135" s="23" t="str">
        <x:v>Lightning</x:v>
      </x:c>
      <x:c r="B135" s="23" t="n">
        <x:v>1461.9599853060208</x:v>
      </x:c>
      <x:c r="C135" s="23" t="n">
        <x:v>946.4573677163571</x:v>
      </x:c>
      <x:c r="D135" s="23" t="n">
        <x:v>721.349077951163</x:v>
      </x:c>
      <x:c r="E135" s="23" t="n">
        <x:v>279.00240551214665</x:v>
      </x:c>
      <x:c r="F135" s="23" t="n">
        <x:v>11.348584722261876</x:v>
      </x:c>
      <x:c r="G135" s="23" t="n">
        <x:v>0.8542037402093411</x:v>
      </x:c>
      <x:c r="H135" s="23" t="n">
        <x:v>40</x:v>
      </x:c>
      <x:c r="I135" s="23" t="n">
        <x:v>25</x:v>
      </x:c>
      <x:c r="J135" s="23" t="n">
        <x:f>(IF(A135='Hybrid Calculator'!$B$6,0,1))^2+((B135-'Hybrid Calculator'!$B$7)/1500)^2+((C135-'Hybrid Calculator'!$B$8)/1300)^2+((D135-'Hybrid Calculator'!$B$9)/800)^2+((E135-'Hybrid Calculator'!$B$10)/350)^2+((F135-'Hybrid Calculator'!$B$11)/30)^2+(G135-'Hybrid Calculator'!$B$12)^2+((H135-'Hybrid Calculator'!$E$14)/IF(A135="Lightning",100,30000))^2+((I135-'Hybrid Calculator'!$E$17)/IF(A135="Lightning",100,30000))^2</x:f>
        <x:v>0.2865129308430967</x:v>
      </x:c>
      <x:c r="K135" s="23" t="n">
        <x:f>RANK(J135,$J$2:$J$1401,1)</x:f>
        <x:v>590</x:v>
      </x:c>
      <x:c r="L135" s="23" t="n">
        <x:f>IF(K135&lt;=7,1,0)</x:f>
        <x:v>0</x:v>
      </x:c>
      <x:c r="M135" s="23" t="n">
        <x:f>IF(L135=1,1/(J135+0.000001),0)</x:f>
        <x:v>0</x:v>
      </x:c>
      <x:c r="N135" s="23" t="n">
        <x:v>0.011160763757498193</x:v>
      </x:c>
      <x:c r="O135" s="23" t="n">
        <x:f>M135</x:f>
        <x:v>0</x:v>
      </x:c>
      <x:c r="P135" s="23" t="n">
        <x:v>1.0018288916922558</x:v>
      </x:c>
      <x:c r="Q135" s="23" t="n">
        <x:v>1.8610207523188365</x:v>
      </x:c>
    </x:row>
    <x:row r="136">
      <x:c r="A136" s="23" t="str">
        <x:v>Lightning</x:v>
      </x:c>
      <x:c r="B136" s="23" t="n">
        <x:v>1458.6332510691136</x:v>
      </x:c>
      <x:c r="C136" s="23" t="n">
        <x:v>806.4660531352274</x:v>
      </x:c>
      <x:c r="D136" s="23" t="n">
        <x:v>387.25482877343893</x:v>
      </x:c>
      <x:c r="E136" s="23" t="n">
        <x:v>135.18206098349765</x:v>
      </x:c>
      <x:c r="F136" s="23" t="n">
        <x:v>28.158648367971182</x:v>
      </x:c>
      <x:c r="G136" s="23" t="n">
        <x:v>0.8007169765629806</x:v>
      </x:c>
      <x:c r="H136" s="23" t="n">
        <x:v>50</x:v>
      </x:c>
      <x:c r="I136" s="23" t="n">
        <x:v>25</x:v>
      </x:c>
      <x:c r="J136" s="23" t="n">
        <x:f>(IF(A136='Hybrid Calculator'!$B$6,0,1))^2+((B136-'Hybrid Calculator'!$B$7)/1500)^2+((C136-'Hybrid Calculator'!$B$8)/1300)^2+((D136-'Hybrid Calculator'!$B$9)/800)^2+((E136-'Hybrid Calculator'!$B$10)/350)^2+((F136-'Hybrid Calculator'!$B$11)/30)^2+(G136-'Hybrid Calculator'!$B$12)^2+((H136-'Hybrid Calculator'!$E$14)/IF(A136="Lightning",100,30000))^2+((I136-'Hybrid Calculator'!$E$17)/IF(A136="Lightning",100,30000))^2</x:f>
        <x:v>0.12730509484348987</x:v>
      </x:c>
      <x:c r="K136" s="23" t="n">
        <x:f>RANK(J136,$J$2:$J$1401,1)</x:f>
        <x:v>271</x:v>
      </x:c>
      <x:c r="L136" s="23" t="n">
        <x:f>IF(K136&lt;=7,1,0)</x:f>
        <x:v>0</x:v>
      </x:c>
      <x:c r="M136" s="23" t="n">
        <x:f>IF(L136=1,1/(J136+0.000001),0)</x:f>
        <x:v>0</x:v>
      </x:c>
      <x:c r="N136" s="23" t="n">
        <x:v>-0.013734622736362612</x:v>
      </x:c>
      <x:c r="O136" s="23" t="n">
        <x:f>M136</x:f>
        <x:v>0</x:v>
      </x:c>
      <x:c r="P136" s="23" t="n">
        <x:v>0.1381214153821233</x:v>
      </x:c>
      <x:c r="Q136" s="23" t="n">
        <x:v>-1.3405995748762507</x:v>
      </x:c>
    </x:row>
    <x:row r="137">
      <x:c r="A137" s="23" t="str">
        <x:v>Lightning</x:v>
      </x:c>
      <x:c r="B137" s="23" t="n">
        <x:v>1385.8171846834011</x:v>
      </x:c>
      <x:c r="C137" s="23" t="n">
        <x:v>967.2297815559432</x:v>
      </x:c>
      <x:c r="D137" s="23" t="n">
        <x:v>384.2083622701466</x:v>
      </x:c>
      <x:c r="E137" s="23" t="n">
        <x:v>310.3968155756593</x:v>
      </x:c>
      <x:c r="F137" s="23" t="n">
        <x:v>14.024749937001616</x:v>
      </x:c>
      <x:c r="G137" s="23" t="n">
        <x:v>0.8029894005088136</x:v>
      </x:c>
      <x:c r="H137" s="23" t="n">
        <x:v>45</x:v>
      </x:c>
      <x:c r="I137" s="23" t="n">
        <x:v>25</x:v>
      </x:c>
      <x:c r="J137" s="23" t="n">
        <x:f>(IF(A137='Hybrid Calculator'!$B$6,0,1))^2+((B137-'Hybrid Calculator'!$B$7)/1500)^2+((C137-'Hybrid Calculator'!$B$8)/1300)^2+((D137-'Hybrid Calculator'!$B$9)/800)^2+((E137-'Hybrid Calculator'!$B$10)/350)^2+((F137-'Hybrid Calculator'!$B$11)/30)^2+(G137-'Hybrid Calculator'!$B$12)^2+((H137-'Hybrid Calculator'!$E$14)/IF(A137="Lightning",100,30000))^2+((I137-'Hybrid Calculator'!$E$17)/IF(A137="Lightning",100,30000))^2</x:f>
        <x:v>0.2648237345696975</x:v>
      </x:c>
      <x:c r="K137" s="23" t="n">
        <x:f>RANK(J137,$J$2:$J$1401,1)</x:f>
        <x:v>563</x:v>
      </x:c>
      <x:c r="L137" s="23" t="n">
        <x:f>IF(K137&lt;=7,1,0)</x:f>
        <x:v>0</x:v>
      </x:c>
      <x:c r="M137" s="23" t="n">
        <x:f>IF(L137=1,1/(J137+0.000001),0)</x:f>
        <x:v>0</x:v>
      </x:c>
      <x:c r="N137" s="23" t="n">
        <x:v>-0.000018880698797962836</x:v>
      </x:c>
      <x:c r="O137" s="23" t="n">
        <x:f>M137</x:f>
        <x:v>0</x:v>
      </x:c>
      <x:c r="P137" s="23" t="n">
        <x:v>0.4651038141227062</x:v>
      </x:c>
      <x:c r="Q137" s="23" t="n">
        <x:v>-1.2013640492175455</x:v>
      </x:c>
    </x:row>
    <x:row r="138">
      <x:c r="A138" s="23" t="str">
        <x:v>Lightning</x:v>
      </x:c>
      <x:c r="B138" s="23" t="n">
        <x:v>1370.1114408904687</x:v>
      </x:c>
      <x:c r="C138" s="23" t="n">
        <x:v>953.4197474946268</x:v>
      </x:c>
      <x:c r="D138" s="23" t="n">
        <x:v>447.62626215815544</x:v>
      </x:c>
      <x:c r="E138" s="23" t="n">
        <x:v>235.27874551480636</x:v>
      </x:c>
      <x:c r="F138" s="23" t="n">
        <x:v>22.334762311540544</x:v>
      </x:c>
      <x:c r="G138" s="23" t="n">
        <x:v>0.8327321759029291</x:v>
      </x:c>
      <x:c r="H138" s="23" t="n">
        <x:v>45</x:v>
      </x:c>
      <x:c r="I138" s="23" t="n">
        <x:v>25</x:v>
      </x:c>
      <x:c r="J138" s="23" t="n">
        <x:f>(IF(A138='Hybrid Calculator'!$B$6,0,1))^2+((B138-'Hybrid Calculator'!$B$7)/1500)^2+((C138-'Hybrid Calculator'!$B$8)/1300)^2+((D138-'Hybrid Calculator'!$B$9)/800)^2+((E138-'Hybrid Calculator'!$B$10)/350)^2+((F138-'Hybrid Calculator'!$B$11)/30)^2+(G138-'Hybrid Calculator'!$B$12)^2+((H138-'Hybrid Calculator'!$E$14)/IF(A138="Lightning",100,30000))^2+((I138-'Hybrid Calculator'!$E$17)/IF(A138="Lightning",100,30000))^2</x:f>
        <x:v>0.09032223639399224</x:v>
      </x:c>
      <x:c r="K138" s="23" t="n">
        <x:f>RANK(J138,$J$2:$J$1401,1)</x:f>
        <x:v>175</x:v>
      </x:c>
      <x:c r="L138" s="23" t="n">
        <x:f>IF(K138&lt;=7,1,0)</x:f>
        <x:v>0</x:v>
      </x:c>
      <x:c r="M138" s="23" t="n">
        <x:f>IF(L138=1,1/(J138+0.000001),0)</x:f>
        <x:v>0</x:v>
      </x:c>
      <x:c r="N138" s="23" t="n">
        <x:v>0.000004866437216977104</x:v>
      </x:c>
      <x:c r="O138" s="23" t="n">
        <x:f>M138</x:f>
        <x:v>0</x:v>
      </x:c>
      <x:c r="P138" s="23" t="n">
        <x:v>-0.32204568613463636</x:v>
      </x:c>
      <x:c r="Q138" s="23" t="n">
        <x:v>1.3881924641309524</x:v>
      </x:c>
    </x:row>
    <x:row r="139">
      <x:c r="A139" s="23" t="str">
        <x:v>Lightning</x:v>
      </x:c>
      <x:c r="B139" s="23" t="n">
        <x:v>1353.8747573154978</x:v>
      </x:c>
      <x:c r="C139" s="23" t="n">
        <x:v>1101.9333582371473</x:v>
      </x:c>
      <x:c r="D139" s="23" t="n">
        <x:v>366.3469969294965</x:v>
      </x:c>
      <x:c r="E139" s="23" t="n">
        <x:v>129.68203708995134</x:v>
      </x:c>
      <x:c r="F139" s="23" t="n">
        <x:v>12.55876471241936</x:v>
      </x:c>
      <x:c r="G139" s="23" t="n">
        <x:v>0.8187204757612199</x:v>
      </x:c>
      <x:c r="H139" s="23" t="n">
        <x:v>45</x:v>
      </x:c>
      <x:c r="I139" s="23" t="n">
        <x:v>25</x:v>
      </x:c>
      <x:c r="J139" s="23" t="n">
        <x:f>(IF(A139='Hybrid Calculator'!$B$6,0,1))^2+((B139-'Hybrid Calculator'!$B$7)/1500)^2+((C139-'Hybrid Calculator'!$B$8)/1300)^2+((D139-'Hybrid Calculator'!$B$9)/800)^2+((E139-'Hybrid Calculator'!$B$10)/350)^2+((F139-'Hybrid Calculator'!$B$11)/30)^2+(G139-'Hybrid Calculator'!$B$12)^2+((H139-'Hybrid Calculator'!$E$14)/IF(A139="Lightning",100,30000))^2+((I139-'Hybrid Calculator'!$E$17)/IF(A139="Lightning",100,30000))^2</x:f>
        <x:v>0.11280784928077763</x:v>
      </x:c>
      <x:c r="K139" s="23" t="n">
        <x:f>RANK(J139,$J$2:$J$1401,1)</x:f>
        <x:v>237</x:v>
      </x:c>
      <x:c r="L139" s="23" t="n">
        <x:f>IF(K139&lt;=7,1,0)</x:f>
        <x:v>0</x:v>
      </x:c>
      <x:c r="M139" s="23" t="n">
        <x:f>IF(L139=1,1/(J139+0.000001),0)</x:f>
        <x:v>0</x:v>
      </x:c>
      <x:c r="N139" s="23" t="n">
        <x:v>0.002090842355553013</x:v>
      </x:c>
      <x:c r="O139" s="23" t="n">
        <x:f>M139</x:f>
        <x:v>0</x:v>
      </x:c>
      <x:c r="P139" s="23" t="n">
        <x:v>0.9846545042748929</x:v>
      </x:c>
      <x:c r="Q139" s="23" t="n">
        <x:v>13.494858956933058</x:v>
      </x:c>
    </x:row>
    <x:row r="140">
      <x:c r="A140" s="23" t="str">
        <x:v>Lightning</x:v>
      </x:c>
      <x:c r="B140" s="23" t="n">
        <x:v>1417.5664233975112</x:v>
      </x:c>
      <x:c r="C140" s="23" t="n">
        <x:v>974.0357327624224</x:v>
      </x:c>
      <x:c r="D140" s="23" t="n">
        <x:v>677.0895713940263</x:v>
      </x:c>
      <x:c r="E140" s="23" t="n">
        <x:v>119.53239420661703</x:v>
      </x:c>
      <x:c r="F140" s="23" t="n">
        <x:v>27.13857109285891</x:v>
      </x:c>
      <x:c r="G140" s="23" t="n">
        <x:v>0.8512240248476155</x:v>
      </x:c>
      <x:c r="H140" s="23" t="n">
        <x:v>40</x:v>
      </x:c>
      <x:c r="I140" s="23" t="n">
        <x:v>25</x:v>
      </x:c>
      <x:c r="J140" s="23" t="n">
        <x:f>(IF(A140='Hybrid Calculator'!$B$6,0,1))^2+((B140-'Hybrid Calculator'!$B$7)/1500)^2+((C140-'Hybrid Calculator'!$B$8)/1300)^2+((D140-'Hybrid Calculator'!$B$9)/800)^2+((E140-'Hybrid Calculator'!$B$10)/350)^2+((F140-'Hybrid Calculator'!$B$11)/30)^2+(G140-'Hybrid Calculator'!$B$12)^2+((H140-'Hybrid Calculator'!$E$14)/IF(A140="Lightning",100,30000))^2+((I140-'Hybrid Calculator'!$E$17)/IF(A140="Lightning",100,30000))^2</x:f>
        <x:v>0.15959840968743924</x:v>
      </x:c>
      <x:c r="K140" s="23" t="n">
        <x:f>RANK(J140,$J$2:$J$1401,1)</x:f>
        <x:v>351</x:v>
      </x:c>
      <x:c r="L140" s="23" t="n">
        <x:f>IF(K140&lt;=7,1,0)</x:f>
        <x:v>0</x:v>
      </x:c>
      <x:c r="M140" s="23" t="n">
        <x:f>IF(L140=1,1/(J140+0.000001),0)</x:f>
        <x:v>0</x:v>
      </x:c>
      <x:c r="N140" s="23" t="n">
        <x:v>0.009654961847311627</x:v>
      </x:c>
      <x:c r="O140" s="23" t="n">
        <x:f>M140</x:f>
        <x:v>0</x:v>
      </x:c>
      <x:c r="P140" s="23" t="n">
        <x:v>-0.6334097883007672</x:v>
      </x:c>
      <x:c r="Q140" s="23" t="n">
        <x:v>-23.23669209069476</x:v>
      </x:c>
    </x:row>
    <x:row r="141">
      <x:c r="A141" s="23" t="str">
        <x:v>Lightning</x:v>
      </x:c>
      <x:c r="B141" s="23" t="n">
        <x:v>1462.0071423822083</x:v>
      </x:c>
      <x:c r="C141" s="23" t="n">
        <x:v>1137.6970782177523</x:v>
      </x:c>
      <x:c r="D141" s="23" t="n">
        <x:v>370.03974551334977</x:v>
      </x:c>
      <x:c r="E141" s="23" t="n">
        <x:v>299.89237354137003</x:v>
      </x:c>
      <x:c r="F141" s="23" t="n">
        <x:v>22.26356291072443</x:v>
      </x:c>
      <x:c r="G141" s="23" t="n">
        <x:v>0.8353328558662907</x:v>
      </x:c>
      <x:c r="H141" s="23" t="n">
        <x:v>40</x:v>
      </x:c>
      <x:c r="I141" s="23" t="n">
        <x:v>25</x:v>
      </x:c>
      <x:c r="J141" s="23" t="n">
        <x:f>(IF(A141='Hybrid Calculator'!$B$6,0,1))^2+((B141-'Hybrid Calculator'!$B$7)/1500)^2+((C141-'Hybrid Calculator'!$B$8)/1300)^2+((D141-'Hybrid Calculator'!$B$9)/800)^2+((E141-'Hybrid Calculator'!$B$10)/350)^2+((F141-'Hybrid Calculator'!$B$11)/30)^2+(G141-'Hybrid Calculator'!$B$12)^2+((H141-'Hybrid Calculator'!$E$14)/IF(A141="Lightning",100,30000))^2+((I141-'Hybrid Calculator'!$E$17)/IF(A141="Lightning",100,30000))^2</x:f>
        <x:v>0.28535819917878946</x:v>
      </x:c>
      <x:c r="K141" s="23" t="n">
        <x:f>RANK(J141,$J$2:$J$1401,1)</x:f>
        <x:v>588</x:v>
      </x:c>
      <x:c r="L141" s="23" t="n">
        <x:f>IF(K141&lt;=7,1,0)</x:f>
        <x:v>0</x:v>
      </x:c>
      <x:c r="M141" s="23" t="n">
        <x:f>IF(L141=1,1/(J141+0.000001),0)</x:f>
        <x:v>0</x:v>
      </x:c>
      <x:c r="N141" s="23" t="n">
        <x:v>0.01389632114178263</x:v>
      </x:c>
      <x:c r="O141" s="23" t="n">
        <x:f>M141</x:f>
        <x:v>0</x:v>
      </x:c>
      <x:c r="P141" s="23" t="n">
        <x:v>0.3410476844786672</x:v>
      </x:c>
      <x:c r="Q141" s="23" t="n">
        <x:v>-3.053859186251657</x:v>
      </x:c>
    </x:row>
    <x:row r="142">
      <x:c r="A142" s="23" t="str">
        <x:v>Lightning</x:v>
      </x:c>
      <x:c r="B142" s="23" t="n">
        <x:v>1369.948504306376</x:v>
      </x:c>
      <x:c r="C142" s="23" t="n">
        <x:v>901.3433210900985</x:v>
      </x:c>
      <x:c r="D142" s="23" t="n">
        <x:v>562.2964175418019</x:v>
      </x:c>
      <x:c r="E142" s="23" t="n">
        <x:v>323.0224731215276</x:v>
      </x:c>
      <x:c r="F142" s="23" t="n">
        <x:v>11.615885144099593</x:v>
      </x:c>
      <x:c r="G142" s="23" t="n">
        <x:v>0.8549503838387318</x:v>
      </x:c>
      <x:c r="H142" s="23" t="n">
        <x:v>40</x:v>
      </x:c>
      <x:c r="I142" s="23" t="n">
        <x:v>25</x:v>
      </x:c>
      <x:c r="J142" s="23" t="n">
        <x:f>(IF(A142='Hybrid Calculator'!$B$6,0,1))^2+((B142-'Hybrid Calculator'!$B$7)/1500)^2+((C142-'Hybrid Calculator'!$B$8)/1300)^2+((D142-'Hybrid Calculator'!$B$9)/800)^2+((E142-'Hybrid Calculator'!$B$10)/350)^2+((F142-'Hybrid Calculator'!$B$11)/30)^2+(G142-'Hybrid Calculator'!$B$12)^2+((H142-'Hybrid Calculator'!$E$14)/IF(A142="Lightning",100,30000))^2+((I142-'Hybrid Calculator'!$E$17)/IF(A142="Lightning",100,30000))^2</x:f>
        <x:v>0.31723070959811517</x:v>
      </x:c>
      <x:c r="K142" s="23" t="n">
        <x:f>RANK(J142,$J$2:$J$1401,1)</x:f>
        <x:v>620</x:v>
      </x:c>
      <x:c r="L142" s="23" t="n">
        <x:f>IF(K142&lt;=7,1,0)</x:f>
        <x:v>0</x:v>
      </x:c>
      <x:c r="M142" s="23" t="n">
        <x:f>IF(L142=1,1/(J142+0.000001),0)</x:f>
        <x:v>0</x:v>
      </x:c>
      <x:c r="N142" s="23" t="n">
        <x:v>0.01714500962997345</x:v>
      </x:c>
      <x:c r="O142" s="23" t="n">
        <x:f>M142</x:f>
        <x:v>0</x:v>
      </x:c>
      <x:c r="P142" s="23" t="n">
        <x:v>0.826913188340086</x:v>
      </x:c>
      <x:c r="Q142" s="23" t="n">
        <x:v>-0.3026431956823217</x:v>
      </x:c>
    </x:row>
    <x:row r="143">
      <x:c r="A143" s="23" t="str">
        <x:v>Lightning</x:v>
      </x:c>
      <x:c r="B143" s="23" t="n">
        <x:v>1439.8900919244625</x:v>
      </x:c>
      <x:c r="C143" s="23" t="n">
        <x:v>992.9066345328465</x:v>
      </x:c>
      <x:c r="D143" s="23" t="n">
        <x:v>577.2553653456271</x:v>
      </x:c>
      <x:c r="E143" s="23" t="n">
        <x:v>287.143199397251</x:v>
      </x:c>
      <x:c r="F143" s="23" t="n">
        <x:v>16.18344581546262</x:v>
      </x:c>
      <x:c r="G143" s="23" t="n">
        <x:v>0.8324437946500257</x:v>
      </x:c>
      <x:c r="H143" s="23" t="n">
        <x:v>40</x:v>
      </x:c>
      <x:c r="I143" s="23" t="n">
        <x:v>25</x:v>
      </x:c>
      <x:c r="J143" s="23" t="n">
        <x:f>(IF(A143='Hybrid Calculator'!$B$6,0,1))^2+((B143-'Hybrid Calculator'!$B$7)/1500)^2+((C143-'Hybrid Calculator'!$B$8)/1300)^2+((D143-'Hybrid Calculator'!$B$9)/800)^2+((E143-'Hybrid Calculator'!$B$10)/350)^2+((F143-'Hybrid Calculator'!$B$11)/30)^2+(G143-'Hybrid Calculator'!$B$12)^2+((H143-'Hybrid Calculator'!$E$14)/IF(A143="Lightning",100,30000))^2+((I143-'Hybrid Calculator'!$E$17)/IF(A143="Lightning",100,30000))^2</x:f>
        <x:v>0.19116269001188813</x:v>
      </x:c>
      <x:c r="K143" s="23" t="n">
        <x:f>RANK(J143,$J$2:$J$1401,1)</x:f>
        <x:v>426</x:v>
      </x:c>
      <x:c r="L143" s="23" t="n">
        <x:f>IF(K143&lt;=7,1,0)</x:f>
        <x:v>0</x:v>
      </x:c>
      <x:c r="M143" s="23" t="n">
        <x:f>IF(L143=1,1/(J143+0.000001),0)</x:f>
        <x:v>0</x:v>
      </x:c>
      <x:c r="N143" s="23" t="n">
        <x:v>0.0013467172615675427</x:v>
      </x:c>
      <x:c r="O143" s="23" t="n">
        <x:f>M143</x:f>
        <x:v>0</x:v>
      </x:c>
      <x:c r="P143" s="23" t="n">
        <x:v>0.11232364238306758</x:v>
      </x:c>
      <x:c r="Q143" s="23" t="n">
        <x:v>5.549812587560609</x:v>
      </x:c>
    </x:row>
    <x:row r="144">
      <x:c r="A144" s="23" t="str">
        <x:v>Lightning</x:v>
      </x:c>
      <x:c r="B144" s="23" t="n">
        <x:v>1378.5808498738334</x:v>
      </x:c>
      <x:c r="C144" s="23" t="n">
        <x:v>706.367899721954</x:v>
      </x:c>
      <x:c r="D144" s="23" t="n">
        <x:v>738.756226375699</x:v>
      </x:c>
      <x:c r="E144" s="23" t="n">
        <x:v>175.0844997423701</x:v>
      </x:c>
      <x:c r="F144" s="23" t="n">
        <x:v>15.563658238388598</x:v>
      </x:c>
      <x:c r="G144" s="23" t="n">
        <x:v>0.8136178383114748</x:v>
      </x:c>
      <x:c r="H144" s="23" t="n">
        <x:v>45</x:v>
      </x:c>
      <x:c r="I144" s="23" t="n">
        <x:v>25</x:v>
      </x:c>
      <x:c r="J144" s="23" t="n">
        <x:f>(IF(A144='Hybrid Calculator'!$B$6,0,1))^2+((B144-'Hybrid Calculator'!$B$7)/1500)^2+((C144-'Hybrid Calculator'!$B$8)/1300)^2+((D144-'Hybrid Calculator'!$B$9)/800)^2+((E144-'Hybrid Calculator'!$B$10)/350)^2+((F144-'Hybrid Calculator'!$B$11)/30)^2+(G144-'Hybrid Calculator'!$B$12)^2+((H144-'Hybrid Calculator'!$E$14)/IF(A144="Lightning",100,30000))^2+((I144-'Hybrid Calculator'!$E$17)/IF(A144="Lightning",100,30000))^2</x:f>
        <x:v>0.11949189043526645</x:v>
      </x:c>
      <x:c r="K144" s="23" t="n">
        <x:f>RANK(J144,$J$2:$J$1401,1)</x:f>
        <x:v>249</x:v>
      </x:c>
      <x:c r="L144" s="23" t="n">
        <x:f>IF(K144&lt;=7,1,0)</x:f>
        <x:v>0</x:v>
      </x:c>
      <x:c r="M144" s="23" t="n">
        <x:f>IF(L144=1,1/(J144+0.000001),0)</x:f>
        <x:v>0</x:v>
      </x:c>
      <x:c r="N144" s="23" t="n">
        <x:v>-0.005699199774035879</x:v>
      </x:c>
      <x:c r="O144" s="23" t="n">
        <x:f>M144</x:f>
        <x:v>0</x:v>
      </x:c>
      <x:c r="P144" s="23" t="n">
        <x:v>0.37090005232695944</x:v>
      </x:c>
      <x:c r="Q144" s="23" t="n">
        <x:v>6.356010098467323</x:v>
      </x:c>
    </x:row>
    <x:row r="145">
      <x:c r="A145" s="23" t="str">
        <x:v>Lightning</x:v>
      </x:c>
      <x:c r="B145" s="23" t="n">
        <x:v>1405.5151949054562</x:v>
      </x:c>
      <x:c r="C145" s="23" t="n">
        <x:v>665.9108681138605</x:v>
      </x:c>
      <x:c r="D145" s="23" t="n">
        <x:v>467.65624983236194</x:v>
      </x:c>
      <x:c r="E145" s="23" t="n">
        <x:v>244.79962586890906</x:v>
      </x:c>
      <x:c r="F145" s="23" t="n">
        <x:v>21.75144663779065</x:v>
      </x:c>
      <x:c r="G145" s="23" t="n">
        <x:v>0.8469808396324516</x:v>
      </x:c>
      <x:c r="H145" s="23" t="n">
        <x:v>55</x:v>
      </x:c>
      <x:c r="I145" s="23" t="n">
        <x:v>25</x:v>
      </x:c>
      <x:c r="J145" s="23" t="n">
        <x:f>(IF(A145='Hybrid Calculator'!$B$6,0,1))^2+((B145-'Hybrid Calculator'!$B$7)/1500)^2+((C145-'Hybrid Calculator'!$B$8)/1300)^2+((D145-'Hybrid Calculator'!$B$9)/800)^2+((E145-'Hybrid Calculator'!$B$10)/350)^2+((F145-'Hybrid Calculator'!$B$11)/30)^2+(G145-'Hybrid Calculator'!$B$12)^2+((H145-'Hybrid Calculator'!$E$14)/IF(A145="Lightning",100,30000))^2+((I145-'Hybrid Calculator'!$E$17)/IF(A145="Lightning",100,30000))^2</x:f>
        <x:v>0.11019338562600747</x:v>
      </x:c>
      <x:c r="K145" s="23" t="n">
        <x:f>RANK(J145,$J$2:$J$1401,1)</x:f>
        <x:v>228</x:v>
      </x:c>
      <x:c r="L145" s="23" t="n">
        <x:f>IF(K145&lt;=7,1,0)</x:f>
        <x:v>0</x:v>
      </x:c>
      <x:c r="M145" s="23" t="n">
        <x:f>IF(L145=1,1/(J145+0.000001),0)</x:f>
        <x:v>0</x:v>
      </x:c>
      <x:c r="N145" s="23" t="n">
        <x:v>-0.0070154099112833546</x:v>
      </x:c>
      <x:c r="O145" s="23" t="n">
        <x:f>M145</x:f>
        <x:v>0</x:v>
      </x:c>
      <x:c r="P145" s="23" t="n">
        <x:v>0.355519013913721</x:v>
      </x:c>
      <x:c r="Q145" s="23" t="n">
        <x:v>4.066250281930934</x:v>
      </x:c>
    </x:row>
    <x:row r="146">
      <x:c r="A146" s="23" t="str">
        <x:v>Lightning</x:v>
      </x:c>
      <x:c r="B146" s="23" t="n">
        <x:v>1436.4093595650047</x:v>
      </x:c>
      <x:c r="C146" s="23" t="n">
        <x:v>923.4405866707675</x:v>
      </x:c>
      <x:c r="D146" s="23" t="n">
        <x:v>501.36759486049414</x:v>
      </x:c>
      <x:c r="E146" s="23" t="n">
        <x:v>105.163970713038</x:v>
      </x:c>
      <x:c r="F146" s="23" t="n">
        <x:v>18.328393924981356</x:v>
      </x:c>
      <x:c r="G146" s="23" t="n">
        <x:v>0.8507456022524276</x:v>
      </x:c>
      <x:c r="H146" s="23" t="n">
        <x:v>50</x:v>
      </x:c>
      <x:c r="I146" s="23" t="n">
        <x:v>25</x:v>
      </x:c>
      <x:c r="J146" s="23" t="n">
        <x:f>(IF(A146='Hybrid Calculator'!$B$6,0,1))^2+((B146-'Hybrid Calculator'!$B$7)/1500)^2+((C146-'Hybrid Calculator'!$B$8)/1300)^2+((D146-'Hybrid Calculator'!$B$9)/800)^2+((E146-'Hybrid Calculator'!$B$10)/350)^2+((F146-'Hybrid Calculator'!$B$11)/30)^2+(G146-'Hybrid Calculator'!$B$12)^2+((H146-'Hybrid Calculator'!$E$14)/IF(A146="Lightning",100,30000))^2+((I146-'Hybrid Calculator'!$E$17)/IF(A146="Lightning",100,30000))^2</x:f>
        <x:v>0.02064058528891974</x:v>
      </x:c>
      <x:c r="K146" s="23" t="n">
        <x:f>RANK(J146,$J$2:$J$1401,1)</x:f>
        <x:v>7</x:v>
      </x:c>
      <x:c r="L146" s="23" t="n">
        <x:f>IF(K146&lt;=7,1,0)</x:f>
        <x:v>1</x:v>
      </x:c>
      <x:c r="M146" s="23" t="n">
        <x:f>IF(L146=1,1/(J146+0.000001),0)</x:f>
        <x:v>48.44589143726248</x:v>
      </x:c>
      <x:c r="N146" s="23" t="n">
        <x:v>0.0005521954507612392</x:v>
      </x:c>
      <x:c r="O146" s="23" t="n">
        <x:f>M146</x:f>
        <x:v>48.44589143726248</x:v>
      </x:c>
      <x:c r="P146" s="23" t="n">
        <x:v>0.5063774704106265</x:v>
      </x:c>
      <x:c r="Q146" s="23" t="n">
        <x:v>11.090663177801162</x:v>
      </x:c>
    </x:row>
    <x:row r="147">
      <x:c r="A147" s="23" t="str">
        <x:v>Lightning</x:v>
      </x:c>
      <x:c r="B147" s="23" t="n">
        <x:v>1469.237993855495</x:v>
      </x:c>
      <x:c r="C147" s="23" t="n">
        <x:v>847.5742262555286</x:v>
      </x:c>
      <x:c r="D147" s="23" t="n">
        <x:v>437.632102239877</x:v>
      </x:c>
      <x:c r="E147" s="23" t="n">
        <x:v>279.63001273572445</x:v>
      </x:c>
      <x:c r="F147" s="23" t="n">
        <x:v>26.125001395586878</x:v>
      </x:c>
      <x:c r="G147" s="23" t="n">
        <x:v>0.8572683602524922</x:v>
      </x:c>
      <x:c r="H147" s="23" t="n">
        <x:v>45</x:v>
      </x:c>
      <x:c r="I147" s="23" t="n">
        <x:v>25</x:v>
      </x:c>
      <x:c r="J147" s="23" t="n">
        <x:f>(IF(A147='Hybrid Calculator'!$B$6,0,1))^2+((B147-'Hybrid Calculator'!$B$7)/1500)^2+((C147-'Hybrid Calculator'!$B$8)/1300)^2+((D147-'Hybrid Calculator'!$B$9)/800)^2+((E147-'Hybrid Calculator'!$B$10)/350)^2+((F147-'Hybrid Calculator'!$B$11)/30)^2+(G147-'Hybrid Calculator'!$B$12)^2+((H147-'Hybrid Calculator'!$E$14)/IF(A147="Lightning",100,30000))^2+((I147-'Hybrid Calculator'!$E$17)/IF(A147="Lightning",100,30000))^2</x:f>
        <x:v>0.2126156722003066</x:v>
      </x:c>
      <x:c r="K147" s="23" t="n">
        <x:f>RANK(J147,$J$2:$J$1401,1)</x:f>
        <x:v>474</x:v>
      </x:c>
      <x:c r="L147" s="23" t="n">
        <x:f>IF(K147&lt;=7,1,0)</x:f>
        <x:v>0</x:v>
      </x:c>
      <x:c r="M147" s="23" t="n">
        <x:f>IF(L147=1,1/(J147+0.000001),0)</x:f>
        <x:v>0</x:v>
      </x:c>
      <x:c r="N147" s="23" t="n">
        <x:v>0.00021814918040585773</x:v>
      </x:c>
      <x:c r="O147" s="23" t="n">
        <x:f>M147</x:f>
        <x:v>0</x:v>
      </x:c>
      <x:c r="P147" s="23" t="n">
        <x:v>-0.966643872353437</x:v>
      </x:c>
      <x:c r="Q147" s="23" t="n">
        <x:v>-2.517331988550268</x:v>
      </x:c>
    </x:row>
    <x:row r="148">
      <x:c r="A148" s="23" t="str">
        <x:v>Lightning</x:v>
      </x:c>
      <x:c r="B148" s="23" t="n">
        <x:v>1396.8644401291385</x:v>
      </x:c>
      <x:c r="C148" s="23" t="n">
        <x:v>676.3366510276683</x:v>
      </x:c>
      <x:c r="D148" s="23" t="n">
        <x:v>637.6898534595966</x:v>
      </x:c>
      <x:c r="E148" s="23" t="n">
        <x:v>234.84814014052972</x:v>
      </x:c>
      <x:c r="F148" s="23" t="n">
        <x:v>22.03462794329971</x:v>
      </x:c>
      <x:c r="G148" s="23" t="n">
        <x:v>0.8163162338524126</x:v>
      </x:c>
      <x:c r="H148" s="23" t="n">
        <x:v>45</x:v>
      </x:c>
      <x:c r="I148" s="23" t="n">
        <x:v>25</x:v>
      </x:c>
      <x:c r="J148" s="23" t="n">
        <x:f>(IF(A148='Hybrid Calculator'!$B$6,0,1))^2+((B148-'Hybrid Calculator'!$B$7)/1500)^2+((C148-'Hybrid Calculator'!$B$8)/1300)^2+((D148-'Hybrid Calculator'!$B$9)/800)^2+((E148-'Hybrid Calculator'!$B$10)/350)^2+((F148-'Hybrid Calculator'!$B$11)/30)^2+(G148-'Hybrid Calculator'!$B$12)^2+((H148-'Hybrid Calculator'!$E$14)/IF(A148="Lightning",100,30000))^2+((I148-'Hybrid Calculator'!$E$17)/IF(A148="Lightning",100,30000))^2</x:f>
        <x:v>0.12298439170410155</x:v>
      </x:c>
      <x:c r="K148" s="23" t="n">
        <x:f>RANK(J148,$J$2:$J$1401,1)</x:f>
        <x:v>261</x:v>
      </x:c>
      <x:c r="L148" s="23" t="n">
        <x:f>IF(K148&lt;=7,1,0)</x:f>
        <x:v>0</x:v>
      </x:c>
      <x:c r="M148" s="23" t="n">
        <x:f>IF(L148=1,1/(J148+0.000001),0)</x:f>
        <x:v>0</x:v>
      </x:c>
      <x:c r="N148" s="23" t="n">
        <x:v>-0.01482205699695327</x:v>
      </x:c>
      <x:c r="O148" s="23" t="n">
        <x:f>M148</x:f>
        <x:v>0</x:v>
      </x:c>
      <x:c r="P148" s="23" t="n">
        <x:v>-0.1760198327009448</x:v>
      </x:c>
      <x:c r="Q148" s="23" t="n">
        <x:v>-8.129124155265345</x:v>
      </x:c>
    </x:row>
    <x:row r="149">
      <x:c r="A149" s="23" t="str">
        <x:v>Lightning</x:v>
      </x:c>
      <x:c r="B149" s="23" t="n">
        <x:v>1416.7662471416406</x:v>
      </x:c>
      <x:c r="C149" s="23" t="n">
        <x:v>699.3790863081813</x:v>
      </x:c>
      <x:c r="D149" s="23" t="n">
        <x:v>735.89618941769</x:v>
      </x:c>
      <x:c r="E149" s="23" t="n">
        <x:v>298.19854353088886</x:v>
      </x:c>
      <x:c r="F149" s="23" t="n">
        <x:v>29.09252164652571</x:v>
      </x:c>
      <x:c r="G149" s="23" t="n">
        <x:v>0.8052319319453091</x:v>
      </x:c>
      <x:c r="H149" s="23" t="n">
        <x:v>40</x:v>
      </x:c>
      <x:c r="I149" s="23" t="n">
        <x:v>25</x:v>
      </x:c>
      <x:c r="J149" s="23" t="n">
        <x:f>(IF(A149='Hybrid Calculator'!$B$6,0,1))^2+((B149-'Hybrid Calculator'!$B$7)/1500)^2+((C149-'Hybrid Calculator'!$B$8)/1300)^2+((D149-'Hybrid Calculator'!$B$9)/800)^2+((E149-'Hybrid Calculator'!$B$10)/350)^2+((F149-'Hybrid Calculator'!$B$11)/30)^2+(G149-'Hybrid Calculator'!$B$12)^2+((H149-'Hybrid Calculator'!$E$14)/IF(A149="Lightning",100,30000))^2+((I149-'Hybrid Calculator'!$E$17)/IF(A149="Lightning",100,30000))^2</x:f>
        <x:v>0.41457732317115553</x:v>
      </x:c>
      <x:c r="K149" s="23" t="n">
        <x:f>RANK(J149,$J$2:$J$1401,1)</x:f>
        <x:v>691</x:v>
      </x:c>
      <x:c r="L149" s="23" t="n">
        <x:f>IF(K149&lt;=7,1,0)</x:f>
        <x:v>0</x:v>
      </x:c>
      <x:c r="M149" s="23" t="n">
        <x:f>IF(L149=1,1/(J149+0.000001),0)</x:f>
        <x:v>0</x:v>
      </x:c>
      <x:c r="N149" s="23" t="n">
        <x:v>-0.008608107350135175</x:v>
      </x:c>
      <x:c r="O149" s="23" t="n">
        <x:f>M149</x:f>
        <x:v>0</x:v>
      </x:c>
      <x:c r="P149" s="23" t="n">
        <x:v>-0.8786958814690351</x:v>
      </x:c>
      <x:c r="Q149" s="23" t="n">
        <x:v>-12.505803599056435</x:v>
      </x:c>
    </x:row>
    <x:row r="150">
      <x:c r="A150" s="23" t="str">
        <x:v>Lightning</x:v>
      </x:c>
      <x:c r="B150" s="23" t="n">
        <x:v>1369.1361070610583</x:v>
      </x:c>
      <x:c r="C150" s="23" t="n">
        <x:v>877.4026838480495</x:v>
      </x:c>
      <x:c r="D150" s="23" t="n">
        <x:v>415.0931427255273</x:v>
      </x:c>
      <x:c r="E150" s="23" t="n">
        <x:v>116.13899840274826</x:v>
      </x:c>
      <x:c r="F150" s="23" t="n">
        <x:v>14.629332842305303</x:v>
      </x:c>
      <x:c r="G150" s="23" t="n">
        <x:v>0.7945908342977055</x:v>
      </x:c>
      <x:c r="H150" s="23" t="n">
        <x:v>55</x:v>
      </x:c>
      <x:c r="I150" s="23" t="n">
        <x:v>25</x:v>
      </x:c>
      <x:c r="J150" s="23" t="n">
        <x:f>(IF(A150='Hybrid Calculator'!$B$6,0,1))^2+((B150-'Hybrid Calculator'!$B$7)/1500)^2+((C150-'Hybrid Calculator'!$B$8)/1300)^2+((D150-'Hybrid Calculator'!$B$9)/800)^2+((E150-'Hybrid Calculator'!$B$10)/350)^2+((F150-'Hybrid Calculator'!$B$11)/30)^2+(G150-'Hybrid Calculator'!$B$12)^2+((H150-'Hybrid Calculator'!$E$14)/IF(A150="Lightning",100,30000))^2+((I150-'Hybrid Calculator'!$E$17)/IF(A150="Lightning",100,30000))^2</x:f>
        <x:v>0.04224776750852297</x:v>
      </x:c>
      <x:c r="K150" s="23" t="n">
        <x:f>RANK(J150,$J$2:$J$1401,1)</x:f>
        <x:v>37</x:v>
      </x:c>
      <x:c r="L150" s="23" t="n">
        <x:f>IF(K150&lt;=7,1,0)</x:f>
        <x:v>0</x:v>
      </x:c>
      <x:c r="M150" s="23" t="n">
        <x:f>IF(L150=1,1/(J150+0.000001),0)</x:f>
        <x:v>0</x:v>
      </x:c>
      <x:c r="N150" s="23" t="n">
        <x:v>-0.004498127481094905</x:v>
      </x:c>
      <x:c r="O150" s="23" t="n">
        <x:f>M150</x:f>
        <x:v>0</x:v>
      </x:c>
      <x:c r="P150" s="23" t="n">
        <x:v>-0.13989395051872577</x:v>
      </x:c>
      <x:c r="Q150" s="23" t="n">
        <x:v>7.286630826769851</x:v>
      </x:c>
    </x:row>
    <x:row r="151">
      <x:c r="A151" s="23" t="str">
        <x:v>Lightning</x:v>
      </x:c>
      <x:c r="B151" s="23" t="n">
        <x:v>1475.5599919357337</x:v>
      </x:c>
      <x:c r="C151" s="23" t="n">
        <x:v>950.9437666507438</x:v>
      </x:c>
      <x:c r="D151" s="23" t="n">
        <x:v>643.3098533190787</x:v>
      </x:c>
      <x:c r="E151" s="23" t="n">
        <x:v>128.76445536501706</x:v>
      </x:c>
      <x:c r="F151" s="23" t="n">
        <x:v>26.839343443978578</x:v>
      </x:c>
      <x:c r="G151" s="23" t="n">
        <x:v>0.8069895849609748</x:v>
      </x:c>
      <x:c r="H151" s="23" t="n">
        <x:v>35</x:v>
      </x:c>
      <x:c r="I151" s="23" t="n">
        <x:v>25</x:v>
      </x:c>
      <x:c r="J151" s="23" t="n">
        <x:f>(IF(A151='Hybrid Calculator'!$B$6,0,1))^2+((B151-'Hybrid Calculator'!$B$7)/1500)^2+((C151-'Hybrid Calculator'!$B$8)/1300)^2+((D151-'Hybrid Calculator'!$B$9)/800)^2+((E151-'Hybrid Calculator'!$B$10)/350)^2+((F151-'Hybrid Calculator'!$B$11)/30)^2+(G151-'Hybrid Calculator'!$B$12)^2+((H151-'Hybrid Calculator'!$E$14)/IF(A151="Lightning",100,30000))^2+((I151-'Hybrid Calculator'!$E$17)/IF(A151="Lightning",100,30000))^2</x:f>
        <x:v>0.14287800667038816</x:v>
      </x:c>
      <x:c r="K151" s="23" t="n">
        <x:f>RANK(J151,$J$2:$J$1401,1)</x:f>
        <x:v>309</x:v>
      </x:c>
      <x:c r="L151" s="23" t="n">
        <x:f>IF(K151&lt;=7,1,0)</x:f>
        <x:v>0</x:v>
      </x:c>
      <x:c r="M151" s="23" t="n">
        <x:f>IF(L151=1,1/(J151+0.000001),0)</x:f>
        <x:v>0</x:v>
      </x:c>
      <x:c r="N151" s="23" t="n">
        <x:v>-0.006115233067049752</x:v>
      </x:c>
      <x:c r="O151" s="23" t="n">
        <x:f>M151</x:f>
        <x:v>0</x:v>
      </x:c>
      <x:c r="P151" s="23" t="n">
        <x:v>-0.6178215761199368</x:v>
      </x:c>
      <x:c r="Q151" s="23" t="n">
        <x:v>-10.1058974486009</x:v>
      </x:c>
    </x:row>
    <x:row r="152">
      <x:c r="A152" s="23" t="str">
        <x:v>Lightning</x:v>
      </x:c>
      <x:c r="B152" s="23" t="n">
        <x:v>1453.591445996426</x:v>
      </x:c>
      <x:c r="C152" s="23" t="n">
        <x:v>760.5820536264218</x:v>
      </x:c>
      <x:c r="D152" s="23" t="n">
        <x:v>747.6964320987463</x:v>
      </x:c>
      <x:c r="E152" s="23" t="n">
        <x:v>172.54147176397964</x:v>
      </x:c>
      <x:c r="F152" s="23" t="n">
        <x:v>21.402833965606987</x:v>
      </x:c>
      <x:c r="G152" s="23" t="n">
        <x:v>0.8390003098244779</x:v>
      </x:c>
      <x:c r="H152" s="23" t="n">
        <x:v>45</x:v>
      </x:c>
      <x:c r="I152" s="23" t="n">
        <x:v>25</x:v>
      </x:c>
      <x:c r="J152" s="23" t="n">
        <x:f>(IF(A152='Hybrid Calculator'!$B$6,0,1))^2+((B152-'Hybrid Calculator'!$B$7)/1500)^2+((C152-'Hybrid Calculator'!$B$8)/1300)^2+((D152-'Hybrid Calculator'!$B$9)/800)^2+((E152-'Hybrid Calculator'!$B$10)/350)^2+((F152-'Hybrid Calculator'!$B$11)/30)^2+(G152-'Hybrid Calculator'!$B$12)^2+((H152-'Hybrid Calculator'!$E$14)/IF(A152="Lightning",100,30000))^2+((I152-'Hybrid Calculator'!$E$17)/IF(A152="Lightning",100,30000))^2</x:f>
        <x:v>0.11733093531344176</x:v>
      </x:c>
      <x:c r="K152" s="23" t="n">
        <x:f>RANK(J152,$J$2:$J$1401,1)</x:f>
        <x:v>244</x:v>
      </x:c>
      <x:c r="L152" s="23" t="n">
        <x:f>IF(K152&lt;=7,1,0)</x:f>
        <x:v>0</x:v>
      </x:c>
      <x:c r="M152" s="23" t="n">
        <x:f>IF(L152=1,1/(J152+0.000001),0)</x:f>
        <x:v>0</x:v>
      </x:c>
      <x:c r="N152" s="23" t="n">
        <x:v>-0.01032381623251788</x:v>
      </x:c>
      <x:c r="O152" s="23" t="n">
        <x:f>M152</x:f>
        <x:v>0</x:v>
      </x:c>
      <x:c r="P152" s="23" t="n">
        <x:v>-1.3947540657437898</x:v>
      </x:c>
      <x:c r="Q152" s="23" t="n">
        <x:v>1.9088643812679038</x:v>
      </x:c>
    </x:row>
    <x:row r="153">
      <x:c r="A153" s="23" t="str">
        <x:v>Lightning</x:v>
      </x:c>
      <x:c r="B153" s="23" t="n">
        <x:v>1356.2369359075092</x:v>
      </x:c>
      <x:c r="C153" s="23" t="n">
        <x:v>908.3237847778946</x:v>
      </x:c>
      <x:c r="D153" s="23" t="n">
        <x:v>412.3394506983459</x:v>
      </x:c>
      <x:c r="E153" s="23" t="n">
        <x:v>122.87553334143013</x:v>
      </x:c>
      <x:c r="F153" s="23" t="n">
        <x:v>26.141388073097914</x:v>
      </x:c>
      <x:c r="G153" s="23" t="n">
        <x:v>0.8446504913456738</x:v>
      </x:c>
      <x:c r="H153" s="23" t="n">
        <x:v>50</x:v>
      </x:c>
      <x:c r="I153" s="23" t="n">
        <x:v>25</x:v>
      </x:c>
      <x:c r="J153" s="23" t="n">
        <x:f>(IF(A153='Hybrid Calculator'!$B$6,0,1))^2+((B153-'Hybrid Calculator'!$B$7)/1500)^2+((C153-'Hybrid Calculator'!$B$8)/1300)^2+((D153-'Hybrid Calculator'!$B$9)/800)^2+((E153-'Hybrid Calculator'!$B$10)/350)^2+((F153-'Hybrid Calculator'!$B$11)/30)^2+(G153-'Hybrid Calculator'!$B$12)^2+((H153-'Hybrid Calculator'!$E$14)/IF(A153="Lightning",100,30000))^2+((I153-'Hybrid Calculator'!$E$17)/IF(A153="Lightning",100,30000))^2</x:f>
        <x:v>0.08761348302015143</x:v>
      </x:c>
      <x:c r="K153" s="23" t="n">
        <x:f>RANK(J153,$J$2:$J$1401,1)</x:f>
        <x:v>164</x:v>
      </x:c>
      <x:c r="L153" s="23" t="n">
        <x:f>IF(K153&lt;=7,1,0)</x:f>
        <x:v>0</x:v>
      </x:c>
      <x:c r="M153" s="23" t="n">
        <x:f>IF(L153=1,1/(J153+0.000001),0)</x:f>
        <x:v>0</x:v>
      </x:c>
      <x:c r="N153" s="23" t="n">
        <x:v>-0.012928199473891455</x:v>
      </x:c>
      <x:c r="O153" s="23" t="n">
        <x:f>M153</x:f>
        <x:v>0</x:v>
      </x:c>
      <x:c r="P153" s="23" t="n">
        <x:v>0.5305263466097827</x:v>
      </x:c>
      <x:c r="Q153" s="23" t="n">
        <x:v>3.46869146278641</x:v>
      </x:c>
    </x:row>
    <x:row r="154">
      <x:c r="A154" s="23" t="str">
        <x:v>Lightning</x:v>
      </x:c>
      <x:c r="B154" s="23" t="n">
        <x:v>1477.588039683178</x:v>
      </x:c>
      <x:c r="C154" s="23" t="n">
        <x:v>891.0432975622825</x:v>
      </x:c>
      <x:c r="D154" s="23" t="n">
        <x:v>410.50402503460646</x:v>
      </x:c>
      <x:c r="E154" s="23" t="n">
        <x:v>177.93619840638712</x:v>
      </x:c>
      <x:c r="F154" s="23" t="n">
        <x:v>13.250905856490135</x:v>
      </x:c>
      <x:c r="G154" s="23" t="n">
        <x:v>0.8576590397791006</x:v>
      </x:c>
      <x:c r="H154" s="23" t="n">
        <x:v>50</x:v>
      </x:c>
      <x:c r="I154" s="23" t="n">
        <x:v>25</x:v>
      </x:c>
      <x:c r="J154" s="23" t="n">
        <x:f>(IF(A154='Hybrid Calculator'!$B$6,0,1))^2+((B154-'Hybrid Calculator'!$B$7)/1500)^2+((C154-'Hybrid Calculator'!$B$8)/1300)^2+((D154-'Hybrid Calculator'!$B$9)/800)^2+((E154-'Hybrid Calculator'!$B$10)/350)^2+((F154-'Hybrid Calculator'!$B$11)/30)^2+(G154-'Hybrid Calculator'!$B$12)^2+((H154-'Hybrid Calculator'!$E$14)/IF(A154="Lightning",100,30000))^2+((I154-'Hybrid Calculator'!$E$17)/IF(A154="Lightning",100,30000))^2</x:f>
        <x:v>0.05314428100589846</x:v>
      </x:c>
      <x:c r="K154" s="23" t="n">
        <x:f>RANK(J154,$J$2:$J$1401,1)</x:f>
        <x:v>61</x:v>
      </x:c>
      <x:c r="L154" s="23" t="n">
        <x:f>IF(K154&lt;=7,1,0)</x:f>
        <x:v>0</x:v>
      </x:c>
      <x:c r="M154" s="23" t="n">
        <x:f>IF(L154=1,1/(J154+0.000001),0)</x:f>
        <x:v>0</x:v>
      </x:c>
      <x:c r="N154" s="23" t="n">
        <x:v>0.007006777747989634</x:v>
      </x:c>
      <x:c r="O154" s="23" t="n">
        <x:f>M154</x:f>
        <x:v>0</x:v>
      </x:c>
      <x:c r="P154" s="23" t="n">
        <x:v>0.3466345541808522</x:v>
      </x:c>
      <x:c r="Q154" s="23" t="n">
        <x:v>18.104032649334385</x:v>
      </x:c>
    </x:row>
    <x:row r="155">
      <x:c r="A155" s="23" t="str">
        <x:v>Lightning</x:v>
      </x:c>
      <x:c r="B155" s="23" t="n">
        <x:v>1365.800206095446</x:v>
      </x:c>
      <x:c r="C155" s="23" t="n">
        <x:v>918.3319447329268</x:v>
      </x:c>
      <x:c r="D155" s="23" t="n">
        <x:v>401.5389275737107</x:v>
      </x:c>
      <x:c r="E155" s="23" t="n">
        <x:v>284.90426244214177</x:v>
      </x:c>
      <x:c r="F155" s="23" t="n">
        <x:v>14.728347933385521</x:v>
      </x:c>
      <x:c r="G155" s="23" t="n">
        <x:v>0.8298914534365759</x:v>
      </x:c>
      <x:c r="H155" s="23" t="n">
        <x:v>45</x:v>
      </x:c>
      <x:c r="I155" s="23" t="n">
        <x:v>25</x:v>
      </x:c>
      <x:c r="J155" s="23" t="n">
        <x:f>(IF(A155='Hybrid Calculator'!$B$6,0,1))^2+((B155-'Hybrid Calculator'!$B$7)/1500)^2+((C155-'Hybrid Calculator'!$B$8)/1300)^2+((D155-'Hybrid Calculator'!$B$9)/800)^2+((E155-'Hybrid Calculator'!$B$10)/350)^2+((F155-'Hybrid Calculator'!$B$11)/30)^2+(G155-'Hybrid Calculator'!$B$12)^2+((H155-'Hybrid Calculator'!$E$14)/IF(A155="Lightning",100,30000))^2+((I155-'Hybrid Calculator'!$E$17)/IF(A155="Lightning",100,30000))^2</x:f>
        <x:v>0.1864366323928184</x:v>
      </x:c>
      <x:c r="K155" s="23" t="n">
        <x:f>RANK(J155,$J$2:$J$1401,1)</x:f>
        <x:v>418</x:v>
      </x:c>
      <x:c r="L155" s="23" t="n">
        <x:f>IF(K155&lt;=7,1,0)</x:f>
        <x:v>0</x:v>
      </x:c>
      <x:c r="M155" s="23" t="n">
        <x:f>IF(L155=1,1/(J155+0.000001),0)</x:f>
        <x:v>0</x:v>
      </x:c>
      <x:c r="N155" s="23" t="n">
        <x:v>-0.0021238321467353938</x:v>
      </x:c>
      <x:c r="O155" s="23" t="n">
        <x:f>M155</x:f>
        <x:v>0</x:v>
      </x:c>
      <x:c r="P155" s="23" t="n">
        <x:v>-0.8347351853832876</x:v>
      </x:c>
      <x:c r="Q155" s="23" t="n">
        <x:v>8.093112250876402</x:v>
      </x:c>
    </x:row>
    <x:row r="156">
      <x:c r="A156" s="23" t="str">
        <x:v>Lightning</x:v>
      </x:c>
      <x:c r="B156" s="23" t="n">
        <x:v>1351.5721596311778</x:v>
      </x:c>
      <x:c r="C156" s="23" t="n">
        <x:v>749.1545558790676</x:v>
      </x:c>
      <x:c r="D156" s="23" t="n">
        <x:v>498.0423307046294</x:v>
      </x:c>
      <x:c r="E156" s="23" t="n">
        <x:v>239.33957026572898</x:v>
      </x:c>
      <x:c r="F156" s="23" t="n">
        <x:v>8.634792905300856</x:v>
      </x:c>
      <x:c r="G156" s="23" t="n">
        <x:v>0.8468087905296124</x:v>
      </x:c>
      <x:c r="H156" s="23" t="n">
        <x:v>60</x:v>
      </x:c>
      <x:c r="I156" s="23" t="n">
        <x:v>25</x:v>
      </x:c>
      <x:c r="J156" s="23" t="n">
        <x:f>(IF(A156='Hybrid Calculator'!$B$6,0,1))^2+((B156-'Hybrid Calculator'!$B$7)/1500)^2+((C156-'Hybrid Calculator'!$B$8)/1300)^2+((D156-'Hybrid Calculator'!$B$9)/800)^2+((E156-'Hybrid Calculator'!$B$10)/350)^2+((F156-'Hybrid Calculator'!$B$11)/30)^2+(G156-'Hybrid Calculator'!$B$12)^2+((H156-'Hybrid Calculator'!$E$14)/IF(A156="Lightning",100,30000))^2+((I156-'Hybrid Calculator'!$E$17)/IF(A156="Lightning",100,30000))^2</x:f>
        <x:v>0.1924301059340248</x:v>
      </x:c>
      <x:c r="K156" s="23" t="n">
        <x:f>RANK(J156,$J$2:$J$1401,1)</x:f>
        <x:v>432</x:v>
      </x:c>
      <x:c r="L156" s="23" t="n">
        <x:f>IF(K156&lt;=7,1,0)</x:f>
        <x:v>0</x:v>
      </x:c>
      <x:c r="M156" s="23" t="n">
        <x:f>IF(L156=1,1/(J156+0.000001),0)</x:f>
        <x:v>0</x:v>
      </x:c>
      <x:c r="N156" s="23" t="n">
        <x:v>0.0007632429975990007</x:v>
      </x:c>
      <x:c r="O156" s="23" t="n">
        <x:f>M156</x:f>
        <x:v>0</x:v>
      </x:c>
      <x:c r="P156" s="23" t="n">
        <x:v>-0.9591355057562154</x:v>
      </x:c>
      <x:c r="Q156" s="23" t="n">
        <x:v>15.307227095558801</x:v>
      </x:c>
    </x:row>
    <x:row r="157">
      <x:c r="A157" s="23" t="str">
        <x:v>Lightning</x:v>
      </x:c>
      <x:c r="B157" s="23" t="n">
        <x:v>1418.1913323816843</x:v>
      </x:c>
      <x:c r="C157" s="23" t="n">
        <x:v>656.0855491785333</x:v>
      </x:c>
      <x:c r="D157" s="23" t="n">
        <x:v>566.7326648719609</x:v>
      </x:c>
      <x:c r="E157" s="23" t="n">
        <x:v>225.88949363678694</x:v>
      </x:c>
      <x:c r="F157" s="23" t="n">
        <x:v>9.620323406998068</x:v>
      </x:c>
      <x:c r="G157" s="23" t="n">
        <x:v>0.8091307736514136</x:v>
      </x:c>
      <x:c r="H157" s="23" t="n">
        <x:v>55</x:v>
      </x:c>
      <x:c r="I157" s="23" t="n">
        <x:v>25</x:v>
      </x:c>
      <x:c r="J157" s="23" t="n">
        <x:f>(IF(A157='Hybrid Calculator'!$B$6,0,1))^2+((B157-'Hybrid Calculator'!$B$7)/1500)^2+((C157-'Hybrid Calculator'!$B$8)/1300)^2+((D157-'Hybrid Calculator'!$B$9)/800)^2+((E157-'Hybrid Calculator'!$B$10)/350)^2+((F157-'Hybrid Calculator'!$B$11)/30)^2+(G157-'Hybrid Calculator'!$B$12)^2+((H157-'Hybrid Calculator'!$E$14)/IF(A157="Lightning",100,30000))^2+((I157-'Hybrid Calculator'!$E$17)/IF(A157="Lightning",100,30000))^2</x:f>
        <x:v>0.16647075064617872</x:v>
      </x:c>
      <x:c r="K157" s="23" t="n">
        <x:f>RANK(J157,$J$2:$J$1401,1)</x:f>
        <x:v>373</x:v>
      </x:c>
      <x:c r="L157" s="23" t="n">
        <x:f>IF(K157&lt;=7,1,0)</x:f>
        <x:v>0</x:v>
      </x:c>
      <x:c r="M157" s="23" t="n">
        <x:f>IF(L157=1,1/(J157+0.000001),0)</x:f>
        <x:v>0</x:v>
      </x:c>
      <x:c r="N157" s="23" t="n">
        <x:v>0.003071934256523967</x:v>
      </x:c>
      <x:c r="O157" s="23" t="n">
        <x:f>M157</x:f>
        <x:v>0</x:v>
      </x:c>
      <x:c r="P157" s="23" t="n">
        <x:v>0.38173827773685787</x:v>
      </x:c>
      <x:c r="Q157" s="23" t="n">
        <x:v>10.810395387172548</x:v>
      </x:c>
    </x:row>
    <x:row r="158">
      <x:c r="A158" s="23" t="str">
        <x:v>Lightning</x:v>
      </x:c>
      <x:c r="B158" s="23" t="n">
        <x:v>1488.2993389153853</x:v>
      </x:c>
      <x:c r="C158" s="23" t="n">
        <x:v>1217.579419829417</x:v>
      </x:c>
      <x:c r="D158" s="23" t="n">
        <x:v>495.99122628569603</x:v>
      </x:c>
      <x:c r="E158" s="23" t="n">
        <x:v>167.72524207597598</x:v>
      </x:c>
      <x:c r="F158" s="23" t="n">
        <x:v>22.747348628006876</x:v>
      </x:c>
      <x:c r="G158" s="23" t="n">
        <x:v>0.8589453181042337</x:v>
      </x:c>
      <x:c r="H158" s="23" t="n">
        <x:v>40</x:v>
      </x:c>
      <x:c r="I158" s="23" t="n">
        <x:v>25</x:v>
      </x:c>
      <x:c r="J158" s="23" t="n">
        <x:f>(IF(A158='Hybrid Calculator'!$B$6,0,1))^2+((B158-'Hybrid Calculator'!$B$7)/1500)^2+((C158-'Hybrid Calculator'!$B$8)/1300)^2+((D158-'Hybrid Calculator'!$B$9)/800)^2+((E158-'Hybrid Calculator'!$B$10)/350)^2+((F158-'Hybrid Calculator'!$B$11)/30)^2+(G158-'Hybrid Calculator'!$B$12)^2+((H158-'Hybrid Calculator'!$E$14)/IF(A158="Lightning",100,30000))^2+((I158-'Hybrid Calculator'!$E$17)/IF(A158="Lightning",100,30000))^2</x:f>
        <x:v>0.11588131608817578</x:v>
      </x:c>
      <x:c r="K158" s="23" t="n">
        <x:f>RANK(J158,$J$2:$J$1401,1)</x:f>
        <x:v>243</x:v>
      </x:c>
      <x:c r="L158" s="23" t="n">
        <x:f>IF(K158&lt;=7,1,0)</x:f>
        <x:v>0</x:v>
      </x:c>
      <x:c r="M158" s="23" t="n">
        <x:f>IF(L158=1,1/(J158+0.000001),0)</x:f>
        <x:v>0</x:v>
      </x:c>
      <x:c r="N158" s="23" t="n">
        <x:v>-0.008496713323172811</x:v>
      </x:c>
      <x:c r="O158" s="23" t="n">
        <x:f>M158</x:f>
        <x:v>0</x:v>
      </x:c>
      <x:c r="P158" s="23" t="n">
        <x:v>1.0847129753740035</x:v>
      </x:c>
      <x:c r="Q158" s="23" t="n">
        <x:v>-19.25146774153791</x:v>
      </x:c>
    </x:row>
    <x:row r="159">
      <x:c r="A159" s="23" t="str">
        <x:v>Lightning</x:v>
      </x:c>
      <x:c r="B159" s="23" t="n">
        <x:v>1488.8676917064004</x:v>
      </x:c>
      <x:c r="C159" s="23" t="n">
        <x:v>1163.1070986390114</x:v>
      </x:c>
      <x:c r="D159" s="23" t="n">
        <x:v>440.3423278592527</x:v>
      </x:c>
      <x:c r="E159" s="23" t="n">
        <x:v>303.56694482732564</x:v>
      </x:c>
      <x:c r="F159" s="23" t="n">
        <x:v>14.851301373448223</x:v>
      </x:c>
      <x:c r="G159" s="23" t="n">
        <x:v>0.8078567909728736</x:v>
      </x:c>
      <x:c r="H159" s="23" t="n">
        <x:v>35</x:v>
      </x:c>
      <x:c r="I159" s="23" t="n">
        <x:v>25</x:v>
      </x:c>
      <x:c r="J159" s="23" t="n">
        <x:f>(IF(A159='Hybrid Calculator'!$B$6,0,1))^2+((B159-'Hybrid Calculator'!$B$7)/1500)^2+((C159-'Hybrid Calculator'!$B$8)/1300)^2+((D159-'Hybrid Calculator'!$B$9)/800)^2+((E159-'Hybrid Calculator'!$B$10)/350)^2+((F159-'Hybrid Calculator'!$B$11)/30)^2+(G159-'Hybrid Calculator'!$B$12)^2+((H159-'Hybrid Calculator'!$E$14)/IF(A159="Lightning",100,30000))^2+((I159-'Hybrid Calculator'!$E$17)/IF(A159="Lightning",100,30000))^2</x:f>
        <x:v>0.2953358101938549</x:v>
      </x:c>
      <x:c r="K159" s="23" t="n">
        <x:f>RANK(J159,$J$2:$J$1401,1)</x:f>
        <x:v>595</x:v>
      </x:c>
      <x:c r="L159" s="23" t="n">
        <x:f>IF(K159&lt;=7,1,0)</x:f>
        <x:v>0</x:v>
      </x:c>
      <x:c r="M159" s="23" t="n">
        <x:f>IF(L159=1,1/(J159+0.000001),0)</x:f>
        <x:v>0</x:v>
      </x:c>
      <x:c r="N159" s="23" t="n">
        <x:v>0.01346164073142253</x:v>
      </x:c>
      <x:c r="O159" s="23" t="n">
        <x:f>M159</x:f>
        <x:v>0</x:v>
      </x:c>
      <x:c r="P159" s="23" t="n">
        <x:v>1.1798624446261528</x:v>
      </x:c>
      <x:c r="Q159" s="23" t="n">
        <x:v>0.9953480228202807</x:v>
      </x:c>
    </x:row>
    <x:row r="160">
      <x:c r="A160" s="23" t="str">
        <x:v>Lightning</x:v>
      </x:c>
      <x:c r="B160" s="23" t="n">
        <x:v>1498.247320856899</x:v>
      </x:c>
      <x:c r="C160" s="23" t="n">
        <x:v>631.0246116830967</x:v>
      </x:c>
      <x:c r="D160" s="23" t="n">
        <x:v>470.1267624273896</x:v>
      </x:c>
      <x:c r="E160" s="23" t="n">
        <x:v>138.53539990494028</x:v>
      </x:c>
      <x:c r="F160" s="23" t="n">
        <x:v>25.20785122551024</x:v>
      </x:c>
      <x:c r="G160" s="23" t="n">
        <x:v>0.8019465749268421</x:v>
      </x:c>
      <x:c r="H160" s="23" t="n">
        <x:v>55</x:v>
      </x:c>
      <x:c r="I160" s="23" t="n">
        <x:v>25</x:v>
      </x:c>
      <x:c r="J160" s="23" t="n">
        <x:f>(IF(A160='Hybrid Calculator'!$B$6,0,1))^2+((B160-'Hybrid Calculator'!$B$7)/1500)^2+((C160-'Hybrid Calculator'!$B$8)/1300)^2+((D160-'Hybrid Calculator'!$B$9)/800)^2+((E160-'Hybrid Calculator'!$B$10)/350)^2+((F160-'Hybrid Calculator'!$B$11)/30)^2+(G160-'Hybrid Calculator'!$B$12)^2+((H160-'Hybrid Calculator'!$E$14)/IF(A160="Lightning",100,30000))^2+((I160-'Hybrid Calculator'!$E$17)/IF(A160="Lightning",100,30000))^2</x:f>
        <x:v>0.0860454467890005</x:v>
      </x:c>
      <x:c r="K160" s="23" t="n">
        <x:f>RANK(J160,$J$2:$J$1401,1)</x:f>
        <x:v>155</x:v>
      </x:c>
      <x:c r="L160" s="23" t="n">
        <x:f>IF(K160&lt;=7,1,0)</x:f>
        <x:v>0</x:v>
      </x:c>
      <x:c r="M160" s="23" t="n">
        <x:f>IF(L160=1,1/(J160+0.000001),0)</x:f>
        <x:v>0</x:v>
      </x:c>
      <x:c r="N160" s="23" t="n">
        <x:v>-0.0015603824133074706</x:v>
      </x:c>
      <x:c r="O160" s="23" t="n">
        <x:f>M160</x:f>
        <x:v>0</x:v>
      </x:c>
      <x:c r="P160" s="23" t="n">
        <x:v>-0.23198325208954174</x:v>
      </x:c>
      <x:c r="Q160" s="23" t="n">
        <x:v>-4.384556267368225</x:v>
      </x:c>
    </x:row>
    <x:row r="161">
      <x:c r="A161" s="23" t="str">
        <x:v>Lightning</x:v>
      </x:c>
      <x:c r="B161" s="23" t="n">
        <x:v>1419.840645196382</x:v>
      </x:c>
      <x:c r="C161" s="23" t="n">
        <x:v>753.2080489443615</x:v>
      </x:c>
      <x:c r="D161" s="23" t="n">
        <x:v>584.5312588848174</x:v>
      </x:c>
      <x:c r="E161" s="23" t="n">
        <x:v>103.82652484811842</x:v>
      </x:c>
      <x:c r="F161" s="23" t="n">
        <x:v>21.665503062773496</x:v>
      </x:c>
      <x:c r="G161" s="23" t="n">
        <x:v>0.8112515496322885</x:v>
      </x:c>
      <x:c r="H161" s="23" t="n">
        <x:v>50</x:v>
      </x:c>
      <x:c r="I161" s="23" t="n">
        <x:v>25</x:v>
      </x:c>
      <x:c r="J161" s="23" t="n">
        <x:f>(IF(A161='Hybrid Calculator'!$B$6,0,1))^2+((B161-'Hybrid Calculator'!$B$7)/1500)^2+((C161-'Hybrid Calculator'!$B$8)/1300)^2+((D161-'Hybrid Calculator'!$B$9)/800)^2+((E161-'Hybrid Calculator'!$B$10)/350)^2+((F161-'Hybrid Calculator'!$B$11)/30)^2+(G161-'Hybrid Calculator'!$B$12)^2+((H161-'Hybrid Calculator'!$E$14)/IF(A161="Lightning",100,30000))^2+((I161-'Hybrid Calculator'!$E$17)/IF(A161="Lightning",100,30000))^2</x:f>
        <x:v>0.04533464808631257</x:v>
      </x:c>
      <x:c r="K161" s="23" t="n">
        <x:f>RANK(J161,$J$2:$J$1401,1)</x:f>
        <x:v>42</x:v>
      </x:c>
      <x:c r="L161" s="23" t="n">
        <x:f>IF(K161&lt;=7,1,0)</x:f>
        <x:v>0</x:v>
      </x:c>
      <x:c r="M161" s="23" t="n">
        <x:f>IF(L161=1,1/(J161+0.000001),0)</x:f>
        <x:v>0</x:v>
      </x:c>
      <x:c r="N161" s="23" t="n">
        <x:v>-0.011299396347727919</x:v>
      </x:c>
      <x:c r="O161" s="23" t="n">
        <x:f>M161</x:f>
        <x:v>0</x:v>
      </x:c>
      <x:c r="P161" s="23" t="n">
        <x:v>-0.8539593546295379</x:v>
      </x:c>
      <x:c r="Q161" s="23" t="n">
        <x:v>-5.7162846778667245</x:v>
      </x:c>
    </x:row>
    <x:row r="162">
      <x:c r="A162" s="23" t="str">
        <x:v>Lightning</x:v>
      </x:c>
      <x:c r="B162" s="23" t="n">
        <x:v>1467.5699151819572</x:v>
      </x:c>
      <x:c r="C162" s="23" t="n">
        <x:v>1243.4065872454084</x:v>
      </x:c>
      <x:c r="D162" s="23" t="n">
        <x:v>659.5869820564985</x:v>
      </x:c>
      <x:c r="E162" s="23" t="n">
        <x:v>183.58423896832392</x:v>
      </x:c>
      <x:c r="F162" s="23" t="n">
        <x:v>18.065945346839726</x:v>
      </x:c>
      <x:c r="G162" s="23" t="n">
        <x:v>0.8564107302646153</x:v>
      </x:c>
      <x:c r="H162" s="23" t="n">
        <x:v>35</x:v>
      </x:c>
      <x:c r="I162" s="23" t="n">
        <x:v>25</x:v>
      </x:c>
      <x:c r="J162" s="23" t="n">
        <x:f>(IF(A162='Hybrid Calculator'!$B$6,0,1))^2+((B162-'Hybrid Calculator'!$B$7)/1500)^2+((C162-'Hybrid Calculator'!$B$8)/1300)^2+((D162-'Hybrid Calculator'!$B$9)/800)^2+((E162-'Hybrid Calculator'!$B$10)/350)^2+((F162-'Hybrid Calculator'!$B$11)/30)^2+(G162-'Hybrid Calculator'!$B$12)^2+((H162-'Hybrid Calculator'!$E$14)/IF(A162="Lightning",100,30000))^2+((I162-'Hybrid Calculator'!$E$17)/IF(A162="Lightning",100,30000))^2</x:f>
        <x:v>0.16542075097183426</x:v>
      </x:c>
      <x:c r="K162" s="23" t="n">
        <x:f>RANK(J162,$J$2:$J$1401,1)</x:f>
        <x:v>367</x:v>
      </x:c>
      <x:c r="L162" s="23" t="n">
        <x:f>IF(K162&lt;=7,1,0)</x:f>
        <x:v>0</x:v>
      </x:c>
      <x:c r="M162" s="23" t="n">
        <x:f>IF(L162=1,1/(J162+0.000001),0)</x:f>
        <x:v>0</x:v>
      </x:c>
      <x:c r="N162" s="23" t="n">
        <x:v>0.005289149870185472</x:v>
      </x:c>
      <x:c r="O162" s="23" t="n">
        <x:f>M162</x:f>
        <x:v>0</x:v>
      </x:c>
      <x:c r="P162" s="23" t="n">
        <x:v>1.5420879516908244</x:v>
      </x:c>
      <x:c r="Q162" s="23" t="n">
        <x:v>-13.42386441030817</x:v>
      </x:c>
    </x:row>
    <x:row r="163">
      <x:c r="A163" s="23" t="str">
        <x:v>Lightning</x:v>
      </x:c>
      <x:c r="B163" s="23" t="n">
        <x:v>1363.7344885035418</x:v>
      </x:c>
      <x:c r="C163" s="23" t="n">
        <x:v>967.8417332936078</x:v>
      </x:c>
      <x:c r="D163" s="23" t="n">
        <x:v>420.4952153377235</x:v>
      </x:c>
      <x:c r="E163" s="23" t="n">
        <x:v>294.21075833495706</x:v>
      </x:c>
      <x:c r="F163" s="23" t="n">
        <x:v>27.495034910272807</x:v>
      </x:c>
      <x:c r="G163" s="23" t="n">
        <x:v>0.7905648276023567</x:v>
      </x:c>
      <x:c r="H163" s="23" t="n">
        <x:v>40</x:v>
      </x:c>
      <x:c r="I163" s="23" t="n">
        <x:v>25</x:v>
      </x:c>
      <x:c r="J163" s="23" t="n">
        <x:f>(IF(A163='Hybrid Calculator'!$B$6,0,1))^2+((B163-'Hybrid Calculator'!$B$7)/1500)^2+((C163-'Hybrid Calculator'!$B$8)/1300)^2+((D163-'Hybrid Calculator'!$B$9)/800)^2+((E163-'Hybrid Calculator'!$B$10)/350)^2+((F163-'Hybrid Calculator'!$B$11)/30)^2+(G163-'Hybrid Calculator'!$B$12)^2+((H163-'Hybrid Calculator'!$E$14)/IF(A163="Lightning",100,30000))^2+((I163-'Hybrid Calculator'!$E$17)/IF(A163="Lightning",100,30000))^2</x:f>
        <x:v>0.29029823611947925</x:v>
      </x:c>
      <x:c r="K163" s="23" t="n">
        <x:f>RANK(J163,$J$2:$J$1401,1)</x:f>
        <x:v>593</x:v>
      </x:c>
      <x:c r="L163" s="23" t="n">
        <x:f>IF(K163&lt;=7,1,0)</x:f>
        <x:v>0</x:v>
      </x:c>
      <x:c r="M163" s="23" t="n">
        <x:f>IF(L163=1,1/(J163+0.000001),0)</x:f>
        <x:v>0</x:v>
      </x:c>
      <x:c r="N163" s="23" t="n">
        <x:v>-0.010554602345775654</x:v>
      </x:c>
      <x:c r="O163" s="23" t="n">
        <x:f>M163</x:f>
        <x:v>0</x:v>
      </x:c>
      <x:c r="P163" s="23" t="n">
        <x:v>1.0350337489967174</x:v>
      </x:c>
      <x:c r="Q163" s="23" t="n">
        <x:v>-15.484302265910628</x:v>
      </x:c>
    </x:row>
    <x:row r="164">
      <x:c r="A164" s="23" t="str">
        <x:v>Lightning</x:v>
      </x:c>
      <x:c r="B164" s="23" t="n">
        <x:v>1465.788839617744</x:v>
      </x:c>
      <x:c r="C164" s="23" t="n">
        <x:v>1049.257992755156</x:v>
      </x:c>
      <x:c r="D164" s="23" t="n">
        <x:v>573.8984359428287</x:v>
      </x:c>
      <x:c r="E164" s="23" t="n">
        <x:v>229.07182875322178</x:v>
      </x:c>
      <x:c r="F164" s="23" t="n">
        <x:v>16.3399755731225</x:v>
      </x:c>
      <x:c r="G164" s="23" t="n">
        <x:v>0.8378365590632894</x:v>
      </x:c>
      <x:c r="H164" s="23" t="n">
        <x:v>40</x:v>
      </x:c>
      <x:c r="I164" s="23" t="n">
        <x:v>25</x:v>
      </x:c>
      <x:c r="J164" s="23" t="n">
        <x:f>(IF(A164='Hybrid Calculator'!$B$6,0,1))^2+((B164-'Hybrid Calculator'!$B$7)/1500)^2+((C164-'Hybrid Calculator'!$B$8)/1300)^2+((D164-'Hybrid Calculator'!$B$9)/800)^2+((E164-'Hybrid Calculator'!$B$10)/350)^2+((F164-'Hybrid Calculator'!$B$11)/30)^2+(G164-'Hybrid Calculator'!$B$12)^2+((H164-'Hybrid Calculator'!$E$14)/IF(A164="Lightning",100,30000))^2+((I164-'Hybrid Calculator'!$E$17)/IF(A164="Lightning",100,30000))^2</x:f>
        <x:v>0.0993074419698981</x:v>
      </x:c>
      <x:c r="K164" s="23" t="n">
        <x:f>RANK(J164,$J$2:$J$1401,1)</x:f>
        <x:v>203</x:v>
      </x:c>
      <x:c r="L164" s="23" t="n">
        <x:f>IF(K164&lt;=7,1,0)</x:f>
        <x:v>0</x:v>
      </x:c>
      <x:c r="M164" s="23" t="n">
        <x:f>IF(L164=1,1/(J164+0.000001),0)</x:f>
        <x:v>0</x:v>
      </x:c>
      <x:c r="N164" s="23" t="n">
        <x:v>0.005084488330987069</x:v>
      </x:c>
      <x:c r="O164" s="23" t="n">
        <x:f>M164</x:f>
        <x:v>0</x:v>
      </x:c>
      <x:c r="P164" s="23" t="n">
        <x:v>0.311661700824196</x:v>
      </x:c>
      <x:c r="Q164" s="23" t="n">
        <x:v>5.345576389021744</x:v>
      </x:c>
    </x:row>
    <x:row r="165">
      <x:c r="A165" s="23" t="str">
        <x:v>Lightning</x:v>
      </x:c>
      <x:c r="B165" s="23" t="n">
        <x:v>1494.9213328887708</x:v>
      </x:c>
      <x:c r="C165" s="23" t="n">
        <x:v>673.8264679675922</x:v>
      </x:c>
      <x:c r="D165" s="23" t="n">
        <x:v>599.2541161365807</x:v>
      </x:c>
      <x:c r="E165" s="23" t="n">
        <x:v>206.3058944605291</x:v>
      </x:c>
      <x:c r="F165" s="23" t="n">
        <x:v>19.263463674578816</x:v>
      </x:c>
      <x:c r="G165" s="23" t="n">
        <x:v>0.8220295299729332</x:v>
      </x:c>
      <x:c r="H165" s="23" t="n">
        <x:v>45</x:v>
      </x:c>
      <x:c r="I165" s="23" t="n">
        <x:v>25</x:v>
      </x:c>
      <x:c r="J165" s="23" t="n">
        <x:f>(IF(A165='Hybrid Calculator'!$B$6,0,1))^2+((B165-'Hybrid Calculator'!$B$7)/1500)^2+((C165-'Hybrid Calculator'!$B$8)/1300)^2+((D165-'Hybrid Calculator'!$B$9)/800)^2+((E165-'Hybrid Calculator'!$B$10)/350)^2+((F165-'Hybrid Calculator'!$B$11)/30)^2+(G165-'Hybrid Calculator'!$B$12)^2+((H165-'Hybrid Calculator'!$E$14)/IF(A165="Lightning",100,30000))^2+((I165-'Hybrid Calculator'!$E$17)/IF(A165="Lightning",100,30000))^2</x:f>
        <x:v>0.06496302076022807</x:v>
      </x:c>
      <x:c r="K165" s="23" t="n">
        <x:f>RANK(J165,$J$2:$J$1401,1)</x:f>
        <x:v>93</x:v>
      </x:c>
      <x:c r="L165" s="23" t="n">
        <x:f>IF(K165&lt;=7,1,0)</x:f>
        <x:v>0</x:v>
      </x:c>
      <x:c r="M165" s="23" t="n">
        <x:f>IF(L165=1,1/(J165+0.000001),0)</x:f>
        <x:v>0</x:v>
      </x:c>
      <x:c r="N165" s="23" t="n">
        <x:v>-0.01244796729167219</x:v>
      </x:c>
      <x:c r="O165" s="23" t="n">
        <x:f>M165</x:f>
        <x:v>0</x:v>
      </x:c>
      <x:c r="P165" s="23" t="n">
        <x:v>0.26602406954320656</x:v>
      </x:c>
      <x:c r="Q165" s="23" t="n">
        <x:v>2.686453106560066</x:v>
      </x:c>
    </x:row>
    <x:row r="166">
      <x:c r="A166" s="23" t="str">
        <x:v>Lightning</x:v>
      </x:c>
      <x:c r="B166" s="23" t="n">
        <x:v>1380.7702022837475</x:v>
      </x:c>
      <x:c r="C166" s="23" t="n">
        <x:v>627.5883864727803</x:v>
      </x:c>
      <x:c r="D166" s="23" t="n">
        <x:v>665.3463304042816</x:v>
      </x:c>
      <x:c r="E166" s="23" t="n">
        <x:v>295.65210999688134</x:v>
      </x:c>
      <x:c r="F166" s="23" t="n">
        <x:v>20.092040586285293</x:v>
      </x:c>
      <x:c r="G166" s="23" t="n">
        <x:v>0.8442512152320706</x:v>
      </x:c>
      <x:c r="H166" s="23" t="n">
        <x:v>45</x:v>
      </x:c>
      <x:c r="I166" s="23" t="n">
        <x:v>25</x:v>
      </x:c>
      <x:c r="J166" s="23" t="n">
        <x:f>(IF(A166='Hybrid Calculator'!$B$6,0,1))^2+((B166-'Hybrid Calculator'!$B$7)/1500)^2+((C166-'Hybrid Calculator'!$B$8)/1300)^2+((D166-'Hybrid Calculator'!$B$9)/800)^2+((E166-'Hybrid Calculator'!$B$10)/350)^2+((F166-'Hybrid Calculator'!$B$11)/30)^2+(G166-'Hybrid Calculator'!$B$12)^2+((H166-'Hybrid Calculator'!$E$14)/IF(A166="Lightning",100,30000))^2+((I166-'Hybrid Calculator'!$E$17)/IF(A166="Lightning",100,30000))^2</x:f>
        <x:v>0.25194188361353004</x:v>
      </x:c>
      <x:c r="K166" s="23" t="n">
        <x:f>RANK(J166,$J$2:$J$1401,1)</x:f>
        <x:v>547</x:v>
      </x:c>
      <x:c r="L166" s="23" t="n">
        <x:f>IF(K166&lt;=7,1,0)</x:f>
        <x:v>0</x:v>
      </x:c>
      <x:c r="M166" s="23" t="n">
        <x:f>IF(L166=1,1/(J166+0.000001),0)</x:f>
        <x:v>0</x:v>
      </x:c>
      <x:c r="N166" s="23" t="n">
        <x:v>-0.013827464750533647</x:v>
      </x:c>
      <x:c r="O166" s="23" t="n">
        <x:f>M166</x:f>
        <x:v>0</x:v>
      </x:c>
      <x:c r="P166" s="23" t="n">
        <x:v>-0.11860240886871054</x:v>
      </x:c>
      <x:c r="Q166" s="23" t="n">
        <x:v>-6.0180645197133344</x:v>
      </x:c>
    </x:row>
    <x:row r="167">
      <x:c r="A167" s="23" t="str">
        <x:v>Lightning</x:v>
      </x:c>
      <x:c r="B167" s="23" t="n">
        <x:v>1421.9027542392723</x:v>
      </x:c>
      <x:c r="C167" s="23" t="n">
        <x:v>675.4447230137885</x:v>
      </x:c>
      <x:c r="D167" s="23" t="n">
        <x:v>615.2422822080553</x:v>
      </x:c>
      <x:c r="E167" s="23" t="n">
        <x:v>145.13722019735724</x:v>
      </x:c>
      <x:c r="F167" s="23" t="n">
        <x:v>15.961007935460657</x:v>
      </x:c>
      <x:c r="G167" s="23" t="n">
        <x:v>0.8534049438033253</x:v>
      </x:c>
      <x:c r="H167" s="23" t="n">
        <x:v>50</x:v>
      </x:c>
      <x:c r="I167" s="23" t="n">
        <x:v>25</x:v>
      </x:c>
      <x:c r="J167" s="23" t="n">
        <x:f>(IF(A167='Hybrid Calculator'!$B$6,0,1))^2+((B167-'Hybrid Calculator'!$B$7)/1500)^2+((C167-'Hybrid Calculator'!$B$8)/1300)^2+((D167-'Hybrid Calculator'!$B$9)/800)^2+((E167-'Hybrid Calculator'!$B$10)/350)^2+((F167-'Hybrid Calculator'!$B$11)/30)^2+(G167-'Hybrid Calculator'!$B$12)^2+((H167-'Hybrid Calculator'!$E$14)/IF(A167="Lightning",100,30000))^2+((I167-'Hybrid Calculator'!$E$17)/IF(A167="Lightning",100,30000))^2</x:f>
        <x:v>0.04725648461909973</x:v>
      </x:c>
      <x:c r="K167" s="23" t="n">
        <x:f>RANK(J167,$J$2:$J$1401,1)</x:f>
        <x:v>48</x:v>
      </x:c>
      <x:c r="L167" s="23" t="n">
        <x:f>IF(K167&lt;=7,1,0)</x:f>
        <x:v>0</x:v>
      </x:c>
      <x:c r="M167" s="23" t="n">
        <x:f>IF(L167=1,1/(J167+0.000001),0)</x:f>
        <x:v>0</x:v>
      </x:c>
      <x:c r="N167" s="23" t="n">
        <x:v>0.007778400301340582</x:v>
      </x:c>
      <x:c r="O167" s="23" t="n">
        <x:f>M167</x:f>
        <x:v>0</x:v>
      </x:c>
      <x:c r="P167" s="23" t="n">
        <x:v>-1.610978456998744</x:v>
      </x:c>
      <x:c r="Q167" s="23" t="n">
        <x:v>13.895702347775114</x:v>
      </x:c>
    </x:row>
    <x:row r="168">
      <x:c r="A168" s="23" t="str">
        <x:v>Lightning</x:v>
      </x:c>
      <x:c r="B168" s="23" t="n">
        <x:v>1410.383570753038</x:v>
      </x:c>
      <x:c r="C168" s="23" t="n">
        <x:v>1026.9108843407594</x:v>
      </x:c>
      <x:c r="D168" s="23" t="n">
        <x:v>715.0470675900578</x:v>
      </x:c>
      <x:c r="E168" s="23" t="n">
        <x:v>120.37970636272803</x:v>
      </x:c>
      <x:c r="F168" s="23" t="n">
        <x:v>15.898036351427436</x:v>
      </x:c>
      <x:c r="G168" s="23" t="n">
        <x:v>0.8222997664031573</x:v>
      </x:c>
      <x:c r="H168" s="23" t="n">
        <x:v>40</x:v>
      </x:c>
      <x:c r="I168" s="23" t="n">
        <x:v>25</x:v>
      </x:c>
      <x:c r="J168" s="23" t="n">
        <x:f>(IF(A168='Hybrid Calculator'!$B$6,0,1))^2+((B168-'Hybrid Calculator'!$B$7)/1500)^2+((C168-'Hybrid Calculator'!$B$8)/1300)^2+((D168-'Hybrid Calculator'!$B$9)/800)^2+((E168-'Hybrid Calculator'!$B$10)/350)^2+((F168-'Hybrid Calculator'!$B$11)/30)^2+(G168-'Hybrid Calculator'!$B$12)^2+((H168-'Hybrid Calculator'!$E$14)/IF(A168="Lightning",100,30000))^2+((I168-'Hybrid Calculator'!$E$17)/IF(A168="Lightning",100,30000))^2</x:f>
        <x:v>0.11556223525207485</x:v>
      </x:c>
      <x:c r="K168" s="23" t="n">
        <x:f>RANK(J168,$J$2:$J$1401,1)</x:f>
        <x:v>241</x:v>
      </x:c>
      <x:c r="L168" s="23" t="n">
        <x:f>IF(K168&lt;=7,1,0)</x:f>
        <x:v>0</x:v>
      </x:c>
      <x:c r="M168" s="23" t="n">
        <x:f>IF(L168=1,1/(J168+0.000001),0)</x:f>
        <x:v>0</x:v>
      </x:c>
      <x:c r="N168" s="23" t="n">
        <x:v>-0.0013632293856029598</x:v>
      </x:c>
      <x:c r="O168" s="23" t="n">
        <x:f>M168</x:f>
        <x:v>0</x:v>
      </x:c>
      <x:c r="P168" s="23" t="n">
        <x:v>0.7799459838094478</x:v>
      </x:c>
      <x:c r="Q168" s="23" t="n">
        <x:v>-3.1219095363082943</x:v>
      </x:c>
    </x:row>
    <x:row r="169">
      <x:c r="A169" s="23" t="str">
        <x:v>Lightning</x:v>
      </x:c>
      <x:c r="B169" s="23" t="n">
        <x:v>1424.72424848238</x:v>
      </x:c>
      <x:c r="C169" s="23" t="n">
        <x:v>1098.8330949330702</x:v>
      </x:c>
      <x:c r="D169" s="23" t="n">
        <x:v>695.1000929810107</x:v>
      </x:c>
      <x:c r="E169" s="23" t="n">
        <x:v>221.68525370769203</x:v>
      </x:c>
      <x:c r="F169" s="23" t="n">
        <x:v>26.12314145686105</x:v>
      </x:c>
      <x:c r="G169" s="23" t="n">
        <x:v>0.8066312905820087</x:v>
      </x:c>
      <x:c r="H169" s="23" t="n">
        <x:v>35</x:v>
      </x:c>
      <x:c r="I169" s="23" t="n">
        <x:v>25</x:v>
      </x:c>
      <x:c r="J169" s="23" t="n">
        <x:f>(IF(A169='Hybrid Calculator'!$B$6,0,1))^2+((B169-'Hybrid Calculator'!$B$7)/1500)^2+((C169-'Hybrid Calculator'!$B$8)/1300)^2+((D169-'Hybrid Calculator'!$B$9)/800)^2+((E169-'Hybrid Calculator'!$B$10)/350)^2+((F169-'Hybrid Calculator'!$B$11)/30)^2+(G169-'Hybrid Calculator'!$B$12)^2+((H169-'Hybrid Calculator'!$E$14)/IF(A169="Lightning",100,30000))^2+((I169-'Hybrid Calculator'!$E$17)/IF(A169="Lightning",100,30000))^2</x:f>
        <x:v>0.22531003942238279</x:v>
      </x:c>
      <x:c r="K169" s="23" t="n">
        <x:f>RANK(J169,$J$2:$J$1401,1)</x:f>
        <x:v>497</x:v>
      </x:c>
      <x:c r="L169" s="23" t="n">
        <x:f>IF(K169&lt;=7,1,0)</x:f>
        <x:v>0</x:v>
      </x:c>
      <x:c r="M169" s="23" t="n">
        <x:f>IF(L169=1,1/(J169+0.000001),0)</x:f>
        <x:v>0</x:v>
      </x:c>
      <x:c r="N169" s="23" t="n">
        <x:v>0.004139678506762445</x:v>
      </x:c>
      <x:c r="O169" s="23" t="n">
        <x:f>M169</x:f>
        <x:v>0</x:v>
      </x:c>
      <x:c r="P169" s="23" t="n">
        <x:v>-0.40423292760118557</x:v>
      </x:c>
      <x:c r="Q169" s="23" t="n">
        <x:v>-13.8804612190022</x:v>
      </x:c>
    </x:row>
    <x:row r="170">
      <x:c r="A170" s="23" t="str">
        <x:v>Lightning</x:v>
      </x:c>
      <x:c r="B170" s="23" t="n">
        <x:v>1485.1178077049553</x:v>
      </x:c>
      <x:c r="C170" s="23" t="n">
        <x:v>618.5479090898298</x:v>
      </x:c>
      <x:c r="D170" s="23" t="n">
        <x:v>695.7365730777383</x:v>
      </x:c>
      <x:c r="E170" s="23" t="n">
        <x:v>119.83088216045871</x:v>
      </x:c>
      <x:c r="F170" s="23" t="n">
        <x:v>13.116771506145597</x:v>
      </x:c>
      <x:c r="G170" s="23" t="n">
        <x:v>0.8131787894596346</x:v>
      </x:c>
      <x:c r="H170" s="23" t="n">
        <x:v>50</x:v>
      </x:c>
      <x:c r="I170" s="23" t="n">
        <x:v>25</x:v>
      </x:c>
      <x:c r="J170" s="23" t="n">
        <x:f>(IF(A170='Hybrid Calculator'!$B$6,0,1))^2+((B170-'Hybrid Calculator'!$B$7)/1500)^2+((C170-'Hybrid Calculator'!$B$8)/1300)^2+((D170-'Hybrid Calculator'!$B$9)/800)^2+((E170-'Hybrid Calculator'!$B$10)/350)^2+((F170-'Hybrid Calculator'!$B$11)/30)^2+(G170-'Hybrid Calculator'!$B$12)^2+((H170-'Hybrid Calculator'!$E$14)/IF(A170="Lightning",100,30000))^2+((I170-'Hybrid Calculator'!$E$17)/IF(A170="Lightning",100,30000))^2</x:f>
        <x:v>0.13284390404066315</x:v>
      </x:c>
      <x:c r="K170" s="23" t="n">
        <x:f>RANK(J170,$J$2:$J$1401,1)</x:f>
        <x:v>283</x:v>
      </x:c>
      <x:c r="L170" s="23" t="n">
        <x:f>IF(K170&lt;=7,1,0)</x:f>
        <x:v>0</x:v>
      </x:c>
      <x:c r="M170" s="23" t="n">
        <x:f>IF(L170=1,1/(J170+0.000001),0)</x:f>
        <x:v>0</x:v>
      </x:c>
      <x:c r="N170" s="23" t="n">
        <x:v>-0.011412998294015209</x:v>
      </x:c>
      <x:c r="O170" s="23" t="n">
        <x:f>M170</x:f>
        <x:v>0</x:v>
      </x:c>
      <x:c r="P170" s="23" t="n">
        <x:v>-0.8227150320411809</x:v>
      </x:c>
      <x:c r="Q170" s="23" t="n">
        <x:v>11.336558799440127</x:v>
      </x:c>
    </x:row>
    <x:row r="171">
      <x:c r="A171" s="23" t="str">
        <x:v>Lightning</x:v>
      </x:c>
      <x:c r="B171" s="23" t="n">
        <x:v>1366.4639398106374</x:v>
      </x:c>
      <x:c r="C171" s="23" t="n">
        <x:v>1140.9018208505586</x:v>
      </x:c>
      <x:c r="D171" s="23" t="n">
        <x:v>661.8741282261908</x:v>
      </x:c>
      <x:c r="E171" s="23" t="n">
        <x:v>316.07055586762726</x:v>
      </x:c>
      <x:c r="F171" s="23" t="n">
        <x:v>21.28998488234356</x:v>
      </x:c>
      <x:c r="G171" s="23" t="n">
        <x:v>0.8258902037376539</x:v>
      </x:c>
      <x:c r="H171" s="23" t="n">
        <x:v>35</x:v>
      </x:c>
      <x:c r="I171" s="23" t="n">
        <x:v>25</x:v>
      </x:c>
      <x:c r="J171" s="23" t="n">
        <x:f>(IF(A171='Hybrid Calculator'!$B$6,0,1))^2+((B171-'Hybrid Calculator'!$B$7)/1500)^2+((C171-'Hybrid Calculator'!$B$8)/1300)^2+((D171-'Hybrid Calculator'!$B$9)/800)^2+((E171-'Hybrid Calculator'!$B$10)/350)^2+((F171-'Hybrid Calculator'!$B$11)/30)^2+(G171-'Hybrid Calculator'!$B$12)^2+((H171-'Hybrid Calculator'!$E$14)/IF(A171="Lightning",100,30000))^2+((I171-'Hybrid Calculator'!$E$17)/IF(A171="Lightning",100,30000))^2</x:f>
        <x:v>0.34886052435033665</x:v>
      </x:c>
      <x:c r="K171" s="23" t="n">
        <x:f>RANK(J171,$J$2:$J$1401,1)</x:f>
        <x:v>651</x:v>
      </x:c>
      <x:c r="L171" s="23" t="n">
        <x:f>IF(K171&lt;=7,1,0)</x:f>
        <x:v>0</x:v>
      </x:c>
      <x:c r="M171" s="23" t="n">
        <x:f>IF(L171=1,1/(J171+0.000001),0)</x:f>
        <x:v>0</x:v>
      </x:c>
      <x:c r="N171" s="23" t="n">
        <x:v>0.01714305142946637</x:v>
      </x:c>
      <x:c r="O171" s="23" t="n">
        <x:f>M171</x:f>
        <x:v>0</x:v>
      </x:c>
      <x:c r="P171" s="23" t="n">
        <x:v>-0.09712100501907628</x:v>
      </x:c>
      <x:c r="Q171" s="23" t="n">
        <x:v>-15.826474415103348</x:v>
      </x:c>
    </x:row>
    <x:row r="172">
      <x:c r="A172" s="23" t="str">
        <x:v>Lightning</x:v>
      </x:c>
      <x:c r="B172" s="23" t="n">
        <x:v>1489.0378629555926</x:v>
      </x:c>
      <x:c r="C172" s="23" t="n">
        <x:v>748.4008658328094</x:v>
      </x:c>
      <x:c r="D172" s="23" t="n">
        <x:v>475.9351011365652</x:v>
      </x:c>
      <x:c r="E172" s="23" t="n">
        <x:v>216.65408146334812</x:v>
      </x:c>
      <x:c r="F172" s="23" t="n">
        <x:v>25.068900001235306</x:v>
      </x:c>
      <x:c r="G172" s="23" t="n">
        <x:v>0.796261982365977</x:v>
      </x:c>
      <x:c r="H172" s="23" t="n">
        <x:v>45</x:v>
      </x:c>
      <x:c r="I172" s="23" t="n">
        <x:v>25</x:v>
      </x:c>
      <x:c r="J172" s="23" t="n">
        <x:f>(IF(A172='Hybrid Calculator'!$B$6,0,1))^2+((B172-'Hybrid Calculator'!$B$7)/1500)^2+((C172-'Hybrid Calculator'!$B$8)/1300)^2+((D172-'Hybrid Calculator'!$B$9)/800)^2+((E172-'Hybrid Calculator'!$B$10)/350)^2+((F172-'Hybrid Calculator'!$B$11)/30)^2+(G172-'Hybrid Calculator'!$B$12)^2+((H172-'Hybrid Calculator'!$E$14)/IF(A172="Lightning",100,30000))^2+((I172-'Hybrid Calculator'!$E$17)/IF(A172="Lightning",100,30000))^2</x:f>
        <x:v>0.09611130971754983</x:v>
      </x:c>
      <x:c r="K172" s="23" t="n">
        <x:f>RANK(J172,$J$2:$J$1401,1)</x:f>
        <x:v>190</x:v>
      </x:c>
      <x:c r="L172" s="23" t="n">
        <x:f>IF(K172&lt;=7,1,0)</x:f>
        <x:v>0</x:v>
      </x:c>
      <x:c r="M172" s="23" t="n">
        <x:f>IF(L172=1,1/(J172+0.000001),0)</x:f>
        <x:v>0</x:v>
      </x:c>
      <x:c r="N172" s="23" t="n">
        <x:v>-0.009997257060440523</x:v>
      </x:c>
      <x:c r="O172" s="23" t="n">
        <x:f>M172</x:f>
        <x:v>0</x:v>
      </x:c>
      <x:c r="P172" s="23" t="n">
        <x:v>0.45325166856517285</x:v>
      </x:c>
      <x:c r="Q172" s="23" t="n">
        <x:v>-7.913067817466299</x:v>
      </x:c>
    </x:row>
    <x:row r="173">
      <x:c r="A173" s="23" t="str">
        <x:v>Lightning</x:v>
      </x:c>
      <x:c r="B173" s="23" t="n">
        <x:v>1389.5223104744218</x:v>
      </x:c>
      <x:c r="C173" s="23" t="n">
        <x:v>1073.4280759934336</x:v>
      </x:c>
      <x:c r="D173" s="23" t="n">
        <x:v>547.9305553250015</x:v>
      </x:c>
      <x:c r="E173" s="23" t="n">
        <x:v>112.51846076454967</x:v>
      </x:c>
      <x:c r="F173" s="23" t="n">
        <x:v>16.79305726243183</x:v>
      </x:c>
      <x:c r="G173" s="23" t="n">
        <x:v>0.8562875969149173</x:v>
      </x:c>
      <x:c r="H173" s="23" t="n">
        <x:v>45</x:v>
      </x:c>
      <x:c r="I173" s="23" t="n">
        <x:v>25</x:v>
      </x:c>
      <x:c r="J173" s="23" t="n">
        <x:f>(IF(A173='Hybrid Calculator'!$B$6,0,1))^2+((B173-'Hybrid Calculator'!$B$7)/1500)^2+((C173-'Hybrid Calculator'!$B$8)/1300)^2+((D173-'Hybrid Calculator'!$B$9)/800)^2+((E173-'Hybrid Calculator'!$B$10)/350)^2+((F173-'Hybrid Calculator'!$B$11)/30)^2+(G173-'Hybrid Calculator'!$B$12)^2+((H173-'Hybrid Calculator'!$E$14)/IF(A173="Lightning",100,30000))^2+((I173-'Hybrid Calculator'!$E$17)/IF(A173="Lightning",100,30000))^2</x:f>
        <x:v>0.05220999648754196</x:v>
      </x:c>
      <x:c r="K173" s="23" t="n">
        <x:f>RANK(J173,$J$2:$J$1401,1)</x:f>
        <x:v>58</x:v>
      </x:c>
      <x:c r="L173" s="23" t="n">
        <x:f>IF(K173&lt;=7,1,0)</x:f>
        <x:v>0</x:v>
      </x:c>
      <x:c r="M173" s="23" t="n">
        <x:f>IF(L173=1,1/(J173+0.000001),0)</x:f>
        <x:v>0</x:v>
      </x:c>
      <x:c r="N173" s="23" t="n">
        <x:v>-0.00037535949588041184</x:v>
      </x:c>
      <x:c r="O173" s="23" t="n">
        <x:f>M173</x:f>
        <x:v>0</x:v>
      </x:c>
      <x:c r="P173" s="23" t="n">
        <x:v>-0.4820334727360205</x:v>
      </x:c>
      <x:c r="Q173" s="23" t="n">
        <x:v>-7.369253998769636</x:v>
      </x:c>
    </x:row>
    <x:row r="174">
      <x:c r="A174" s="23" t="str">
        <x:v>Lightning</x:v>
      </x:c>
      <x:c r="B174" s="23" t="n">
        <x:v>1422.786929877475</x:v>
      </x:c>
      <x:c r="C174" s="23" t="n">
        <x:v>1032.746165979188</x:v>
      </x:c>
      <x:c r="D174" s="23" t="n">
        <x:v>728.6896554753184</x:v>
      </x:c>
      <x:c r="E174" s="23" t="n">
        <x:v>138.2545272191055</x:v>
      </x:c>
      <x:c r="F174" s="23" t="n">
        <x:v>23.482400983572006</x:v>
      </x:c>
      <x:c r="G174" s="23" t="n">
        <x:v>0.8049248768971302</x:v>
      </x:c>
      <x:c r="H174" s="23" t="n">
        <x:v>35</x:v>
      </x:c>
      <x:c r="I174" s="23" t="n">
        <x:v>25</x:v>
      </x:c>
      <x:c r="J174" s="23" t="n">
        <x:f>(IF(A174='Hybrid Calculator'!$B$6,0,1))^2+((B174-'Hybrid Calculator'!$B$7)/1500)^2+((C174-'Hybrid Calculator'!$B$8)/1300)^2+((D174-'Hybrid Calculator'!$B$9)/800)^2+((E174-'Hybrid Calculator'!$B$10)/350)^2+((F174-'Hybrid Calculator'!$B$11)/30)^2+(G174-'Hybrid Calculator'!$B$12)^2+((H174-'Hybrid Calculator'!$E$14)/IF(A174="Lightning",100,30000))^2+((I174-'Hybrid Calculator'!$E$17)/IF(A174="Lightning",100,30000))^2</x:f>
        <x:v>0.15291635067788711</x:v>
      </x:c>
      <x:c r="K174" s="23" t="n">
        <x:f>RANK(J174,$J$2:$J$1401,1)</x:f>
        <x:v>333</x:v>
      </x:c>
      <x:c r="L174" s="23" t="n">
        <x:f>IF(K174&lt;=7,1,0)</x:f>
        <x:v>0</x:v>
      </x:c>
      <x:c r="M174" s="23" t="n">
        <x:f>IF(L174=1,1/(J174+0.000001),0)</x:f>
        <x:v>0</x:v>
      </x:c>
      <x:c r="N174" s="23" t="n">
        <x:v>0.011025149505002219</x:v>
      </x:c>
      <x:c r="O174" s="23" t="n">
        <x:f>M174</x:f>
        <x:v>0</x:v>
      </x:c>
      <x:c r="P174" s="23" t="n">
        <x:v>0.5038698307839482</x:v>
      </x:c>
      <x:c r="Q174" s="23" t="n">
        <x:v>-20.644124118402715</x:v>
      </x:c>
    </x:row>
    <x:row r="175">
      <x:c r="A175" s="23" t="str">
        <x:v>Lightning</x:v>
      </x:c>
      <x:c r="B175" s="23" t="n">
        <x:v>1402.0265423809178</x:v>
      </x:c>
      <x:c r="C175" s="23" t="n">
        <x:v>668.7561036786065</x:v>
      </x:c>
      <x:c r="D175" s="23" t="n">
        <x:v>508.10450138524175</x:v>
      </x:c>
      <x:c r="E175" s="23" t="n">
        <x:v>198.4971616603434</x:v>
      </x:c>
      <x:c r="F175" s="23" t="n">
        <x:v>12.1386115164496</x:v>
      </x:c>
      <x:c r="G175" s="23" t="n">
        <x:v>0.8266797253256664</x:v>
      </x:c>
      <x:c r="H175" s="23" t="n">
        <x:v>55</x:v>
      </x:c>
      <x:c r="I175" s="23" t="n">
        <x:v>25</x:v>
      </x:c>
      <x:c r="J175" s="23" t="n">
        <x:f>(IF(A175='Hybrid Calculator'!$B$6,0,1))^2+((B175-'Hybrid Calculator'!$B$7)/1500)^2+((C175-'Hybrid Calculator'!$B$8)/1300)^2+((D175-'Hybrid Calculator'!$B$9)/800)^2+((E175-'Hybrid Calculator'!$B$10)/350)^2+((F175-'Hybrid Calculator'!$B$11)/30)^2+(G175-'Hybrid Calculator'!$B$12)^2+((H175-'Hybrid Calculator'!$E$14)/IF(A175="Lightning",100,30000))^2+((I175-'Hybrid Calculator'!$E$17)/IF(A175="Lightning",100,30000))^2</x:f>
        <x:v>0.08648272171155671</x:v>
      </x:c>
      <x:c r="K175" s="23" t="n">
        <x:f>RANK(J175,$J$2:$J$1401,1)</x:f>
        <x:v>160</x:v>
      </x:c>
      <x:c r="L175" s="23" t="n">
        <x:f>IF(K175&lt;=7,1,0)</x:f>
        <x:v>0</x:v>
      </x:c>
      <x:c r="M175" s="23" t="n">
        <x:f>IF(L175=1,1/(J175+0.000001),0)</x:f>
        <x:v>0</x:v>
      </x:c>
      <x:c r="N175" s="23" t="n">
        <x:v>0.007425763562030729</x:v>
      </x:c>
      <x:c r="O175" s="23" t="n">
        <x:f>M175</x:f>
        <x:v>0</x:v>
      </x:c>
      <x:c r="P175" s="23" t="n">
        <x:v>-1.5760787960119984</x:v>
      </x:c>
      <x:c r="Q175" s="23" t="n">
        <x:v>9.042063765351259</x:v>
      </x:c>
    </x:row>
    <x:row r="176">
      <x:c r="A176" s="23" t="str">
        <x:v>Lightning</x:v>
      </x:c>
      <x:c r="B176" s="23" t="n">
        <x:v>1390.68037730176</x:v>
      </x:c>
      <x:c r="C176" s="23" t="n">
        <x:v>991.8997680884786</x:v>
      </x:c>
      <x:c r="D176" s="23" t="n">
        <x:v>420.7210198044777</x:v>
      </x:c>
      <x:c r="E176" s="23" t="n">
        <x:v>204.94827335467562</x:v>
      </x:c>
      <x:c r="F176" s="23" t="n">
        <x:v>15.367596249096096</x:v>
      </x:c>
      <x:c r="G176" s="23" t="n">
        <x:v>0.8069909793487751</x:v>
      </x:c>
      <x:c r="H176" s="23" t="n">
        <x:v>45</x:v>
      </x:c>
      <x:c r="I176" s="23" t="n">
        <x:v>25</x:v>
      </x:c>
      <x:c r="J176" s="23" t="n">
        <x:f>(IF(A176='Hybrid Calculator'!$B$6,0,1))^2+((B176-'Hybrid Calculator'!$B$7)/1500)^2+((C176-'Hybrid Calculator'!$B$8)/1300)^2+((D176-'Hybrid Calculator'!$B$9)/800)^2+((E176-'Hybrid Calculator'!$B$10)/350)^2+((F176-'Hybrid Calculator'!$B$11)/30)^2+(G176-'Hybrid Calculator'!$B$12)^2+((H176-'Hybrid Calculator'!$E$14)/IF(A176="Lightning",100,30000))^2+((I176-'Hybrid Calculator'!$E$17)/IF(A176="Lightning",100,30000))^2</x:f>
        <x:v>0.060477419302991046</x:v>
      </x:c>
      <x:c r="K176" s="23" t="n">
        <x:f>RANK(J176,$J$2:$J$1401,1)</x:f>
        <x:v>83</x:v>
      </x:c>
      <x:c r="L176" s="23" t="n">
        <x:f>IF(K176&lt;=7,1,0)</x:f>
        <x:v>0</x:v>
      </x:c>
      <x:c r="M176" s="23" t="n">
        <x:f>IF(L176=1,1/(J176+0.000001),0)</x:f>
        <x:v>0</x:v>
      </x:c>
      <x:c r="N176" s="23" t="n">
        <x:v>0.004250491445880744</x:v>
      </x:c>
      <x:c r="O176" s="23" t="n">
        <x:f>M176</x:f>
        <x:v>0</x:v>
      </x:c>
      <x:c r="P176" s="23" t="n">
        <x:v>-0.15212942033347332</x:v>
      </x:c>
      <x:c r="Q176" s="23" t="n">
        <x:v>13.363676196244342</x:v>
      </x:c>
    </x:row>
    <x:row r="177">
      <x:c r="A177" s="23" t="str">
        <x:v>Lightning</x:v>
      </x:c>
      <x:c r="B177" s="23" t="n">
        <x:v>1443.869259848725</x:v>
      </x:c>
      <x:c r="C177" s="23" t="n">
        <x:v>1099.026211630553</x:v>
      </x:c>
      <x:c r="D177" s="23" t="n">
        <x:v>508.9898637495935</x:v>
      </x:c>
      <x:c r="E177" s="23" t="n">
        <x:v>265.86561328265816</x:v>
      </x:c>
      <x:c r="F177" s="23" t="n">
        <x:v>9.66903526103124</x:v>
      </x:c>
      <x:c r="G177" s="23" t="n">
        <x:v>0.8476270654518158</x:v>
      </x:c>
      <x:c r="H177" s="23" t="n">
        <x:v>40</x:v>
      </x:c>
      <x:c r="I177" s="23" t="n">
        <x:v>25</x:v>
      </x:c>
      <x:c r="J177" s="23" t="n">
        <x:f>(IF(A177='Hybrid Calculator'!$B$6,0,1))^2+((B177-'Hybrid Calculator'!$B$7)/1500)^2+((C177-'Hybrid Calculator'!$B$8)/1300)^2+((D177-'Hybrid Calculator'!$B$9)/800)^2+((E177-'Hybrid Calculator'!$B$10)/350)^2+((F177-'Hybrid Calculator'!$B$11)/30)^2+(G177-'Hybrid Calculator'!$B$12)^2+((H177-'Hybrid Calculator'!$E$14)/IF(A177="Lightning",100,30000))^2+((I177-'Hybrid Calculator'!$E$17)/IF(A177="Lightning",100,30000))^2</x:f>
        <x:v>0.24398405873165965</x:v>
      </x:c>
      <x:c r="K177" s="23" t="n">
        <x:f>RANK(J177,$J$2:$J$1401,1)</x:f>
        <x:v>529</x:v>
      </x:c>
      <x:c r="L177" s="23" t="n">
        <x:f>IF(K177&lt;=7,1,0)</x:f>
        <x:v>0</x:v>
      </x:c>
      <x:c r="M177" s="23" t="n">
        <x:f>IF(L177=1,1/(J177+0.000001),0)</x:f>
        <x:v>0</x:v>
      </x:c>
      <x:c r="N177" s="23" t="n">
        <x:v>0.002929742625695786</x:v>
      </x:c>
      <x:c r="O177" s="23" t="n">
        <x:f>M177</x:f>
        <x:v>0</x:v>
      </x:c>
      <x:c r="P177" s="23" t="n">
        <x:v>0.6106552531918723</x:v>
      </x:c>
      <x:c r="Q177" s="23" t="n">
        <x:v>8.536355590103994</x:v>
      </x:c>
    </x:row>
    <x:row r="178">
      <x:c r="A178" s="23" t="str">
        <x:v>Lightning</x:v>
      </x:c>
      <x:c r="B178" s="23" t="n">
        <x:v>1410.7166904956102</x:v>
      </x:c>
      <x:c r="C178" s="23" t="n">
        <x:v>750.1820734119974</x:v>
      </x:c>
      <x:c r="D178" s="23" t="n">
        <x:v>607.9632537439466</x:v>
      </x:c>
      <x:c r="E178" s="23" t="n">
        <x:v>317.1033323579468</x:v>
      </x:c>
      <x:c r="F178" s="23" t="n">
        <x:v>28.531289203092456</x:v>
      </x:c>
      <x:c r="G178" s="23" t="n">
        <x:v>0.8070363227766939</x:v>
      </x:c>
      <x:c r="H178" s="23" t="n">
        <x:v>40</x:v>
      </x:c>
      <x:c r="I178" s="23" t="n">
        <x:v>25</x:v>
      </x:c>
      <x:c r="J178" s="23" t="n">
        <x:f>(IF(A178='Hybrid Calculator'!$B$6,0,1))^2+((B178-'Hybrid Calculator'!$B$7)/1500)^2+((C178-'Hybrid Calculator'!$B$8)/1300)^2+((D178-'Hybrid Calculator'!$B$9)/800)^2+((E178-'Hybrid Calculator'!$B$10)/350)^2+((F178-'Hybrid Calculator'!$B$11)/30)^2+(G178-'Hybrid Calculator'!$B$12)^2+((H178-'Hybrid Calculator'!$E$14)/IF(A178="Lightning",100,30000))^2+((I178-'Hybrid Calculator'!$E$17)/IF(A178="Lightning",100,30000))^2</x:f>
        <x:v>0.3741216084713367</x:v>
      </x:c>
      <x:c r="K178" s="23" t="n">
        <x:f>RANK(J178,$J$2:$J$1401,1)</x:f>
        <x:v>672</x:v>
      </x:c>
      <x:c r="L178" s="23" t="n">
        <x:f>IF(K178&lt;=7,1,0)</x:f>
        <x:v>0</x:v>
      </x:c>
      <x:c r="M178" s="23" t="n">
        <x:f>IF(L178=1,1/(J178+0.000001),0)</x:f>
        <x:v>0</x:v>
      </x:c>
      <x:c r="N178" s="23" t="n">
        <x:v>0.001895417207589567</x:v>
      </x:c>
      <x:c r="O178" s="23" t="n">
        <x:f>M178</x:f>
        <x:v>0</x:v>
      </x:c>
      <x:c r="P178" s="23" t="n">
        <x:v>-0.9447654459221013</x:v>
      </x:c>
      <x:c r="Q178" s="23" t="n">
        <x:v>-7.324189403556375</x:v>
      </x:c>
    </x:row>
    <x:row r="179">
      <x:c r="A179" s="23" t="str">
        <x:v>Lightning</x:v>
      </x:c>
      <x:c r="B179" s="23" t="n">
        <x:v>1450.7629776955582</x:v>
      </x:c>
      <x:c r="C179" s="23" t="n">
        <x:v>733.7218782166019</x:v>
      </x:c>
      <x:c r="D179" s="23" t="n">
        <x:v>450.1739517785609</x:v>
      </x:c>
      <x:c r="E179" s="23" t="n">
        <x:v>168.44462386332452</x:v>
      </x:c>
      <x:c r="F179" s="23" t="n">
        <x:v>16.496672224719077</x:v>
      </x:c>
      <x:c r="G179" s="23" t="n">
        <x:v>0.8171356461243704</x:v>
      </x:c>
      <x:c r="H179" s="23" t="n">
        <x:v>55</x:v>
      </x:c>
      <x:c r="I179" s="23" t="n">
        <x:v>25</x:v>
      </x:c>
      <x:c r="J179" s="23" t="n">
        <x:f>(IF(A179='Hybrid Calculator'!$B$6,0,1))^2+((B179-'Hybrid Calculator'!$B$7)/1500)^2+((C179-'Hybrid Calculator'!$B$8)/1300)^2+((D179-'Hybrid Calculator'!$B$9)/800)^2+((E179-'Hybrid Calculator'!$B$10)/350)^2+((F179-'Hybrid Calculator'!$B$11)/30)^2+(G179-'Hybrid Calculator'!$B$12)^2+((H179-'Hybrid Calculator'!$E$14)/IF(A179="Lightning",100,30000))^2+((I179-'Hybrid Calculator'!$E$17)/IF(A179="Lightning",100,30000))^2</x:f>
        <x:v>0.021919092973286966</x:v>
      </x:c>
      <x:c r="K179" s="23" t="n">
        <x:f>RANK(J179,$J$2:$J$1401,1)</x:f>
        <x:v>10</x:v>
      </x:c>
      <x:c r="L179" s="23" t="n">
        <x:f>IF(K179&lt;=7,1,0)</x:f>
        <x:v>0</x:v>
      </x:c>
      <x:c r="M179" s="23" t="n">
        <x:f>IF(L179=1,1/(J179+0.000001),0)</x:f>
        <x:v>0</x:v>
      </x:c>
      <x:c r="N179" s="23" t="n">
        <x:v>0.00435268256024246</x:v>
      </x:c>
      <x:c r="O179" s="23" t="n">
        <x:f>M179</x:f>
        <x:v>0</x:v>
      </x:c>
      <x:c r="P179" s="23" t="n">
        <x:v>-0.1299833413281135</x:v>
      </x:c>
      <x:c r="Q179" s="23" t="n">
        <x:v>21.592869121746617</x:v>
      </x:c>
    </x:row>
    <x:row r="180">
      <x:c r="A180" s="23" t="str">
        <x:v>Lightning</x:v>
      </x:c>
      <x:c r="B180" s="23" t="n">
        <x:v>1431.8034042371437</x:v>
      </x:c>
      <x:c r="C180" s="23" t="n">
        <x:v>1236.3414526567794</x:v>
      </x:c>
      <x:c r="D180" s="23" t="n">
        <x:v>479.18628193438053</x:v>
      </x:c>
      <x:c r="E180" s="23" t="n">
        <x:v>261.47750868229195</x:v>
      </x:c>
      <x:c r="F180" s="23" t="n">
        <x:v>22.005761899985373</x:v>
      </x:c>
      <x:c r="G180" s="23" t="n">
        <x:v>0.8155183999496513</x:v>
      </x:c>
      <x:c r="H180" s="23" t="n">
        <x:v>35</x:v>
      </x:c>
      <x:c r="I180" s="23" t="n">
        <x:v>25</x:v>
      </x:c>
      <x:c r="J180" s="23" t="n">
        <x:f>(IF(A180='Hybrid Calculator'!$B$6,0,1))^2+((B180-'Hybrid Calculator'!$B$7)/1500)^2+((C180-'Hybrid Calculator'!$B$8)/1300)^2+((D180-'Hybrid Calculator'!$B$9)/800)^2+((E180-'Hybrid Calculator'!$B$10)/350)^2+((F180-'Hybrid Calculator'!$B$11)/30)^2+(G180-'Hybrid Calculator'!$B$12)^2+((H180-'Hybrid Calculator'!$E$14)/IF(A180="Lightning",100,30000))^2+((I180-'Hybrid Calculator'!$E$17)/IF(A180="Lightning",100,30000))^2</x:f>
        <x:v>0.22663968681809052</x:v>
      </x:c>
      <x:c r="K180" s="23" t="n">
        <x:f>RANK(J180,$J$2:$J$1401,1)</x:f>
        <x:v>501</x:v>
      </x:c>
      <x:c r="L180" s="23" t="n">
        <x:f>IF(K180&lt;=7,1,0)</x:f>
        <x:v>0</x:v>
      </x:c>
      <x:c r="M180" s="23" t="n">
        <x:f>IF(L180=1,1/(J180+0.000001),0)</x:f>
        <x:v>0</x:v>
      </x:c>
      <x:c r="N180" s="23" t="n">
        <x:v>0.004484957424574887</x:v>
      </x:c>
      <x:c r="O180" s="23" t="n">
        <x:f>M180</x:f>
        <x:v>0</x:v>
      </x:c>
      <x:c r="P180" s="23" t="n">
        <x:v>0.662954494396466</x:v>
      </x:c>
      <x:c r="Q180" s="23" t="n">
        <x:v>-18.429741310016198</x:v>
      </x:c>
    </x:row>
    <x:row r="181">
      <x:c r="A181" s="23" t="str">
        <x:v>Lightning</x:v>
      </x:c>
      <x:c r="B181" s="23" t="n">
        <x:v>1374.2923435172997</x:v>
      </x:c>
      <x:c r="C181" s="23" t="n">
        <x:v>810.1810935419053</x:v>
      </x:c>
      <x:c r="D181" s="23" t="n">
        <x:v>588.8750906102359</x:v>
      </x:c>
      <x:c r="E181" s="23" t="n">
        <x:v>114.1407450614497</x:v>
      </x:c>
      <x:c r="F181" s="23" t="n">
        <x:v>24.076755444984883</x:v>
      </x:c>
      <x:c r="G181" s="23" t="n">
        <x:v>0.8044790509343147</x:v>
      </x:c>
      <x:c r="H181" s="23" t="n">
        <x:v>50</x:v>
      </x:c>
      <x:c r="I181" s="23" t="n">
        <x:v>25</x:v>
      </x:c>
      <x:c r="J181" s="23" t="n">
        <x:f>(IF(A181='Hybrid Calculator'!$B$6,0,1))^2+((B181-'Hybrid Calculator'!$B$7)/1500)^2+((C181-'Hybrid Calculator'!$B$8)/1300)^2+((D181-'Hybrid Calculator'!$B$9)/800)^2+((E181-'Hybrid Calculator'!$B$10)/350)^2+((F181-'Hybrid Calculator'!$B$11)/30)^2+(G181-'Hybrid Calculator'!$B$12)^2+((H181-'Hybrid Calculator'!$E$14)/IF(A181="Lightning",100,30000))^2+((I181-'Hybrid Calculator'!$E$17)/IF(A181="Lightning",100,30000))^2</x:f>
        <x:v>0.0597165330157242</x:v>
      </x:c>
      <x:c r="K181" s="23" t="n">
        <x:f>RANK(J181,$J$2:$J$1401,1)</x:f>
        <x:v>81</x:v>
      </x:c>
      <x:c r="L181" s="23" t="n">
        <x:f>IF(K181&lt;=7,1,0)</x:f>
        <x:v>0</x:v>
      </x:c>
      <x:c r="M181" s="23" t="n">
        <x:f>IF(L181=1,1/(J181+0.000001),0)</x:f>
        <x:v>0</x:v>
      </x:c>
      <x:c r="N181" s="23" t="n">
        <x:v>-0.005460892732565226</x:v>
      </x:c>
      <x:c r="O181" s="23" t="n">
        <x:f>M181</x:f>
        <x:v>0</x:v>
      </x:c>
      <x:c r="P181" s="23" t="n">
        <x:v>-0.07091616996367378</x:v>
      </x:c>
      <x:c r="Q181" s="23" t="n">
        <x:v>2.043401588905681</x:v>
      </x:c>
    </x:row>
    <x:row r="182">
      <x:c r="A182" s="23" t="str">
        <x:v>Lightning</x:v>
      </x:c>
      <x:c r="B182" s="23" t="n">
        <x:v>1485.6319311540574</x:v>
      </x:c>
      <x:c r="C182" s="23" t="n">
        <x:v>710.9957476030104</x:v>
      </x:c>
      <x:c r="D182" s="23" t="n">
        <x:v>350.1372819766402</x:v>
      </x:c>
      <x:c r="E182" s="23" t="n">
        <x:v>207.31834762962535</x:v>
      </x:c>
      <x:c r="F182" s="23" t="n">
        <x:v>19.581257190555334</x:v>
      </x:c>
      <x:c r="G182" s="23" t="n">
        <x:v>0.845104650745634</x:v>
      </x:c>
      <x:c r="H182" s="23" t="n">
        <x:v>60</x:v>
      </x:c>
      <x:c r="I182" s="23" t="n">
        <x:v>25</x:v>
      </x:c>
      <x:c r="J182" s="23" t="n">
        <x:f>(IF(A182='Hybrid Calculator'!$B$6,0,1))^2+((B182-'Hybrid Calculator'!$B$7)/1500)^2+((C182-'Hybrid Calculator'!$B$8)/1300)^2+((D182-'Hybrid Calculator'!$B$9)/800)^2+((E182-'Hybrid Calculator'!$B$10)/350)^2+((F182-'Hybrid Calculator'!$B$11)/30)^2+(G182-'Hybrid Calculator'!$B$12)^2+((H182-'Hybrid Calculator'!$E$14)/IF(A182="Lightning",100,30000))^2+((I182-'Hybrid Calculator'!$E$17)/IF(A182="Lightning",100,30000))^2</x:f>
        <x:v>0.086907849887221</x:v>
      </x:c>
      <x:c r="K182" s="23" t="n">
        <x:f>RANK(J182,$J$2:$J$1401,1)</x:f>
        <x:v>162</x:v>
      </x:c>
      <x:c r="L182" s="23" t="n">
        <x:f>IF(K182&lt;=7,1,0)</x:f>
        <x:v>0</x:v>
      </x:c>
      <x:c r="M182" s="23" t="n">
        <x:f>IF(L182=1,1/(J182+0.000001),0)</x:f>
        <x:v>0</x:v>
      </x:c>
      <x:c r="N182" s="23" t="n">
        <x:v>-0.0014177959153789388</x:v>
      </x:c>
      <x:c r="O182" s="23" t="n">
        <x:f>M182</x:f>
        <x:v>0</x:v>
      </x:c>
      <x:c r="P182" s="23" t="n">
        <x:v>-0.20351650236392516</x:v>
      </x:c>
      <x:c r="Q182" s="23" t="n">
        <x:v>17.180608724228932</x:v>
      </x:c>
    </x:row>
    <x:row r="183">
      <x:c r="A183" s="23" t="str">
        <x:v>Lightning</x:v>
      </x:c>
      <x:c r="B183" s="23" t="n">
        <x:v>1380.7955730822869</x:v>
      </x:c>
      <x:c r="C183" s="23" t="n">
        <x:v>975.6782877026126</x:v>
      </x:c>
      <x:c r="D183" s="23" t="n">
        <x:v>384.0199221856892</x:v>
      </x:c>
      <x:c r="E183" s="23" t="n">
        <x:v>270.87707716971636</x:v>
      </x:c>
      <x:c r="F183" s="23" t="n">
        <x:v>27.87857654923573</x:v>
      </x:c>
      <x:c r="G183" s="23" t="n">
        <x:v>0.8498949018446729</x:v>
      </x:c>
      <x:c r="H183" s="23" t="n">
        <x:v>45</x:v>
      </x:c>
      <x:c r="I183" s="23" t="n">
        <x:v>25</x:v>
      </x:c>
      <x:c r="J183" s="23" t="n">
        <x:f>(IF(A183='Hybrid Calculator'!$B$6,0,1))^2+((B183-'Hybrid Calculator'!$B$7)/1500)^2+((C183-'Hybrid Calculator'!$B$8)/1300)^2+((D183-'Hybrid Calculator'!$B$9)/800)^2+((E183-'Hybrid Calculator'!$B$10)/350)^2+((F183-'Hybrid Calculator'!$B$11)/30)^2+(G183-'Hybrid Calculator'!$B$12)^2+((H183-'Hybrid Calculator'!$E$14)/IF(A183="Lightning",100,30000))^2+((I183-'Hybrid Calculator'!$E$17)/IF(A183="Lightning",100,30000))^2</x:f>
        <x:v>0.2516325461908865</x:v>
      </x:c>
      <x:c r="K183" s="23" t="n">
        <x:f>RANK(J183,$J$2:$J$1401,1)</x:f>
        <x:v>546</x:v>
      </x:c>
      <x:c r="L183" s="23" t="n">
        <x:f>IF(K183&lt;=7,1,0)</x:f>
        <x:v>0</x:v>
      </x:c>
      <x:c r="M183" s="23" t="n">
        <x:f>IF(L183=1,1/(J183+0.000001),0)</x:f>
        <x:v>0</x:v>
      </x:c>
      <x:c r="N183" s="23" t="n">
        <x:v>0.0030193986607325307</x:v>
      </x:c>
      <x:c r="O183" s="23" t="n">
        <x:f>M183</x:f>
        <x:v>0</x:v>
      </x:c>
      <x:c r="P183" s="23" t="n">
        <x:v>0.12018519124419669</x:v>
      </x:c>
      <x:c r="Q183" s="23" t="n">
        <x:v>-6.258206956880031</x:v>
      </x:c>
    </x:row>
    <x:row r="184">
      <x:c r="A184" s="23" t="str">
        <x:v>Lightning</x:v>
      </x:c>
      <x:c r="B184" s="23" t="n">
        <x:v>1439.5788619760424</x:v>
      </x:c>
      <x:c r="C184" s="23" t="n">
        <x:v>1209.443760837894</x:v>
      </x:c>
      <x:c r="D184" s="23" t="n">
        <x:v>552.7402324602008</x:v>
      </x:c>
      <x:c r="E184" s="23" t="n">
        <x:v>254.91437803255394</x:v>
      </x:c>
      <x:c r="F184" s="23" t="n">
        <x:v>22.441823445260525</x:v>
      </x:c>
      <x:c r="G184" s="23" t="n">
        <x:v>0.8516118289739826</x:v>
      </x:c>
      <x:c r="H184" s="23" t="n">
        <x:v>35</x:v>
      </x:c>
      <x:c r="I184" s="23" t="n">
        <x:v>25</x:v>
      </x:c>
      <x:c r="J184" s="23" t="n">
        <x:f>(IF(A184='Hybrid Calculator'!$B$6,0,1))^2+((B184-'Hybrid Calculator'!$B$7)/1500)^2+((C184-'Hybrid Calculator'!$B$8)/1300)^2+((D184-'Hybrid Calculator'!$B$9)/800)^2+((E184-'Hybrid Calculator'!$B$10)/350)^2+((F184-'Hybrid Calculator'!$B$11)/30)^2+(G184-'Hybrid Calculator'!$B$12)^2+((H184-'Hybrid Calculator'!$E$14)/IF(A184="Lightning",100,30000))^2+((I184-'Hybrid Calculator'!$E$17)/IF(A184="Lightning",100,30000))^2</x:f>
        <x:v>0.21150720404514142</x:v>
      </x:c>
      <x:c r="K184" s="23" t="n">
        <x:f>RANK(J184,$J$2:$J$1401,1)</x:f>
        <x:v>472</x:v>
      </x:c>
      <x:c r="L184" s="23" t="n">
        <x:f>IF(K184&lt;=7,1,0)</x:f>
        <x:v>0</x:v>
      </x:c>
      <x:c r="M184" s="23" t="n">
        <x:f>IF(L184=1,1/(J184+0.000001),0)</x:f>
        <x:v>0</x:v>
      </x:c>
      <x:c r="N184" s="23" t="n">
        <x:v>0.006642095131371928</x:v>
      </x:c>
      <x:c r="O184" s="23" t="n">
        <x:f>M184</x:f>
        <x:v>0</x:v>
      </x:c>
      <x:c r="P184" s="23" t="n">
        <x:v>0.2174925019485272</x:v>
      </x:c>
      <x:c r="Q184" s="23" t="n">
        <x:v>-16.981205266882398</x:v>
      </x:c>
    </x:row>
    <x:row r="185">
      <x:c r="A185" s="23" t="str">
        <x:v>Lightning</x:v>
      </x:c>
      <x:c r="B185" s="23" t="n">
        <x:v>1489.0895589371212</x:v>
      </x:c>
      <x:c r="C185" s="23" t="n">
        <x:v>1178.5000327741727</x:v>
      </x:c>
      <x:c r="D185" s="23" t="n">
        <x:v>577.9985305853188</x:v>
      </x:c>
      <x:c r="E185" s="23" t="n">
        <x:v>172.84357307478786</x:v>
      </x:c>
      <x:c r="F185" s="23" t="n">
        <x:v>8.65905879298225</x:v>
      </x:c>
      <x:c r="G185" s="23" t="n">
        <x:v>0.8441891769459472</x:v>
      </x:c>
      <x:c r="H185" s="23" t="n">
        <x:v>40</x:v>
      </x:c>
      <x:c r="I185" s="23" t="n">
        <x:v>25</x:v>
      </x:c>
      <x:c r="J185" s="23" t="n">
        <x:f>(IF(A185='Hybrid Calculator'!$B$6,0,1))^2+((B185-'Hybrid Calculator'!$B$7)/1500)^2+((C185-'Hybrid Calculator'!$B$8)/1300)^2+((D185-'Hybrid Calculator'!$B$9)/800)^2+((E185-'Hybrid Calculator'!$B$10)/350)^2+((F185-'Hybrid Calculator'!$B$11)/30)^2+(G185-'Hybrid Calculator'!$B$12)^2+((H185-'Hybrid Calculator'!$E$14)/IF(A185="Lightning",100,30000))^2+((I185-'Hybrid Calculator'!$E$17)/IF(A185="Lightning",100,30000))^2</x:f>
        <x:v>0.19763437537541834</x:v>
      </x:c>
      <x:c r="K185" s="23" t="n">
        <x:f>RANK(J185,$J$2:$J$1401,1)</x:f>
        <x:v>442</x:v>
      </x:c>
      <x:c r="L185" s="23" t="n">
        <x:f>IF(K185&lt;=7,1,0)</x:f>
        <x:v>0</x:v>
      </x:c>
      <x:c r="M185" s="23" t="n">
        <x:f>IF(L185=1,1/(J185+0.000001),0)</x:f>
        <x:v>0</x:v>
      </x:c>
      <x:c r="N185" s="23" t="n">
        <x:v>0.021446154216322233</x:v>
      </x:c>
      <x:c r="O185" s="23" t="n">
        <x:f>M185</x:f>
        <x:v>0</x:v>
      </x:c>
      <x:c r="P185" s="23" t="n">
        <x:v>0.12740779966018323</x:v>
      </x:c>
      <x:c r="Q185" s="23" t="n">
        <x:v>-3.336616250872339</x:v>
      </x:c>
    </x:row>
    <x:row r="186">
      <x:c r="A186" s="23" t="str">
        <x:v>Lightning</x:v>
      </x:c>
      <x:c r="B186" s="23" t="n">
        <x:v>1357.8181519405916</x:v>
      </x:c>
      <x:c r="C186" s="23" t="n">
        <x:v>1227.3328065988608</x:v>
      </x:c>
      <x:c r="D186" s="23" t="n">
        <x:v>715.1373237371445</x:v>
      </x:c>
      <x:c r="E186" s="23" t="n">
        <x:v>266.38797471066937</x:v>
      </x:c>
      <x:c r="F186" s="23" t="n">
        <x:v>8.230759772472084</x:v>
      </x:c>
      <x:c r="G186" s="23" t="n">
        <x:v>0.8301029029465281</x:v>
      </x:c>
      <x:c r="H186" s="23" t="n">
        <x:v>35</x:v>
      </x:c>
      <x:c r="I186" s="23" t="n">
        <x:v>25</x:v>
      </x:c>
      <x:c r="J186" s="23" t="n">
        <x:f>(IF(A186='Hybrid Calculator'!$B$6,0,1))^2+((B186-'Hybrid Calculator'!$B$7)/1500)^2+((C186-'Hybrid Calculator'!$B$8)/1300)^2+((D186-'Hybrid Calculator'!$B$9)/800)^2+((E186-'Hybrid Calculator'!$B$10)/350)^2+((F186-'Hybrid Calculator'!$B$11)/30)^2+(G186-'Hybrid Calculator'!$B$12)^2+((H186-'Hybrid Calculator'!$E$14)/IF(A186="Lightning",100,30000))^2+((I186-'Hybrid Calculator'!$E$17)/IF(A186="Lightning",100,30000))^2</x:f>
        <x:v>0.4089311047332063</x:v>
      </x:c>
      <x:c r="K186" s="23" t="n">
        <x:f>RANK(J186,$J$2:$J$1401,1)</x:f>
        <x:v>690</x:v>
      </x:c>
      <x:c r="L186" s="23" t="n">
        <x:f>IF(K186&lt;=7,1,0)</x:f>
        <x:v>0</x:v>
      </x:c>
      <x:c r="M186" s="23" t="n">
        <x:f>IF(L186=1,1/(J186+0.000001),0)</x:f>
        <x:v>0</x:v>
      </x:c>
      <x:c r="N186" s="23" t="n">
        <x:v>0.013522975107397084</x:v>
      </x:c>
      <x:c r="O186" s="23" t="n">
        <x:f>M186</x:f>
        <x:v>0</x:v>
      </x:c>
      <x:c r="P186" s="23" t="n">
        <x:v>0.01970829516285022</x:v>
      </x:c>
      <x:c r="Q186" s="23" t="n">
        <x:v>-7.2752290052806075</x:v>
      </x:c>
    </x:row>
    <x:row r="187">
      <x:c r="A187" s="23" t="str">
        <x:v>Lightning</x:v>
      </x:c>
      <x:c r="B187" s="23" t="n">
        <x:v>1386.7213641176932</x:v>
      </x:c>
      <x:c r="C187" s="23" t="n">
        <x:v>660.745529551059</x:v>
      </x:c>
      <x:c r="D187" s="23" t="n">
        <x:v>692.1662515960634</x:v>
      </x:c>
      <x:c r="E187" s="23" t="n">
        <x:v>313.97820407990366</x:v>
      </x:c>
      <x:c r="F187" s="23" t="n">
        <x:v>19.366352347191423</x:v>
      </x:c>
      <x:c r="G187" s="23" t="n">
        <x:v>0.7926542861107737</x:v>
      </x:c>
      <x:c r="H187" s="23" t="n">
        <x:v>45</x:v>
      </x:c>
      <x:c r="I187" s="23" t="n">
        <x:v>25</x:v>
      </x:c>
      <x:c r="J187" s="23" t="n">
        <x:f>(IF(A187='Hybrid Calculator'!$B$6,0,1))^2+((B187-'Hybrid Calculator'!$B$7)/1500)^2+((C187-'Hybrid Calculator'!$B$8)/1300)^2+((D187-'Hybrid Calculator'!$B$9)/800)^2+((E187-'Hybrid Calculator'!$B$10)/350)^2+((F187-'Hybrid Calculator'!$B$11)/30)^2+(G187-'Hybrid Calculator'!$B$12)^2+((H187-'Hybrid Calculator'!$E$14)/IF(A187="Lightning",100,30000))^2+((I187-'Hybrid Calculator'!$E$17)/IF(A187="Lightning",100,30000))^2</x:f>
        <x:v>0.3031272384816965</x:v>
      </x:c>
      <x:c r="K187" s="23" t="n">
        <x:f>RANK(J187,$J$2:$J$1401,1)</x:f>
        <x:v>600</x:v>
      </x:c>
      <x:c r="L187" s="23" t="n">
        <x:f>IF(K187&lt;=7,1,0)</x:f>
        <x:v>0</x:v>
      </x:c>
      <x:c r="M187" s="23" t="n">
        <x:f>IF(L187=1,1/(J187+0.000001),0)</x:f>
        <x:v>0</x:v>
      </x:c>
      <x:c r="N187" s="23" t="n">
        <x:v>-0.003403740820606904</x:v>
      </x:c>
      <x:c r="O187" s="23" t="n">
        <x:f>M187</x:f>
        <x:v>0</x:v>
      </x:c>
      <x:c r="P187" s="23" t="n">
        <x:v>-0.2566303502164189</x:v>
      </x:c>
      <x:c r="Q187" s="23" t="n">
        <x:v>-2.63297712323174</x:v>
      </x:c>
    </x:row>
    <x:row r="188">
      <x:c r="A188" s="23" t="str">
        <x:v>Lightning</x:v>
      </x:c>
      <x:c r="B188" s="23" t="n">
        <x:v>1403.106644935906</x:v>
      </x:c>
      <x:c r="C188" s="23" t="n">
        <x:v>1135.4792505851947</x:v>
      </x:c>
      <x:c r="D188" s="23" t="n">
        <x:v>598.0150790885091</x:v>
      </x:c>
      <x:c r="E188" s="23" t="n">
        <x:v>201.2168685742654</x:v>
      </x:c>
      <x:c r="F188" s="23" t="n">
        <x:v>13.911890363320708</x:v>
      </x:c>
      <x:c r="G188" s="23" t="n">
        <x:v>0.8043197784689256</x:v>
      </x:c>
      <x:c r="H188" s="23" t="n">
        <x:v>40</x:v>
      </x:c>
      <x:c r="I188" s="23" t="n">
        <x:v>25</x:v>
      </x:c>
      <x:c r="J188" s="23" t="n">
        <x:f>(IF(A188='Hybrid Calculator'!$B$6,0,1))^2+((B188-'Hybrid Calculator'!$B$7)/1500)^2+((C188-'Hybrid Calculator'!$B$8)/1300)^2+((D188-'Hybrid Calculator'!$B$9)/800)^2+((E188-'Hybrid Calculator'!$B$10)/350)^2+((F188-'Hybrid Calculator'!$B$11)/30)^2+(G188-'Hybrid Calculator'!$B$12)^2+((H188-'Hybrid Calculator'!$E$14)/IF(A188="Lightning",100,30000))^2+((I188-'Hybrid Calculator'!$E$17)/IF(A188="Lightning",100,30000))^2</x:f>
        <x:v>0.11849701069433718</x:v>
      </x:c>
      <x:c r="K188" s="23" t="n">
        <x:f>RANK(J188,$J$2:$J$1401,1)</x:f>
        <x:v>246</x:v>
      </x:c>
      <x:c r="L188" s="23" t="n">
        <x:f>IF(K188&lt;=7,1,0)</x:f>
        <x:v>0</x:v>
      </x:c>
      <x:c r="M188" s="23" t="n">
        <x:f>IF(L188=1,1/(J188+0.000001),0)</x:f>
        <x:v>0</x:v>
      </x:c>
      <x:c r="N188" s="23" t="n">
        <x:v>0.005540710572399465</x:v>
      </x:c>
      <x:c r="O188" s="23" t="n">
        <x:f>M188</x:f>
        <x:v>0</x:v>
      </x:c>
      <x:c r="P188" s="23" t="n">
        <x:v>0.5612707895814424</x:v>
      </x:c>
      <x:c r="Q188" s="23" t="n">
        <x:v>3.9317970275221796</x:v>
      </x:c>
    </x:row>
    <x:row r="189">
      <x:c r="A189" s="23" t="str">
        <x:v>Lightning</x:v>
      </x:c>
      <x:c r="B189" s="23" t="n">
        <x:v>1364.4779816851951</x:v>
      </x:c>
      <x:c r="C189" s="23" t="n">
        <x:v>1240.7905631000176</x:v>
      </x:c>
      <x:c r="D189" s="23" t="n">
        <x:v>605.6850702501833</x:v>
      </x:c>
      <x:c r="E189" s="23" t="n">
        <x:v>258.7408597301692</x:v>
      </x:c>
      <x:c r="F189" s="23" t="n">
        <x:v>24.593223069328815</x:v>
      </x:c>
      <x:c r="G189" s="23" t="n">
        <x:v>0.8085276316525415</x:v>
      </x:c>
      <x:c r="H189" s="23" t="n">
        <x:v>35</x:v>
      </x:c>
      <x:c r="I189" s="23" t="n">
        <x:v>25</x:v>
      </x:c>
      <x:c r="J189" s="23" t="n">
        <x:f>(IF(A189='Hybrid Calculator'!$B$6,0,1))^2+((B189-'Hybrid Calculator'!$B$7)/1500)^2+((C189-'Hybrid Calculator'!$B$8)/1300)^2+((D189-'Hybrid Calculator'!$B$9)/800)^2+((E189-'Hybrid Calculator'!$B$10)/350)^2+((F189-'Hybrid Calculator'!$B$11)/30)^2+(G189-'Hybrid Calculator'!$B$12)^2+((H189-'Hybrid Calculator'!$E$14)/IF(A189="Lightning",100,30000))^2+((I189-'Hybrid Calculator'!$E$17)/IF(A189="Lightning",100,30000))^2</x:f>
        <x:v>0.2698566767091699</x:v>
      </x:c>
      <x:c r="K189" s="23" t="n">
        <x:f>RANK(J189,$J$2:$J$1401,1)</x:f>
        <x:v>573</x:v>
      </x:c>
      <x:c r="L189" s="23" t="n">
        <x:f>IF(K189&lt;=7,1,0)</x:f>
        <x:v>0</x:v>
      </x:c>
      <x:c r="M189" s="23" t="n">
        <x:f>IF(L189=1,1/(J189+0.000001),0)</x:f>
        <x:v>0</x:v>
      </x:c>
      <x:c r="N189" s="23" t="n">
        <x:v>0.005361246393565944</x:v>
      </x:c>
      <x:c r="O189" s="23" t="n">
        <x:f>M189</x:f>
        <x:v>0</x:v>
      </x:c>
      <x:c r="P189" s="23" t="n">
        <x:v>1.826759560071359</x:v>
      </x:c>
      <x:c r="Q189" s="23" t="n">
        <x:v>-19.512072622312417</x:v>
      </x:c>
    </x:row>
    <x:row r="190">
      <x:c r="A190" s="23" t="str">
        <x:v>Lightning</x:v>
      </x:c>
      <x:c r="B190" s="23" t="n">
        <x:v>1367.435352760367</x:v>
      </x:c>
      <x:c r="C190" s="23" t="n">
        <x:v>885.8424658537842</x:v>
      </x:c>
      <x:c r="D190" s="23" t="n">
        <x:v>678.5658169537783</x:v>
      </x:c>
      <x:c r="E190" s="23" t="n">
        <x:v>149.30761056719348</x:v>
      </x:c>
      <x:c r="F190" s="23" t="n">
        <x:v>13.235678882338107</x:v>
      </x:c>
      <x:c r="G190" s="23" t="n">
        <x:v>0.8523162884893828</x:v>
      </x:c>
      <x:c r="H190" s="23" t="n">
        <x:v>45</x:v>
      </x:c>
      <x:c r="I190" s="23" t="n">
        <x:v>25</x:v>
      </x:c>
      <x:c r="J190" s="23" t="n">
        <x:f>(IF(A190='Hybrid Calculator'!$B$6,0,1))^2+((B190-'Hybrid Calculator'!$B$7)/1500)^2+((C190-'Hybrid Calculator'!$B$8)/1300)^2+((D190-'Hybrid Calculator'!$B$9)/800)^2+((E190-'Hybrid Calculator'!$B$10)/350)^2+((F190-'Hybrid Calculator'!$B$11)/30)^2+(G190-'Hybrid Calculator'!$B$12)^2+((H190-'Hybrid Calculator'!$E$14)/IF(A190="Lightning",100,30000))^2+((I190-'Hybrid Calculator'!$E$17)/IF(A190="Lightning",100,30000))^2</x:f>
        <x:v>0.08639496706862068</x:v>
      </x:c>
      <x:c r="K190" s="23" t="n">
        <x:f>RANK(J190,$J$2:$J$1401,1)</x:f>
        <x:v>158</x:v>
      </x:c>
      <x:c r="L190" s="23" t="n">
        <x:f>IF(K190&lt;=7,1,0)</x:f>
        <x:v>0</x:v>
      </x:c>
      <x:c r="M190" s="23" t="n">
        <x:f>IF(L190=1,1/(J190+0.000001),0)</x:f>
        <x:v>0</x:v>
      </x:c>
      <x:c r="N190" s="23" t="n">
        <x:v>0.015450902936488875</x:v>
      </x:c>
      <x:c r="O190" s="23" t="n">
        <x:f>M190</x:f>
        <x:v>0</x:v>
      </x:c>
      <x:c r="P190" s="23" t="n">
        <x:v>0.5261907364334633</x:v>
      </x:c>
      <x:c r="Q190" s="23" t="n">
        <x:v>1.881743343421931</x:v>
      </x:c>
    </x:row>
    <x:row r="191">
      <x:c r="A191" s="23" t="str">
        <x:v>Lightning</x:v>
      </x:c>
      <x:c r="B191" s="23" t="n">
        <x:v>1379.0701540536247</x:v>
      </x:c>
      <x:c r="C191" s="23" t="n">
        <x:v>1178.8739909883589</x:v>
      </x:c>
      <x:c r="D191" s="23" t="n">
        <x:v>432.0271263830364</x:v>
      </x:c>
      <x:c r="E191" s="23" t="n">
        <x:v>265.6061954749748</x:v>
      </x:c>
      <x:c r="F191" s="23" t="n">
        <x:v>26.61551785795018</x:v>
      </x:c>
      <x:c r="G191" s="23" t="n">
        <x:v>0.828359999768436</x:v>
      </x:c>
      <x:c r="H191" s="23" t="n">
        <x:v>35</x:v>
      </x:c>
      <x:c r="I191" s="23" t="n">
        <x:v>25</x:v>
      </x:c>
      <x:c r="J191" s="23" t="n">
        <x:f>(IF(A191='Hybrid Calculator'!$B$6,0,1))^2+((B191-'Hybrid Calculator'!$B$7)/1500)^2+((C191-'Hybrid Calculator'!$B$8)/1300)^2+((D191-'Hybrid Calculator'!$B$9)/800)^2+((E191-'Hybrid Calculator'!$B$10)/350)^2+((F191-'Hybrid Calculator'!$B$11)/30)^2+(G191-'Hybrid Calculator'!$B$12)^2+((H191-'Hybrid Calculator'!$E$14)/IF(A191="Lightning",100,30000))^2+((I191-'Hybrid Calculator'!$E$17)/IF(A191="Lightning",100,30000))^2</x:f>
        <x:v>0.27700551678096763</x:v>
      </x:c>
      <x:c r="K191" s="23" t="n">
        <x:f>RANK(J191,$J$2:$J$1401,1)</x:f>
        <x:v>578</x:v>
      </x:c>
      <x:c r="L191" s="23" t="n">
        <x:f>IF(K191&lt;=7,1,0)</x:f>
        <x:v>0</x:v>
      </x:c>
      <x:c r="M191" s="23" t="n">
        <x:f>IF(L191=1,1/(J191+0.000001),0)</x:f>
        <x:v>0</x:v>
      </x:c>
      <x:c r="N191" s="23" t="n">
        <x:v>0.011753979117919533</x:v>
      </x:c>
      <x:c r="O191" s="23" t="n">
        <x:f>M191</x:f>
        <x:v>0</x:v>
      </x:c>
      <x:c r="P191" s="23" t="n">
        <x:v>0.33449165292609706</x:v>
      </x:c>
      <x:c r="Q191" s="23" t="n">
        <x:v>-23.16741734751804</x:v>
      </x:c>
    </x:row>
    <x:row r="192">
      <x:c r="A192" s="23" t="str">
        <x:v>Lightning</x:v>
      </x:c>
      <x:c r="B192" s="23" t="n">
        <x:v>1429.4907556381077</x:v>
      </x:c>
      <x:c r="C192" s="23" t="n">
        <x:v>1186.9011073256843</x:v>
      </x:c>
      <x:c r="D192" s="23" t="n">
        <x:v>392.53259506076574</x:v>
      </x:c>
      <x:c r="E192" s="23" t="n">
        <x:v>243.887943897862</x:v>
      </x:c>
      <x:c r="F192" s="23" t="n">
        <x:v>20.217355210334063</x:v>
      </x:c>
      <x:c r="G192" s="23" t="n">
        <x:v>0.7975567440711894</x:v>
      </x:c>
      <x:c r="H192" s="23" t="n">
        <x:v>40</x:v>
      </x:c>
      <x:c r="I192" s="23" t="n">
        <x:v>25</x:v>
      </x:c>
      <x:c r="J192" s="23" t="n">
        <x:f>(IF(A192='Hybrid Calculator'!$B$6,0,1))^2+((B192-'Hybrid Calculator'!$B$7)/1500)^2+((C192-'Hybrid Calculator'!$B$8)/1300)^2+((D192-'Hybrid Calculator'!$B$9)/800)^2+((E192-'Hybrid Calculator'!$B$10)/350)^2+((F192-'Hybrid Calculator'!$B$11)/30)^2+(G192-'Hybrid Calculator'!$B$12)^2+((H192-'Hybrid Calculator'!$E$14)/IF(A192="Lightning",100,30000))^2+((I192-'Hybrid Calculator'!$E$17)/IF(A192="Lightning",100,30000))^2</x:f>
        <x:v>0.1709552654879136</x:v>
      </x:c>
      <x:c r="K192" s="23" t="n">
        <x:f>RANK(J192,$J$2:$J$1401,1)</x:f>
        <x:v>383</x:v>
      </x:c>
      <x:c r="L192" s="23" t="n">
        <x:f>IF(K192&lt;=7,1,0)</x:f>
        <x:v>0</x:v>
      </x:c>
      <x:c r="M192" s="23" t="n">
        <x:f>IF(L192=1,1/(J192+0.000001),0)</x:f>
        <x:v>0</x:v>
      </x:c>
      <x:c r="N192" s="23" t="n">
        <x:v>0.004538598302286978</x:v>
      </x:c>
      <x:c r="O192" s="23" t="n">
        <x:f>M192</x:f>
        <x:v>0</x:v>
      </x:c>
      <x:c r="P192" s="23" t="n">
        <x:v>0.1934258949748724</x:v>
      </x:c>
      <x:c r="Q192" s="23" t="n">
        <x:v>-8.514489218026938</x:v>
      </x:c>
    </x:row>
    <x:row r="193">
      <x:c r="A193" s="23" t="str">
        <x:v>Lightning</x:v>
      </x:c>
      <x:c r="B193" s="23" t="n">
        <x:v>1431.9876739871688</x:v>
      </x:c>
      <x:c r="C193" s="23" t="n">
        <x:v>1113.2993151200935</x:v>
      </x:c>
      <x:c r="D193" s="23" t="n">
        <x:v>378.27351139858365</x:v>
      </x:c>
      <x:c r="E193" s="23" t="n">
        <x:v>118.11744786798954</x:v>
      </x:c>
      <x:c r="F193" s="23" t="n">
        <x:v>8.345792348030955</x:v>
      </x:c>
      <x:c r="G193" s="23" t="n">
        <x:v>0.8574596415413545</x:v>
      </x:c>
      <x:c r="H193" s="23" t="n">
        <x:v>50</x:v>
      </x:c>
      <x:c r="I193" s="23" t="n">
        <x:v>25</x:v>
      </x:c>
      <x:c r="J193" s="23" t="n">
        <x:f>(IF(A193='Hybrid Calculator'!$B$6,0,1))^2+((B193-'Hybrid Calculator'!$B$7)/1500)^2+((C193-'Hybrid Calculator'!$B$8)/1300)^2+((D193-'Hybrid Calculator'!$B$9)/800)^2+((E193-'Hybrid Calculator'!$B$10)/350)^2+((F193-'Hybrid Calculator'!$B$11)/30)^2+(G193-'Hybrid Calculator'!$B$12)^2+((H193-'Hybrid Calculator'!$E$14)/IF(A193="Lightning",100,30000))^2+((I193-'Hybrid Calculator'!$E$17)/IF(A193="Lightning",100,30000))^2</x:f>
        <x:v>0.18846093736020555</x:v>
      </x:c>
      <x:c r="K193" s="23" t="n">
        <x:f>RANK(J193,$J$2:$J$1401,1)</x:f>
        <x:v>422</x:v>
      </x:c>
      <x:c r="L193" s="23" t="n">
        <x:f>IF(K193&lt;=7,1,0)</x:f>
        <x:v>0</x:v>
      </x:c>
      <x:c r="M193" s="23" t="n">
        <x:f>IF(L193=1,1/(J193+0.000001),0)</x:f>
        <x:v>0</x:v>
      </x:c>
      <x:c r="N193" s="23" t="n">
        <x:v>-0.0005042434103805782</x:v>
      </x:c>
      <x:c r="O193" s="23" t="n">
        <x:f>M193</x:f>
        <x:v>0</x:v>
      </x:c>
      <x:c r="P193" s="23" t="n">
        <x:v>0.22311991619395855</x:v>
      </x:c>
      <x:c r="Q193" s="23" t="n">
        <x:v>-0.39572388182614304</x:v>
      </x:c>
    </x:row>
    <x:row r="194">
      <x:c r="A194" s="23" t="str">
        <x:v>Lightning</x:v>
      </x:c>
      <x:c r="B194" s="23" t="n">
        <x:v>1439.5549906650558</x:v>
      </x:c>
      <x:c r="C194" s="23" t="n">
        <x:v>627.0701077883132</x:v>
      </x:c>
      <x:c r="D194" s="23" t="n">
        <x:v>580.5295534431934</x:v>
      </x:c>
      <x:c r="E194" s="23" t="n">
        <x:v>267.1076379320584</x:v>
      </x:c>
      <x:c r="F194" s="23" t="n">
        <x:v>21.204035042785108</x:v>
      </x:c>
      <x:c r="G194" s="23" t="n">
        <x:v>0.8269825504510664</x:v>
      </x:c>
      <x:c r="H194" s="23" t="n">
        <x:v>50</x:v>
      </x:c>
      <x:c r="I194" s="23" t="n">
        <x:v>25</x:v>
      </x:c>
      <x:c r="J194" s="23" t="n">
        <x:f>(IF(A194='Hybrid Calculator'!$B$6,0,1))^2+((B194-'Hybrid Calculator'!$B$7)/1500)^2+((C194-'Hybrid Calculator'!$B$8)/1300)^2+((D194-'Hybrid Calculator'!$B$9)/800)^2+((E194-'Hybrid Calculator'!$B$10)/350)^2+((F194-'Hybrid Calculator'!$B$11)/30)^2+(G194-'Hybrid Calculator'!$B$12)^2+((H194-'Hybrid Calculator'!$E$14)/IF(A194="Lightning",100,30000))^2+((I194-'Hybrid Calculator'!$E$17)/IF(A194="Lightning",100,30000))^2</x:f>
        <x:v>0.15975955409117784</x:v>
      </x:c>
      <x:c r="K194" s="23" t="n">
        <x:f>RANK(J194,$J$2:$J$1401,1)</x:f>
        <x:v>354</x:v>
      </x:c>
      <x:c r="L194" s="23" t="n">
        <x:f>IF(K194&lt;=7,1,0)</x:f>
        <x:v>0</x:v>
      </x:c>
      <x:c r="M194" s="23" t="n">
        <x:f>IF(L194=1,1/(J194+0.000001),0)</x:f>
        <x:v>0</x:v>
      </x:c>
      <x:c r="N194" s="23" t="n">
        <x:v>-0.0014415289346672022</x:v>
      </x:c>
      <x:c r="O194" s="23" t="n">
        <x:f>M194</x:f>
        <x:v>0</x:v>
      </x:c>
      <x:c r="P194" s="23" t="n">
        <x:v>-1.517628284314</x:v>
      </x:c>
      <x:c r="Q194" s="23" t="n">
        <x:v>5.614854451430119</x:v>
      </x:c>
    </x:row>
    <x:row r="195">
      <x:c r="A195" s="23" t="str">
        <x:v>Lightning</x:v>
      </x:c>
      <x:c r="B195" s="23" t="n">
        <x:v>1356.963431078475</x:v>
      </x:c>
      <x:c r="C195" s="23" t="n">
        <x:v>775.6130760535598</x:v>
      </x:c>
      <x:c r="D195" s="23" t="n">
        <x:v>570.8382978104055</x:v>
      </x:c>
      <x:c r="E195" s="23" t="n">
        <x:v>181.30628396291286</x:v>
      </x:c>
      <x:c r="F195" s="23" t="n">
        <x:v>21.31707174470648</x:v>
      </x:c>
      <x:c r="G195" s="23" t="n">
        <x:v>0.853761577596888</x:v>
      </x:c>
      <x:c r="H195" s="23" t="n">
        <x:v>55</x:v>
      </x:c>
      <x:c r="I195" s="23" t="n">
        <x:v>25</x:v>
      </x:c>
      <x:c r="J195" s="23" t="n">
        <x:f>(IF(A195='Hybrid Calculator'!$B$6,0,1))^2+((B195-'Hybrid Calculator'!$B$7)/1500)^2+((C195-'Hybrid Calculator'!$B$8)/1300)^2+((D195-'Hybrid Calculator'!$B$9)/800)^2+((E195-'Hybrid Calculator'!$B$10)/350)^2+((F195-'Hybrid Calculator'!$B$11)/30)^2+(G195-'Hybrid Calculator'!$B$12)^2+((H195-'Hybrid Calculator'!$E$14)/IF(A195="Lightning",100,30000))^2+((I195-'Hybrid Calculator'!$E$17)/IF(A195="Lightning",100,30000))^2</x:f>
        <x:v>0.033630441704945516</x:v>
      </x:c>
      <x:c r="K195" s="23" t="n">
        <x:f>RANK(J195,$J$2:$J$1401,1)</x:f>
        <x:v>27</x:v>
      </x:c>
      <x:c r="L195" s="23" t="n">
        <x:f>IF(K195&lt;=7,1,0)</x:f>
        <x:v>0</x:v>
      </x:c>
      <x:c r="M195" s="23" t="n">
        <x:f>IF(L195=1,1/(J195+0.000001),0)</x:f>
        <x:v>0</x:v>
      </x:c>
      <x:c r="N195" s="23" t="n">
        <x:v>-0.010865990654151059</x:v>
      </x:c>
      <x:c r="O195" s="23" t="n">
        <x:f>M195</x:f>
        <x:v>0</x:v>
      </x:c>
      <x:c r="P195" s="23" t="n">
        <x:v>-0.3647199257915972</x:v>
      </x:c>
      <x:c r="Q195" s="23" t="n">
        <x:v>8.06918839734385</x:v>
      </x:c>
    </x:row>
    <x:row r="196">
      <x:c r="A196" s="23" t="str">
        <x:v>Lightning</x:v>
      </x:c>
      <x:c r="B196" s="23" t="n">
        <x:v>1423.0759316124022</x:v>
      </x:c>
      <x:c r="C196" s="23" t="n">
        <x:v>1035.4017620324157</x:v>
      </x:c>
      <x:c r="D196" s="23" t="n">
        <x:v>517.0099625363946</x:v>
      </x:c>
      <x:c r="E196" s="23" t="n">
        <x:v>300.19880084553733</x:v>
      </x:c>
      <x:c r="F196" s="23" t="n">
        <x:v>27.18350818939507</x:v>
      </x:c>
      <x:c r="G196" s="23" t="n">
        <x:v>0.8477896080096252</x:v>
      </x:c>
      <x:c r="H196" s="23" t="n">
        <x:v>35</x:v>
      </x:c>
      <x:c r="I196" s="23" t="n">
        <x:v>25</x:v>
      </x:c>
      <x:c r="J196" s="23" t="n">
        <x:f>(IF(A196='Hybrid Calculator'!$B$6,0,1))^2+((B196-'Hybrid Calculator'!$B$7)/1500)^2+((C196-'Hybrid Calculator'!$B$8)/1300)^2+((D196-'Hybrid Calculator'!$B$9)/800)^2+((E196-'Hybrid Calculator'!$B$10)/350)^2+((F196-'Hybrid Calculator'!$B$11)/30)^2+(G196-'Hybrid Calculator'!$B$12)^2+((H196-'Hybrid Calculator'!$E$14)/IF(A196="Lightning",100,30000))^2+((I196-'Hybrid Calculator'!$E$17)/IF(A196="Lightning",100,30000))^2</x:f>
        <x:v>0.31200764587039553</x:v>
      </x:c>
      <x:c r="K196" s="23" t="n">
        <x:f>RANK(J196,$J$2:$J$1401,1)</x:f>
        <x:v>612</x:v>
      </x:c>
      <x:c r="L196" s="23" t="n">
        <x:f>IF(K196&lt;=7,1,0)</x:f>
        <x:v>0</x:v>
      </x:c>
      <x:c r="M196" s="23" t="n">
        <x:f>IF(L196=1,1/(J196+0.000001),0)</x:f>
        <x:v>0</x:v>
      </x:c>
      <x:c r="N196" s="23" t="n">
        <x:v>-0.007245944987108066</x:v>
      </x:c>
      <x:c r="O196" s="23" t="n">
        <x:f>M196</x:f>
        <x:v>0</x:v>
      </x:c>
      <x:c r="P196" s="23" t="n">
        <x:v>0.6490505055585629</x:v>
      </x:c>
      <x:c r="Q196" s="23" t="n">
        <x:v>-23.317574016811022</x:v>
      </x:c>
    </x:row>
    <x:row r="197">
      <x:c r="A197" s="23" t="str">
        <x:v>Lightning</x:v>
      </x:c>
      <x:c r="B197" s="23" t="n">
        <x:v>1387.5239755609073</x:v>
      </x:c>
      <x:c r="C197" s="23" t="n">
        <x:v>950.2664321335033</x:v>
      </x:c>
      <x:c r="D197" s="23" t="n">
        <x:v>433.933047298342</x:v>
      </x:c>
      <x:c r="E197" s="23" t="n">
        <x:v>298.73841364867985</x:v>
      </x:c>
      <x:c r="F197" s="23" t="n">
        <x:v>18.29560945974663</x:v>
      </x:c>
      <x:c r="G197" s="23" t="n">
        <x:v>0.8171392550552264</x:v>
      </x:c>
      <x:c r="H197" s="23" t="n">
        <x:v>45</x:v>
      </x:c>
      <x:c r="I197" s="23" t="n">
        <x:v>25</x:v>
      </x:c>
      <x:c r="J197" s="23" t="n">
        <x:f>(IF(A197='Hybrid Calculator'!$B$6,0,1))^2+((B197-'Hybrid Calculator'!$B$7)/1500)^2+((C197-'Hybrid Calculator'!$B$8)/1300)^2+((D197-'Hybrid Calculator'!$B$9)/800)^2+((E197-'Hybrid Calculator'!$B$10)/350)^2+((F197-'Hybrid Calculator'!$B$11)/30)^2+(G197-'Hybrid Calculator'!$B$12)^2+((H197-'Hybrid Calculator'!$E$14)/IF(A197="Lightning",100,30000))^2+((I197-'Hybrid Calculator'!$E$17)/IF(A197="Lightning",100,30000))^2</x:f>
        <x:v>0.19654446315601842</x:v>
      </x:c>
      <x:c r="K197" s="23" t="n">
        <x:f>RANK(J197,$J$2:$J$1401,1)</x:f>
        <x:v>437</x:v>
      </x:c>
      <x:c r="L197" s="23" t="n">
        <x:f>IF(K197&lt;=7,1,0)</x:f>
        <x:v>0</x:v>
      </x:c>
      <x:c r="M197" s="23" t="n">
        <x:f>IF(L197=1,1/(J197+0.000001),0)</x:f>
        <x:v>0</x:v>
      </x:c>
      <x:c r="N197" s="23" t="n">
        <x:v>0.006263624145828706</x:v>
      </x:c>
      <x:c r="O197" s="23" t="n">
        <x:f>M197</x:f>
        <x:v>0</x:v>
      </x:c>
      <x:c r="P197" s="23" t="n">
        <x:v>-0.16508670814572213</x:v>
      </x:c>
      <x:c r="Q197" s="23" t="n">
        <x:v>-3.060037169137331</x:v>
      </x:c>
    </x:row>
    <x:row r="198">
      <x:c r="A198" s="23" t="str">
        <x:v>Lightning</x:v>
      </x:c>
      <x:c r="B198" s="23" t="n">
        <x:v>1470.383481681347</x:v>
      </x:c>
      <x:c r="C198" s="23" t="n">
        <x:v>1034.4419727451168</x:v>
      </x:c>
      <x:c r="D198" s="23" t="n">
        <x:v>582.6939987018704</x:v>
      </x:c>
      <x:c r="E198" s="23" t="n">
        <x:v>250.38526252144948</x:v>
      </x:c>
      <x:c r="F198" s="23" t="n">
        <x:v>15.754164783284068</x:v>
      </x:c>
      <x:c r="G198" s="23" t="n">
        <x:v>0.7974116996419617</x:v>
      </x:c>
      <x:c r="H198" s="23" t="n">
        <x:v>35</x:v>
      </x:c>
      <x:c r="I198" s="23" t="n">
        <x:v>25</x:v>
      </x:c>
      <x:c r="J198" s="23" t="n">
        <x:f>(IF(A198='Hybrid Calculator'!$B$6,0,1))^2+((B198-'Hybrid Calculator'!$B$7)/1500)^2+((C198-'Hybrid Calculator'!$B$8)/1300)^2+((D198-'Hybrid Calculator'!$B$9)/800)^2+((E198-'Hybrid Calculator'!$B$10)/350)^2+((F198-'Hybrid Calculator'!$B$11)/30)^2+(G198-'Hybrid Calculator'!$B$12)^2+((H198-'Hybrid Calculator'!$E$14)/IF(A198="Lightning",100,30000))^2+((I198-'Hybrid Calculator'!$E$17)/IF(A198="Lightning",100,30000))^2</x:f>
        <x:v>0.14538017790378666</x:v>
      </x:c>
      <x:c r="K198" s="23" t="n">
        <x:f>RANK(J198,$J$2:$J$1401,1)</x:f>
        <x:v>316</x:v>
      </x:c>
      <x:c r="L198" s="23" t="n">
        <x:f>IF(K198&lt;=7,1,0)</x:f>
        <x:v>0</x:v>
      </x:c>
      <x:c r="M198" s="23" t="n">
        <x:f>IF(L198=1,1/(J198+0.000001),0)</x:f>
        <x:v>0</x:v>
      </x:c>
      <x:c r="N198" s="23" t="n">
        <x:v>0.00983375517231222</x:v>
      </x:c>
      <x:c r="O198" s="23" t="n">
        <x:f>M198</x:f>
        <x:v>0</x:v>
      </x:c>
      <x:c r="P198" s="23" t="n">
        <x:v>-0.3374081570869123</x:v>
      </x:c>
      <x:c r="Q198" s="23" t="n">
        <x:v>-2.4737480406715804</x:v>
      </x:c>
    </x:row>
    <x:row r="199">
      <x:c r="A199" s="23" t="str">
        <x:v>Lightning</x:v>
      </x:c>
      <x:c r="B199" s="23" t="n">
        <x:v>1420.6628090352751</x:v>
      </x:c>
      <x:c r="C199" s="23" t="n">
        <x:v>1023.0184281477705</x:v>
      </x:c>
      <x:c r="D199" s="23" t="n">
        <x:v>382.3426769115031</x:v>
      </x:c>
      <x:c r="E199" s="23" t="n">
        <x:v>135.44581799767911</x:v>
      </x:c>
      <x:c r="F199" s="23" t="n">
        <x:v>8.811323043424636</x:v>
      </x:c>
      <x:c r="G199" s="23" t="n">
        <x:v>0.7985347557114437</x:v>
      </x:c>
      <x:c r="H199" s="23" t="n">
        <x:v>50</x:v>
      </x:c>
      <x:c r="I199" s="23" t="n">
        <x:v>25</x:v>
      </x:c>
      <x:c r="J199" s="23" t="n">
        <x:f>(IF(A199='Hybrid Calculator'!$B$6,0,1))^2+((B199-'Hybrid Calculator'!$B$7)/1500)^2+((C199-'Hybrid Calculator'!$B$8)/1300)^2+((D199-'Hybrid Calculator'!$B$9)/800)^2+((E199-'Hybrid Calculator'!$B$10)/350)^2+((F199-'Hybrid Calculator'!$B$11)/30)^2+(G199-'Hybrid Calculator'!$B$12)^2+((H199-'Hybrid Calculator'!$E$14)/IF(A199="Lightning",100,30000))^2+((I199-'Hybrid Calculator'!$E$17)/IF(A199="Lightning",100,30000))^2</x:f>
        <x:v>0.14584211881128945</x:v>
      </x:c>
      <x:c r="K199" s="23" t="n">
        <x:f>RANK(J199,$J$2:$J$1401,1)</x:f>
        <x:v>319</x:v>
      </x:c>
      <x:c r="L199" s="23" t="n">
        <x:f>IF(K199&lt;=7,1,0)</x:f>
        <x:v>0</x:v>
      </x:c>
      <x:c r="M199" s="23" t="n">
        <x:f>IF(L199=1,1/(J199+0.000001),0)</x:f>
        <x:v>0</x:v>
      </x:c>
      <x:c r="N199" s="23" t="n">
        <x:v>0.00651280134220511</x:v>
      </x:c>
      <x:c r="O199" s="23" t="n">
        <x:f>M199</x:f>
        <x:v>0</x:v>
      </x:c>
      <x:c r="P199" s="23" t="n">
        <x:v>-0.00006970478191448137</x:v>
      </x:c>
      <x:c r="Q199" s="23" t="n">
        <x:v>9.626401795543188</x:v>
      </x:c>
    </x:row>
    <x:row r="200">
      <x:c r="A200" s="23" t="str">
        <x:v>Lightning</x:v>
      </x:c>
      <x:c r="B200" s="23" t="n">
        <x:v>1457.344423304312</x:v>
      </x:c>
      <x:c r="C200" s="23" t="n">
        <x:v>866.9801582233049</x:v>
      </x:c>
      <x:c r="D200" s="23" t="n">
        <x:v>381.57589472830296</x:v>
      </x:c>
      <x:c r="E200" s="23" t="n">
        <x:v>180.3748860093765</x:v>
      </x:c>
      <x:c r="F200" s="23" t="n">
        <x:v>13.82135405484587</x:v>
      </x:c>
      <x:c r="G200" s="23" t="n">
        <x:v>0.8044824836659246</x:v>
      </x:c>
      <x:c r="H200" s="23" t="n">
        <x:v>50</x:v>
      </x:c>
      <x:c r="I200" s="23" t="n">
        <x:v>25</x:v>
      </x:c>
      <x:c r="J200" s="23" t="n">
        <x:f>(IF(A200='Hybrid Calculator'!$B$6,0,1))^2+((B200-'Hybrid Calculator'!$B$7)/1500)^2+((C200-'Hybrid Calculator'!$B$8)/1300)^2+((D200-'Hybrid Calculator'!$B$9)/800)^2+((E200-'Hybrid Calculator'!$B$10)/350)^2+((F200-'Hybrid Calculator'!$B$11)/30)^2+(G200-'Hybrid Calculator'!$B$12)^2+((H200-'Hybrid Calculator'!$E$14)/IF(A200="Lightning",100,30000))^2+((I200-'Hybrid Calculator'!$E$17)/IF(A200="Lightning",100,30000))^2</x:f>
        <x:v>0.05464290444294179</x:v>
      </x:c>
      <x:c r="K200" s="23" t="n">
        <x:f>RANK(J200,$J$2:$J$1401,1)</x:f>
        <x:v>66</x:v>
      </x:c>
      <x:c r="L200" s="23" t="n">
        <x:f>IF(K200&lt;=7,1,0)</x:f>
        <x:v>0</x:v>
      </x:c>
      <x:c r="M200" s="23" t="n">
        <x:f>IF(L200=1,1/(J200+0.000001),0)</x:f>
        <x:v>0</x:v>
      </x:c>
      <x:c r="N200" s="23" t="n">
        <x:v>-0.007835991051856395</x:v>
      </x:c>
      <x:c r="O200" s="23" t="n">
        <x:f>M200</x:f>
        <x:v>0</x:v>
      </x:c>
      <x:c r="P200" s="23" t="n">
        <x:v>0.34457401159344414</x:v>
      </x:c>
      <x:c r="Q200" s="23" t="n">
        <x:v>18.036660835666453</x:v>
      </x:c>
    </x:row>
    <x:row r="201">
      <x:c r="A201" s="23" t="str">
        <x:v>Lightning</x:v>
      </x:c>
      <x:c r="B201" s="23" t="n">
        <x:v>1399.2325790575705</x:v>
      </x:c>
      <x:c r="C201" s="23" t="n">
        <x:v>1224.2859936784953</x:v>
      </x:c>
      <x:c r="D201" s="23" t="n">
        <x:v>594.3519259802997</x:v>
      </x:c>
      <x:c r="E201" s="23" t="n">
        <x:v>320.0122171966359</x:v>
      </x:c>
      <x:c r="F201" s="23" t="n">
        <x:v>20.746467675548047</x:v>
      </x:c>
      <x:c r="G201" s="23" t="n">
        <x:v>0.8514127086848021</x:v>
      </x:c>
      <x:c r="H201" s="23" t="n">
        <x:v>35</x:v>
      </x:c>
      <x:c r="I201" s="23" t="n">
        <x:v>25</x:v>
      </x:c>
      <x:c r="J201" s="23" t="n">
        <x:f>(IF(A201='Hybrid Calculator'!$B$6,0,1))^2+((B201-'Hybrid Calculator'!$B$7)/1500)^2+((C201-'Hybrid Calculator'!$B$8)/1300)^2+((D201-'Hybrid Calculator'!$B$9)/800)^2+((E201-'Hybrid Calculator'!$B$10)/350)^2+((F201-'Hybrid Calculator'!$B$11)/30)^2+(G201-'Hybrid Calculator'!$B$12)^2+((H201-'Hybrid Calculator'!$E$14)/IF(A201="Lightning",100,30000))^2+((I201-'Hybrid Calculator'!$E$17)/IF(A201="Lightning",100,30000))^2</x:f>
        <x:v>0.3621447972489502</x:v>
      </x:c>
      <x:c r="K201" s="23" t="n">
        <x:f>RANK(J201,$J$2:$J$1401,1)</x:f>
        <x:v>659</x:v>
      </x:c>
      <x:c r="L201" s="23" t="n">
        <x:f>IF(K201&lt;=7,1,0)</x:f>
        <x:v>0</x:v>
      </x:c>
      <x:c r="M201" s="23" t="n">
        <x:f>IF(L201=1,1/(J201+0.000001),0)</x:f>
        <x:v>0</x:v>
      </x:c>
      <x:c r="N201" s="23" t="n">
        <x:v>0.013505573659007286</x:v>
      </x:c>
      <x:c r="O201" s="23" t="n">
        <x:f>M201</x:f>
        <x:v>0</x:v>
      </x:c>
      <x:c r="P201" s="23" t="n">
        <x:v>1.4303582540786053</x:v>
      </x:c>
      <x:c r="Q201" s="23" t="n">
        <x:v>-12.365336002003687</x:v>
      </x:c>
    </x:row>
    <x:row r="202">
      <x:c r="A202" s="23" t="str">
        <x:v>Lightning</x:v>
      </x:c>
      <x:c r="B202" s="23" t="n">
        <x:v>1454.4099777471274</x:v>
      </x:c>
      <x:c r="C202" s="23" t="n">
        <x:v>832.3521771351807</x:v>
      </x:c>
      <x:c r="D202" s="23" t="n">
        <x:v>541.4400732144713</x:v>
      </x:c>
      <x:c r="E202" s="23" t="n">
        <x:v>131.43406690331176</x:v>
      </x:c>
      <x:c r="F202" s="23" t="n">
        <x:v>16.732172083109617</x:v>
      </x:c>
      <x:c r="G202" s="23" t="n">
        <x:v>0.8152322427579202</x:v>
      </x:c>
      <x:c r="H202" s="23" t="n">
        <x:v>50</x:v>
      </x:c>
      <x:c r="I202" s="23" t="n">
        <x:v>25</x:v>
      </x:c>
      <x:c r="J202" s="23" t="n">
        <x:f>(IF(A202='Hybrid Calculator'!$B$6,0,1))^2+((B202-'Hybrid Calculator'!$B$7)/1500)^2+((C202-'Hybrid Calculator'!$B$8)/1300)^2+((D202-'Hybrid Calculator'!$B$9)/800)^2+((E202-'Hybrid Calculator'!$B$10)/350)^2+((F202-'Hybrid Calculator'!$B$11)/30)^2+(G202-'Hybrid Calculator'!$B$12)^2+((H202-'Hybrid Calculator'!$E$14)/IF(A202="Lightning",100,30000))^2+((I202-'Hybrid Calculator'!$E$17)/IF(A202="Lightning",100,30000))^2</x:f>
        <x:v>0.009560978394168394</x:v>
      </x:c>
      <x:c r="K202" s="23" t="n">
        <x:f>RANK(J202,$J$2:$J$1401,1)</x:f>
        <x:v>3</x:v>
      </x:c>
      <x:c r="L202" s="23" t="n">
        <x:f>IF(K202&lt;=7,1,0)</x:f>
        <x:v>1</x:v>
      </x:c>
      <x:c r="M202" s="23" t="n">
        <x:f>IF(L202=1,1/(J202+0.000001),0)</x:f>
        <x:v>104.58086797287416</x:v>
      </x:c>
      <x:c r="N202" s="23" t="n">
        <x:v>0.010509090599139626</x:v>
      </x:c>
      <x:c r="O202" s="23" t="n">
        <x:f>M202</x:f>
        <x:v>104.58086797287416</x:v>
      </x:c>
      <x:c r="P202" s="23" t="n">
        <x:v>-1.0622626781061442</x:v>
      </x:c>
      <x:c r="Q202" s="23" t="n">
        <x:v>4.169382835359102</x:v>
      </x:c>
    </x:row>
    <x:row r="203">
      <x:c r="A203" s="23" t="str">
        <x:v>Lightning</x:v>
      </x:c>
      <x:c r="B203" s="23" t="n">
        <x:v>1442.5447017070837</x:v>
      </x:c>
      <x:c r="C203" s="23" t="n">
        <x:v>838.4164443938062</x:v>
      </x:c>
      <x:c r="D203" s="23" t="n">
        <x:v>710.3377123363316</x:v>
      </x:c>
      <x:c r="E203" s="23" t="n">
        <x:v>95.65863844007254</x:v>
      </x:c>
      <x:c r="F203" s="23" t="n">
        <x:v>8.366648035589606</x:v>
      </x:c>
      <x:c r="G203" s="23" t="n">
        <x:v>0.8536838846979663</x:v>
      </x:c>
      <x:c r="H203" s="23" t="n">
        <x:v>45</x:v>
      </x:c>
      <x:c r="I203" s="23" t="n">
        <x:v>25</x:v>
      </x:c>
      <x:c r="J203" s="23" t="n">
        <x:f>(IF(A203='Hybrid Calculator'!$B$6,0,1))^2+((B203-'Hybrid Calculator'!$B$7)/1500)^2+((C203-'Hybrid Calculator'!$B$8)/1300)^2+((D203-'Hybrid Calculator'!$B$9)/800)^2+((E203-'Hybrid Calculator'!$B$10)/350)^2+((F203-'Hybrid Calculator'!$B$11)/30)^2+(G203-'Hybrid Calculator'!$B$12)^2+((H203-'Hybrid Calculator'!$E$14)/IF(A203="Lightning",100,30000))^2+((I203-'Hybrid Calculator'!$E$17)/IF(A203="Lightning",100,30000))^2</x:f>
        <x:v>0.21117909416913452</x:v>
      </x:c>
      <x:c r="K203" s="23" t="n">
        <x:f>RANK(J203,$J$2:$J$1401,1)</x:f>
        <x:v>469</x:v>
      </x:c>
      <x:c r="L203" s="23" t="n">
        <x:f>IF(K203&lt;=7,1,0)</x:f>
        <x:v>0</x:v>
      </x:c>
      <x:c r="M203" s="23" t="n">
        <x:f>IF(L203=1,1/(J203+0.000001),0)</x:f>
        <x:v>0</x:v>
      </x:c>
      <x:c r="N203" s="23" t="n">
        <x:v>0.014083751807977718</x:v>
      </x:c>
      <x:c r="O203" s="23" t="n">
        <x:f>M203</x:f>
        <x:v>0</x:v>
      </x:c>
      <x:c r="P203" s="23" t="n">
        <x:v>0.12827452047520183</x:v>
      </x:c>
      <x:c r="Q203" s="23" t="n">
        <x:v>9.782825731266712</x:v>
      </x:c>
    </x:row>
    <x:row r="204">
      <x:c r="A204" s="23" t="str">
        <x:v>Lightning</x:v>
      </x:c>
      <x:c r="B204" s="23" t="n">
        <x:v>1392.786030122079</x:v>
      </x:c>
      <x:c r="C204" s="23" t="n">
        <x:v>1042.8629807312973</x:v>
      </x:c>
      <x:c r="D204" s="23" t="n">
        <x:v>415.50519689917564</x:v>
      </x:c>
      <x:c r="E204" s="23" t="n">
        <x:v>287.68486842280254</x:v>
      </x:c>
      <x:c r="F204" s="23" t="n">
        <x:v>26.887304357253015</x:v>
      </x:c>
      <x:c r="G204" s="23" t="n">
        <x:v>0.8583414835645817</x:v>
      </x:c>
      <x:c r="H204" s="23" t="n">
        <x:v>40</x:v>
      </x:c>
      <x:c r="I204" s="23" t="n">
        <x:v>25</x:v>
      </x:c>
      <x:c r="J204" s="23" t="n">
        <x:f>(IF(A204='Hybrid Calculator'!$B$6,0,1))^2+((B204-'Hybrid Calculator'!$B$7)/1500)^2+((C204-'Hybrid Calculator'!$B$8)/1300)^2+((D204-'Hybrid Calculator'!$B$9)/800)^2+((E204-'Hybrid Calculator'!$B$10)/350)^2+((F204-'Hybrid Calculator'!$B$11)/30)^2+(G204-'Hybrid Calculator'!$B$12)^2+((H204-'Hybrid Calculator'!$E$14)/IF(A204="Lightning",100,30000))^2+((I204-'Hybrid Calculator'!$E$17)/IF(A204="Lightning",100,30000))^2</x:f>
        <x:v>0.2780113176088473</x:v>
      </x:c>
      <x:c r="K204" s="23" t="n">
        <x:f>RANK(J204,$J$2:$J$1401,1)</x:f>
        <x:v>579</x:v>
      </x:c>
      <x:c r="L204" s="23" t="n">
        <x:f>IF(K204&lt;=7,1,0)</x:f>
        <x:v>0</x:v>
      </x:c>
      <x:c r="M204" s="23" t="n">
        <x:f>IF(L204=1,1/(J204+0.000001),0)</x:f>
        <x:v>0</x:v>
      </x:c>
      <x:c r="N204" s="23" t="n">
        <x:v>-0.0023329179716358173</x:v>
      </x:c>
      <x:c r="O204" s="23" t="n">
        <x:f>M204</x:f>
        <x:v>0</x:v>
      </x:c>
      <x:c r="P204" s="23" t="n">
        <x:v>0.2642675344704557</x:v>
      </x:c>
      <x:c r="Q204" s="23" t="n">
        <x:v>-11.992217692770964</x:v>
      </x:c>
    </x:row>
    <x:row r="205">
      <x:c r="A205" s="23" t="str">
        <x:v>Lightning</x:v>
      </x:c>
      <x:c r="B205" s="23" t="n">
        <x:v>1383.0906687187962</x:v>
      </x:c>
      <x:c r="C205" s="23" t="n">
        <x:v>1166.6238509118557</x:v>
      </x:c>
      <x:c r="D205" s="23" t="n">
        <x:v>730.8512239716947</x:v>
      </x:c>
      <x:c r="E205" s="23" t="n">
        <x:v>128.75542141962796</x:v>
      </x:c>
      <x:c r="F205" s="23" t="n">
        <x:v>23.563283951487392</x:v>
      </x:c>
      <x:c r="G205" s="23" t="n">
        <x:v>0.8485863248538226</x:v>
      </x:c>
      <x:c r="H205" s="23" t="n">
        <x:v>35</x:v>
      </x:c>
      <x:c r="I205" s="23" t="n">
        <x:v>25</x:v>
      </x:c>
      <x:c r="J205" s="23" t="n">
        <x:f>(IF(A205='Hybrid Calculator'!$B$6,0,1))^2+((B205-'Hybrid Calculator'!$B$7)/1500)^2+((C205-'Hybrid Calculator'!$B$8)/1300)^2+((D205-'Hybrid Calculator'!$B$9)/800)^2+((E205-'Hybrid Calculator'!$B$10)/350)^2+((F205-'Hybrid Calculator'!$B$11)/30)^2+(G205-'Hybrid Calculator'!$B$12)^2+((H205-'Hybrid Calculator'!$E$14)/IF(A205="Lightning",100,30000))^2+((I205-'Hybrid Calculator'!$E$17)/IF(A205="Lightning",100,30000))^2</x:f>
        <x:v>0.198856641427348</x:v>
      </x:c>
      <x:c r="K205" s="23" t="n">
        <x:f>RANK(J205,$J$2:$J$1401,1)</x:f>
        <x:v>444</x:v>
      </x:c>
      <x:c r="L205" s="23" t="n">
        <x:f>IF(K205&lt;=7,1,0)</x:f>
        <x:v>0</x:v>
      </x:c>
      <x:c r="M205" s="23" t="n">
        <x:f>IF(L205=1,1/(J205+0.000001),0)</x:f>
        <x:v>0</x:v>
      </x:c>
      <x:c r="N205" s="23" t="n">
        <x:v>-0.00021249846363891045</x:v>
      </x:c>
      <x:c r="O205" s="23" t="n">
        <x:f>M205</x:f>
        <x:v>0</x:v>
      </x:c>
      <x:c r="P205" s="23" t="n">
        <x:v>-0.10781724400564485</x:v>
      </x:c>
      <x:c r="Q205" s="23" t="n">
        <x:v>-10.743888659927052</x:v>
      </x:c>
    </x:row>
    <x:row r="206">
      <x:c r="A206" s="23" t="str">
        <x:v>Lightning</x:v>
      </x:c>
      <x:c r="B206" s="23" t="n">
        <x:v>1420.2924138866365</x:v>
      </x:c>
      <x:c r="C206" s="23" t="n">
        <x:v>884.4176813377999</x:v>
      </x:c>
      <x:c r="D206" s="23" t="n">
        <x:v>438.90645150095224</x:v>
      </x:c>
      <x:c r="E206" s="23" t="n">
        <x:v>271.00738229462877</x:v>
      </x:c>
      <x:c r="F206" s="23" t="n">
        <x:v>18.738724494352937</x:v>
      </x:c>
      <x:c r="G206" s="23" t="n">
        <x:v>0.8300350943510421</x:v>
      </x:c>
      <x:c r="H206" s="23" t="n">
        <x:v>45</x:v>
      </x:c>
      <x:c r="I206" s="23" t="n">
        <x:v>25</x:v>
      </x:c>
      <x:c r="J206" s="23" t="n">
        <x:f>(IF(A206='Hybrid Calculator'!$B$6,0,1))^2+((B206-'Hybrid Calculator'!$B$7)/1500)^2+((C206-'Hybrid Calculator'!$B$8)/1300)^2+((D206-'Hybrid Calculator'!$B$9)/800)^2+((E206-'Hybrid Calculator'!$B$10)/350)^2+((F206-'Hybrid Calculator'!$B$11)/30)^2+(G206-'Hybrid Calculator'!$B$12)^2+((H206-'Hybrid Calculator'!$E$14)/IF(A206="Lightning",100,30000))^2+((I206-'Hybrid Calculator'!$E$17)/IF(A206="Lightning",100,30000))^2</x:f>
        <x:v>0.12873966761089975</x:v>
      </x:c>
      <x:c r="K206" s="23" t="n">
        <x:f>RANK(J206,$J$2:$J$1401,1)</x:f>
        <x:v>273</x:v>
      </x:c>
      <x:c r="L206" s="23" t="n">
        <x:f>IF(K206&lt;=7,1,0)</x:f>
        <x:v>0</x:v>
      </x:c>
      <x:c r="M206" s="23" t="n">
        <x:f>IF(L206=1,1/(J206+0.000001),0)</x:f>
        <x:v>0</x:v>
      </x:c>
      <x:c r="N206" s="23" t="n">
        <x:v>0.009589862409421501</x:v>
      </x:c>
      <x:c r="O206" s="23" t="n">
        <x:f>M206</x:f>
        <x:v>0</x:v>
      </x:c>
      <x:c r="P206" s="23" t="n">
        <x:v>-0.65702960781055</x:v>
      </x:c>
      <x:c r="Q206" s="23" t="n">
        <x:v>8.706727381774499</x:v>
      </x:c>
    </x:row>
    <x:row r="207">
      <x:c r="A207" s="23" t="str">
        <x:v>Lightning</x:v>
      </x:c>
      <x:c r="B207" s="23" t="n">
        <x:v>1392.6415638648905</x:v>
      </x:c>
      <x:c r="C207" s="23" t="n">
        <x:v>966.1770786391571</x:v>
      </x:c>
      <x:c r="D207" s="23" t="n">
        <x:v>476.31755406036973</x:v>
      </x:c>
      <x:c r="E207" s="23" t="n">
        <x:v>93.18720378912985</x:v>
      </x:c>
      <x:c r="F207" s="23" t="n">
        <x:v>29.067560323048383</x:v>
      </x:c>
      <x:c r="G207" s="23" t="n">
        <x:v>0.8346734193572775</x:v>
      </x:c>
      <x:c r="H207" s="23" t="n">
        <x:v>45</x:v>
      </x:c>
      <x:c r="I207" s="23" t="n">
        <x:v>25</x:v>
      </x:c>
      <x:c r="J207" s="23" t="n">
        <x:f>(IF(A207='Hybrid Calculator'!$B$6,0,1))^2+((B207-'Hybrid Calculator'!$B$7)/1500)^2+((C207-'Hybrid Calculator'!$B$8)/1300)^2+((D207-'Hybrid Calculator'!$B$9)/800)^2+((E207-'Hybrid Calculator'!$B$10)/350)^2+((F207-'Hybrid Calculator'!$B$11)/30)^2+(G207-'Hybrid Calculator'!$B$12)^2+((H207-'Hybrid Calculator'!$E$14)/IF(A207="Lightning",100,30000))^2+((I207-'Hybrid Calculator'!$E$17)/IF(A207="Lightning",100,30000))^2</x:f>
        <x:v>0.16247347174033216</x:v>
      </x:c>
      <x:c r="K207" s="23" t="n">
        <x:f>RANK(J207,$J$2:$J$1401,1)</x:f>
        <x:v>360</x:v>
      </x:c>
      <x:c r="L207" s="23" t="n">
        <x:f>IF(K207&lt;=7,1,0)</x:f>
        <x:v>0</x:v>
      </x:c>
      <x:c r="M207" s="23" t="n">
        <x:f>IF(L207=1,1/(J207+0.000001),0)</x:f>
        <x:v>0</x:v>
      </x:c>
      <x:c r="N207" s="23" t="n">
        <x:v>-0.012996745571272728</x:v>
      </x:c>
      <x:c r="O207" s="23" t="n">
        <x:f>M207</x:f>
        <x:v>0</x:v>
      </x:c>
      <x:c r="P207" s="23" t="n">
        <x:v>0.33682438470026455</x:v>
      </x:c>
      <x:c r="Q207" s="23" t="n">
        <x:v>-10.128245608781071</x:v>
      </x:c>
    </x:row>
    <x:row r="208">
      <x:c r="A208" s="23" t="str">
        <x:v>Lightning</x:v>
      </x:c>
      <x:c r="B208" s="23" t="n">
        <x:v>1410.846534348093</x:v>
      </x:c>
      <x:c r="C208" s="23" t="n">
        <x:v>656.3158066594042</x:v>
      </x:c>
      <x:c r="D208" s="23" t="n">
        <x:v>424.78395514190197</x:v>
      </x:c>
      <x:c r="E208" s="23" t="n">
        <x:v>240.84985219640657</x:v>
      </x:c>
      <x:c r="F208" s="23" t="n">
        <x:v>22.013491083867848</x:v>
      </x:c>
      <x:c r="G208" s="23" t="n">
        <x:v>0.8009450426022523</x:v>
      </x:c>
      <x:c r="H208" s="23" t="n">
        <x:v>55</x:v>
      </x:c>
      <x:c r="I208" s="23" t="n">
        <x:v>25</x:v>
      </x:c>
      <x:c r="J208" s="23" t="n">
        <x:f>(IF(A208='Hybrid Calculator'!$B$6,0,1))^2+((B208-'Hybrid Calculator'!$B$7)/1500)^2+((C208-'Hybrid Calculator'!$B$8)/1300)^2+((D208-'Hybrid Calculator'!$B$9)/800)^2+((E208-'Hybrid Calculator'!$B$10)/350)^2+((F208-'Hybrid Calculator'!$B$11)/30)^2+(G208-'Hybrid Calculator'!$B$12)^2+((H208-'Hybrid Calculator'!$E$14)/IF(A208="Lightning",100,30000))^2+((I208-'Hybrid Calculator'!$E$17)/IF(A208="Lightning",100,30000))^2</x:f>
        <x:v>0.1150826217886601</x:v>
      </x:c>
      <x:c r="K208" s="23" t="n">
        <x:f>RANK(J208,$J$2:$J$1401,1)</x:f>
        <x:v>239</x:v>
      </x:c>
      <x:c r="L208" s="23" t="n">
        <x:f>IF(K208&lt;=7,1,0)</x:f>
        <x:v>0</x:v>
      </x:c>
      <x:c r="M208" s="23" t="n">
        <x:f>IF(L208=1,1/(J208+0.000001),0)</x:f>
        <x:v>0</x:v>
      </x:c>
      <x:c r="N208" s="23" t="n">
        <x:v>-0.006757514371916518</x:v>
      </x:c>
      <x:c r="O208" s="23" t="n">
        <x:f>M208</x:f>
        <x:v>0</x:v>
      </x:c>
      <x:c r="P208" s="23" t="n">
        <x:v>-0.8758707195859969</x:v>
      </x:c>
      <x:c r="Q208" s="23" t="n">
        <x:v>6.49683070675178</x:v>
      </x:c>
    </x:row>
    <x:row r="209">
      <x:c r="A209" s="23" t="str">
        <x:v>Lightning</x:v>
      </x:c>
      <x:c r="B209" s="23" t="n">
        <x:v>1363.6619995697401</x:v>
      </x:c>
      <x:c r="C209" s="23" t="n">
        <x:v>709.3907431233674</x:v>
      </x:c>
      <x:c r="D209" s="23" t="n">
        <x:v>707.0102187804878</x:v>
      </x:c>
      <x:c r="E209" s="23" t="n">
        <x:v>160.5267378455028</x:v>
      </x:c>
      <x:c r="F209" s="23" t="n">
        <x:v>14.804976529907435</x:v>
      </x:c>
      <x:c r="G209" s="23" t="n">
        <x:v>0.8114834441058338</x:v>
      </x:c>
      <x:c r="H209" s="23" t="n">
        <x:v>50</x:v>
      </x:c>
      <x:c r="I209" s="23" t="n">
        <x:v>25</x:v>
      </x:c>
      <x:c r="J209" s="23" t="n">
        <x:f>(IF(A209='Hybrid Calculator'!$B$6,0,1))^2+((B209-'Hybrid Calculator'!$B$7)/1500)^2+((C209-'Hybrid Calculator'!$B$8)/1300)^2+((D209-'Hybrid Calculator'!$B$9)/800)^2+((E209-'Hybrid Calculator'!$B$10)/350)^2+((F209-'Hybrid Calculator'!$B$11)/30)^2+(G209-'Hybrid Calculator'!$B$12)^2+((H209-'Hybrid Calculator'!$E$14)/IF(A209="Lightning",100,30000))^2+((I209-'Hybrid Calculator'!$E$17)/IF(A209="Lightning",100,30000))^2</x:f>
        <x:v>0.09647646505435822</x:v>
      </x:c>
      <x:c r="K209" s="23" t="n">
        <x:f>RANK(J209,$J$2:$J$1401,1)</x:f>
        <x:v>194</x:v>
      </x:c>
      <x:c r="L209" s="23" t="n">
        <x:f>IF(K209&lt;=7,1,0)</x:f>
        <x:v>0</x:v>
      </x:c>
      <x:c r="M209" s="23" t="n">
        <x:f>IF(L209=1,1/(J209+0.000001),0)</x:f>
        <x:v>0</x:v>
      </x:c>
      <x:c r="N209" s="23" t="n">
        <x:v>0.0036252993021148594</x:v>
      </x:c>
      <x:c r="O209" s="23" t="n">
        <x:f>M209</x:f>
        <x:v>0</x:v>
      </x:c>
      <x:c r="P209" s="23" t="n">
        <x:v>-0.911766519890918</x:v>
      </x:c>
      <x:c r="Q209" s="23" t="n">
        <x:v>14.06659105861877</x:v>
      </x:c>
    </x:row>
    <x:row r="210">
      <x:c r="A210" s="23" t="str">
        <x:v>Lightning</x:v>
      </x:c>
      <x:c r="B210" s="23" t="n">
        <x:v>1467.0675671193749</x:v>
      </x:c>
      <x:c r="C210" s="23" t="n">
        <x:v>936.1348179983906</x:v>
      </x:c>
      <x:c r="D210" s="23" t="n">
        <x:v>695.4602790996432</x:v>
      </x:c>
      <x:c r="E210" s="23" t="n">
        <x:v>183.4347017412074</x:v>
      </x:c>
      <x:c r="F210" s="23" t="n">
        <x:v>26.122084327042103</x:v>
      </x:c>
      <x:c r="G210" s="23" t="n">
        <x:v>0.807843525505159</x:v>
      </x:c>
      <x:c r="H210" s="23" t="n">
        <x:v>35</x:v>
      </x:c>
      <x:c r="I210" s="23" t="n">
        <x:v>25</x:v>
      </x:c>
      <x:c r="J210" s="23" t="n">
        <x:f>(IF(A210='Hybrid Calculator'!$B$6,0,1))^2+((B210-'Hybrid Calculator'!$B$7)/1500)^2+((C210-'Hybrid Calculator'!$B$8)/1300)^2+((D210-'Hybrid Calculator'!$B$9)/800)^2+((E210-'Hybrid Calculator'!$B$10)/350)^2+((F210-'Hybrid Calculator'!$B$11)/30)^2+(G210-'Hybrid Calculator'!$B$12)^2+((H210-'Hybrid Calculator'!$E$14)/IF(A210="Lightning",100,30000))^2+((I210-'Hybrid Calculator'!$E$17)/IF(A210="Lightning",100,30000))^2</x:f>
        <x:v>0.16119608832612056</x:v>
      </x:c>
      <x:c r="K210" s="23" t="n">
        <x:f>RANK(J210,$J$2:$J$1401,1)</x:f>
        <x:v>357</x:v>
      </x:c>
      <x:c r="L210" s="23" t="n">
        <x:f>IF(K210&lt;=7,1,0)</x:f>
        <x:v>0</x:v>
      </x:c>
      <x:c r="M210" s="23" t="n">
        <x:f>IF(L210=1,1/(J210+0.000001),0)</x:f>
        <x:v>0</x:v>
      </x:c>
      <x:c r="N210" s="23" t="n">
        <x:v>-0.008893426739556176</x:v>
      </x:c>
      <x:c r="O210" s="23" t="n">
        <x:f>M210</x:f>
        <x:v>0</x:v>
      </x:c>
      <x:c r="P210" s="23" t="n">
        <x:v>0.46885650671449497</x:v>
      </x:c>
      <x:c r="Q210" s="23" t="n">
        <x:v>-16.237802084350506</x:v>
      </x:c>
    </x:row>
    <x:row r="211">
      <x:c r="A211" s="23" t="str">
        <x:v>Lightning</x:v>
      </x:c>
      <x:c r="B211" s="23" t="n">
        <x:v>1416.4038325776346</x:v>
      </x:c>
      <x:c r="C211" s="23" t="n">
        <x:v>924.2697603767738</x:v>
      </x:c>
      <x:c r="D211" s="23" t="n">
        <x:v>643.129434902221</x:v>
      </x:c>
      <x:c r="E211" s="23" t="n">
        <x:v>184.41113030537963</x:v>
      </x:c>
      <x:c r="F211" s="23" t="n">
        <x:v>29.620592860970646</x:v>
      </x:c>
      <x:c r="G211" s="23" t="n">
        <x:v>0.8043990081688389</x:v>
      </x:c>
      <x:c r="H211" s="23" t="n">
        <x:v>40</x:v>
      </x:c>
      <x:c r="I211" s="23" t="n">
        <x:v>25</x:v>
      </x:c>
      <x:c r="J211" s="23" t="n">
        <x:f>(IF(A211='Hybrid Calculator'!$B$6,0,1))^2+((B211-'Hybrid Calculator'!$B$7)/1500)^2+((C211-'Hybrid Calculator'!$B$8)/1300)^2+((D211-'Hybrid Calculator'!$B$9)/800)^2+((E211-'Hybrid Calculator'!$B$10)/350)^2+((F211-'Hybrid Calculator'!$B$11)/30)^2+(G211-'Hybrid Calculator'!$B$12)^2+((H211-'Hybrid Calculator'!$E$14)/IF(A211="Lightning",100,30000))^2+((I211-'Hybrid Calculator'!$E$17)/IF(A211="Lightning",100,30000))^2</x:f>
        <x:v>0.19262432860507106</x:v>
      </x:c>
      <x:c r="K211" s="23" t="n">
        <x:f>RANK(J211,$J$2:$J$1401,1)</x:f>
        <x:v>433</x:v>
      </x:c>
      <x:c r="L211" s="23" t="n">
        <x:f>IF(K211&lt;=7,1,0)</x:f>
        <x:v>0</x:v>
      </x:c>
      <x:c r="M211" s="23" t="n">
        <x:f>IF(L211=1,1/(J211+0.000001),0)</x:f>
        <x:v>0</x:v>
      </x:c>
      <x:c r="N211" s="23" t="n">
        <x:v>-0.008935620279871381</x:v>
      </x:c>
      <x:c r="O211" s="23" t="n">
        <x:f>M211</x:f>
        <x:v>0</x:v>
      </x:c>
      <x:c r="P211" s="23" t="n">
        <x:v>-0.9023969538068002</x:v>
      </x:c>
      <x:c r="Q211" s="23" t="n">
        <x:v>-20.62094426831004</x:v>
      </x:c>
    </x:row>
    <x:row r="212">
      <x:c r="A212" s="23" t="str">
        <x:v>Lightning</x:v>
      </x:c>
      <x:c r="B212" s="23" t="n">
        <x:v>1450.4828286822885</x:v>
      </x:c>
      <x:c r="C212" s="23" t="n">
        <x:v>885.2311896975152</x:v>
      </x:c>
      <x:c r="D212" s="23" t="n">
        <x:v>534.292577765882</x:v>
      </x:c>
      <x:c r="E212" s="23" t="n">
        <x:v>140.8955899369903</x:v>
      </x:c>
      <x:c r="F212" s="23" t="n">
        <x:v>11.595403853803873</x:v>
      </x:c>
      <x:c r="G212" s="23" t="n">
        <x:v>0.811614880936686</x:v>
      </x:c>
      <x:c r="H212" s="23" t="n">
        <x:v>50</x:v>
      </x:c>
      <x:c r="I212" s="23" t="n">
        <x:v>25</x:v>
      </x:c>
      <x:c r="J212" s="23" t="n">
        <x:f>(IF(A212='Hybrid Calculator'!$B$6,0,1))^2+((B212-'Hybrid Calculator'!$B$7)/1500)^2+((C212-'Hybrid Calculator'!$B$8)/1300)^2+((D212-'Hybrid Calculator'!$B$9)/800)^2+((E212-'Hybrid Calculator'!$B$10)/350)^2+((F212-'Hybrid Calculator'!$B$11)/30)^2+(G212-'Hybrid Calculator'!$B$12)^2+((H212-'Hybrid Calculator'!$E$14)/IF(A212="Lightning",100,30000))^2+((I212-'Hybrid Calculator'!$E$17)/IF(A212="Lightning",100,30000))^2</x:f>
        <x:v>0.056578003960180825</x:v>
      </x:c>
      <x:c r="K212" s="23" t="n">
        <x:f>RANK(J212,$J$2:$J$1401,1)</x:f>
        <x:v>75</x:v>
      </x:c>
      <x:c r="L212" s="23" t="n">
        <x:f>IF(K212&lt;=7,1,0)</x:f>
        <x:v>0</x:v>
      </x:c>
      <x:c r="M212" s="23" t="n">
        <x:f>IF(L212=1,1/(J212+0.000001),0)</x:f>
        <x:v>0</x:v>
      </x:c>
      <x:c r="N212" s="23" t="n">
        <x:v>0.01574345829013657</x:v>
      </x:c>
      <x:c r="O212" s="23" t="n">
        <x:f>M212</x:f>
        <x:v>0</x:v>
      </x:c>
      <x:c r="P212" s="23" t="n">
        <x:v>-0.5248832777616173</x:v>
      </x:c>
      <x:c r="Q212" s="23" t="n">
        <x:v>5.8065893603818495</x:v>
      </x:c>
    </x:row>
    <x:row r="213">
      <x:c r="A213" s="23" t="str">
        <x:v>Lightning</x:v>
      </x:c>
      <x:c r="B213" s="23" t="n">
        <x:v>1389.415966544766</x:v>
      </x:c>
      <x:c r="C213" s="23" t="n">
        <x:v>1020.8668642444536</x:v>
      </x:c>
      <x:c r="D213" s="23" t="n">
        <x:v>485.7850347645581</x:v>
      </x:c>
      <x:c r="E213" s="23" t="n">
        <x:v>129.63666573166847</x:v>
      </x:c>
      <x:c r="F213" s="23" t="n">
        <x:v>10.64387188339606</x:v>
      </x:c>
      <x:c r="G213" s="23" t="n">
        <x:v>0.8028551984531805</x:v>
      </x:c>
      <x:c r="H213" s="23" t="n">
        <x:v>45</x:v>
      </x:c>
      <x:c r="I213" s="23" t="n">
        <x:v>25</x:v>
      </x:c>
      <x:c r="J213" s="23" t="n">
        <x:f>(IF(A213='Hybrid Calculator'!$B$6,0,1))^2+((B213-'Hybrid Calculator'!$B$7)/1500)^2+((C213-'Hybrid Calculator'!$B$8)/1300)^2+((D213-'Hybrid Calculator'!$B$9)/800)^2+((E213-'Hybrid Calculator'!$B$10)/350)^2+((F213-'Hybrid Calculator'!$B$11)/30)^2+(G213-'Hybrid Calculator'!$B$12)^2+((H213-'Hybrid Calculator'!$E$14)/IF(A213="Lightning",100,30000))^2+((I213-'Hybrid Calculator'!$E$17)/IF(A213="Lightning",100,30000))^2</x:f>
        <x:v>0.09290928350249265</x:v>
      </x:c>
      <x:c r="K213" s="23" t="n">
        <x:f>RANK(J213,$J$2:$J$1401,1)</x:f>
        <x:v>183</x:v>
      </x:c>
      <x:c r="L213" s="23" t="n">
        <x:f>IF(K213&lt;=7,1,0)</x:f>
        <x:v>0</x:v>
      </x:c>
      <x:c r="M213" s="23" t="n">
        <x:f>IF(L213=1,1/(J213+0.000001),0)</x:f>
        <x:v>0</x:v>
      </x:c>
      <x:c r="N213" s="23" t="n">
        <x:v>-0.0036446819126358942</x:v>
      </x:c>
      <x:c r="O213" s="23" t="n">
        <x:f>M213</x:f>
        <x:v>0</x:v>
      </x:c>
      <x:c r="P213" s="23" t="n">
        <x:v>0.13152373805571926</x:v>
      </x:c>
      <x:c r="Q213" s="23" t="n">
        <x:v>10.940932447509113</x:v>
      </x:c>
    </x:row>
    <x:row r="214">
      <x:c r="A214" s="23" t="str">
        <x:v>Lightning</x:v>
      </x:c>
      <x:c r="B214" s="23" t="n">
        <x:v>1390.5047247419134</x:v>
      </x:c>
      <x:c r="C214" s="23" t="n">
        <x:v>870.2319936011918</x:v>
      </x:c>
      <x:c r="D214" s="23" t="n">
        <x:v>511.59581914544106</x:v>
      </x:c>
      <x:c r="E214" s="23" t="n">
        <x:v>314.5564090064727</x:v>
      </x:c>
      <x:c r="F214" s="23" t="n">
        <x:v>13.783227308653295</x:v>
      </x:c>
      <x:c r="G214" s="23" t="n">
        <x:v>0.8270027366816066</x:v>
      </x:c>
      <x:c r="H214" s="23" t="n">
        <x:v>45</x:v>
      </x:c>
      <x:c r="I214" s="23" t="n">
        <x:v>25</x:v>
      </x:c>
      <x:c r="J214" s="23" t="n">
        <x:f>(IF(A214='Hybrid Calculator'!$B$6,0,1))^2+((B214-'Hybrid Calculator'!$B$7)/1500)^2+((C214-'Hybrid Calculator'!$B$8)/1300)^2+((D214-'Hybrid Calculator'!$B$9)/800)^2+((E214-'Hybrid Calculator'!$B$10)/350)^2+((F214-'Hybrid Calculator'!$B$11)/30)^2+(G214-'Hybrid Calculator'!$B$12)^2+((H214-'Hybrid Calculator'!$E$14)/IF(A214="Lightning",100,30000))^2+((I214-'Hybrid Calculator'!$E$17)/IF(A214="Lightning",100,30000))^2</x:f>
        <x:v>0.2493016640388532</x:v>
      </x:c>
      <x:c r="K214" s="23" t="n">
        <x:f>RANK(J214,$J$2:$J$1401,1)</x:f>
        <x:v>536</x:v>
      </x:c>
      <x:c r="L214" s="23" t="n">
        <x:f>IF(K214&lt;=7,1,0)</x:f>
        <x:v>0</x:v>
      </x:c>
      <x:c r="M214" s="23" t="n">
        <x:f>IF(L214=1,1/(J214+0.000001),0)</x:f>
        <x:v>0</x:v>
      </x:c>
      <x:c r="N214" s="23" t="n">
        <x:v>0.011162477225896916</x:v>
      </x:c>
      <x:c r="O214" s="23" t="n">
        <x:f>M214</x:f>
        <x:v>0</x:v>
      </x:c>
      <x:c r="P214" s="23" t="n">
        <x:v>-0.7826681045996295</x:v>
      </x:c>
      <x:c r="Q214" s="23" t="n">
        <x:v>12.249393148962326</x:v>
      </x:c>
    </x:row>
    <x:row r="215">
      <x:c r="A215" s="23" t="str">
        <x:v>Lightning</x:v>
      </x:c>
      <x:c r="B215" s="23" t="n">
        <x:v>1355.4876450332813</x:v>
      </x:c>
      <x:c r="C215" s="23" t="n">
        <x:v>1066.9566133990884</x:v>
      </x:c>
      <x:c r="D215" s="23" t="n">
        <x:v>479.45372303947806</x:v>
      </x:c>
      <x:c r="E215" s="23" t="n">
        <x:v>237.98092272598296</x:v>
      </x:c>
      <x:c r="F215" s="23" t="n">
        <x:v>8.38873648038134</x:v>
      </x:c>
      <x:c r="G215" s="23" t="n">
        <x:v>0.7988565977569669</x:v>
      </x:c>
      <x:c r="H215" s="23" t="n">
        <x:v>45</x:v>
      </x:c>
      <x:c r="I215" s="23" t="n">
        <x:v>25</x:v>
      </x:c>
      <x:c r="J215" s="23" t="n">
        <x:f>(IF(A215='Hybrid Calculator'!$B$6,0,1))^2+((B215-'Hybrid Calculator'!$B$7)/1500)^2+((C215-'Hybrid Calculator'!$B$8)/1300)^2+((D215-'Hybrid Calculator'!$B$9)/800)^2+((E215-'Hybrid Calculator'!$B$10)/350)^2+((F215-'Hybrid Calculator'!$B$11)/30)^2+(G215-'Hybrid Calculator'!$B$12)^2+((H215-'Hybrid Calculator'!$E$14)/IF(A215="Lightning",100,30000))^2+((I215-'Hybrid Calculator'!$E$17)/IF(A215="Lightning",100,30000))^2</x:f>
        <x:v>0.21039267536229653</x:v>
      </x:c>
      <x:c r="K215" s="23" t="n">
        <x:f>RANK(J215,$J$2:$J$1401,1)</x:f>
        <x:v>464</x:v>
      </x:c>
      <x:c r="L215" s="23" t="n">
        <x:f>IF(K215&lt;=7,1,0)</x:f>
        <x:v>0</x:v>
      </x:c>
      <x:c r="M215" s="23" t="n">
        <x:f>IF(L215=1,1/(J215+0.000001),0)</x:f>
        <x:v>0</x:v>
      </x:c>
      <x:c r="N215" s="23" t="n">
        <x:v>0.014083475317224536</x:v>
      </x:c>
      <x:c r="O215" s="23" t="n">
        <x:f>M215</x:f>
        <x:v>0</x:v>
      </x:c>
      <x:c r="P215" s="23" t="n">
        <x:v>1.393230065296244</x:v>
      </x:c>
      <x:c r="Q215" s="23" t="n">
        <x:v>9.004089296197435</x:v>
      </x:c>
    </x:row>
    <x:row r="216">
      <x:c r="A216" s="23" t="str">
        <x:v>Lightning</x:v>
      </x:c>
      <x:c r="B216" s="23" t="n">
        <x:v>1461.2758596427739</x:v>
      </x:c>
      <x:c r="C216" s="23" t="n">
        <x:v>1187.9556977539323</x:v>
      </x:c>
      <x:c r="D216" s="23" t="n">
        <x:v>633.8449517264962</x:v>
      </x:c>
      <x:c r="E216" s="23" t="n">
        <x:v>275.4373345361091</x:v>
      </x:c>
      <x:c r="F216" s="23" t="n">
        <x:v>20.169142501428723</x:v>
      </x:c>
      <x:c r="G216" s="23" t="n">
        <x:v>0.8126408192445524</x:v>
      </x:c>
      <x:c r="H216" s="23" t="n">
        <x:v>35</x:v>
      </x:c>
      <x:c r="I216" s="23" t="n">
        <x:v>25</x:v>
      </x:c>
      <x:c r="J216" s="23" t="n">
        <x:f>(IF(A216='Hybrid Calculator'!$B$6,0,1))^2+((B216-'Hybrid Calculator'!$B$7)/1500)^2+((C216-'Hybrid Calculator'!$B$8)/1300)^2+((D216-'Hybrid Calculator'!$B$9)/800)^2+((E216-'Hybrid Calculator'!$B$10)/350)^2+((F216-'Hybrid Calculator'!$B$11)/30)^2+(G216-'Hybrid Calculator'!$B$12)^2+((H216-'Hybrid Calculator'!$E$14)/IF(A216="Lightning",100,30000))^2+((I216-'Hybrid Calculator'!$E$17)/IF(A216="Lightning",100,30000))^2</x:f>
        <x:v>0.25025335774263624</x:v>
      </x:c>
      <x:c r="K216" s="23" t="n">
        <x:f>RANK(J216,$J$2:$J$1401,1)</x:f>
        <x:v>543</x:v>
      </x:c>
      <x:c r="L216" s="23" t="n">
        <x:f>IF(K216&lt;=7,1,0)</x:f>
        <x:v>0</x:v>
      </x:c>
      <x:c r="M216" s="23" t="n">
        <x:f>IF(L216=1,1/(J216+0.000001),0)</x:f>
        <x:v>0</x:v>
      </x:c>
      <x:c r="N216" s="23" t="n">
        <x:v>0.013679115594245728</x:v>
      </x:c>
      <x:c r="O216" s="23" t="n">
        <x:f>M216</x:f>
        <x:v>0</x:v>
      </x:c>
      <x:c r="P216" s="23" t="n">
        <x:v>1.3108227875418095</x:v>
      </x:c>
      <x:c r="Q216" s="23" t="n">
        <x:v>-6.596831850999479</x:v>
      </x:c>
    </x:row>
    <x:row r="217">
      <x:c r="A217" s="23" t="str">
        <x:v>Lightning</x:v>
      </x:c>
      <x:c r="B217" s="23" t="n">
        <x:v>1430.2134878584184</x:v>
      </x:c>
      <x:c r="C217" s="23" t="n">
        <x:v>1212.2468290152028</x:v>
      </x:c>
      <x:c r="D217" s="23" t="n">
        <x:v>600.1604386605322</x:v>
      </x:c>
      <x:c r="E217" s="23" t="n">
        <x:v>329.1178822237998</x:v>
      </x:c>
      <x:c r="F217" s="23" t="n">
        <x:v>8.169449598062783</x:v>
      </x:c>
      <x:c r="G217" s="23" t="n">
        <x:v>0.8481818072730676</x:v>
      </x:c>
      <x:c r="H217" s="23" t="n">
        <x:v>35</x:v>
      </x:c>
      <x:c r="I217" s="23" t="n">
        <x:v>25</x:v>
      </x:c>
      <x:c r="J217" s="23" t="n">
        <x:f>(IF(A217='Hybrid Calculator'!$B$6,0,1))^2+((B217-'Hybrid Calculator'!$B$7)/1500)^2+((C217-'Hybrid Calculator'!$B$8)/1300)^2+((D217-'Hybrid Calculator'!$B$9)/800)^2+((E217-'Hybrid Calculator'!$B$10)/350)^2+((F217-'Hybrid Calculator'!$B$11)/30)^2+(G217-'Hybrid Calculator'!$B$12)^2+((H217-'Hybrid Calculator'!$E$14)/IF(A217="Lightning",100,30000))^2+((I217-'Hybrid Calculator'!$E$17)/IF(A217="Lightning",100,30000))^2</x:f>
        <x:v>0.497109959811402</x:v>
      </x:c>
      <x:c r="K217" s="23" t="n">
        <x:f>RANK(J217,$J$2:$J$1401,1)</x:f>
        <x:v>700</x:v>
      </x:c>
      <x:c r="L217" s="23" t="n">
        <x:f>IF(K217&lt;=7,1,0)</x:f>
        <x:v>0</x:v>
      </x:c>
      <x:c r="M217" s="23" t="n">
        <x:f>IF(L217=1,1/(J217+0.000001),0)</x:f>
        <x:v>0</x:v>
      </x:c>
      <x:c r="N217" s="23" t="n">
        <x:v>0.011935828377488189</x:v>
      </x:c>
      <x:c r="O217" s="23" t="n">
        <x:f>M217</x:f>
        <x:v>0</x:v>
      </x:c>
      <x:c r="P217" s="23" t="n">
        <x:v>1.7262058601728825</x:v>
      </x:c>
      <x:c r="Q217" s="23" t="n">
        <x:v>-6.353231594401905</x:v>
      </x:c>
    </x:row>
    <x:row r="218">
      <x:c r="A218" s="23" t="str">
        <x:v>Lightning</x:v>
      </x:c>
      <x:c r="B218" s="23" t="n">
        <x:v>1450.668087392114</x:v>
      </x:c>
      <x:c r="C218" s="23" t="n">
        <x:v>745.4984034993686</x:v>
      </x:c>
      <x:c r="D218" s="23" t="n">
        <x:v>616.7870577424765</x:v>
      </x:c>
      <x:c r="E218" s="23" t="n">
        <x:v>218.57249048305675</x:v>
      </x:c>
      <x:c r="F218" s="23" t="n">
        <x:v>24.168970686383545</x:v>
      </x:c>
      <x:c r="G218" s="23" t="n">
        <x:v>0.8063076071883553</x:v>
      </x:c>
      <x:c r="H218" s="23" t="n">
        <x:v>45</x:v>
      </x:c>
      <x:c r="I218" s="23" t="n">
        <x:v>25</x:v>
      </x:c>
      <x:c r="J218" s="23" t="n">
        <x:f>(IF(A218='Hybrid Calculator'!$B$6,0,1))^2+((B218-'Hybrid Calculator'!$B$7)/1500)^2+((C218-'Hybrid Calculator'!$B$8)/1300)^2+((D218-'Hybrid Calculator'!$B$9)/800)^2+((E218-'Hybrid Calculator'!$B$10)/350)^2+((F218-'Hybrid Calculator'!$B$11)/30)^2+(G218-'Hybrid Calculator'!$B$12)^2+((H218-'Hybrid Calculator'!$E$14)/IF(A218="Lightning",100,30000))^2+((I218-'Hybrid Calculator'!$E$17)/IF(A218="Lightning",100,30000))^2</x:f>
        <x:v>0.10484669167008366</x:v>
      </x:c>
      <x:c r="K218" s="23" t="n">
        <x:f>RANK(J218,$J$2:$J$1401,1)</x:f>
        <x:v>218</x:v>
      </x:c>
      <x:c r="L218" s="23" t="n">
        <x:f>IF(K218&lt;=7,1,0)</x:f>
        <x:v>0</x:v>
      </x:c>
      <x:c r="M218" s="23" t="n">
        <x:f>IF(L218=1,1/(J218+0.000001),0)</x:f>
        <x:v>0</x:v>
      </x:c>
      <x:c r="N218" s="23" t="n">
        <x:v>-0.0010772782737493714</x:v>
      </x:c>
      <x:c r="O218" s="23" t="n">
        <x:f>M218</x:f>
        <x:v>0</x:v>
      </x:c>
      <x:c r="P218" s="23" t="n">
        <x:v>0.4016693967983116</x:v>
      </x:c>
      <x:c r="Q218" s="23" t="n">
        <x:v>-0.6568983232850769</x:v>
      </x:c>
    </x:row>
    <x:row r="219">
      <x:c r="A219" s="23" t="str">
        <x:v>Lightning</x:v>
      </x:c>
      <x:c r="B219" s="23" t="n">
        <x:v>1497.6435528486036</x:v>
      </x:c>
      <x:c r="C219" s="23" t="n">
        <x:v>687.6005771104246</x:v>
      </x:c>
      <x:c r="D219" s="23" t="n">
        <x:v>537.1131765656173</x:v>
      </x:c>
      <x:c r="E219" s="23" t="n">
        <x:v>239.15629582013935</x:v>
      </x:c>
      <x:c r="F219" s="23" t="n">
        <x:v>24.923896938096732</x:v>
      </x:c>
      <x:c r="G219" s="23" t="n">
        <x:v>0.7987321209348739</x:v>
      </x:c>
      <x:c r="H219" s="23" t="n">
        <x:v>45</x:v>
      </x:c>
      <x:c r="I219" s="23" t="n">
        <x:v>25</x:v>
      </x:c>
      <x:c r="J219" s="23" t="n">
        <x:f>(IF(A219='Hybrid Calculator'!$B$6,0,1))^2+((B219-'Hybrid Calculator'!$B$7)/1500)^2+((C219-'Hybrid Calculator'!$B$8)/1300)^2+((D219-'Hybrid Calculator'!$B$9)/800)^2+((E219-'Hybrid Calculator'!$B$10)/350)^2+((F219-'Hybrid Calculator'!$B$11)/30)^2+(G219-'Hybrid Calculator'!$B$12)^2+((H219-'Hybrid Calculator'!$E$14)/IF(A219="Lightning",100,30000))^2+((I219-'Hybrid Calculator'!$E$17)/IF(A219="Lightning",100,30000))^2</x:f>
        <x:v>0.13379567141276527</x:v>
      </x:c>
      <x:c r="K219" s="23" t="n">
        <x:f>RANK(J219,$J$2:$J$1401,1)</x:f>
        <x:v>288</x:v>
      </x:c>
      <x:c r="L219" s="23" t="n">
        <x:f>IF(K219&lt;=7,1,0)</x:f>
        <x:v>0</x:v>
      </x:c>
      <x:c r="M219" s="23" t="n">
        <x:f>IF(L219=1,1/(J219+0.000001),0)</x:f>
        <x:v>0</x:v>
      </x:c>
      <x:c r="N219" s="23" t="n">
        <x:v>-0.003144232168124983</x:v>
      </x:c>
      <x:c r="O219" s="23" t="n">
        <x:f>M219</x:f>
        <x:v>0</x:v>
      </x:c>
      <x:c r="P219" s="23" t="n">
        <x:v>-0.8403493419080519</x:v>
      </x:c>
      <x:c r="Q219" s="23" t="n">
        <x:v>-4.200618526520884</x:v>
      </x:c>
    </x:row>
    <x:row r="220">
      <x:c r="A220" s="23" t="str">
        <x:v>Lightning</x:v>
      </x:c>
      <x:c r="B220" s="23" t="n">
        <x:v>1475.9195525664836</x:v>
      </x:c>
      <x:c r="C220" s="23" t="n">
        <x:v>940.7989956322126</x:v>
      </x:c>
      <x:c r="D220" s="23" t="n">
        <x:v>720.2454714104533</x:v>
      </x:c>
      <x:c r="E220" s="23" t="n">
        <x:v>166.07917121844366</x:v>
      </x:c>
      <x:c r="F220" s="23" t="n">
        <x:v>29.251064836978912</x:v>
      </x:c>
      <x:c r="G220" s="23" t="n">
        <x:v>0.834199488221202</x:v>
      </x:c>
      <x:c r="H220" s="23" t="n">
        <x:v>40</x:v>
      </x:c>
      <x:c r="I220" s="23" t="n">
        <x:v>25</x:v>
      </x:c>
      <x:c r="J220" s="23" t="n">
        <x:f>(IF(A220='Hybrid Calculator'!$B$6,0,1))^2+((B220-'Hybrid Calculator'!$B$7)/1500)^2+((C220-'Hybrid Calculator'!$B$8)/1300)^2+((D220-'Hybrid Calculator'!$B$9)/800)^2+((E220-'Hybrid Calculator'!$B$10)/350)^2+((F220-'Hybrid Calculator'!$B$11)/30)^2+(G220-'Hybrid Calculator'!$B$12)^2+((H220-'Hybrid Calculator'!$E$14)/IF(A220="Lightning",100,30000))^2+((I220-'Hybrid Calculator'!$E$17)/IF(A220="Lightning",100,30000))^2</x:f>
        <x:v>0.22256495977697122</x:v>
      </x:c>
      <x:c r="K220" s="23" t="n">
        <x:f>RANK(J220,$J$2:$J$1401,1)</x:f>
        <x:v>491</x:v>
      </x:c>
      <x:c r="L220" s="23" t="n">
        <x:f>IF(K220&lt;=7,1,0)</x:f>
        <x:v>0</x:v>
      </x:c>
      <x:c r="M220" s="23" t="n">
        <x:f>IF(L220=1,1/(J220+0.000001),0)</x:f>
        <x:v>0</x:v>
      </x:c>
      <x:c r="N220" s="23" t="n">
        <x:v>0.004957317377923376</x:v>
      </x:c>
      <x:c r="O220" s="23" t="n">
        <x:f>M220</x:f>
        <x:v>0</x:v>
      </x:c>
      <x:c r="P220" s="23" t="n">
        <x:v>-0.13793644353396672</x:v>
      </x:c>
      <x:c r="Q220" s="23" t="n">
        <x:v>-13.158134141179517</x:v>
      </x:c>
    </x:row>
    <x:row r="221">
      <x:c r="A221" s="23" t="str">
        <x:v>Lightning</x:v>
      </x:c>
      <x:c r="B221" s="23" t="n">
        <x:v>1419.1474602674134</x:v>
      </x:c>
      <x:c r="C221" s="23" t="n">
        <x:v>650.7511863252148</x:v>
      </x:c>
      <x:c r="D221" s="23" t="n">
        <x:v>455.76132955029607</x:v>
      </x:c>
      <x:c r="E221" s="23" t="n">
        <x:v>124.6855598129332</x:v>
      </x:c>
      <x:c r="F221" s="23" t="n">
        <x:v>11.560886195395142</x:v>
      </x:c>
      <x:c r="G221" s="23" t="n">
        <x:v>0.8386432720487937</x:v>
      </x:c>
      <x:c r="H221" s="23" t="n">
        <x:v>65</x:v>
      </x:c>
      <x:c r="I221" s="23" t="n">
        <x:v>25</x:v>
      </x:c>
      <x:c r="J221" s="23" t="n">
        <x:f>(IF(A221='Hybrid Calculator'!$B$6,0,1))^2+((B221-'Hybrid Calculator'!$B$7)/1500)^2+((C221-'Hybrid Calculator'!$B$8)/1300)^2+((D221-'Hybrid Calculator'!$B$9)/800)^2+((E221-'Hybrid Calculator'!$B$10)/350)^2+((F221-'Hybrid Calculator'!$B$11)/30)^2+(G221-'Hybrid Calculator'!$B$12)^2+((H221-'Hybrid Calculator'!$E$14)/IF(A221="Lightning",100,30000))^2+((I221-'Hybrid Calculator'!$E$17)/IF(A221="Lightning",100,30000))^2</x:f>
        <x:v>0.10814451411667891</x:v>
      </x:c>
      <x:c r="K221" s="23" t="n">
        <x:f>RANK(J221,$J$2:$J$1401,1)</x:f>
        <x:v>221</x:v>
      </x:c>
      <x:c r="L221" s="23" t="n">
        <x:f>IF(K221&lt;=7,1,0)</x:f>
        <x:v>0</x:v>
      </x:c>
      <x:c r="M221" s="23" t="n">
        <x:f>IF(L221=1,1/(J221+0.000001),0)</x:f>
        <x:v>0</x:v>
      </x:c>
      <x:c r="N221" s="23" t="n">
        <x:v>-0.012379915122834095</x:v>
      </x:c>
      <x:c r="O221" s="23" t="n">
        <x:f>M221</x:f>
        <x:v>0</x:v>
      </x:c>
      <x:c r="P221" s="23" t="n">
        <x:v>-1.0607000282173047</x:v>
      </x:c>
      <x:c r="Q221" s="23" t="n">
        <x:v>23.47108364885139</x:v>
      </x:c>
    </x:row>
    <x:row r="222">
      <x:c r="A222" s="23" t="str">
        <x:v>Lightning</x:v>
      </x:c>
      <x:c r="B222" s="23" t="n">
        <x:v>1414.8453035624698</x:v>
      </x:c>
      <x:c r="C222" s="23" t="n">
        <x:v>1095.3975690645166</x:v>
      </x:c>
      <x:c r="D222" s="23" t="n">
        <x:v>406.671567261219</x:v>
      </x:c>
      <x:c r="E222" s="23" t="n">
        <x:v>164.32666858425364</x:v>
      </x:c>
      <x:c r="F222" s="23" t="n">
        <x:v>21.81971342395991</x:v>
      </x:c>
      <x:c r="G222" s="23" t="n">
        <x:v>0.8526198117784225</x:v>
      </x:c>
      <x:c r="H222" s="23" t="n">
        <x:v>45</x:v>
      </x:c>
      <x:c r="I222" s="23" t="n">
        <x:v>25</x:v>
      </x:c>
      <x:c r="J222" s="23" t="n">
        <x:f>(IF(A222='Hybrid Calculator'!$B$6,0,1))^2+((B222-'Hybrid Calculator'!$B$7)/1500)^2+((C222-'Hybrid Calculator'!$B$8)/1300)^2+((D222-'Hybrid Calculator'!$B$9)/800)^2+((E222-'Hybrid Calculator'!$B$10)/350)^2+((F222-'Hybrid Calculator'!$B$11)/30)^2+(G222-'Hybrid Calculator'!$B$12)^2+((H222-'Hybrid Calculator'!$E$14)/IF(A222="Lightning",100,30000))^2+((I222-'Hybrid Calculator'!$E$17)/IF(A222="Lightning",100,30000))^2</x:f>
        <x:v>0.06677321573375113</x:v>
      </x:c>
      <x:c r="K222" s="23" t="n">
        <x:f>RANK(J222,$J$2:$J$1401,1)</x:f>
        <x:v>100</x:v>
      </x:c>
      <x:c r="L222" s="23" t="n">
        <x:f>IF(K222&lt;=7,1,0)</x:f>
        <x:v>0</x:v>
      </x:c>
      <x:c r="M222" s="23" t="n">
        <x:f>IF(L222=1,1/(J222+0.000001),0)</x:f>
        <x:v>0</x:v>
      </x:c>
      <x:c r="N222" s="23" t="n">
        <x:v>-0.0069605250117992234</x:v>
      </x:c>
      <x:c r="O222" s="23" t="n">
        <x:f>M222</x:f>
        <x:v>0</x:v>
      </x:c>
      <x:c r="P222" s="23" t="n">
        <x:v>0.0863712808757029</x:v>
      </x:c>
      <x:c r="Q222" s="23" t="n">
        <x:v>-0.24901275882439222</x:v>
      </x:c>
    </x:row>
    <x:row r="223">
      <x:c r="A223" s="23" t="str">
        <x:v>Lightning</x:v>
      </x:c>
      <x:c r="B223" s="23" t="n">
        <x:v>1445.8631805027835</x:v>
      </x:c>
      <x:c r="C223" s="23" t="n">
        <x:v>1232.391897123307</x:v>
      </x:c>
      <x:c r="D223" s="23" t="n">
        <x:v>458.30975687131286</x:v>
      </x:c>
      <x:c r="E223" s="23" t="n">
        <x:v>325.3021319815889</x:v>
      </x:c>
      <x:c r="F223" s="23" t="n">
        <x:v>15.94232097780332</x:v>
      </x:c>
      <x:c r="G223" s="23" t="n">
        <x:v>0.7932425065059215</x:v>
      </x:c>
      <x:c r="H223" s="23" t="n">
        <x:v>35</x:v>
      </x:c>
      <x:c r="I223" s="23" t="n">
        <x:v>25</x:v>
      </x:c>
      <x:c r="J223" s="23" t="n">
        <x:f>(IF(A223='Hybrid Calculator'!$B$6,0,1))^2+((B223-'Hybrid Calculator'!$B$7)/1500)^2+((C223-'Hybrid Calculator'!$B$8)/1300)^2+((D223-'Hybrid Calculator'!$B$9)/800)^2+((E223-'Hybrid Calculator'!$B$10)/350)^2+((F223-'Hybrid Calculator'!$B$11)/30)^2+(G223-'Hybrid Calculator'!$B$12)^2+((H223-'Hybrid Calculator'!$E$14)/IF(A223="Lightning",100,30000))^2+((I223-'Hybrid Calculator'!$E$17)/IF(A223="Lightning",100,30000))^2</x:f>
        <x:v>0.37078053986493237</x:v>
      </x:c>
      <x:c r="K223" s="23" t="n">
        <x:f>RANK(J223,$J$2:$J$1401,1)</x:f>
        <x:v>667</x:v>
      </x:c>
      <x:c r="L223" s="23" t="n">
        <x:f>IF(K223&lt;=7,1,0)</x:f>
        <x:v>0</x:v>
      </x:c>
      <x:c r="M223" s="23" t="n">
        <x:f>IF(L223=1,1/(J223+0.000001),0)</x:f>
        <x:v>0</x:v>
      </x:c>
      <x:c r="N223" s="23" t="n">
        <x:v>0.014054967037110178</x:v>
      </x:c>
      <x:c r="O223" s="23" t="n">
        <x:f>M223</x:f>
        <x:v>0</x:v>
      </x:c>
      <x:c r="P223" s="23" t="n">
        <x:v>1.3632765124599828</x:v>
      </x:c>
      <x:c r="Q223" s="23" t="n">
        <x:v>-6.501122999110521</x:v>
      </x:c>
    </x:row>
    <x:row r="224">
      <x:c r="A224" s="23" t="str">
        <x:v>Lightning</x:v>
      </x:c>
      <x:c r="B224" s="23" t="n">
        <x:v>1379.423851892352</x:v>
      </x:c>
      <x:c r="C224" s="23" t="n">
        <x:v>1130.752357689198</x:v>
      </x:c>
      <x:c r="D224" s="23" t="n">
        <x:v>732.5395660474896</x:v>
      </x:c>
      <x:c r="E224" s="23" t="n">
        <x:v>308.5014917724766</x:v>
      </x:c>
      <x:c r="F224" s="23" t="n">
        <x:v>8.40564258210361</x:v>
      </x:c>
      <x:c r="G224" s="23" t="n">
        <x:v>0.8072214999538847</x:v>
      </x:c>
      <x:c r="H224" s="23" t="n">
        <x:v>35</x:v>
      </x:c>
      <x:c r="I224" s="23" t="n">
        <x:v>25</x:v>
      </x:c>
      <x:c r="J224" s="23" t="n">
        <x:f>(IF(A224='Hybrid Calculator'!$B$6,0,1))^2+((B224-'Hybrid Calculator'!$B$7)/1500)^2+((C224-'Hybrid Calculator'!$B$8)/1300)^2+((D224-'Hybrid Calculator'!$B$9)/800)^2+((E224-'Hybrid Calculator'!$B$10)/350)^2+((F224-'Hybrid Calculator'!$B$11)/30)^2+(G224-'Hybrid Calculator'!$B$12)^2+((H224-'Hybrid Calculator'!$E$14)/IF(A224="Lightning",100,30000))^2+((I224-'Hybrid Calculator'!$E$17)/IF(A224="Lightning",100,30000))^2</x:f>
        <x:v>0.4730195806307218</x:v>
      </x:c>
      <x:c r="K224" s="23" t="n">
        <x:f>RANK(J224,$J$2:$J$1401,1)</x:f>
        <x:v>699</x:v>
      </x:c>
      <x:c r="L224" s="23" t="n">
        <x:f>IF(K224&lt;=7,1,0)</x:f>
        <x:v>0</x:v>
      </x:c>
      <x:c r="M224" s="23" t="n">
        <x:f>IF(L224=1,1/(J224+0.000001),0)</x:f>
        <x:v>0</x:v>
      </x:c>
      <x:c r="N224" s="23" t="n">
        <x:v>0.006868070318096997</x:v>
      </x:c>
      <x:c r="O224" s="23" t="n">
        <x:f>M224</x:f>
        <x:v>0</x:v>
      </x:c>
      <x:c r="P224" s="23" t="n">
        <x:v>0.32701190434195126</x:v>
      </x:c>
      <x:c r="Q224" s="23" t="n">
        <x:v>-3.1072529956923063</x:v>
      </x:c>
    </x:row>
    <x:row r="225">
      <x:c r="A225" s="23" t="str">
        <x:v>Lightning</x:v>
      </x:c>
      <x:c r="B225" s="23" t="n">
        <x:v>1393.629800027702</x:v>
      </x:c>
      <x:c r="C225" s="23" t="n">
        <x:v>1155.9723286191002</x:v>
      </x:c>
      <x:c r="D225" s="23" t="n">
        <x:v>530.7623938657343</x:v>
      </x:c>
      <x:c r="E225" s="23" t="n">
        <x:v>91.29784411750734</x:v>
      </x:c>
      <x:c r="F225" s="23" t="n">
        <x:v>17.06370846601203</x:v>
      </x:c>
      <x:c r="G225" s="23" t="n">
        <x:v>0.8234978129761293</x:v>
      </x:c>
      <x:c r="H225" s="23" t="n">
        <x:v>40</x:v>
      </x:c>
      <x:c r="I225" s="23" t="n">
        <x:v>25</x:v>
      </x:c>
      <x:c r="J225" s="23" t="n">
        <x:f>(IF(A225='Hybrid Calculator'!$B$6,0,1))^2+((B225-'Hybrid Calculator'!$B$7)/1500)^2+((C225-'Hybrid Calculator'!$B$8)/1300)^2+((D225-'Hybrid Calculator'!$B$9)/800)^2+((E225-'Hybrid Calculator'!$B$10)/350)^2+((F225-'Hybrid Calculator'!$B$11)/30)^2+(G225-'Hybrid Calculator'!$B$12)^2+((H225-'Hybrid Calculator'!$E$14)/IF(A225="Lightning",100,30000))^2+((I225-'Hybrid Calculator'!$E$17)/IF(A225="Lightning",100,30000))^2</x:f>
        <x:v>0.09774643336046612</x:v>
      </x:c>
      <x:c r="K225" s="23" t="n">
        <x:f>RANK(J225,$J$2:$J$1401,1)</x:f>
        <x:v>197</x:v>
      </x:c>
      <x:c r="L225" s="23" t="n">
        <x:f>IF(K225&lt;=7,1,0)</x:f>
        <x:v>0</x:v>
      </x:c>
      <x:c r="M225" s="23" t="n">
        <x:f>IF(L225=1,1/(J225+0.000001),0)</x:f>
        <x:v>0</x:v>
      </x:c>
      <x:c r="N225" s="23" t="n">
        <x:v>0.0021945169199431014</x:v>
      </x:c>
      <x:c r="O225" s="23" t="n">
        <x:f>M225</x:f>
        <x:v>0</x:v>
      </x:c>
      <x:c r="P225" s="23" t="n">
        <x:v>-0.16478242021694456</x:v>
      </x:c>
      <x:c r="Q225" s="23" t="n">
        <x:v>-5.261853459456233</x:v>
      </x:c>
    </x:row>
    <x:row r="226">
      <x:c r="A226" s="23" t="str">
        <x:v>Lightning</x:v>
      </x:c>
      <x:c r="B226" s="23" t="n">
        <x:v>1443.1873711757362</x:v>
      </x:c>
      <x:c r="C226" s="23" t="n">
        <x:v>1225.8047822280787</x:v>
      </x:c>
      <x:c r="D226" s="23" t="n">
        <x:v>724.5122307911515</x:v>
      </x:c>
      <x:c r="E226" s="23" t="n">
        <x:v>245.865519142244</x:v>
      </x:c>
      <x:c r="F226" s="23" t="n">
        <x:v>17.879516849294305</x:v>
      </x:c>
      <x:c r="G226" s="23" t="n">
        <x:v>0.8408361222897657</x:v>
      </x:c>
      <x:c r="H226" s="23" t="n">
        <x:v>35</x:v>
      </x:c>
      <x:c r="I226" s="23" t="n">
        <x:v>25</x:v>
      </x:c>
      <x:c r="J226" s="23" t="n">
        <x:f>(IF(A226='Hybrid Calculator'!$B$6,0,1))^2+((B226-'Hybrid Calculator'!$B$7)/1500)^2+((C226-'Hybrid Calculator'!$B$8)/1300)^2+((D226-'Hybrid Calculator'!$B$9)/800)^2+((E226-'Hybrid Calculator'!$B$10)/350)^2+((F226-'Hybrid Calculator'!$B$11)/30)^2+(G226-'Hybrid Calculator'!$B$12)^2+((H226-'Hybrid Calculator'!$E$14)/IF(A226="Lightning",100,30000))^2+((I226-'Hybrid Calculator'!$E$17)/IF(A226="Lightning",100,30000))^2</x:f>
        <x:v>0.26085752292361564</x:v>
      </x:c>
      <x:c r="K226" s="23" t="n">
        <x:f>RANK(J226,$J$2:$J$1401,1)</x:f>
        <x:v>559</x:v>
      </x:c>
      <x:c r="L226" s="23" t="n">
        <x:f>IF(K226&lt;=7,1,0)</x:f>
        <x:v>0</x:v>
      </x:c>
      <x:c r="M226" s="23" t="n">
        <x:f>IF(L226=1,1/(J226+0.000001),0)</x:f>
        <x:v>0</x:v>
      </x:c>
      <x:c r="N226" s="23" t="n">
        <x:v>0.019842054421805644</x:v>
      </x:c>
      <x:c r="O226" s="23" t="n">
        <x:f>M226</x:f>
        <x:v>0</x:v>
      </x:c>
      <x:c r="P226" s="23" t="n">
        <x:v>0.11883533636881793</x:v>
      </x:c>
      <x:c r="Q226" s="23" t="n">
        <x:v>-9.697490837014357</x:v>
      </x:c>
    </x:row>
    <x:row r="227">
      <x:c r="A227" s="23" t="str">
        <x:v>Lightning</x:v>
      </x:c>
      <x:c r="B227" s="23" t="n">
        <x:v>1415.5557570629753</x:v>
      </x:c>
      <x:c r="C227" s="23" t="n">
        <x:v>955.0535946385935</x:v>
      </x:c>
      <x:c r="D227" s="23" t="n">
        <x:v>434.9599921144545</x:v>
      </x:c>
      <x:c r="E227" s="23" t="n">
        <x:v>158.3134384546429</x:v>
      </x:c>
      <x:c r="F227" s="23" t="n">
        <x:v>28.694142275024205</x:v>
      </x:c>
      <x:c r="G227" s="23" t="n">
        <x:v>0.8420667320350186</x:v>
      </x:c>
      <x:c r="H227" s="23" t="n">
        <x:v>45</x:v>
      </x:c>
      <x:c r="I227" s="23" t="n">
        <x:v>25</x:v>
      </x:c>
      <x:c r="J227" s="23" t="n">
        <x:f>(IF(A227='Hybrid Calculator'!$B$6,0,1))^2+((B227-'Hybrid Calculator'!$B$7)/1500)^2+((C227-'Hybrid Calculator'!$B$8)/1300)^2+((D227-'Hybrid Calculator'!$B$9)/800)^2+((E227-'Hybrid Calculator'!$B$10)/350)^2+((F227-'Hybrid Calculator'!$B$11)/30)^2+(G227-'Hybrid Calculator'!$B$12)^2+((H227-'Hybrid Calculator'!$E$14)/IF(A227="Lightning",100,30000))^2+((I227-'Hybrid Calculator'!$E$17)/IF(A227="Lightning",100,30000))^2</x:f>
        <x:v>0.1321980568432835</x:v>
      </x:c>
      <x:c r="K227" s="23" t="n">
        <x:f>RANK(J227,$J$2:$J$1401,1)</x:f>
        <x:v>282</x:v>
      </x:c>
      <x:c r="L227" s="23" t="n">
        <x:f>IF(K227&lt;=7,1,0)</x:f>
        <x:v>0</x:v>
      </x:c>
      <x:c r="M227" s="23" t="n">
        <x:f>IF(L227=1,1/(J227+0.000001),0)</x:f>
        <x:v>0</x:v>
      </x:c>
      <x:c r="N227" s="23" t="n">
        <x:v>-0.011359735044689678</x:v>
      </x:c>
      <x:c r="O227" s="23" t="n">
        <x:f>M227</x:f>
        <x:v>0</x:v>
      </x:c>
      <x:c r="P227" s="23" t="n">
        <x:v>0.8982581464743262</x:v>
      </x:c>
      <x:c r="Q227" s="23" t="n">
        <x:v>-8.195575642601625</x:v>
      </x:c>
    </x:row>
    <x:row r="228">
      <x:c r="A228" s="23" t="str">
        <x:v>Lightning</x:v>
      </x:c>
      <x:c r="B228" s="23" t="n">
        <x:v>1457.1671988582239</x:v>
      </x:c>
      <x:c r="C228" s="23" t="n">
        <x:v>1107.3886176222004</x:v>
      </x:c>
      <x:c r="D228" s="23" t="n">
        <x:v>714.4257079809904</x:v>
      </x:c>
      <x:c r="E228" s="23" t="n">
        <x:v>202.50265449984</x:v>
      </x:c>
      <x:c r="F228" s="23" t="n">
        <x:v>11.51985386479646</x:v>
      </x:c>
      <x:c r="G228" s="23" t="n">
        <x:v>0.8025611682306044</x:v>
      </x:c>
      <x:c r="H228" s="23" t="n">
        <x:v>35</x:v>
      </x:c>
      <x:c r="I228" s="23" t="n">
        <x:v>25</x:v>
      </x:c>
      <x:c r="J228" s="23" t="n">
        <x:f>(IF(A228='Hybrid Calculator'!$B$6,0,1))^2+((B228-'Hybrid Calculator'!$B$7)/1500)^2+((C228-'Hybrid Calculator'!$B$8)/1300)^2+((D228-'Hybrid Calculator'!$B$9)/800)^2+((E228-'Hybrid Calculator'!$B$10)/350)^2+((F228-'Hybrid Calculator'!$B$11)/30)^2+(G228-'Hybrid Calculator'!$B$12)^2+((H228-'Hybrid Calculator'!$E$14)/IF(A228="Lightning",100,30000))^2+((I228-'Hybrid Calculator'!$E$17)/IF(A228="Lightning",100,30000))^2</x:f>
        <x:v>0.21094407034104923</x:v>
      </x:c>
      <x:c r="K228" s="23" t="n">
        <x:f>RANK(J228,$J$2:$J$1401,1)</x:f>
        <x:v>467</x:v>
      </x:c>
      <x:c r="L228" s="23" t="n">
        <x:f>IF(K228&lt;=7,1,0)</x:f>
        <x:v>0</x:v>
      </x:c>
      <x:c r="M228" s="23" t="n">
        <x:f>IF(L228=1,1/(J228+0.000001),0)</x:f>
        <x:v>0</x:v>
      </x:c>
      <x:c r="N228" s="23" t="n">
        <x:v>0.011838474466244975</x:v>
      </x:c>
      <x:c r="O228" s="23" t="n">
        <x:f>M228</x:f>
        <x:v>0</x:v>
      </x:c>
      <x:c r="P228" s="23" t="n">
        <x:v>0.4411518477691416</x:v>
      </x:c>
      <x:c r="Q228" s="23" t="n">
        <x:v>-2.1595488877030675</x:v>
      </x:c>
    </x:row>
    <x:row r="229">
      <x:c r="A229" s="23" t="str">
        <x:v>Lightning</x:v>
      </x:c>
      <x:c r="B229" s="23" t="n">
        <x:v>1423.2422492816113</x:v>
      </x:c>
      <x:c r="C229" s="23" t="n">
        <x:v>775.047903181985</x:v>
      </x:c>
      <x:c r="D229" s="23" t="n">
        <x:v>451.22349290177226</x:v>
      </x:c>
      <x:c r="E229" s="23" t="n">
        <x:v>285.5934447562322</x:v>
      </x:c>
      <x:c r="F229" s="23" t="n">
        <x:v>28.913187734317034</x:v>
      </x:c>
      <x:c r="G229" s="23" t="n">
        <x:v>0.8441130528412759</x:v>
      </x:c>
      <x:c r="H229" s="23" t="n">
        <x:v>45</x:v>
      </x:c>
      <x:c r="I229" s="23" t="n">
        <x:v>25</x:v>
      </x:c>
      <x:c r="J229" s="23" t="n">
        <x:f>(IF(A229='Hybrid Calculator'!$B$6,0,1))^2+((B229-'Hybrid Calculator'!$B$7)/1500)^2+((C229-'Hybrid Calculator'!$B$8)/1300)^2+((D229-'Hybrid Calculator'!$B$9)/800)^2+((E229-'Hybrid Calculator'!$B$10)/350)^2+((F229-'Hybrid Calculator'!$B$11)/30)^2+(G229-'Hybrid Calculator'!$B$12)^2+((H229-'Hybrid Calculator'!$E$14)/IF(A229="Lightning",100,30000))^2+((I229-'Hybrid Calculator'!$E$17)/IF(A229="Lightning",100,30000))^2</x:f>
        <x:v>0.2806935226838341</x:v>
      </x:c>
      <x:c r="K229" s="23" t="n">
        <x:f>RANK(J229,$J$2:$J$1401,1)</x:f>
        <x:v>582</x:v>
      </x:c>
      <x:c r="L229" s="23" t="n">
        <x:f>IF(K229&lt;=7,1,0)</x:f>
        <x:v>0</x:v>
      </x:c>
      <x:c r="M229" s="23" t="n">
        <x:f>IF(L229=1,1/(J229+0.000001),0)</x:f>
        <x:v>0</x:v>
      </x:c>
      <x:c r="N229" s="23" t="n">
        <x:v>-0.004361387920023718</x:v>
      </x:c>
      <x:c r="O229" s="23" t="n">
        <x:f>M229</x:f>
        <x:v>0</x:v>
      </x:c>
      <x:c r="P229" s="23" t="n">
        <x:v>-1.0805470242870356</x:v>
      </x:c>
      <x:c r="Q229" s="23" t="n">
        <x:v>-11.12303061981379</x:v>
      </x:c>
    </x:row>
    <x:row r="230">
      <x:c r="A230" s="23" t="str">
        <x:v>Lightning</x:v>
      </x:c>
      <x:c r="B230" s="23" t="n">
        <x:v>1484.6258046571165</x:v>
      </x:c>
      <x:c r="C230" s="23" t="n">
        <x:v>829.2640255647711</x:v>
      </x:c>
      <x:c r="D230" s="23" t="n">
        <x:v>476.521466486156</x:v>
      </x:c>
      <x:c r="E230" s="23" t="n">
        <x:v>229.01878620730713</x:v>
      </x:c>
      <x:c r="F230" s="23" t="n">
        <x:v>12.763326577842236</x:v>
      </x:c>
      <x:c r="G230" s="23" t="n">
        <x:v>0.832526521703694</x:v>
      </x:c>
      <x:c r="H230" s="23" t="n">
        <x:v>50</x:v>
      </x:c>
      <x:c r="I230" s="23" t="n">
        <x:v>25</x:v>
      </x:c>
      <x:c r="J230" s="23" t="n">
        <x:f>(IF(A230='Hybrid Calculator'!$B$6,0,1))^2+((B230-'Hybrid Calculator'!$B$7)/1500)^2+((C230-'Hybrid Calculator'!$B$8)/1300)^2+((D230-'Hybrid Calculator'!$B$9)/800)^2+((E230-'Hybrid Calculator'!$B$10)/350)^2+((F230-'Hybrid Calculator'!$B$11)/30)^2+(G230-'Hybrid Calculator'!$B$12)^2+((H230-'Hybrid Calculator'!$E$14)/IF(A230="Lightning",100,30000))^2+((I230-'Hybrid Calculator'!$E$17)/IF(A230="Lightning",100,30000))^2</x:f>
        <x:v>0.09038995662641593</x:v>
      </x:c>
      <x:c r="K230" s="23" t="n">
        <x:f>RANK(J230,$J$2:$J$1401,1)</x:f>
        <x:v>176</x:v>
      </x:c>
      <x:c r="L230" s="23" t="n">
        <x:f>IF(K230&lt;=7,1,0)</x:f>
        <x:v>0</x:v>
      </x:c>
      <x:c r="M230" s="23" t="n">
        <x:f>IF(L230=1,1/(J230+0.000001),0)</x:f>
        <x:v>0</x:v>
      </x:c>
      <x:c r="N230" s="23" t="n">
        <x:v>-0.00012545239096195537</x:v>
      </x:c>
      <x:c r="O230" s="23" t="n">
        <x:f>M230</x:f>
        <x:v>0</x:v>
      </x:c>
      <x:c r="P230" s="23" t="n">
        <x:v>0.40931425923425735</x:v>
      </x:c>
      <x:c r="Q230" s="23" t="n">
        <x:v>5.620704801418469</x:v>
      </x:c>
    </x:row>
    <x:row r="231">
      <x:c r="A231" s="23" t="str">
        <x:v>Lightning</x:v>
      </x:c>
      <x:c r="B231" s="23" t="n">
        <x:v>1495.583636232186</x:v>
      </x:c>
      <x:c r="C231" s="23" t="n">
        <x:v>979.2081605410203</x:v>
      </x:c>
      <x:c r="D231" s="23" t="n">
        <x:v>514.2269072122872</x:v>
      </x:c>
      <x:c r="E231" s="23" t="n">
        <x:v>259.4717009179294</x:v>
      </x:c>
      <x:c r="F231" s="23" t="n">
        <x:v>24.894892050419003</x:v>
      </x:c>
      <x:c r="G231" s="23" t="n">
        <x:v>0.8325845607509836</x:v>
      </x:c>
      <x:c r="H231" s="23" t="n">
        <x:v>40</x:v>
      </x:c>
      <x:c r="I231" s="23" t="n">
        <x:v>25</x:v>
      </x:c>
      <x:c r="J231" s="23" t="n">
        <x:f>(IF(A231='Hybrid Calculator'!$B$6,0,1))^2+((B231-'Hybrid Calculator'!$B$7)/1500)^2+((C231-'Hybrid Calculator'!$B$8)/1300)^2+((D231-'Hybrid Calculator'!$B$9)/800)^2+((E231-'Hybrid Calculator'!$B$10)/350)^2+((F231-'Hybrid Calculator'!$B$11)/30)^2+(G231-'Hybrid Calculator'!$B$12)^2+((H231-'Hybrid Calculator'!$E$14)/IF(A231="Lightning",100,30000))^2+((I231-'Hybrid Calculator'!$E$17)/IF(A231="Lightning",100,30000))^2</x:f>
        <x:v>0.16583492293038388</x:v>
      </x:c>
      <x:c r="K231" s="23" t="n">
        <x:f>RANK(J231,$J$2:$J$1401,1)</x:f>
        <x:v>370</x:v>
      </x:c>
      <x:c r="L231" s="23" t="n">
        <x:f>IF(K231&lt;=7,1,0)</x:f>
        <x:v>0</x:v>
      </x:c>
      <x:c r="M231" s="23" t="n">
        <x:f>IF(L231=1,1/(J231+0.000001),0)</x:f>
        <x:v>0</x:v>
      </x:c>
      <x:c r="N231" s="23" t="n">
        <x:v>-0.0020923726388417663</x:v>
      </x:c>
      <x:c r="O231" s="23" t="n">
        <x:f>M231</x:f>
        <x:v>0</x:v>
      </x:c>
      <x:c r="P231" s="23" t="n">
        <x:v>0.02555919511099347</x:v>
      </x:c>
      <x:c r="Q231" s="23" t="n">
        <x:v>-18.0172566348117</x:v>
      </x:c>
    </x:row>
    <x:row r="232">
      <x:c r="A232" s="23" t="str">
        <x:v>Lightning</x:v>
      </x:c>
      <x:c r="B232" s="23" t="n">
        <x:v>1398.2881910400465</x:v>
      </x:c>
      <x:c r="C232" s="23" t="n">
        <x:v>758.6048938450404</x:v>
      </x:c>
      <x:c r="D232" s="23" t="n">
        <x:v>697.3055988550186</x:v>
      </x:c>
      <x:c r="E232" s="23" t="n">
        <x:v>171.4758368744515</x:v>
      </x:c>
      <x:c r="F232" s="23" t="n">
        <x:v>19.12235868256539</x:v>
      </x:c>
      <x:c r="G232" s="23" t="n">
        <x:v>0.8195259763277136</x:v>
      </x:c>
      <x:c r="H232" s="23" t="n">
        <x:v>45</x:v>
      </x:c>
      <x:c r="I232" s="23" t="n">
        <x:v>25</x:v>
      </x:c>
      <x:c r="J232" s="23" t="n">
        <x:f>(IF(A232='Hybrid Calculator'!$B$6,0,1))^2+((B232-'Hybrid Calculator'!$B$7)/1500)^2+((C232-'Hybrid Calculator'!$B$8)/1300)^2+((D232-'Hybrid Calculator'!$B$9)/800)^2+((E232-'Hybrid Calculator'!$B$10)/350)^2+((F232-'Hybrid Calculator'!$B$11)/30)^2+(G232-'Hybrid Calculator'!$B$12)^2+((H232-'Hybrid Calculator'!$E$14)/IF(A232="Lightning",100,30000))^2+((I232-'Hybrid Calculator'!$E$17)/IF(A232="Lightning",100,30000))^2</x:f>
        <x:v>0.07278268944696717</x:v>
      </x:c>
      <x:c r="K232" s="23" t="n">
        <x:f>RANK(J232,$J$2:$J$1401,1)</x:f>
        <x:v>118</x:v>
      </x:c>
      <x:c r="L232" s="23" t="n">
        <x:f>IF(K232&lt;=7,1,0)</x:f>
        <x:v>0</x:v>
      </x:c>
      <x:c r="M232" s="23" t="n">
        <x:f>IF(L232=1,1/(J232+0.000001),0)</x:f>
        <x:v>0</x:v>
      </x:c>
      <x:c r="N232" s="23" t="n">
        <x:v>-0.0041146888334639975</x:v>
      </x:c>
      <x:c r="O232" s="23" t="n">
        <x:f>M232</x:f>
        <x:v>0</x:v>
      </x:c>
      <x:c r="P232" s="23" t="n">
        <x:v>-1.255495420966021</x:v>
      </x:c>
      <x:c r="Q232" s="23" t="n">
        <x:v>-4.556137728356134</x:v>
      </x:c>
    </x:row>
    <x:row r="233">
      <x:c r="A233" s="23" t="str">
        <x:v>Lightning</x:v>
      </x:c>
      <x:c r="B233" s="23" t="n">
        <x:v>1390.3713879059069</x:v>
      </x:c>
      <x:c r="C233" s="23" t="n">
        <x:v>1119.41186087206</x:v>
      </x:c>
      <x:c r="D233" s="23" t="n">
        <x:v>399.9459988437593</x:v>
      </x:c>
      <x:c r="E233" s="23" t="n">
        <x:v>116.34537348989397</x:v>
      </x:c>
      <x:c r="F233" s="23" t="n">
        <x:v>16.08062278991565</x:v>
      </x:c>
      <x:c r="G233" s="23" t="n">
        <x:v>0.8595000719372183</x:v>
      </x:c>
      <x:c r="H233" s="23" t="n">
        <x:v>45</x:v>
      </x:c>
      <x:c r="I233" s="23" t="n">
        <x:v>25</x:v>
      </x:c>
      <x:c r="J233" s="23" t="n">
        <x:f>(IF(A233='Hybrid Calculator'!$B$6,0,1))^2+((B233-'Hybrid Calculator'!$B$7)/1500)^2+((C233-'Hybrid Calculator'!$B$8)/1300)^2+((D233-'Hybrid Calculator'!$B$9)/800)^2+((E233-'Hybrid Calculator'!$B$10)/350)^2+((F233-'Hybrid Calculator'!$B$11)/30)^2+(G233-'Hybrid Calculator'!$B$12)^2+((H233-'Hybrid Calculator'!$E$14)/IF(A233="Lightning",100,30000))^2+((I233-'Hybrid Calculator'!$E$17)/IF(A233="Lightning",100,30000))^2</x:f>
        <x:v>0.07893321351699543</x:v>
      </x:c>
      <x:c r="K233" s="23" t="n">
        <x:f>RANK(J233,$J$2:$J$1401,1)</x:f>
        <x:v>134</x:v>
      </x:c>
      <x:c r="L233" s="23" t="n">
        <x:f>IF(K233&lt;=7,1,0)</x:f>
        <x:v>0</x:v>
      </x:c>
      <x:c r="M233" s="23" t="n">
        <x:f>IF(L233=1,1/(J233+0.000001),0)</x:f>
        <x:v>0</x:v>
      </x:c>
      <x:c r="N233" s="23" t="n">
        <x:v>0.003148283944891528</x:v>
      </x:c>
      <x:c r="O233" s="23" t="n">
        <x:f>M233</x:f>
        <x:v>0</x:v>
      </x:c>
      <x:c r="P233" s="23" t="n">
        <x:v>1.4124982026403643</x:v>
      </x:c>
      <x:c r="Q233" s="23" t="n">
        <x:v>0.9667936933033161</x:v>
      </x:c>
    </x:row>
    <x:row r="234">
      <x:c r="A234" s="23" t="str">
        <x:v>Lightning</x:v>
      </x:c>
      <x:c r="B234" s="23" t="n">
        <x:v>1420.97833994776</x:v>
      </x:c>
      <x:c r="C234" s="23" t="n">
        <x:v>629.0842123678885</x:v>
      </x:c>
      <x:c r="D234" s="23" t="n">
        <x:v>474.3297489359975</x:v>
      </x:c>
      <x:c r="E234" s="23" t="n">
        <x:v>123.60930022085086</x:v>
      </x:c>
      <x:c r="F234" s="23" t="n">
        <x:v>14.993105238303542</x:v>
      </x:c>
      <x:c r="G234" s="23" t="n">
        <x:v>0.8017418082919904</x:v>
      </x:c>
      <x:c r="H234" s="23" t="n">
        <x:v>60</x:v>
      </x:c>
      <x:c r="I234" s="23" t="n">
        <x:v>25</x:v>
      </x:c>
      <x:c r="J234" s="23" t="n">
        <x:f>(IF(A234='Hybrid Calculator'!$B$6,0,1))^2+((B234-'Hybrid Calculator'!$B$7)/1500)^2+((C234-'Hybrid Calculator'!$B$8)/1300)^2+((D234-'Hybrid Calculator'!$B$9)/800)^2+((E234-'Hybrid Calculator'!$B$10)/350)^2+((F234-'Hybrid Calculator'!$B$11)/30)^2+(G234-'Hybrid Calculator'!$B$12)^2+((H234-'Hybrid Calculator'!$E$14)/IF(A234="Lightning",100,30000))^2+((I234-'Hybrid Calculator'!$E$17)/IF(A234="Lightning",100,30000))^2</x:f>
        <x:v>0.059598408481094864</x:v>
      </x:c>
      <x:c r="K234" s="23" t="n">
        <x:f>RANK(J234,$J$2:$J$1401,1)</x:f>
        <x:v>80</x:v>
      </x:c>
      <x:c r="L234" s="23" t="n">
        <x:f>IF(K234&lt;=7,1,0)</x:f>
        <x:v>0</x:v>
      </x:c>
      <x:c r="M234" s="23" t="n">
        <x:f>IF(L234=1,1/(J234+0.000001),0)</x:f>
        <x:v>0</x:v>
      </x:c>
      <x:c r="N234" s="23" t="n">
        <x:v>0.003739258261527878</x:v>
      </x:c>
      <x:c r="O234" s="23" t="n">
        <x:f>M234</x:f>
        <x:v>0</x:v>
      </x:c>
      <x:c r="P234" s="23" t="n">
        <x:v>-0.15856261519235915</x:v>
      </x:c>
      <x:c r="Q234" s="23" t="n">
        <x:v>14.356878879543729</x:v>
      </x:c>
    </x:row>
    <x:row r="235">
      <x:c r="A235" s="23" t="str">
        <x:v>Lightning</x:v>
      </x:c>
      <x:c r="B235" s="23" t="n">
        <x:v>1387.1377327130176</x:v>
      </x:c>
      <x:c r="C235" s="23" t="n">
        <x:v>903.1354367965832</x:v>
      </x:c>
      <x:c r="D235" s="23" t="n">
        <x:v>667.7710861898959</x:v>
      </x:c>
      <x:c r="E235" s="23" t="n">
        <x:v>87.29214097373188</x:v>
      </x:c>
      <x:c r="F235" s="23" t="n">
        <x:v>8.877473894972354</x:v>
      </x:c>
      <x:c r="G235" s="23" t="n">
        <x:v>0.7977271226467565</x:v>
      </x:c>
      <x:c r="H235" s="23" t="n">
        <x:v>45</x:v>
      </x:c>
      <x:c r="I235" s="23" t="n">
        <x:v>25</x:v>
      </x:c>
      <x:c r="J235" s="23" t="n">
        <x:f>(IF(A235='Hybrid Calculator'!$B$6,0,1))^2+((B235-'Hybrid Calculator'!$B$7)/1500)^2+((C235-'Hybrid Calculator'!$B$8)/1300)^2+((D235-'Hybrid Calculator'!$B$9)/800)^2+((E235-'Hybrid Calculator'!$B$10)/350)^2+((F235-'Hybrid Calculator'!$B$11)/30)^2+(G235-'Hybrid Calculator'!$B$12)^2+((H235-'Hybrid Calculator'!$E$14)/IF(A235="Lightning",100,30000))^2+((I235-'Hybrid Calculator'!$E$17)/IF(A235="Lightning",100,30000))^2</x:f>
        <x:v>0.18426508253995255</x:v>
      </x:c>
      <x:c r="K235" s="23" t="n">
        <x:f>RANK(J235,$J$2:$J$1401,1)</x:f>
        <x:v>410</x:v>
      </x:c>
      <x:c r="L235" s="23" t="n">
        <x:f>IF(K235&lt;=7,1,0)</x:f>
        <x:v>0</x:v>
      </x:c>
      <x:c r="M235" s="23" t="n">
        <x:f>IF(L235=1,1/(J235+0.000001),0)</x:f>
        <x:v>0</x:v>
      </x:c>
      <x:c r="N235" s="23" t="n">
        <x:v>0.018306850418873033</x:v>
      </x:c>
      <x:c r="O235" s="23" t="n">
        <x:f>M235</x:f>
        <x:v>0</x:v>
      </x:c>
      <x:c r="P235" s="23" t="n">
        <x:v>1.0929209077621564</x:v>
      </x:c>
      <x:c r="Q235" s="23" t="n">
        <x:v>12.140087684220589</x:v>
      </x:c>
    </x:row>
    <x:row r="236">
      <x:c r="A236" s="23" t="str">
        <x:v>Lightning</x:v>
      </x:c>
      <x:c r="B236" s="23" t="n">
        <x:v>1434.6847454784438</x:v>
      </x:c>
      <x:c r="C236" s="23" t="n">
        <x:v>1082.6367112458684</x:v>
      </x:c>
      <x:c r="D236" s="23" t="n">
        <x:v>365.52659161388874</x:v>
      </x:c>
      <x:c r="E236" s="23" t="n">
        <x:v>138.95831080852076</x:v>
      </x:c>
      <x:c r="F236" s="23" t="n">
        <x:v>20.435768068768084</x:v>
      </x:c>
      <x:c r="G236" s="23" t="n">
        <x:v>0.8092123323562556</x:v>
      </x:c>
      <x:c r="H236" s="23" t="n">
        <x:v>45</x:v>
      </x:c>
      <x:c r="I236" s="23" t="n">
        <x:v>25</x:v>
      </x:c>
      <x:c r="J236" s="23" t="n">
        <x:f>(IF(A236='Hybrid Calculator'!$B$6,0,1))^2+((B236-'Hybrid Calculator'!$B$7)/1500)^2+((C236-'Hybrid Calculator'!$B$8)/1300)^2+((D236-'Hybrid Calculator'!$B$9)/800)^2+((E236-'Hybrid Calculator'!$B$10)/350)^2+((F236-'Hybrid Calculator'!$B$11)/30)^2+(G236-'Hybrid Calculator'!$B$12)^2+((H236-'Hybrid Calculator'!$E$14)/IF(A236="Lightning",100,30000))^2+((I236-'Hybrid Calculator'!$E$17)/IF(A236="Lightning",100,30000))^2</x:f>
        <x:v>0.06809528336890741</x:v>
      </x:c>
      <x:c r="K236" s="23" t="n">
        <x:f>RANK(J236,$J$2:$J$1401,1)</x:f>
        <x:v>107</x:v>
      </x:c>
      <x:c r="L236" s="23" t="n">
        <x:f>IF(K236&lt;=7,1,0)</x:f>
        <x:v>0</x:v>
      </x:c>
      <x:c r="M236" s="23" t="n">
        <x:f>IF(L236=1,1/(J236+0.000001),0)</x:f>
        <x:v>0</x:v>
      </x:c>
      <x:c r="N236" s="23" t="n">
        <x:v>0.008472527144477437</x:v>
      </x:c>
      <x:c r="O236" s="23" t="n">
        <x:f>M236</x:f>
        <x:v>0</x:v>
      </x:c>
      <x:c r="P236" s="23" t="n">
        <x:v>-0.3622977322362786</x:v>
      </x:c>
      <x:c r="Q236" s="23" t="n">
        <x:v>2.5729058547540262</x:v>
      </x:c>
    </x:row>
    <x:row r="237">
      <x:c r="A237" s="23" t="str">
        <x:v>Lightning</x:v>
      </x:c>
      <x:c r="B237" s="23" t="n">
        <x:v>1372.0211321837269</x:v>
      </x:c>
      <x:c r="C237" s="23" t="n">
        <x:v>645.319360261783</x:v>
      </x:c>
      <x:c r="D237" s="23" t="n">
        <x:v>510.97472412511706</x:v>
      </x:c>
      <x:c r="E237" s="23" t="n">
        <x:v>171.93846851121634</x:v>
      </x:c>
      <x:c r="F237" s="23" t="n">
        <x:v>24.571775052230805</x:v>
      </x:c>
      <x:c r="G237" s="23" t="n">
        <x:v>0.8251982587203384</x:v>
      </x:c>
      <x:c r="H237" s="23" t="n">
        <x:v>55</x:v>
      </x:c>
      <x:c r="I237" s="23" t="n">
        <x:v>25</x:v>
      </x:c>
      <x:c r="J237" s="23" t="n">
        <x:f>(IF(A237='Hybrid Calculator'!$B$6,0,1))^2+((B237-'Hybrid Calculator'!$B$7)/1500)^2+((C237-'Hybrid Calculator'!$B$8)/1300)^2+((D237-'Hybrid Calculator'!$B$9)/800)^2+((E237-'Hybrid Calculator'!$B$10)/350)^2+((F237-'Hybrid Calculator'!$B$11)/30)^2+(G237-'Hybrid Calculator'!$B$12)^2+((H237-'Hybrid Calculator'!$E$14)/IF(A237="Lightning",100,30000))^2+((I237-'Hybrid Calculator'!$E$17)/IF(A237="Lightning",100,30000))^2</x:f>
        <x:v>0.07364378690782163</x:v>
      </x:c>
      <x:c r="K237" s="23" t="n">
        <x:f>RANK(J237,$J$2:$J$1401,1)</x:f>
        <x:v>120</x:v>
      </x:c>
      <x:c r="L237" s="23" t="n">
        <x:f>IF(K237&lt;=7,1,0)</x:f>
        <x:v>0</x:v>
      </x:c>
      <x:c r="M237" s="23" t="n">
        <x:f>IF(L237=1,1/(J237+0.000001),0)</x:f>
        <x:v>0</x:v>
      </x:c>
      <x:c r="N237" s="23" t="n">
        <x:v>-0.021150087931933292</x:v>
      </x:c>
      <x:c r="O237" s="23" t="n">
        <x:f>M237</x:f>
        <x:v>0</x:v>
      </x:c>
      <x:c r="P237" s="23" t="n">
        <x:v>-0.9496512883411654</x:v>
      </x:c>
      <x:c r="Q237" s="23" t="n">
        <x:v>-1.0448555076352477</x:v>
      </x:c>
    </x:row>
    <x:row r="238">
      <x:c r="A238" s="23" t="str">
        <x:v>Lightning</x:v>
      </x:c>
      <x:c r="B238" s="23" t="n">
        <x:v>1440.4369512107223</x:v>
      </x:c>
      <x:c r="C238" s="23" t="n">
        <x:v>607.0383018697612</x:v>
      </x:c>
      <x:c r="D238" s="23" t="n">
        <x:v>739.4547363743186</x:v>
      </x:c>
      <x:c r="E238" s="23" t="n">
        <x:v>104.68165737809613</x:v>
      </x:c>
      <x:c r="F238" s="23" t="n">
        <x:v>11.939255643635988</x:v>
      </x:c>
      <x:c r="G238" s="23" t="n">
        <x:v>0.8049345591687598</x:v>
      </x:c>
      <x:c r="H238" s="23" t="n">
        <x:v>55</x:v>
      </x:c>
      <x:c r="I238" s="23" t="n">
        <x:v>25</x:v>
      </x:c>
      <x:c r="J238" s="23" t="n">
        <x:f>(IF(A238='Hybrid Calculator'!$B$6,0,1))^2+((B238-'Hybrid Calculator'!$B$7)/1500)^2+((C238-'Hybrid Calculator'!$B$8)/1300)^2+((D238-'Hybrid Calculator'!$B$9)/800)^2+((E238-'Hybrid Calculator'!$B$10)/350)^2+((F238-'Hybrid Calculator'!$B$11)/30)^2+(G238-'Hybrid Calculator'!$B$12)^2+((H238-'Hybrid Calculator'!$E$14)/IF(A238="Lightning",100,30000))^2+((I238-'Hybrid Calculator'!$E$17)/IF(A238="Lightning",100,30000))^2</x:f>
        <x:v>0.19194490483547583</x:v>
      </x:c>
      <x:c r="K238" s="23" t="n">
        <x:f>RANK(J238,$J$2:$J$1401,1)</x:f>
        <x:v>431</x:v>
      </x:c>
      <x:c r="L238" s="23" t="n">
        <x:f>IF(K238&lt;=7,1,0)</x:f>
        <x:v>0</x:v>
      </x:c>
      <x:c r="M238" s="23" t="n">
        <x:f>IF(L238=1,1/(J238+0.000001),0)</x:f>
        <x:v>0</x:v>
      </x:c>
      <x:c r="N238" s="23" t="n">
        <x:v>-0.009494823323537016</x:v>
      </x:c>
      <x:c r="O238" s="23" t="n">
        <x:f>M238</x:f>
        <x:v>0</x:v>
      </x:c>
      <x:c r="P238" s="23" t="n">
        <x:v>-1.5492744475436595</x:v>
      </x:c>
      <x:c r="Q238" s="23" t="n">
        <x:v>6.730041587808955</x:v>
      </x:c>
    </x:row>
    <x:row r="239">
      <x:c r="A239" s="23" t="str">
        <x:v>Lightning</x:v>
      </x:c>
      <x:c r="B239" s="23" t="n">
        <x:v>1460.00587065937</x:v>
      </x:c>
      <x:c r="C239" s="23" t="n">
        <x:v>631.5010961843655</x:v>
      </x:c>
      <x:c r="D239" s="23" t="n">
        <x:v>544.1972081549466</x:v>
      </x:c>
      <x:c r="E239" s="23" t="n">
        <x:v>206.45706348121166</x:v>
      </x:c>
      <x:c r="F239" s="23" t="n">
        <x:v>8.229509020689875</x:v>
      </x:c>
      <x:c r="G239" s="23" t="n">
        <x:v>0.8558514156891034</x:v>
      </x:c>
      <x:c r="H239" s="23" t="n">
        <x:v>55</x:v>
      </x:c>
      <x:c r="I239" s="23" t="n">
        <x:v>25</x:v>
      </x:c>
      <x:c r="J239" s="23" t="n">
        <x:f>(IF(A239='Hybrid Calculator'!$B$6,0,1))^2+((B239-'Hybrid Calculator'!$B$7)/1500)^2+((C239-'Hybrid Calculator'!$B$8)/1300)^2+((D239-'Hybrid Calculator'!$B$9)/800)^2+((E239-'Hybrid Calculator'!$B$10)/350)^2+((F239-'Hybrid Calculator'!$B$11)/30)^2+(G239-'Hybrid Calculator'!$B$12)^2+((H239-'Hybrid Calculator'!$E$14)/IF(A239="Lightning",100,30000))^2+((I239-'Hybrid Calculator'!$E$17)/IF(A239="Lightning",100,30000))^2</x:f>
        <x:v>0.17885460521123347</x:v>
      </x:c>
      <x:c r="K239" s="23" t="n">
        <x:f>RANK(J239,$J$2:$J$1401,1)</x:f>
        <x:v>399</x:v>
      </x:c>
      <x:c r="L239" s="23" t="n">
        <x:f>IF(K239&lt;=7,1,0)</x:f>
        <x:v>0</x:v>
      </x:c>
      <x:c r="M239" s="23" t="n">
        <x:f>IF(L239=1,1/(J239+0.000001),0)</x:f>
        <x:v>0</x:v>
      </x:c>
      <x:c r="N239" s="23" t="n">
        <x:v>-0.003394616438321174</x:v>
      </x:c>
      <x:c r="O239" s="23" t="n">
        <x:f>M239</x:f>
        <x:v>0</x:v>
      </x:c>
      <x:c r="P239" s="23" t="n">
        <x:v>-0.11072165192292971</x:v>
      </x:c>
      <x:c r="Q239" s="23" t="n">
        <x:v>21.33571779607678</x:v>
      </x:c>
    </x:row>
    <x:row r="240">
      <x:c r="A240" s="23" t="str">
        <x:v>Lightning</x:v>
      </x:c>
      <x:c r="B240" s="23" t="n">
        <x:v>1381.5949842799455</x:v>
      </x:c>
      <x:c r="C240" s="23" t="n">
        <x:v>932.0146795245819</x:v>
      </x:c>
      <x:c r="D240" s="23" t="n">
        <x:v>742.5414381548762</x:v>
      </x:c>
      <x:c r="E240" s="23" t="n">
        <x:v>287.3574590613134</x:v>
      </x:c>
      <x:c r="F240" s="23" t="n">
        <x:v>28.553370282053947</x:v>
      </x:c>
      <x:c r="G240" s="23" t="n">
        <x:v>0.8531980085209944</x:v>
      </x:c>
      <x:c r="H240" s="23" t="n">
        <x:v>35</x:v>
      </x:c>
      <x:c r="I240" s="23" t="n">
        <x:v>25</x:v>
      </x:c>
      <x:c r="J240" s="23" t="n">
        <x:f>(IF(A240='Hybrid Calculator'!$B$6,0,1))^2+((B240-'Hybrid Calculator'!$B$7)/1500)^2+((C240-'Hybrid Calculator'!$B$8)/1300)^2+((D240-'Hybrid Calculator'!$B$9)/800)^2+((E240-'Hybrid Calculator'!$B$10)/350)^2+((F240-'Hybrid Calculator'!$B$11)/30)^2+(G240-'Hybrid Calculator'!$B$12)^2+((H240-'Hybrid Calculator'!$E$14)/IF(A240="Lightning",100,30000))^2+((I240-'Hybrid Calculator'!$E$17)/IF(A240="Lightning",100,30000))^2</x:f>
        <x:v>0.386652925533581</x:v>
      </x:c>
      <x:c r="K240" s="23" t="n">
        <x:f>RANK(J240,$J$2:$J$1401,1)</x:f>
        <x:v>678</x:v>
      </x:c>
      <x:c r="L240" s="23" t="n">
        <x:f>IF(K240&lt;=7,1,0)</x:f>
        <x:v>0</x:v>
      </x:c>
      <x:c r="M240" s="23" t="n">
        <x:f>IF(L240=1,1/(J240+0.000001),0)</x:f>
        <x:v>0</x:v>
      </x:c>
      <x:c r="N240" s="23" t="n">
        <x:v>-0.0057727485395975275</x:v>
      </x:c>
      <x:c r="O240" s="23" t="n">
        <x:f>M240</x:f>
        <x:v>0</x:v>
      </x:c>
      <x:c r="P240" s="23" t="n">
        <x:v>1.0515767000058815</x:v>
      </x:c>
      <x:c r="Q240" s="23" t="n">
        <x:v>-14.747422628658342</x:v>
      </x:c>
    </x:row>
    <x:row r="241">
      <x:c r="A241" s="23" t="str">
        <x:v>Lightning</x:v>
      </x:c>
      <x:c r="B241" s="23" t="n">
        <x:v>1462.481006712187</x:v>
      </x:c>
      <x:c r="C241" s="23" t="n">
        <x:v>743.4671295573935</x:v>
      </x:c>
      <x:c r="D241" s="23" t="n">
        <x:v>736.0127401538193</x:v>
      </x:c>
      <x:c r="E241" s="23" t="n">
        <x:v>299.20732827857137</x:v>
      </x:c>
      <x:c r="F241" s="23" t="n">
        <x:v>20.066549635026604</x:v>
      </x:c>
      <x:c r="G241" s="23" t="n">
        <x:v>0.7986696211015806</x:v>
      </x:c>
      <x:c r="H241" s="23" t="n">
        <x:v>35</x:v>
      </x:c>
      <x:c r="I241" s="23" t="n">
        <x:v>25</x:v>
      </x:c>
      <x:c r="J241" s="23" t="n">
        <x:f>(IF(A241='Hybrid Calculator'!$B$6,0,1))^2+((B241-'Hybrid Calculator'!$B$7)/1500)^2+((C241-'Hybrid Calculator'!$B$8)/1300)^2+((D241-'Hybrid Calculator'!$B$9)/800)^2+((E241-'Hybrid Calculator'!$B$10)/350)^2+((F241-'Hybrid Calculator'!$B$11)/30)^2+(G241-'Hybrid Calculator'!$B$12)^2+((H241-'Hybrid Calculator'!$E$14)/IF(A241="Lightning",100,30000))^2+((I241-'Hybrid Calculator'!$E$17)/IF(A241="Lightning",100,30000))^2</x:f>
        <x:v>0.3017933970427904</x:v>
      </x:c>
      <x:c r="K241" s="23" t="n">
        <x:f>RANK(J241,$J$2:$J$1401,1)</x:f>
        <x:v>598</x:v>
      </x:c>
      <x:c r="L241" s="23" t="n">
        <x:f>IF(K241&lt;=7,1,0)</x:f>
        <x:v>0</x:v>
      </x:c>
      <x:c r="M241" s="23" t="n">
        <x:f>IF(L241=1,1/(J241+0.000001),0)</x:f>
        <x:v>0</x:v>
      </x:c>
      <x:c r="N241" s="23" t="n">
        <x:v>0.0042134755387694955</x:v>
      </x:c>
      <x:c r="O241" s="23" t="n">
        <x:f>M241</x:f>
        <x:v>0</x:v>
      </x:c>
      <x:c r="P241" s="23" t="n">
        <x:v>-1.0686667518610804</x:v>
      </x:c>
      <x:c r="Q241" s="23" t="n">
        <x:v>-5.4338874998904885</x:v>
      </x:c>
    </x:row>
    <x:row r="242">
      <x:c r="A242" s="23" t="str">
        <x:v>Lightning</x:v>
      </x:c>
      <x:c r="B242" s="23" t="n">
        <x:v>1371.8650196911767</x:v>
      </x:c>
      <x:c r="C242" s="23" t="n">
        <x:v>1065.017157990951</x:v>
      </x:c>
      <x:c r="D242" s="23" t="n">
        <x:v>650.5225047469139</x:v>
      </x:c>
      <x:c r="E242" s="23" t="n">
        <x:v>152.90065375855193</x:v>
      </x:c>
      <x:c r="F242" s="23" t="n">
        <x:v>9.734871323220432</x:v>
      </x:c>
      <x:c r="G242" s="23" t="n">
        <x:v>0.8596270237467252</x:v>
      </x:c>
      <x:c r="H242" s="23" t="n">
        <x:v>45</x:v>
      </x:c>
      <x:c r="I242" s="23" t="n">
        <x:v>25</x:v>
      </x:c>
      <x:c r="J242" s="23" t="n">
        <x:f>(IF(A242='Hybrid Calculator'!$B$6,0,1))^2+((B242-'Hybrid Calculator'!$B$7)/1500)^2+((C242-'Hybrid Calculator'!$B$8)/1300)^2+((D242-'Hybrid Calculator'!$B$9)/800)^2+((E242-'Hybrid Calculator'!$B$10)/350)^2+((F242-'Hybrid Calculator'!$B$11)/30)^2+(G242-'Hybrid Calculator'!$B$12)^2+((H242-'Hybrid Calculator'!$E$14)/IF(A242="Lightning",100,30000))^2+((I242-'Hybrid Calculator'!$E$17)/IF(A242="Lightning",100,30000))^2</x:f>
        <x:v>0.1535157016137545</x:v>
      </x:c>
      <x:c r="K242" s="23" t="n">
        <x:f>RANK(J242,$J$2:$J$1401,1)</x:f>
        <x:v>335</x:v>
      </x:c>
      <x:c r="L242" s="23" t="n">
        <x:f>IF(K242&lt;=7,1,0)</x:f>
        <x:v>0</x:v>
      </x:c>
      <x:c r="M242" s="23" t="n">
        <x:f>IF(L242=1,1/(J242+0.000001),0)</x:f>
        <x:v>0</x:v>
      </x:c>
      <x:c r="N242" s="23" t="n">
        <x:v>0.006584712473968191</x:v>
      </x:c>
      <x:c r="O242" s="23" t="n">
        <x:f>M242</x:f>
        <x:v>0</x:v>
      </x:c>
      <x:c r="P242" s="23" t="n">
        <x:v>0.30578207953008985</x:v>
      </x:c>
      <x:c r="Q242" s="23" t="n">
        <x:v>0.6662706402423737</x:v>
      </x:c>
    </x:row>
    <x:row r="243">
      <x:c r="A243" s="23" t="str">
        <x:v>Lightning</x:v>
      </x:c>
      <x:c r="B243" s="23" t="n">
        <x:v>1435.4763450915925</x:v>
      </x:c>
      <x:c r="C243" s="23" t="n">
        <x:v>1244.4697088561952</x:v>
      </x:c>
      <x:c r="D243" s="23" t="n">
        <x:v>439.5864865742624</x:v>
      </x:c>
      <x:c r="E243" s="23" t="n">
        <x:v>230.62013326678425</x:v>
      </x:c>
      <x:c r="F243" s="23" t="n">
        <x:v>11.198174079414457</x:v>
      </x:c>
      <x:c r="G243" s="23" t="n">
        <x:v>0.8469641951192171</x:v>
      </x:c>
      <x:c r="H243" s="23" t="n">
        <x:v>40</x:v>
      </x:c>
      <x:c r="I243" s="23" t="n">
        <x:v>25</x:v>
      </x:c>
      <x:c r="J243" s="23" t="n">
        <x:f>(IF(A243='Hybrid Calculator'!$B$6,0,1))^2+((B243-'Hybrid Calculator'!$B$7)/1500)^2+((C243-'Hybrid Calculator'!$B$8)/1300)^2+((D243-'Hybrid Calculator'!$B$9)/800)^2+((E243-'Hybrid Calculator'!$B$10)/350)^2+((F243-'Hybrid Calculator'!$B$11)/30)^2+(G243-'Hybrid Calculator'!$B$12)^2+((H243-'Hybrid Calculator'!$E$14)/IF(A243="Lightning",100,30000))^2+((I243-'Hybrid Calculator'!$E$17)/IF(A243="Lightning",100,30000))^2</x:f>
        <x:v>0.22085215481273796</x:v>
      </x:c>
      <x:c r="K243" s="23" t="n">
        <x:f>RANK(J243,$J$2:$J$1401,1)</x:f>
        <x:v>489</x:v>
      </x:c>
      <x:c r="L243" s="23" t="n">
        <x:f>IF(K243&lt;=7,1,0)</x:f>
        <x:v>0</x:v>
      </x:c>
      <x:c r="M243" s="23" t="n">
        <x:f>IF(L243=1,1/(J243+0.000001),0)</x:f>
        <x:v>0</x:v>
      </x:c>
      <x:c r="N243" s="23" t="n">
        <x:v>0.019900582681888768</x:v>
      </x:c>
      <x:c r="O243" s="23" t="n">
        <x:f>M243</x:f>
        <x:v>0</x:v>
      </x:c>
      <x:c r="P243" s="23" t="n">
        <x:v>0.91967905247202</x:v>
      </x:c>
      <x:c r="Q243" s="23" t="n">
        <x:v>4.326315904100284</x:v>
      </x:c>
    </x:row>
    <x:row r="244">
      <x:c r="A244" s="23" t="str">
        <x:v>Lightning</x:v>
      </x:c>
      <x:c r="B244" s="23" t="n">
        <x:v>1430.7516194880009</x:v>
      </x:c>
      <x:c r="C244" s="23" t="n">
        <x:v>924.2999958223663</x:v>
      </x:c>
      <x:c r="D244" s="23" t="n">
        <x:v>413.99409640580416</x:v>
      </x:c>
      <x:c r="E244" s="23" t="n">
        <x:v>247.3419126891531</x:v>
      </x:c>
      <x:c r="F244" s="23" t="n">
        <x:v>17.34875970892608</x:v>
      </x:c>
      <x:c r="G244" s="23" t="n">
        <x:v>0.826425440509338</x:v>
      </x:c>
      <x:c r="H244" s="23" t="n">
        <x:v>45</x:v>
      </x:c>
      <x:c r="I244" s="23" t="n">
        <x:v>25</x:v>
      </x:c>
      <x:c r="J244" s="23" t="n">
        <x:f>(IF(A244='Hybrid Calculator'!$B$6,0,1))^2+((B244-'Hybrid Calculator'!$B$7)/1500)^2+((C244-'Hybrid Calculator'!$B$8)/1300)^2+((D244-'Hybrid Calculator'!$B$9)/800)^2+((E244-'Hybrid Calculator'!$B$10)/350)^2+((F244-'Hybrid Calculator'!$B$11)/30)^2+(G244-'Hybrid Calculator'!$B$12)^2+((H244-'Hybrid Calculator'!$E$14)/IF(A244="Lightning",100,30000))^2+((I244-'Hybrid Calculator'!$E$17)/IF(A244="Lightning",100,30000))^2</x:f>
        <x:v>0.09620359884408236</x:v>
      </x:c>
      <x:c r="K244" s="23" t="n">
        <x:f>RANK(J244,$J$2:$J$1401,1)</x:f>
        <x:v>191</x:v>
      </x:c>
      <x:c r="L244" s="23" t="n">
        <x:f>IF(K244&lt;=7,1,0)</x:f>
        <x:v>0</x:v>
      </x:c>
      <x:c r="M244" s="23" t="n">
        <x:f>IF(L244=1,1/(J244+0.000001),0)</x:f>
        <x:v>0</x:v>
      </x:c>
      <x:c r="N244" s="23" t="n">
        <x:v>-0.0067810543302047055</x:v>
      </x:c>
      <x:c r="O244" s="23" t="n">
        <x:f>M244</x:f>
        <x:v>0</x:v>
      </x:c>
      <x:c r="P244" s="23" t="n">
        <x:v>0.011965401348703608</x:v>
      </x:c>
      <x:c r="Q244" s="23" t="n">
        <x:v>-3.108489175850991</x:v>
      </x:c>
    </x:row>
    <x:row r="245">
      <x:c r="A245" s="23" t="str">
        <x:v>Lightning</x:v>
      </x:c>
      <x:c r="B245" s="23" t="n">
        <x:v>1395.3170268447138</x:v>
      </x:c>
      <x:c r="C245" s="23" t="n">
        <x:v>1074.581870646216</x:v>
      </x:c>
      <x:c r="D245" s="23" t="n">
        <x:v>406.41943076625466</x:v>
      </x:c>
      <x:c r="E245" s="23" t="n">
        <x:v>109.6396182384342</x:v>
      </x:c>
      <x:c r="F245" s="23" t="n">
        <x:v>25.12174841435626</x:v>
      </x:c>
      <x:c r="G245" s="23" t="n">
        <x:v>0.8328683237778023</x:v>
      </x:c>
      <x:c r="H245" s="23" t="n">
        <x:v>45</x:v>
      </x:c>
      <x:c r="I245" s="23" t="n">
        <x:v>25</x:v>
      </x:c>
      <x:c r="J245" s="23" t="n">
        <x:f>(IF(A245='Hybrid Calculator'!$B$6,0,1))^2+((B245-'Hybrid Calculator'!$B$7)/1500)^2+((C245-'Hybrid Calculator'!$B$8)/1300)^2+((D245-'Hybrid Calculator'!$B$9)/800)^2+((E245-'Hybrid Calculator'!$B$10)/350)^2+((F245-'Hybrid Calculator'!$B$11)/30)^2+(G245-'Hybrid Calculator'!$B$12)^2+((H245-'Hybrid Calculator'!$E$14)/IF(A245="Lightning",100,30000))^2+((I245-'Hybrid Calculator'!$E$17)/IF(A245="Lightning",100,30000))^2</x:f>
        <x:v>0.10860202834283167</x:v>
      </x:c>
      <x:c r="K245" s="23" t="n">
        <x:f>RANK(J245,$J$2:$J$1401,1)</x:f>
        <x:v>222</x:v>
      </x:c>
      <x:c r="L245" s="23" t="n">
        <x:f>IF(K245&lt;=7,1,0)</x:f>
        <x:v>0</x:v>
      </x:c>
      <x:c r="M245" s="23" t="n">
        <x:f>IF(L245=1,1/(J245+0.000001),0)</x:f>
        <x:v>0</x:v>
      </x:c>
      <x:c r="N245" s="23" t="n">
        <x:v>-0.016802364862542385</x:v>
      </x:c>
      <x:c r="O245" s="23" t="n">
        <x:f>M245</x:f>
        <x:v>0</x:v>
      </x:c>
      <x:c r="P245" s="23" t="n">
        <x:v>0.5472833882485588</x:v>
      </x:c>
      <x:c r="Q245" s="23" t="n">
        <x:v>-1.2201515274900885</x:v>
      </x:c>
    </x:row>
    <x:row r="246">
      <x:c r="A246" s="23" t="str">
        <x:v>Lightning</x:v>
      </x:c>
      <x:c r="B246" s="23" t="n">
        <x:v>1385.5179168982431</x:v>
      </x:c>
      <x:c r="C246" s="23" t="n">
        <x:v>1016.1527243093587</x:v>
      </x:c>
      <x:c r="D246" s="23" t="n">
        <x:v>483.46167244017124</x:v>
      </x:c>
      <x:c r="E246" s="23" t="n">
        <x:v>320.466040733736</x:v>
      </x:c>
      <x:c r="F246" s="23" t="n">
        <x:v>12.001299732364714</x:v>
      </x:c>
      <x:c r="G246" s="23" t="n">
        <x:v>0.8238243492948824</x:v>
      </x:c>
      <x:c r="H246" s="23" t="n">
        <x:v>40</x:v>
      </x:c>
      <x:c r="I246" s="23" t="n">
        <x:v>25</x:v>
      </x:c>
      <x:c r="J246" s="23" t="n">
        <x:f>(IF(A246='Hybrid Calculator'!$B$6,0,1))^2+((B246-'Hybrid Calculator'!$B$7)/1500)^2+((C246-'Hybrid Calculator'!$B$8)/1300)^2+((D246-'Hybrid Calculator'!$B$9)/800)^2+((E246-'Hybrid Calculator'!$B$10)/350)^2+((F246-'Hybrid Calculator'!$B$11)/30)^2+(G246-'Hybrid Calculator'!$B$12)^2+((H246-'Hybrid Calculator'!$E$14)/IF(A246="Lightning",100,30000))^2+((I246-'Hybrid Calculator'!$E$17)/IF(A246="Lightning",100,30000))^2</x:f>
        <x:v>0.31160946580876175</x:v>
      </x:c>
      <x:c r="K246" s="23" t="n">
        <x:f>RANK(J246,$J$2:$J$1401,1)</x:f>
        <x:v>608</x:v>
      </x:c>
      <x:c r="L246" s="23" t="n">
        <x:f>IF(K246&lt;=7,1,0)</x:f>
        <x:v>0</x:v>
      </x:c>
      <x:c r="M246" s="23" t="n">
        <x:f>IF(L246=1,1/(J246+0.000001),0)</x:f>
        <x:v>0</x:v>
      </x:c>
      <x:c r="N246" s="23" t="n">
        <x:v>-0.0010167721447598144</x:v>
      </x:c>
      <x:c r="O246" s="23" t="n">
        <x:f>M246</x:f>
        <x:v>0</x:v>
      </x:c>
      <x:c r="P246" s="23" t="n">
        <x:v>0.6691099480212799</x:v>
      </x:c>
      <x:c r="Q246" s="23" t="n">
        <x:v>6.3655848285795855</x:v>
      </x:c>
    </x:row>
    <x:row r="247">
      <x:c r="A247" s="23" t="str">
        <x:v>Lightning</x:v>
      </x:c>
      <x:c r="B247" s="23" t="n">
        <x:v>1488.9011532417499</x:v>
      </x:c>
      <x:c r="C247" s="23" t="n">
        <x:v>719.2096516024321</x:v>
      </x:c>
      <x:c r="D247" s="23" t="n">
        <x:v>441.55552042648196</x:v>
      </x:c>
      <x:c r="E247" s="23" t="n">
        <x:v>171.91567439120263</x:v>
      </x:c>
      <x:c r="F247" s="23" t="n">
        <x:v>29.730104859452695</x:v>
      </x:c>
      <x:c r="G247" s="23" t="n">
        <x:v>0.8535876051336527</x:v>
      </x:c>
      <x:c r="H247" s="23" t="n">
        <x:v>55</x:v>
      </x:c>
      <x:c r="I247" s="23" t="n">
        <x:v>25</x:v>
      </x:c>
      <x:c r="J247" s="23" t="n">
        <x:f>(IF(A247='Hybrid Calculator'!$B$6,0,1))^2+((B247-'Hybrid Calculator'!$B$7)/1500)^2+((C247-'Hybrid Calculator'!$B$8)/1300)^2+((D247-'Hybrid Calculator'!$B$9)/800)^2+((E247-'Hybrid Calculator'!$B$10)/350)^2+((F247-'Hybrid Calculator'!$B$11)/30)^2+(G247-'Hybrid Calculator'!$B$12)^2+((H247-'Hybrid Calculator'!$E$14)/IF(A247="Lightning",100,30000))^2+((I247-'Hybrid Calculator'!$E$17)/IF(A247="Lightning",100,30000))^2</x:f>
        <x:v>0.16495088636990365</x:v>
      </x:c>
      <x:c r="K247" s="23" t="n">
        <x:f>RANK(J247,$J$2:$J$1401,1)</x:f>
        <x:v>365</x:v>
      </x:c>
      <x:c r="L247" s="23" t="n">
        <x:f>IF(K247&lt;=7,1,0)</x:f>
        <x:v>0</x:v>
      </x:c>
      <x:c r="M247" s="23" t="n">
        <x:f>IF(L247=1,1/(J247+0.000001),0)</x:f>
        <x:v>0</x:v>
      </x:c>
      <x:c r="N247" s="23" t="n">
        <x:v>-0.015968199101709324</x:v>
      </x:c>
      <x:c r="O247" s="23" t="n">
        <x:f>M247</x:f>
        <x:v>0</x:v>
      </x:c>
      <x:c r="P247" s="23" t="n">
        <x:v>0.08276848550055149</x:v>
      </x:c>
      <x:c r="Q247" s="23" t="n">
        <x:v>-10.962152746864831</x:v>
      </x:c>
    </x:row>
    <x:row r="248">
      <x:c r="A248" s="23" t="str">
        <x:v>Lightning</x:v>
      </x:c>
      <x:c r="B248" s="23" t="n">
        <x:v>1354.1042945813388</x:v>
      </x:c>
      <x:c r="C248" s="23" t="n">
        <x:v>1190.842194936704</x:v>
      </x:c>
      <x:c r="D248" s="23" t="n">
        <x:v>539.5207380875945</x:v>
      </x:c>
      <x:c r="E248" s="23" t="n">
        <x:v>143.1202764925547</x:v>
      </x:c>
      <x:c r="F248" s="23" t="n">
        <x:v>15.677627127617598</x:v>
      </x:c>
      <x:c r="G248" s="23" t="n">
        <x:v>0.8074621143587866</x:v>
      </x:c>
      <x:c r="H248" s="23" t="n">
        <x:v>40</x:v>
      </x:c>
      <x:c r="I248" s="23" t="n">
        <x:v>25</x:v>
      </x:c>
      <x:c r="J248" s="23" t="n">
        <x:f>(IF(A248='Hybrid Calculator'!$B$6,0,1))^2+((B248-'Hybrid Calculator'!$B$7)/1500)^2+((C248-'Hybrid Calculator'!$B$8)/1300)^2+((D248-'Hybrid Calculator'!$B$9)/800)^2+((E248-'Hybrid Calculator'!$B$10)/350)^2+((F248-'Hybrid Calculator'!$B$11)/30)^2+(G248-'Hybrid Calculator'!$B$12)^2+((H248-'Hybrid Calculator'!$E$14)/IF(A248="Lightning",100,30000))^2+((I248-'Hybrid Calculator'!$E$17)/IF(A248="Lightning",100,30000))^2</x:f>
        <x:v>0.09281042322679392</x:v>
      </x:c>
      <x:c r="K248" s="23" t="n">
        <x:f>RANK(J248,$J$2:$J$1401,1)</x:f>
        <x:v>182</x:v>
      </x:c>
      <x:c r="L248" s="23" t="n">
        <x:f>IF(K248&lt;=7,1,0)</x:f>
        <x:v>0</x:v>
      </x:c>
      <x:c r="M248" s="23" t="n">
        <x:f>IF(L248=1,1/(J248+0.000001),0)</x:f>
        <x:v>0</x:v>
      </x:c>
      <x:c r="N248" s="23" t="n">
        <x:v>0.012374218440696971</x:v>
      </x:c>
      <x:c r="O248" s="23" t="n">
        <x:f>M248</x:f>
        <x:v>0</x:v>
      </x:c>
      <x:c r="P248" s="23" t="n">
        <x:v>0.22833667761224063</x:v>
      </x:c>
      <x:c r="Q248" s="23" t="n">
        <x:v>-4.45537497378109</x:v>
      </x:c>
    </x:row>
    <x:row r="249">
      <x:c r="A249" s="23" t="str">
        <x:v>Lightning</x:v>
      </x:c>
      <x:c r="B249" s="23" t="n">
        <x:v>1350.8555524167605</x:v>
      </x:c>
      <x:c r="C249" s="23" t="n">
        <x:v>703.1190513400361</x:v>
      </x:c>
      <x:c r="D249" s="23" t="n">
        <x:v>468.3852036483586</x:v>
      </x:c>
      <x:c r="E249" s="23" t="n">
        <x:v>95.95623325556517</x:v>
      </x:c>
      <x:c r="F249" s="23" t="n">
        <x:v>17.519550728145987</x:v>
      </x:c>
      <x:c r="G249" s="23" t="n">
        <x:v>0.8325385628221557</x:v>
      </x:c>
      <x:c r="H249" s="23" t="n">
        <x:v>60</x:v>
      </x:c>
      <x:c r="I249" s="23" t="n">
        <x:v>25</x:v>
      </x:c>
      <x:c r="J249" s="23" t="n">
        <x:f>(IF(A249='Hybrid Calculator'!$B$6,0,1))^2+((B249-'Hybrid Calculator'!$B$7)/1500)^2+((C249-'Hybrid Calculator'!$B$8)/1300)^2+((D249-'Hybrid Calculator'!$B$9)/800)^2+((E249-'Hybrid Calculator'!$B$10)/350)^2+((F249-'Hybrid Calculator'!$B$11)/30)^2+(G249-'Hybrid Calculator'!$B$12)^2+((H249-'Hybrid Calculator'!$E$14)/IF(A249="Lightning",100,30000))^2+((I249-'Hybrid Calculator'!$E$17)/IF(A249="Lightning",100,30000))^2</x:f>
        <x:v>0.05183867695448489</x:v>
      </x:c>
      <x:c r="K249" s="23" t="n">
        <x:f>RANK(J249,$J$2:$J$1401,1)</x:f>
        <x:v>57</x:v>
      </x:c>
      <x:c r="L249" s="23" t="n">
        <x:f>IF(K249&lt;=7,1,0)</x:f>
        <x:v>0</x:v>
      </x:c>
      <x:c r="M249" s="23" t="n">
        <x:f>IF(L249=1,1/(J249+0.000001),0)</x:f>
        <x:v>0</x:v>
      </x:c>
      <x:c r="N249" s="23" t="n">
        <x:v>-0.0020681427702864408</x:v>
      </x:c>
      <x:c r="O249" s="23" t="n">
        <x:f>M249</x:f>
        <x:v>0</x:v>
      </x:c>
      <x:c r="P249" s="23" t="n">
        <x:v>0.5520163334250228</x:v>
      </x:c>
      <x:c r="Q249" s="23" t="n">
        <x:v>17.548284325062014</x:v>
      </x:c>
    </x:row>
    <x:row r="250">
      <x:c r="A250" s="23" t="str">
        <x:v>Lightning</x:v>
      </x:c>
      <x:c r="B250" s="23" t="n">
        <x:v>1465.911141433753</x:v>
      </x:c>
      <x:c r="C250" s="23" t="n">
        <x:v>1155.122592963744</x:v>
      </x:c>
      <x:c r="D250" s="23" t="n">
        <x:v>526.9213281571865</x:v>
      </x:c>
      <x:c r="E250" s="23" t="n">
        <x:v>122.6112687564455</x:v>
      </x:c>
      <x:c r="F250" s="23" t="n">
        <x:v>15.140655777417123</x:v>
      </x:c>
      <x:c r="G250" s="23" t="n">
        <x:v>0.8512544565810822</x:v>
      </x:c>
      <x:c r="H250" s="23" t="n">
        <x:v>40</x:v>
      </x:c>
      <x:c r="I250" s="23" t="n">
        <x:v>25</x:v>
      </x:c>
      <x:c r="J250" s="23" t="n">
        <x:f>(IF(A250='Hybrid Calculator'!$B$6,0,1))^2+((B250-'Hybrid Calculator'!$B$7)/1500)^2+((C250-'Hybrid Calculator'!$B$8)/1300)^2+((D250-'Hybrid Calculator'!$B$9)/800)^2+((E250-'Hybrid Calculator'!$B$10)/350)^2+((F250-'Hybrid Calculator'!$B$11)/30)^2+(G250-'Hybrid Calculator'!$B$12)^2+((H250-'Hybrid Calculator'!$E$14)/IF(A250="Lightning",100,30000))^2+((I250-'Hybrid Calculator'!$E$17)/IF(A250="Lightning",100,30000))^2</x:f>
        <x:v>0.08660450569247133</x:v>
      </x:c>
      <x:c r="K250" s="23" t="n">
        <x:f>RANK(J250,$J$2:$J$1401,1)</x:f>
        <x:v>161</x:v>
      </x:c>
      <x:c r="L250" s="23" t="n">
        <x:f>IF(K250&lt;=7,1,0)</x:f>
        <x:v>0</x:v>
      </x:c>
      <x:c r="M250" s="23" t="n">
        <x:f>IF(L250=1,1/(J250+0.000001),0)</x:f>
        <x:v>0</x:v>
      </x:c>
      <x:c r="N250" s="23" t="n">
        <x:v>0.01068952557224745</x:v>
      </x:c>
      <x:c r="O250" s="23" t="n">
        <x:f>M250</x:f>
        <x:v>0</x:v>
      </x:c>
      <x:c r="P250" s="23" t="n">
        <x:v>0.17818787641455458</x:v>
      </x:c>
      <x:c r="Q250" s="23" t="n">
        <x:v>0.3036708562754029</x:v>
      </x:c>
    </x:row>
    <x:row r="251">
      <x:c r="A251" s="23" t="str">
        <x:v>Lightning</x:v>
      </x:c>
      <x:c r="B251" s="23" t="n">
        <x:v>1400.2466520178132</x:v>
      </x:c>
      <x:c r="C251" s="23" t="n">
        <x:v>1223.3939677476883</x:v>
      </x:c>
      <x:c r="D251" s="23" t="n">
        <x:v>471.605786588043</x:v>
      </x:c>
      <x:c r="E251" s="23" t="n">
        <x:v>308.96728210616857</x:v>
      </x:c>
      <x:c r="F251" s="23" t="n">
        <x:v>14.535299183335155</x:v>
      </x:c>
      <x:c r="G251" s="23" t="n">
        <x:v>0.8220302065741271</x:v>
      </x:c>
      <x:c r="H251" s="23" t="n">
        <x:v>35</x:v>
      </x:c>
      <x:c r="I251" s="23" t="n">
        <x:v>25</x:v>
      </x:c>
      <x:c r="J251" s="23" t="n">
        <x:f>(IF(A251='Hybrid Calculator'!$B$6,0,1))^2+((B251-'Hybrid Calculator'!$B$7)/1500)^2+((C251-'Hybrid Calculator'!$B$8)/1300)^2+((D251-'Hybrid Calculator'!$B$9)/800)^2+((E251-'Hybrid Calculator'!$B$10)/350)^2+((F251-'Hybrid Calculator'!$B$11)/30)^2+(G251-'Hybrid Calculator'!$B$12)^2+((H251-'Hybrid Calculator'!$E$14)/IF(A251="Lightning",100,30000))^2+((I251-'Hybrid Calculator'!$E$17)/IF(A251="Lightning",100,30000))^2</x:f>
        <x:v>0.33029100879397466</x:v>
      </x:c>
      <x:c r="K251" s="23" t="n">
        <x:f>RANK(J251,$J$2:$J$1401,1)</x:f>
        <x:v>636</x:v>
      </x:c>
      <x:c r="L251" s="23" t="n">
        <x:f>IF(K251&lt;=7,1,0)</x:f>
        <x:v>0</x:v>
      </x:c>
      <x:c r="M251" s="23" t="n">
        <x:f>IF(L251=1,1/(J251+0.000001),0)</x:f>
        <x:v>0</x:v>
      </x:c>
      <x:c r="N251" s="23" t="n">
        <x:v>0.0065799691075987266</x:v>
      </x:c>
      <x:c r="O251" s="23" t="n">
        <x:f>M251</x:f>
        <x:v>0</x:v>
      </x:c>
      <x:c r="P251" s="23" t="n">
        <x:v>0.5041214892021486</x:v>
      </x:c>
      <x:c r="Q251" s="23" t="n">
        <x:v>-7.0022707900925525</x:v>
      </x:c>
    </x:row>
    <x:row r="252">
      <x:c r="A252" s="23" t="str">
        <x:v>Lightning</x:v>
      </x:c>
      <x:c r="B252" s="23" t="n">
        <x:v>1485.3823601268232</x:v>
      </x:c>
      <x:c r="C252" s="23" t="n">
        <x:v>1069.7346172644757</x:v>
      </x:c>
      <x:c r="D252" s="23" t="n">
        <x:v>452.9208207502961</x:v>
      </x:c>
      <x:c r="E252" s="23" t="n">
        <x:v>313.4916098625399</x:v>
      </x:c>
      <x:c r="F252" s="23" t="n">
        <x:v>23.921262497082353</x:v>
      </x:c>
      <x:c r="G252" s="23" t="n">
        <x:v>0.8302546181087382</x:v>
      </x:c>
      <x:c r="H252" s="23" t="n">
        <x:v>40</x:v>
      </x:c>
      <x:c r="I252" s="23" t="n">
        <x:v>25</x:v>
      </x:c>
      <x:c r="J252" s="23" t="n">
        <x:f>(IF(A252='Hybrid Calculator'!$B$6,0,1))^2+((B252-'Hybrid Calculator'!$B$7)/1500)^2+((C252-'Hybrid Calculator'!$B$8)/1300)^2+((D252-'Hybrid Calculator'!$B$9)/800)^2+((E252-'Hybrid Calculator'!$B$10)/350)^2+((F252-'Hybrid Calculator'!$B$11)/30)^2+(G252-'Hybrid Calculator'!$B$12)^2+((H252-'Hybrid Calculator'!$E$14)/IF(A252="Lightning",100,30000))^2+((I252-'Hybrid Calculator'!$E$17)/IF(A252="Lightning",100,30000))^2</x:f>
        <x:v>0.29461452297157315</x:v>
      </x:c>
      <x:c r="K252" s="23" t="n">
        <x:f>RANK(J252,$J$2:$J$1401,1)</x:f>
        <x:v>594</x:v>
      </x:c>
      <x:c r="L252" s="23" t="n">
        <x:f>IF(K252&lt;=7,1,0)</x:f>
        <x:v>0</x:v>
      </x:c>
      <x:c r="M252" s="23" t="n">
        <x:f>IF(L252=1,1/(J252+0.000001),0)</x:f>
        <x:v>0</x:v>
      </x:c>
      <x:c r="N252" s="23" t="n">
        <x:v>0.011981704378305036</x:v>
      </x:c>
      <x:c r="O252" s="23" t="n">
        <x:f>M252</x:f>
        <x:v>0</x:v>
      </x:c>
      <x:c r="P252" s="23" t="n">
        <x:v>0.9609287455672515</x:v>
      </x:c>
      <x:c r="Q252" s="23" t="n">
        <x:v>-15.349675655716055</x:v>
      </x:c>
    </x:row>
    <x:row r="253">
      <x:c r="A253" s="23" t="str">
        <x:v>Lightning</x:v>
      </x:c>
      <x:c r="B253" s="23" t="n">
        <x:v>1484.5165410661139</x:v>
      </x:c>
      <x:c r="C253" s="23" t="n">
        <x:v>1167.3558327602223</x:v>
      </x:c>
      <x:c r="D253" s="23" t="n">
        <x:v>516.7503946460783</x:v>
      </x:c>
      <x:c r="E253" s="23" t="n">
        <x:v>264.4221579376608</x:v>
      </x:c>
      <x:c r="F253" s="23" t="n">
        <x:v>16.928319670725614</x:v>
      </x:c>
      <x:c r="G253" s="23" t="n">
        <x:v>0.8552063044020907</x:v>
      </x:c>
      <x:c r="H253" s="23" t="n">
        <x:v>40</x:v>
      </x:c>
      <x:c r="I253" s="23" t="n">
        <x:v>25</x:v>
      </x:c>
      <x:c r="J253" s="23" t="n">
        <x:f>(IF(A253='Hybrid Calculator'!$B$6,0,1))^2+((B253-'Hybrid Calculator'!$B$7)/1500)^2+((C253-'Hybrid Calculator'!$B$8)/1300)^2+((D253-'Hybrid Calculator'!$B$9)/800)^2+((E253-'Hybrid Calculator'!$B$10)/350)^2+((F253-'Hybrid Calculator'!$B$11)/30)^2+(G253-'Hybrid Calculator'!$B$12)^2+((H253-'Hybrid Calculator'!$E$14)/IF(A253="Lightning",100,30000))^2+((I253-'Hybrid Calculator'!$E$17)/IF(A253="Lightning",100,30000))^2</x:f>
        <x:v>0.1824683392709052</x:v>
      </x:c>
      <x:c r="K253" s="23" t="n">
        <x:f>RANK(J253,$J$2:$J$1401,1)</x:f>
        <x:v>405</x:v>
      </x:c>
      <x:c r="L253" s="23" t="n">
        <x:f>IF(K253&lt;=7,1,0)</x:f>
        <x:v>0</x:v>
      </x:c>
      <x:c r="M253" s="23" t="n">
        <x:f>IF(L253=1,1/(J253+0.000001),0)</x:f>
        <x:v>0</x:v>
      </x:c>
      <x:c r="N253" s="23" t="n">
        <x:v>0.0049481952197050205</x:v>
      </x:c>
      <x:c r="O253" s="23" t="n">
        <x:f>M253</x:f>
        <x:v>0</x:v>
      </x:c>
      <x:c r="P253" s="23" t="n">
        <x:v>1.4565229952621337</x:v>
      </x:c>
      <x:c r="Q253" s="23" t="n">
        <x:v>-6.198475782857713</x:v>
      </x:c>
    </x:row>
    <x:row r="254">
      <x:c r="A254" s="23" t="str">
        <x:v>Lightning</x:v>
      </x:c>
      <x:c r="B254" s="23" t="n">
        <x:v>1356.9545974954963</x:v>
      </x:c>
      <x:c r="C254" s="23" t="n">
        <x:v>759.4943430623971</x:v>
      </x:c>
      <x:c r="D254" s="23" t="n">
        <x:v>580.6646885350347</x:v>
      </x:c>
      <x:c r="E254" s="23" t="n">
        <x:v>101.94435481214896</x:v>
      </x:c>
      <x:c r="F254" s="23" t="n">
        <x:v>28.786540320143104</x:v>
      </x:c>
      <x:c r="G254" s="23" t="n">
        <x:v>0.832063259643037</x:v>
      </x:c>
      <x:c r="H254" s="23" t="n">
        <x:v>50</x:v>
      </x:c>
      <x:c r="I254" s="23" t="n">
        <x:v>25</x:v>
      </x:c>
      <x:c r="J254" s="23" t="n">
        <x:f>(IF(A254='Hybrid Calculator'!$B$6,0,1))^2+((B254-'Hybrid Calculator'!$B$7)/1500)^2+((C254-'Hybrid Calculator'!$B$8)/1300)^2+((D254-'Hybrid Calculator'!$B$9)/800)^2+((E254-'Hybrid Calculator'!$B$10)/350)^2+((F254-'Hybrid Calculator'!$B$11)/30)^2+(G254-'Hybrid Calculator'!$B$12)^2+((H254-'Hybrid Calculator'!$E$14)/IF(A254="Lightning",100,30000))^2+((I254-'Hybrid Calculator'!$E$17)/IF(A254="Lightning",100,30000))^2</x:f>
        <x:v>0.15363884686092474</x:v>
      </x:c>
      <x:c r="K254" s="23" t="n">
        <x:f>RANK(J254,$J$2:$J$1401,1)</x:f>
        <x:v>336</x:v>
      </x:c>
      <x:c r="L254" s="23" t="n">
        <x:f>IF(K254&lt;=7,1,0)</x:f>
        <x:v>0</x:v>
      </x:c>
      <x:c r="M254" s="23" t="n">
        <x:f>IF(L254=1,1/(J254+0.000001),0)</x:f>
        <x:v>0</x:v>
      </x:c>
      <x:c r="N254" s="23" t="n">
        <x:v>-0.010405830776744951</x:v>
      </x:c>
      <x:c r="O254" s="23" t="n">
        <x:f>M254</x:f>
        <x:v>0</x:v>
      </x:c>
      <x:c r="P254" s="23" t="n">
        <x:v>0.7158674147980406</x:v>
      </x:c>
      <x:c r="Q254" s="23" t="n">
        <x:v>-4.485472372794675</x:v>
      </x:c>
    </x:row>
    <x:row r="255">
      <x:c r="A255" s="23" t="str">
        <x:v>Lightning</x:v>
      </x:c>
      <x:c r="B255" s="23" t="n">
        <x:v>1446.349902881775</x:v>
      </x:c>
      <x:c r="C255" s="23" t="n">
        <x:v>632.5194243574515</x:v>
      </x:c>
      <x:c r="D255" s="23" t="n">
        <x:v>441.2447811104357</x:v>
      </x:c>
      <x:c r="E255" s="23" t="n">
        <x:v>151.06564822606742</x:v>
      </x:c>
      <x:c r="F255" s="23" t="n">
        <x:v>17.427482951898128</x:v>
      </x:c>
      <x:c r="G255" s="23" t="n">
        <x:v>0.8417172842891887</x:v>
      </x:c>
      <x:c r="H255" s="23" t="n">
        <x:v>60</x:v>
      </x:c>
      <x:c r="I255" s="23" t="n">
        <x:v>25</x:v>
      </x:c>
      <x:c r="J255" s="23" t="n">
        <x:f>(IF(A255='Hybrid Calculator'!$B$6,0,1))^2+((B255-'Hybrid Calculator'!$B$7)/1500)^2+((C255-'Hybrid Calculator'!$B$8)/1300)^2+((D255-'Hybrid Calculator'!$B$9)/800)^2+((E255-'Hybrid Calculator'!$B$10)/350)^2+((F255-'Hybrid Calculator'!$B$11)/30)^2+(G255-'Hybrid Calculator'!$B$12)^2+((H255-'Hybrid Calculator'!$E$14)/IF(A255="Lightning",100,30000))^2+((I255-'Hybrid Calculator'!$E$17)/IF(A255="Lightning",100,30000))^2</x:f>
        <x:v>0.04534248872969274</x:v>
      </x:c>
      <x:c r="K255" s="23" t="n">
        <x:f>RANK(J255,$J$2:$J$1401,1)</x:f>
        <x:v>43</x:v>
      </x:c>
      <x:c r="L255" s="23" t="n">
        <x:f>IF(K255&lt;=7,1,0)</x:f>
        <x:v>0</x:v>
      </x:c>
      <x:c r="M255" s="23" t="n">
        <x:f>IF(L255=1,1/(J255+0.000001),0)</x:f>
        <x:v>0</x:v>
      </x:c>
      <x:c r="N255" s="23" t="n">
        <x:v>0.0012174263199955515</x:v>
      </x:c>
      <x:c r="O255" s="23" t="n">
        <x:f>M255</x:f>
        <x:v>0</x:v>
      </x:c>
      <x:c r="P255" s="23" t="n">
        <x:v>-0.10528545125343669</x:v>
      </x:c>
      <x:c r="Q255" s="23" t="n">
        <x:v>14.804801363793558</x:v>
      </x:c>
    </x:row>
    <x:row r="256">
      <x:c r="A256" s="23" t="str">
        <x:v>Lightning</x:v>
      </x:c>
      <x:c r="B256" s="23" t="n">
        <x:v>1438.4637511102483</x:v>
      </x:c>
      <x:c r="C256" s="23" t="n">
        <x:v>1079.8169216723181</x:v>
      </x:c>
      <x:c r="D256" s="23" t="n">
        <x:v>389.9943370372057</x:v>
      </x:c>
      <x:c r="E256" s="23" t="n">
        <x:v>122.67752746818587</x:v>
      </x:c>
      <x:c r="F256" s="23" t="n">
        <x:v>18.59748582635075</x:v>
      </x:c>
      <x:c r="G256" s="23" t="n">
        <x:v>0.8195546423527412</x:v>
      </x:c>
      <x:c r="H256" s="23" t="n">
        <x:v>45</x:v>
      </x:c>
      <x:c r="I256" s="23" t="n">
        <x:v>25</x:v>
      </x:c>
      <x:c r="J256" s="23" t="n">
        <x:f>(IF(A256='Hybrid Calculator'!$B$6,0,1))^2+((B256-'Hybrid Calculator'!$B$7)/1500)^2+((C256-'Hybrid Calculator'!$B$8)/1300)^2+((D256-'Hybrid Calculator'!$B$9)/800)^2+((E256-'Hybrid Calculator'!$B$10)/350)^2+((F256-'Hybrid Calculator'!$B$11)/30)^2+(G256-'Hybrid Calculator'!$B$12)^2+((H256-'Hybrid Calculator'!$E$14)/IF(A256="Lightning",100,30000))^2+((I256-'Hybrid Calculator'!$E$17)/IF(A256="Lightning",100,30000))^2</x:f>
        <x:v>0.05884550352464191</x:v>
      </x:c>
      <x:c r="K256" s="23" t="n">
        <x:f>RANK(J256,$J$2:$J$1401,1)</x:f>
        <x:v>78</x:v>
      </x:c>
      <x:c r="L256" s="23" t="n">
        <x:f>IF(K256&lt;=7,1,0)</x:f>
        <x:v>0</x:v>
      </x:c>
      <x:c r="M256" s="23" t="n">
        <x:f>IF(L256=1,1/(J256+0.000001),0)</x:f>
        <x:v>0</x:v>
      </x:c>
      <x:c r="N256" s="23" t="n">
        <x:v>0.011697055960593117</x:v>
      </x:c>
      <x:c r="O256" s="23" t="n">
        <x:f>M256</x:f>
        <x:v>0</x:v>
      </x:c>
      <x:c r="P256" s="23" t="n">
        <x:v>0.7103149673764122</x:v>
      </x:c>
      <x:c r="Q256" s="23" t="n">
        <x:v>6.075254657585674</x:v>
      </x:c>
    </x:row>
    <x:row r="257">
      <x:c r="A257" s="23" t="str">
        <x:v>Lightning</x:v>
      </x:c>
      <x:c r="B257" s="23" t="n">
        <x:v>1436.7534047341906</x:v>
      </x:c>
      <x:c r="C257" s="23" t="n">
        <x:v>801.1766226496547</x:v>
      </x:c>
      <x:c r="D257" s="23" t="n">
        <x:v>701.5446762554348</x:v>
      </x:c>
      <x:c r="E257" s="23" t="n">
        <x:v>202.91954166721553</x:v>
      </x:c>
      <x:c r="F257" s="23" t="n">
        <x:v>26.401734131854028</x:v>
      </x:c>
      <x:c r="G257" s="23" t="n">
        <x:v>0.8335887445881963</x:v>
      </x:c>
      <x:c r="H257" s="23" t="n">
        <x:v>40</x:v>
      </x:c>
      <x:c r="I257" s="23" t="n">
        <x:v>25</x:v>
      </x:c>
      <x:c r="J257" s="23" t="n">
        <x:f>(IF(A257='Hybrid Calculator'!$B$6,0,1))^2+((B257-'Hybrid Calculator'!$B$7)/1500)^2+((C257-'Hybrid Calculator'!$B$8)/1300)^2+((D257-'Hybrid Calculator'!$B$9)/800)^2+((E257-'Hybrid Calculator'!$B$10)/350)^2+((F257-'Hybrid Calculator'!$B$11)/30)^2+(G257-'Hybrid Calculator'!$B$12)^2+((H257-'Hybrid Calculator'!$E$14)/IF(A257="Lightning",100,30000))^2+((I257-'Hybrid Calculator'!$E$17)/IF(A257="Lightning",100,30000))^2</x:f>
        <x:v>0.1673616234102949</x:v>
      </x:c>
      <x:c r="K257" s="23" t="n">
        <x:f>RANK(J257,$J$2:$J$1401,1)</x:f>
        <x:v>377</x:v>
      </x:c>
      <x:c r="L257" s="23" t="n">
        <x:f>IF(K257&lt;=7,1,0)</x:f>
        <x:v>0</x:v>
      </x:c>
      <x:c r="M257" s="23" t="n">
        <x:f>IF(L257=1,1/(J257+0.000001),0)</x:f>
        <x:v>0</x:v>
      </x:c>
      <x:c r="N257" s="23" t="n">
        <x:v>0.006489620116915118</x:v>
      </x:c>
      <x:c r="O257" s="23" t="n">
        <x:f>M257</x:f>
        <x:v>0</x:v>
      </x:c>
      <x:c r="P257" s="23" t="n">
        <x:v>-1.0575000893723256</x:v>
      </x:c>
      <x:c r="Q257" s="23" t="n">
        <x:v>-12.13943738801504</x:v>
      </x:c>
    </x:row>
    <x:row r="258">
      <x:c r="A258" s="23" t="str">
        <x:v>Lightning</x:v>
      </x:c>
      <x:c r="B258" s="23" t="n">
        <x:v>1472.247410332784</x:v>
      </x:c>
      <x:c r="C258" s="23" t="n">
        <x:v>843.0756176705472</x:v>
      </x:c>
      <x:c r="D258" s="23" t="n">
        <x:v>409.0444615110755</x:v>
      </x:c>
      <x:c r="E258" s="23" t="n">
        <x:v>252.95244504930452</x:v>
      </x:c>
      <x:c r="F258" s="23" t="n">
        <x:v>28.029916439205408</x:v>
      </x:c>
      <x:c r="G258" s="23" t="n">
        <x:v>0.8086278393142857</x:v>
      </x:c>
      <x:c r="H258" s="23" t="n">
        <x:v>45</x:v>
      </x:c>
      <x:c r="I258" s="23" t="n">
        <x:v>25</x:v>
      </x:c>
      <x:c r="J258" s="23" t="n">
        <x:f>(IF(A258='Hybrid Calculator'!$B$6,0,1))^2+((B258-'Hybrid Calculator'!$B$7)/1500)^2+((C258-'Hybrid Calculator'!$B$8)/1300)^2+((D258-'Hybrid Calculator'!$B$9)/800)^2+((E258-'Hybrid Calculator'!$B$10)/350)^2+((F258-'Hybrid Calculator'!$B$11)/30)^2+(G258-'Hybrid Calculator'!$B$12)^2+((H258-'Hybrid Calculator'!$E$14)/IF(A258="Lightning",100,30000))^2+((I258-'Hybrid Calculator'!$E$17)/IF(A258="Lightning",100,30000))^2</x:f>
        <x:v>0.20401073179260248</x:v>
      </x:c>
      <x:c r="K258" s="23" t="n">
        <x:f>RANK(J258,$J$2:$J$1401,1)</x:f>
        <x:v>454</x:v>
      </x:c>
      <x:c r="L258" s="23" t="n">
        <x:f>IF(K258&lt;=7,1,0)</x:f>
        <x:v>0</x:v>
      </x:c>
      <x:c r="M258" s="23" t="n">
        <x:f>IF(L258=1,1/(J258+0.000001),0)</x:f>
        <x:v>0</x:v>
      </x:c>
      <x:c r="N258" s="23" t="n">
        <x:v>-0.013507099850474269</x:v>
      </x:c>
      <x:c r="O258" s="23" t="n">
        <x:f>M258</x:f>
        <x:v>0</x:v>
      </x:c>
      <x:c r="P258" s="23" t="n">
        <x:v>0.4998307587146371</x:v>
      </x:c>
      <x:c r="Q258" s="23" t="n">
        <x:v>-17.717514973968946</x:v>
      </x:c>
    </x:row>
    <x:row r="259">
      <x:c r="A259" s="23" t="str">
        <x:v>Lightning</x:v>
      </x:c>
      <x:c r="B259" s="23" t="n">
        <x:v>1481.0315562528558</x:v>
      </x:c>
      <x:c r="C259" s="23" t="n">
        <x:v>975.188583205454</x:v>
      </x:c>
      <x:c r="D259" s="23" t="n">
        <x:v>368.4026096947491</x:v>
      </x:c>
      <x:c r="E259" s="23" t="n">
        <x:v>141.4558383822441</x:v>
      </x:c>
      <x:c r="F259" s="23" t="n">
        <x:v>15.779217431787401</x:v>
      </x:c>
      <x:c r="G259" s="23" t="n">
        <x:v>0.8316472678584979</x:v>
      </x:c>
      <x:c r="H259" s="23" t="n">
        <x:v>50</x:v>
      </x:c>
      <x:c r="I259" s="23" t="n">
        <x:v>25</x:v>
      </x:c>
      <x:c r="J259" s="23" t="n">
        <x:f>(IF(A259='Hybrid Calculator'!$B$6,0,1))^2+((B259-'Hybrid Calculator'!$B$7)/1500)^2+((C259-'Hybrid Calculator'!$B$8)/1300)^2+((D259-'Hybrid Calculator'!$B$9)/800)^2+((E259-'Hybrid Calculator'!$B$10)/350)^2+((F259-'Hybrid Calculator'!$B$11)/30)^2+(G259-'Hybrid Calculator'!$B$12)^2+((H259-'Hybrid Calculator'!$E$14)/IF(A259="Lightning",100,30000))^2+((I259-'Hybrid Calculator'!$E$17)/IF(A259="Lightning",100,30000))^2</x:f>
        <x:v>0.04668478044515344</x:v>
      </x:c>
      <x:c r="K259" s="23" t="n">
        <x:f>RANK(J259,$J$2:$J$1401,1)</x:f>
        <x:v>46</x:v>
      </x:c>
      <x:c r="L259" s="23" t="n">
        <x:f>IF(K259&lt;=7,1,0)</x:f>
        <x:v>0</x:v>
      </x:c>
      <x:c r="M259" s="23" t="n">
        <x:f>IF(L259=1,1/(J259+0.000001),0)</x:f>
        <x:v>0</x:v>
      </x:c>
      <x:c r="N259" s="23" t="n">
        <x:v>0.0036001951960189515</x:v>
      </x:c>
      <x:c r="O259" s="23" t="n">
        <x:f>M259</x:f>
        <x:v>0</x:v>
      </x:c>
      <x:c r="P259" s="23" t="n">
        <x:v>0.4663758591018876</x:v>
      </x:c>
      <x:c r="Q259" s="23" t="n">
        <x:v>12.905086263448993</x:v>
      </x:c>
    </x:row>
    <x:row r="260">
      <x:c r="A260" s="23" t="str">
        <x:v>Lightning</x:v>
      </x:c>
      <x:c r="B260" s="23" t="n">
        <x:v>1442.9888429353014</x:v>
      </x:c>
      <x:c r="C260" s="23" t="n">
        <x:v>1203.1873398576863</x:v>
      </x:c>
      <x:c r="D260" s="23" t="n">
        <x:v>356.35126009583473</x:v>
      </x:c>
      <x:c r="E260" s="23" t="n">
        <x:v>283.523880278226</x:v>
      </x:c>
      <x:c r="F260" s="23" t="n">
        <x:v>20.833665444515646</x:v>
      </x:c>
      <x:c r="G260" s="23" t="n">
        <x:v>0.809623952114489</x:v>
      </x:c>
      <x:c r="H260" s="23" t="n">
        <x:v>40</x:v>
      </x:c>
      <x:c r="I260" s="23" t="n">
        <x:v>25</x:v>
      </x:c>
      <x:c r="J260" s="23" t="n">
        <x:f>(IF(A260='Hybrid Calculator'!$B$6,0,1))^2+((B260-'Hybrid Calculator'!$B$7)/1500)^2+((C260-'Hybrid Calculator'!$B$8)/1300)^2+((D260-'Hybrid Calculator'!$B$9)/800)^2+((E260-'Hybrid Calculator'!$B$10)/350)^2+((F260-'Hybrid Calculator'!$B$11)/30)^2+(G260-'Hybrid Calculator'!$B$12)^2+((H260-'Hybrid Calculator'!$E$14)/IF(A260="Lightning",100,30000))^2+((I260-'Hybrid Calculator'!$E$17)/IF(A260="Lightning",100,30000))^2</x:f>
        <x:v>0.26789594193354777</x:v>
      </x:c>
      <x:c r="K260" s="23" t="n">
        <x:f>RANK(J260,$J$2:$J$1401,1)</x:f>
        <x:v>570</x:v>
      </x:c>
      <x:c r="L260" s="23" t="n">
        <x:f>IF(K260&lt;=7,1,0)</x:f>
        <x:v>0</x:v>
      </x:c>
      <x:c r="M260" s="23" t="n">
        <x:f>IF(L260=1,1/(J260+0.000001),0)</x:f>
        <x:v>0</x:v>
      </x:c>
      <x:c r="N260" s="23" t="n">
        <x:v>0.01135457707324572</x:v>
      </x:c>
      <x:c r="O260" s="23" t="n">
        <x:f>M260</x:f>
        <x:v>0</x:v>
      </x:c>
      <x:c r="P260" s="23" t="n">
        <x:v>1.7222778197132698</x:v>
      </x:c>
      <x:c r="Q260" s="23" t="n">
        <x:v>-6.830522208939328</x:v>
      </x:c>
    </x:row>
    <x:row r="261">
      <x:c r="A261" s="23" t="str">
        <x:v>Lightning</x:v>
      </x:c>
      <x:c r="B261" s="23" t="n">
        <x:v>1412.7015259000473</x:v>
      </x:c>
      <x:c r="C261" s="23" t="n">
        <x:v>1002.1722124889493</x:v>
      </x:c>
      <x:c r="D261" s="23" t="n">
        <x:v>722.5768311880529</x:v>
      </x:c>
      <x:c r="E261" s="23" t="n">
        <x:v>295.2253017993644</x:v>
      </x:c>
      <x:c r="F261" s="23" t="n">
        <x:v>25.995523059275</x:v>
      </x:c>
      <x:c r="G261" s="23" t="n">
        <x:v>0.8320437026675791</x:v>
      </x:c>
      <x:c r="H261" s="23" t="n">
        <x:v>35</x:v>
      </x:c>
      <x:c r="I261" s="23" t="n">
        <x:v>25</x:v>
      </x:c>
      <x:c r="J261" s="23" t="n">
        <x:f>(IF(A261='Hybrid Calculator'!$B$6,0,1))^2+((B261-'Hybrid Calculator'!$B$7)/1500)^2+((C261-'Hybrid Calculator'!$B$8)/1300)^2+((D261-'Hybrid Calculator'!$B$9)/800)^2+((E261-'Hybrid Calculator'!$B$10)/350)^2+((F261-'Hybrid Calculator'!$B$11)/30)^2+(G261-'Hybrid Calculator'!$B$12)^2+((H261-'Hybrid Calculator'!$E$14)/IF(A261="Lightning",100,30000))^2+((I261-'Hybrid Calculator'!$E$17)/IF(A261="Lightning",100,30000))^2</x:f>
        <x:v>0.34841306351153334</x:v>
      </x:c>
      <x:c r="K261" s="23" t="n">
        <x:f>RANK(J261,$J$2:$J$1401,1)</x:f>
        <x:v>648</x:v>
      </x:c>
      <x:c r="L261" s="23" t="n">
        <x:f>IF(K261&lt;=7,1,0)</x:f>
        <x:v>0</x:v>
      </x:c>
      <x:c r="M261" s="23" t="n">
        <x:f>IF(L261=1,1/(J261+0.000001),0)</x:f>
        <x:v>0</x:v>
      </x:c>
      <x:c r="N261" s="23" t="n">
        <x:v>0.0025609618854089966</x:v>
      </x:c>
      <x:c r="O261" s="23" t="n">
        <x:f>M261</x:f>
        <x:v>0</x:v>
      </x:c>
      <x:c r="P261" s="23" t="n">
        <x:v>1.2192452533427343</x:v>
      </x:c>
      <x:c r="Q261" s="23" t="n">
        <x:v>-24.209689353561544</x:v>
      </x:c>
    </x:row>
    <x:row r="262">
      <x:c r="A262" s="23" t="str">
        <x:v>Lightning</x:v>
      </x:c>
      <x:c r="B262" s="23" t="n">
        <x:v>1472.5564015097916</x:v>
      </x:c>
      <x:c r="C262" s="23" t="n">
        <x:v>728.4108878462575</x:v>
      </x:c>
      <x:c r="D262" s="23" t="n">
        <x:v>680.1762918010354</x:v>
      </x:c>
      <x:c r="E262" s="23" t="n">
        <x:v>321.5858172462322</x:v>
      </x:c>
      <x:c r="F262" s="23" t="n">
        <x:v>24.84925244934857</x:v>
      </x:c>
      <x:c r="G262" s="23" t="n">
        <x:v>0.8254032869567164</x:v>
      </x:c>
      <x:c r="H262" s="23" t="n">
        <x:v>40</x:v>
      </x:c>
      <x:c r="I262" s="23" t="n">
        <x:v>25</x:v>
      </x:c>
      <x:c r="J262" s="23" t="n">
        <x:f>(IF(A262='Hybrid Calculator'!$B$6,0,1))^2+((B262-'Hybrid Calculator'!$B$7)/1500)^2+((C262-'Hybrid Calculator'!$B$8)/1300)^2+((D262-'Hybrid Calculator'!$B$9)/800)^2+((E262-'Hybrid Calculator'!$B$10)/350)^2+((F262-'Hybrid Calculator'!$B$11)/30)^2+(G262-'Hybrid Calculator'!$B$12)^2+((H262-'Hybrid Calculator'!$E$14)/IF(A262="Lightning",100,30000))^2+((I262-'Hybrid Calculator'!$E$17)/IF(A262="Lightning",100,30000))^2</x:f>
        <x:v>0.3556390238724349</x:v>
      </x:c>
      <x:c r="K262" s="23" t="n">
        <x:f>RANK(J262,$J$2:$J$1401,1)</x:f>
        <x:v>654</x:v>
      </x:c>
      <x:c r="L262" s="23" t="n">
        <x:f>IF(K262&lt;=7,1,0)</x:f>
        <x:v>0</x:v>
      </x:c>
      <x:c r="M262" s="23" t="n">
        <x:f>IF(L262=1,1/(J262+0.000001),0)</x:f>
        <x:v>0</x:v>
      </x:c>
      <x:c r="N262" s="23" t="n">
        <x:v>-0.002544277071882428</x:v>
      </x:c>
      <x:c r="O262" s="23" t="n">
        <x:f>M262</x:f>
        <x:v>0</x:v>
      </x:c>
      <x:c r="P262" s="23" t="n">
        <x:v>-1.0828990435314907</x:v>
      </x:c>
      <x:c r="Q262" s="23" t="n">
        <x:v>-13.794925951155847</x:v>
      </x:c>
    </x:row>
    <x:row r="263">
      <x:c r="A263" s="23" t="str">
        <x:v>Lightning</x:v>
      </x:c>
      <x:c r="B263" s="23" t="n">
        <x:v>1495.5932467826642</x:v>
      </x:c>
      <x:c r="C263" s="23" t="n">
        <x:v>749.5481436373666</x:v>
      </x:c>
      <x:c r="D263" s="23" t="n">
        <x:v>459.0659507550299</x:v>
      </x:c>
      <x:c r="E263" s="23" t="n">
        <x:v>265.0673158187419</x:v>
      </x:c>
      <x:c r="F263" s="23" t="n">
        <x:v>28.49345624493435</x:v>
      </x:c>
      <x:c r="G263" s="23" t="n">
        <x:v>0.8455214378470556</x:v>
      </x:c>
      <x:c r="H263" s="23" t="n">
        <x:v>50</x:v>
      </x:c>
      <x:c r="I263" s="23" t="n">
        <x:v>25</x:v>
      </x:c>
      <x:c r="J263" s="23" t="n">
        <x:f>(IF(A263='Hybrid Calculator'!$B$6,0,1))^2+((B263-'Hybrid Calculator'!$B$7)/1500)^2+((C263-'Hybrid Calculator'!$B$8)/1300)^2+((D263-'Hybrid Calculator'!$B$9)/800)^2+((E263-'Hybrid Calculator'!$B$10)/350)^2+((F263-'Hybrid Calculator'!$B$11)/30)^2+(G263-'Hybrid Calculator'!$B$12)^2+((H263-'Hybrid Calculator'!$E$14)/IF(A263="Lightning",100,30000))^2+((I263-'Hybrid Calculator'!$E$17)/IF(A263="Lightning",100,30000))^2</x:f>
        <x:v>0.23050641663633434</x:v>
      </x:c>
      <x:c r="K263" s="23" t="n">
        <x:f>RANK(J263,$J$2:$J$1401,1)</x:f>
        <x:v>504</x:v>
      </x:c>
      <x:c r="L263" s="23" t="n">
        <x:f>IF(K263&lt;=7,1,0)</x:f>
        <x:v>0</x:v>
      </x:c>
      <x:c r="M263" s="23" t="n">
        <x:f>IF(L263=1,1/(J263+0.000001),0)</x:f>
        <x:v>0</x:v>
      </x:c>
      <x:c r="N263" s="23" t="n">
        <x:v>-0.00818898380825206</x:v>
      </x:c>
      <x:c r="O263" s="23" t="n">
        <x:f>M263</x:f>
        <x:v>0</x:v>
      </x:c>
      <x:c r="P263" s="23" t="n">
        <x:v>-1.108188878718991</x:v>
      </x:c>
      <x:c r="Q263" s="23" t="n">
        <x:v>-14.157445501454504</x:v>
      </x:c>
    </x:row>
    <x:row r="264">
      <x:c r="A264" s="23" t="str">
        <x:v>Lightning</x:v>
      </x:c>
      <x:c r="B264" s="23" t="n">
        <x:v>1432.8501840820536</x:v>
      </x:c>
      <x:c r="C264" s="23" t="n">
        <x:v>1198.3006301918067</x:v>
      </x:c>
      <x:c r="D264" s="23" t="n">
        <x:v>386.87027655541897</x:v>
      </x:c>
      <x:c r="E264" s="23" t="n">
        <x:v>324.6941236848943</x:v>
      </x:c>
      <x:c r="F264" s="23" t="n">
        <x:v>11.981436085887253</x:v>
      </x:c>
      <x:c r="G264" s="23" t="n">
        <x:v>0.8316638628090732</x:v>
      </x:c>
      <x:c r="H264" s="23" t="n">
        <x:v>40</x:v>
      </x:c>
      <x:c r="I264" s="23" t="n">
        <x:v>25</x:v>
      </x:c>
      <x:c r="J264" s="23" t="n">
        <x:f>(IF(A264='Hybrid Calculator'!$B$6,0,1))^2+((B264-'Hybrid Calculator'!$B$7)/1500)^2+((C264-'Hybrid Calculator'!$B$8)/1300)^2+((D264-'Hybrid Calculator'!$B$9)/800)^2+((E264-'Hybrid Calculator'!$B$10)/350)^2+((F264-'Hybrid Calculator'!$B$11)/30)^2+(G264-'Hybrid Calculator'!$B$12)^2+((H264-'Hybrid Calculator'!$E$14)/IF(A264="Lightning",100,30000))^2+((I264-'Hybrid Calculator'!$E$17)/IF(A264="Lightning",100,30000))^2</x:f>
        <x:v>0.3982836712590629</x:v>
      </x:c>
      <x:c r="K264" s="23" t="n">
        <x:f>RANK(J264,$J$2:$J$1401,1)</x:f>
        <x:v>684</x:v>
      </x:c>
      <x:c r="L264" s="23" t="n">
        <x:f>IF(K264&lt;=7,1,0)</x:f>
        <x:v>0</x:v>
      </x:c>
      <x:c r="M264" s="23" t="n">
        <x:f>IF(L264=1,1/(J264+0.000001),0)</x:f>
        <x:v>0</x:v>
      </x:c>
      <x:c r="N264" s="23" t="n">
        <x:v>0.006794160177975073</x:v>
      </x:c>
      <x:c r="O264" s="23" t="n">
        <x:f>M264</x:f>
        <x:v>0</x:v>
      </x:c>
      <x:c r="P264" s="23" t="n">
        <x:v>0.06304516096327717</x:v>
      </x:c>
      <x:c r="Q264" s="23" t="n">
        <x:v>-6.391964325504659</x:v>
      </x:c>
    </x:row>
    <x:row r="265">
      <x:c r="A265" s="23" t="str">
        <x:v>Lightning</x:v>
      </x:c>
      <x:c r="B265" s="23" t="n">
        <x:v>1363.631273189094</x:v>
      </x:c>
      <x:c r="C265" s="23" t="n">
        <x:v>731.7995140794665</x:v>
      </x:c>
      <x:c r="D265" s="23" t="n">
        <x:v>528.2260346226394</x:v>
      </x:c>
      <x:c r="E265" s="23" t="n">
        <x:v>195.4421487590298</x:v>
      </x:c>
      <x:c r="F265" s="23" t="n">
        <x:v>21.347850322257727</x:v>
      </x:c>
      <x:c r="G265" s="23" t="n">
        <x:v>0.8337536636926234</x:v>
      </x:c>
      <x:c r="H265" s="23" t="n">
        <x:v>50</x:v>
      </x:c>
      <x:c r="I265" s="23" t="n">
        <x:v>25</x:v>
      </x:c>
      <x:c r="J265" s="23" t="n">
        <x:f>(IF(A265='Hybrid Calculator'!$B$6,0,1))^2+((B265-'Hybrid Calculator'!$B$7)/1500)^2+((C265-'Hybrid Calculator'!$B$8)/1300)^2+((D265-'Hybrid Calculator'!$B$9)/800)^2+((E265-'Hybrid Calculator'!$B$10)/350)^2+((F265-'Hybrid Calculator'!$B$11)/30)^2+(G265-'Hybrid Calculator'!$B$12)^2+((H265-'Hybrid Calculator'!$E$14)/IF(A265="Lightning",100,30000))^2+((I265-'Hybrid Calculator'!$E$17)/IF(A265="Lightning",100,30000))^2</x:f>
        <x:v>0.03724336902694087</x:v>
      </x:c>
      <x:c r="K265" s="23" t="n">
        <x:f>RANK(J265,$J$2:$J$1401,1)</x:f>
        <x:v>31</x:v>
      </x:c>
      <x:c r="L265" s="23" t="n">
        <x:f>IF(K265&lt;=7,1,0)</x:f>
        <x:v>0</x:v>
      </x:c>
      <x:c r="M265" s="23" t="n">
        <x:f>IF(L265=1,1/(J265+0.000001),0)</x:f>
        <x:v>0</x:v>
      </x:c>
      <x:c r="N265" s="23" t="n">
        <x:v>-0.006597514244207625</x:v>
      </x:c>
      <x:c r="O265" s="23" t="n">
        <x:f>M265</x:f>
        <x:v>0</x:v>
      </x:c>
      <x:c r="P265" s="23" t="n">
        <x:v>-0.7084047325932019</x:v>
      </x:c>
      <x:c r="Q265" s="23" t="n">
        <x:v>8.690396881353536</x:v>
      </x:c>
    </x:row>
    <x:row r="266">
      <x:c r="A266" s="23" t="str">
        <x:v>Lightning</x:v>
      </x:c>
      <x:c r="B266" s="23" t="n">
        <x:v>1391.368879051879</x:v>
      </x:c>
      <x:c r="C266" s="23" t="n">
        <x:v>1114.8607745650224</x:v>
      </x:c>
      <x:c r="D266" s="23" t="n">
        <x:v>617.2166315838695</x:v>
      </x:c>
      <x:c r="E266" s="23" t="n">
        <x:v>116.32145590381697</x:v>
      </x:c>
      <x:c r="F266" s="23" t="n">
        <x:v>10.675665885210037</x:v>
      </x:c>
      <x:c r="G266" s="23" t="n">
        <x:v>0.8407534193084576</x:v>
      </x:c>
      <x:c r="H266" s="23" t="n">
        <x:v>40</x:v>
      </x:c>
      <x:c r="I266" s="23" t="n">
        <x:v>25</x:v>
      </x:c>
      <x:c r="J266" s="23" t="n">
        <x:f>(IF(A266='Hybrid Calculator'!$B$6,0,1))^2+((B266-'Hybrid Calculator'!$B$7)/1500)^2+((C266-'Hybrid Calculator'!$B$8)/1300)^2+((D266-'Hybrid Calculator'!$B$9)/800)^2+((E266-'Hybrid Calculator'!$B$10)/350)^2+((F266-'Hybrid Calculator'!$B$11)/30)^2+(G266-'Hybrid Calculator'!$B$12)^2+((H266-'Hybrid Calculator'!$E$14)/IF(A266="Lightning",100,30000))^2+((I266-'Hybrid Calculator'!$E$17)/IF(A266="Lightning",100,30000))^2</x:f>
        <x:v>0.15119292623940908</x:v>
      </x:c>
      <x:c r="K266" s="23" t="n">
        <x:f>RANK(J266,$J$2:$J$1401,1)</x:f>
        <x:v>330</x:v>
      </x:c>
      <x:c r="L266" s="23" t="n">
        <x:f>IF(K266&lt;=7,1,0)</x:f>
        <x:v>0</x:v>
      </x:c>
      <x:c r="M266" s="23" t="n">
        <x:f>IF(L266=1,1/(J266+0.000001),0)</x:f>
        <x:v>0</x:v>
      </x:c>
      <x:c r="N266" s="23" t="n">
        <x:v>0.0037162099325025455</x:v>
      </x:c>
      <x:c r="O266" s="23" t="n">
        <x:f>M266</x:f>
        <x:v>0</x:v>
      </x:c>
      <x:c r="P266" s="23" t="n">
        <x:v>1.2659943955588417</x:v>
      </x:c>
      <x:c r="Q266" s="23" t="n">
        <x:v>3.521949162226292</x:v>
      </x:c>
    </x:row>
    <x:row r="267">
      <x:c r="A267" s="23" t="str">
        <x:v>Lightning</x:v>
      </x:c>
      <x:c r="B267" s="23" t="n">
        <x:v>1399.5288380538113</x:v>
      </x:c>
      <x:c r="C267" s="23" t="n">
        <x:v>923.1441037496552</x:v>
      </x:c>
      <x:c r="D267" s="23" t="n">
        <x:v>407.06958593800664</x:v>
      </x:c>
      <x:c r="E267" s="23" t="n">
        <x:v>234.35040602460504</x:v>
      </x:c>
      <x:c r="F267" s="23" t="n">
        <x:v>22.837248703930527</x:v>
      </x:c>
      <x:c r="G267" s="23" t="n">
        <x:v>0.8491576534276829</x:v>
      </x:c>
      <x:c r="H267" s="23" t="n">
        <x:v>45</x:v>
      </x:c>
      <x:c r="I267" s="23" t="n">
        <x:v>25</x:v>
      </x:c>
      <x:c r="J267" s="23" t="n">
        <x:f>(IF(A267='Hybrid Calculator'!$B$6,0,1))^2+((B267-'Hybrid Calculator'!$B$7)/1500)^2+((C267-'Hybrid Calculator'!$B$8)/1300)^2+((D267-'Hybrid Calculator'!$B$9)/800)^2+((E267-'Hybrid Calculator'!$B$10)/350)^2+((F267-'Hybrid Calculator'!$B$11)/30)^2+(G267-'Hybrid Calculator'!$B$12)^2+((H267-'Hybrid Calculator'!$E$14)/IF(A267="Lightning",100,30000))^2+((I267-'Hybrid Calculator'!$E$17)/IF(A267="Lightning",100,30000))^2</x:f>
        <x:v>0.09928155532651539</x:v>
      </x:c>
      <x:c r="K267" s="23" t="n">
        <x:f>RANK(J267,$J$2:$J$1401,1)</x:f>
        <x:v>201</x:v>
      </x:c>
      <x:c r="L267" s="23" t="n">
        <x:f>IF(K267&lt;=7,1,0)</x:f>
        <x:v>0</x:v>
      </x:c>
      <x:c r="M267" s="23" t="n">
        <x:f>IF(L267=1,1/(J267+0.000001),0)</x:f>
        <x:v>0</x:v>
      </x:c>
      <x:c r="N267" s="23" t="n">
        <x:v>0.004173483902585096</x:v>
      </x:c>
      <x:c r="O267" s="23" t="n">
        <x:f>M267</x:f>
        <x:v>0</x:v>
      </x:c>
      <x:c r="P267" s="23" t="n">
        <x:v>0.02749293862546409</x:v>
      </x:c>
      <x:c r="Q267" s="23" t="n">
        <x:v>-3.7940425855472313</x:v>
      </x:c>
    </x:row>
    <x:row r="268">
      <x:c r="A268" s="23" t="str">
        <x:v>Lightning</x:v>
      </x:c>
      <x:c r="B268" s="23" t="n">
        <x:v>1355.80913904123</x:v>
      </x:c>
      <x:c r="C268" s="23" t="n">
        <x:v>784.4821308623068</x:v>
      </x:c>
      <x:c r="D268" s="23" t="n">
        <x:v>548.3493929728866</x:v>
      </x:c>
      <x:c r="E268" s="23" t="n">
        <x:v>91.10336446436122</x:v>
      </x:c>
      <x:c r="F268" s="23" t="n">
        <x:v>20.034178998321295</x:v>
      </x:c>
      <x:c r="G268" s="23" t="n">
        <x:v>0.8567885150411166</x:v>
      </x:c>
      <x:c r="H268" s="23" t="n">
        <x:v>60</x:v>
      </x:c>
      <x:c r="I268" s="23" t="n">
        <x:v>25</x:v>
      </x:c>
      <x:c r="J268" s="23" t="n">
        <x:f>(IF(A268='Hybrid Calculator'!$B$6,0,1))^2+((B268-'Hybrid Calculator'!$B$7)/1500)^2+((C268-'Hybrid Calculator'!$B$8)/1300)^2+((D268-'Hybrid Calculator'!$B$9)/800)^2+((E268-'Hybrid Calculator'!$B$10)/350)^2+((F268-'Hybrid Calculator'!$B$11)/30)^2+(G268-'Hybrid Calculator'!$B$12)^2+((H268-'Hybrid Calculator'!$E$14)/IF(A268="Lightning",100,30000))^2+((I268-'Hybrid Calculator'!$E$17)/IF(A268="Lightning",100,30000))^2</x:f>
        <x:v>0.05060578598067495</x:v>
      </x:c>
      <x:c r="K268" s="23" t="n">
        <x:f>RANK(J268,$J$2:$J$1401,1)</x:f>
        <x:v>55</x:v>
      </x:c>
      <x:c r="L268" s="23" t="n">
        <x:f>IF(K268&lt;=7,1,0)</x:f>
        <x:v>0</x:v>
      </x:c>
      <x:c r="M268" s="23" t="n">
        <x:f>IF(L268=1,1/(J268+0.000001),0)</x:f>
        <x:v>0</x:v>
      </x:c>
      <x:c r="N268" s="23" t="n">
        <x:v>-0.00399565197245022</x:v>
      </x:c>
      <x:c r="O268" s="23" t="n">
        <x:f>M268</x:f>
        <x:v>0</x:v>
      </x:c>
      <x:c r="P268" s="23" t="n">
        <x:v>-0.42921232065076964</x:v>
      </x:c>
      <x:c r="Q268" s="23" t="n">
        <x:v>5.550974609312107</x:v>
      </x:c>
    </x:row>
    <x:row r="269">
      <x:c r="A269" s="23" t="str">
        <x:v>Lightning</x:v>
      </x:c>
      <x:c r="B269" s="23" t="n">
        <x:v>1396.9656143453903</x:v>
      </x:c>
      <x:c r="C269" s="23" t="n">
        <x:v>1140.0566461263224</x:v>
      </x:c>
      <x:c r="D269" s="23" t="n">
        <x:v>529.9000610597432</x:v>
      </x:c>
      <x:c r="E269" s="23" t="n">
        <x:v>232.22666133195162</x:v>
      </x:c>
      <x:c r="F269" s="23" t="n">
        <x:v>20.537409278098494</x:v>
      </x:c>
      <x:c r="G269" s="23" t="n">
        <x:v>0.8230022073118016</x:v>
      </x:c>
      <x:c r="H269" s="23" t="n">
        <x:v>40</x:v>
      </x:c>
      <x:c r="I269" s="23" t="n">
        <x:v>25</x:v>
      </x:c>
      <x:c r="J269" s="23" t="n">
        <x:f>(IF(A269='Hybrid Calculator'!$B$6,0,1))^2+((B269-'Hybrid Calculator'!$B$7)/1500)^2+((C269-'Hybrid Calculator'!$B$8)/1300)^2+((D269-'Hybrid Calculator'!$B$9)/800)^2+((E269-'Hybrid Calculator'!$B$10)/350)^2+((F269-'Hybrid Calculator'!$B$11)/30)^2+(G269-'Hybrid Calculator'!$B$12)^2+((H269-'Hybrid Calculator'!$E$14)/IF(A269="Lightning",100,30000))^2+((I269-'Hybrid Calculator'!$E$17)/IF(A269="Lightning",100,30000))^2</x:f>
        <x:v>0.12134389336129162</x:v>
      </x:c>
      <x:c r="K269" s="23" t="n">
        <x:f>RANK(J269,$J$2:$J$1401,1)</x:f>
        <x:v>255</x:v>
      </x:c>
      <x:c r="L269" s="23" t="n">
        <x:f>IF(K269&lt;=7,1,0)</x:f>
        <x:v>0</x:v>
      </x:c>
      <x:c r="M269" s="23" t="n">
        <x:f>IF(L269=1,1/(J269+0.000001),0)</x:f>
        <x:v>0</x:v>
      </x:c>
      <x:c r="N269" s="23" t="n">
        <x:v>0.0023163860256727453</x:v>
      </x:c>
      <x:c r="O269" s="23" t="n">
        <x:f>M269</x:f>
        <x:v>0</x:v>
      </x:c>
      <x:c r="P269" s="23" t="n">
        <x:v>-0.27690938939620935</x:v>
      </x:c>
      <x:c r="Q269" s="23" t="n">
        <x:v>-3.3558347993464395</x:v>
      </x:c>
    </x:row>
    <x:row r="270">
      <x:c r="A270" s="23" t="str">
        <x:v>Lightning</x:v>
      </x:c>
      <x:c r="B270" s="23" t="n">
        <x:v>1365.4048770898953</x:v>
      </x:c>
      <x:c r="C270" s="23" t="n">
        <x:v>983.2757669617422</x:v>
      </x:c>
      <x:c r="D270" s="23" t="n">
        <x:v>657.3514930903912</x:v>
      </x:c>
      <x:c r="E270" s="23" t="n">
        <x:v>291.53967030113563</x:v>
      </x:c>
      <x:c r="F270" s="23" t="n">
        <x:v>19.327799207530916</x:v>
      </x:c>
      <x:c r="G270" s="23" t="n">
        <x:v>0.7969026707275771</x:v>
      </x:c>
      <x:c r="H270" s="23" t="n">
        <x:v>35</x:v>
      </x:c>
      <x:c r="I270" s="23" t="n">
        <x:v>25</x:v>
      </x:c>
      <x:c r="J270" s="23" t="n">
        <x:f>(IF(A270='Hybrid Calculator'!$B$6,0,1))^2+((B270-'Hybrid Calculator'!$B$7)/1500)^2+((C270-'Hybrid Calculator'!$B$8)/1300)^2+((D270-'Hybrid Calculator'!$B$9)/800)^2+((E270-'Hybrid Calculator'!$B$10)/350)^2+((F270-'Hybrid Calculator'!$B$11)/30)^2+(G270-'Hybrid Calculator'!$B$12)^2+((H270-'Hybrid Calculator'!$E$14)/IF(A270="Lightning",100,30000))^2+((I270-'Hybrid Calculator'!$E$17)/IF(A270="Lightning",100,30000))^2</x:f>
        <x:v>0.2381089752158444</x:v>
      </x:c>
      <x:c r="K270" s="23" t="n">
        <x:f>RANK(J270,$J$2:$J$1401,1)</x:f>
        <x:v>518</x:v>
      </x:c>
      <x:c r="L270" s="23" t="n">
        <x:f>IF(K270&lt;=7,1,0)</x:f>
        <x:v>0</x:v>
      </x:c>
      <x:c r="M270" s="23" t="n">
        <x:f>IF(L270=1,1/(J270+0.000001),0)</x:f>
        <x:v>0</x:v>
      </x:c>
      <x:c r="N270" s="23" t="n">
        <x:v>0.003731796198220616</x:v>
      </x:c>
      <x:c r="O270" s="23" t="n">
        <x:f>M270</x:f>
        <x:v>0</x:v>
      </x:c>
      <x:c r="P270" s="23" t="n">
        <x:v>1.2855945235534705</x:v>
      </x:c>
      <x:c r="Q270" s="23" t="n">
        <x:v>-12.193484118257174</x:v>
      </x:c>
    </x:row>
    <x:row r="271">
      <x:c r="A271" s="23" t="str">
        <x:v>Lightning</x:v>
      </x:c>
      <x:c r="B271" s="23" t="n">
        <x:v>1411.757406766992</x:v>
      </x:c>
      <x:c r="C271" s="23" t="n">
        <x:v>1175.9391013532877</x:v>
      </x:c>
      <x:c r="D271" s="23" t="n">
        <x:v>556.845700647682</x:v>
      </x:c>
      <x:c r="E271" s="23" t="n">
        <x:v>288.9361074613407</x:v>
      </x:c>
      <x:c r="F271" s="23" t="n">
        <x:v>24.12943916162476</x:v>
      </x:c>
      <x:c r="G271" s="23" t="n">
        <x:v>0.8088172690849752</x:v>
      </x:c>
      <x:c r="H271" s="23" t="n">
        <x:v>35</x:v>
      </x:c>
      <x:c r="I271" s="23" t="n">
        <x:v>25</x:v>
      </x:c>
      <x:c r="J271" s="23" t="n">
        <x:f>(IF(A271='Hybrid Calculator'!$B$6,0,1))^2+((B271-'Hybrid Calculator'!$B$7)/1500)^2+((C271-'Hybrid Calculator'!$B$8)/1300)^2+((D271-'Hybrid Calculator'!$B$9)/800)^2+((E271-'Hybrid Calculator'!$B$10)/350)^2+((F271-'Hybrid Calculator'!$B$11)/30)^2+(G271-'Hybrid Calculator'!$B$12)^2+((H271-'Hybrid Calculator'!$E$14)/IF(A271="Lightning",100,30000))^2+((I271-'Hybrid Calculator'!$E$17)/IF(A271="Lightning",100,30000))^2</x:f>
        <x:v>0.2834030706104653</x:v>
      </x:c>
      <x:c r="K271" s="23" t="n">
        <x:f>RANK(J271,$J$2:$J$1401,1)</x:f>
        <x:v>587</x:v>
      </x:c>
      <x:c r="L271" s="23" t="n">
        <x:f>IF(K271&lt;=7,1,0)</x:f>
        <x:v>0</x:v>
      </x:c>
      <x:c r="M271" s="23" t="n">
        <x:f>IF(L271=1,1/(J271+0.000001),0)</x:f>
        <x:v>0</x:v>
      </x:c>
      <x:c r="N271" s="23" t="n">
        <x:v>0.010912704137407747</x:v>
      </x:c>
      <x:c r="O271" s="23" t="n">
        <x:f>M271</x:f>
        <x:v>0</x:v>
      </x:c>
      <x:c r="P271" s="23" t="n">
        <x:v>1.3576391464548792</x:v>
      </x:c>
      <x:c r="Q271" s="23" t="n">
        <x:v>-21.15658593727653</x:v>
      </x:c>
    </x:row>
    <x:row r="272">
      <x:c r="A272" s="23" t="str">
        <x:v>Lightning</x:v>
      </x:c>
      <x:c r="B272" s="23" t="n">
        <x:v>1498.1896365992725</x:v>
      </x:c>
      <x:c r="C272" s="23" t="n">
        <x:v>1207.8392665251158</x:v>
      </x:c>
      <x:c r="D272" s="23" t="n">
        <x:v>632.188862003386</x:v>
      </x:c>
      <x:c r="E272" s="23" t="n">
        <x:v>148.7208595336415</x:v>
      </x:c>
      <x:c r="F272" s="23" t="n">
        <x:v>21.00043604709208</x:v>
      </x:c>
      <x:c r="G272" s="23" t="n">
        <x:v>0.8027424861048349</x:v>
      </x:c>
      <x:c r="H272" s="23" t="n">
        <x:v>30</x:v>
      </x:c>
      <x:c r="I272" s="23" t="n">
        <x:v>25</x:v>
      </x:c>
      <x:c r="J272" s="23" t="n">
        <x:f>(IF(A272='Hybrid Calculator'!$B$6,0,1))^2+((B272-'Hybrid Calculator'!$B$7)/1500)^2+((C272-'Hybrid Calculator'!$B$8)/1300)^2+((D272-'Hybrid Calculator'!$B$9)/800)^2+((E272-'Hybrid Calculator'!$B$10)/350)^2+((F272-'Hybrid Calculator'!$B$11)/30)^2+(G272-'Hybrid Calculator'!$B$12)^2+((H272-'Hybrid Calculator'!$E$14)/IF(A272="Lightning",100,30000))^2+((I272-'Hybrid Calculator'!$E$17)/IF(A272="Lightning",100,30000))^2</x:f>
        <x:v>0.15271037665268983</x:v>
      </x:c>
      <x:c r="K272" s="23" t="n">
        <x:f>RANK(J272,$J$2:$J$1401,1)</x:f>
        <x:v>331</x:v>
      </x:c>
      <x:c r="L272" s="23" t="n">
        <x:f>IF(K272&lt;=7,1,0)</x:f>
        <x:v>0</x:v>
      </x:c>
      <x:c r="M272" s="23" t="n">
        <x:f>IF(L272=1,1/(J272+0.000001),0)</x:f>
        <x:v>0</x:v>
      </x:c>
      <x:c r="N272" s="23" t="n">
        <x:v>0.0170507455193194</x:v>
      </x:c>
      <x:c r="O272" s="23" t="n">
        <x:f>M272</x:f>
        <x:v>0</x:v>
      </x:c>
      <x:c r="P272" s="23" t="n">
        <x:v>0.6833414951427486</x:v>
      </x:c>
      <x:c r="Q272" s="23" t="n">
        <x:v>-11.988075211765818</x:v>
      </x:c>
    </x:row>
    <x:row r="273">
      <x:c r="A273" s="23" t="str">
        <x:v>Lightning</x:v>
      </x:c>
      <x:c r="B273" s="23" t="n">
        <x:v>1478.106679546181</x:v>
      </x:c>
      <x:c r="C273" s="23" t="n">
        <x:v>1060.1211465196684</x:v>
      </x:c>
      <x:c r="D273" s="23" t="n">
        <x:v>352.98758978024125</x:v>
      </x:c>
      <x:c r="E273" s="23" t="n">
        <x:v>212.69134075380862</x:v>
      </x:c>
      <x:c r="F273" s="23" t="n">
        <x:v>17.942699932027608</x:v>
      </x:c>
      <x:c r="G273" s="23" t="n">
        <x:v>0.8020840798178688</x:v>
      </x:c>
      <x:c r="H273" s="23" t="n">
        <x:v>40</x:v>
      </x:c>
      <x:c r="I273" s="23" t="n">
        <x:v>25</x:v>
      </x:c>
      <x:c r="J273" s="23" t="n">
        <x:f>(IF(A273='Hybrid Calculator'!$B$6,0,1))^2+((B273-'Hybrid Calculator'!$B$7)/1500)^2+((C273-'Hybrid Calculator'!$B$8)/1300)^2+((D273-'Hybrid Calculator'!$B$9)/800)^2+((E273-'Hybrid Calculator'!$B$10)/350)^2+((F273-'Hybrid Calculator'!$B$11)/30)^2+(G273-'Hybrid Calculator'!$B$12)^2+((H273-'Hybrid Calculator'!$E$14)/IF(A273="Lightning",100,30000))^2+((I273-'Hybrid Calculator'!$E$17)/IF(A273="Lightning",100,30000))^2</x:f>
        <x:v>0.10389740210078102</x:v>
      </x:c>
      <x:c r="K273" s="23" t="n">
        <x:f>RANK(J273,$J$2:$J$1401,1)</x:f>
        <x:v>212</x:v>
      </x:c>
      <x:c r="L273" s="23" t="n">
        <x:f>IF(K273&lt;=7,1,0)</x:f>
        <x:v>0</x:v>
      </x:c>
      <x:c r="M273" s="23" t="n">
        <x:f>IF(L273=1,1/(J273+0.000001),0)</x:f>
        <x:v>0</x:v>
      </x:c>
      <x:c r="N273" s="23" t="n">
        <x:v>0.006739250411312403</x:v>
      </x:c>
      <x:c r="O273" s="23" t="n">
        <x:f>M273</x:f>
        <x:v>0</x:v>
      </x:c>
      <x:c r="P273" s="23" t="n">
        <x:v>-0.3727378716526033</x:v>
      </x:c>
      <x:c r="Q273" s="23" t="n">
        <x:v>-1.6803874118661497</x:v>
      </x:c>
    </x:row>
    <x:row r="274">
      <x:c r="A274" s="23" t="str">
        <x:v>Lightning</x:v>
      </x:c>
      <x:c r="B274" s="23" t="n">
        <x:v>1459.9825639044866</x:v>
      </x:c>
      <x:c r="C274" s="23" t="n">
        <x:v>871.2376830750145</x:v>
      </x:c>
      <x:c r="D274" s="23" t="n">
        <x:v>662.5320743769407</x:v>
      </x:c>
      <x:c r="E274" s="23" t="n">
        <x:v>295.955916501116</x:v>
      </x:c>
      <x:c r="F274" s="23" t="n">
        <x:v>15.121929173357785</x:v>
      </x:c>
      <x:c r="G274" s="23" t="n">
        <x:v>0.7911161142657511</x:v>
      </x:c>
      <x:c r="H274" s="23" t="n">
        <x:v>35</x:v>
      </x:c>
      <x:c r="I274" s="23" t="n">
        <x:v>25</x:v>
      </x:c>
      <x:c r="J274" s="23" t="n">
        <x:f>(IF(A274='Hybrid Calculator'!$B$6,0,1))^2+((B274-'Hybrid Calculator'!$B$7)/1500)^2+((C274-'Hybrid Calculator'!$B$8)/1300)^2+((D274-'Hybrid Calculator'!$B$9)/800)^2+((E274-'Hybrid Calculator'!$B$10)/350)^2+((F274-'Hybrid Calculator'!$B$11)/30)^2+(G274-'Hybrid Calculator'!$B$12)^2+((H274-'Hybrid Calculator'!$E$14)/IF(A274="Lightning",100,30000))^2+((I274-'Hybrid Calculator'!$E$17)/IF(A274="Lightning",100,30000))^2</x:f>
        <x:v>0.25200351321079656</x:v>
      </x:c>
      <x:c r="K274" s="23" t="n">
        <x:f>RANK(J274,$J$2:$J$1401,1)</x:f>
        <x:v>548</x:v>
      </x:c>
      <x:c r="L274" s="23" t="n">
        <x:f>IF(K274&lt;=7,1,0)</x:f>
        <x:v>0</x:v>
      </x:c>
      <x:c r="M274" s="23" t="n">
        <x:f>IF(L274=1,1/(J274+0.000001),0)</x:f>
        <x:v>0</x:v>
      </x:c>
      <x:c r="N274" s="23" t="n">
        <x:v>0.002633098986762228</x:v>
      </x:c>
      <x:c r="O274" s="23" t="n">
        <x:f>M274</x:f>
        <x:v>0</x:v>
      </x:c>
      <x:c r="P274" s="23" t="n">
        <x:v>-0.40244315529127306</x:v>
      </x:c>
      <x:c r="Q274" s="23" t="n">
        <x:v>4.441933469876403</x:v>
      </x:c>
    </x:row>
    <x:row r="275">
      <x:c r="A275" s="23" t="str">
        <x:v>Lightning</x:v>
      </x:c>
      <x:c r="B275" s="23" t="n">
        <x:v>1451.9616647972725</x:v>
      </x:c>
      <x:c r="C275" s="23" t="n">
        <x:v>1143.8631292898208</x:v>
      </x:c>
      <x:c r="D275" s="23" t="n">
        <x:v>398.4463515691459</x:v>
      </x:c>
      <x:c r="E275" s="23" t="n">
        <x:v>241.1080135917291</x:v>
      </x:c>
      <x:c r="F275" s="23" t="n">
        <x:v>19.029987416695803</x:v>
      </x:c>
      <x:c r="G275" s="23" t="n">
        <x:v>0.8313581349514425</x:v>
      </x:c>
      <x:c r="H275" s="23" t="n">
        <x:v>40</x:v>
      </x:c>
      <x:c r="I275" s="23" t="n">
        <x:v>25</x:v>
      </x:c>
      <x:c r="J275" s="23" t="n">
        <x:f>(IF(A275='Hybrid Calculator'!$B$6,0,1))^2+((B275-'Hybrid Calculator'!$B$7)/1500)^2+((C275-'Hybrid Calculator'!$B$8)/1300)^2+((D275-'Hybrid Calculator'!$B$9)/800)^2+((E275-'Hybrid Calculator'!$B$10)/350)^2+((F275-'Hybrid Calculator'!$B$11)/30)^2+(G275-'Hybrid Calculator'!$B$12)^2+((H275-'Hybrid Calculator'!$E$14)/IF(A275="Lightning",100,30000))^2+((I275-'Hybrid Calculator'!$E$17)/IF(A275="Lightning",100,30000))^2</x:f>
        <x:v>0.14573699536579604</x:v>
      </x:c>
      <x:c r="K275" s="23" t="n">
        <x:f>RANK(J275,$J$2:$J$1401,1)</x:f>
        <x:v>318</x:v>
      </x:c>
      <x:c r="L275" s="23" t="n">
        <x:f>IF(K275&lt;=7,1,0)</x:f>
        <x:v>0</x:v>
      </x:c>
      <x:c r="M275" s="23" t="n">
        <x:f>IF(L275=1,1/(J275+0.000001),0)</x:f>
        <x:v>0</x:v>
      </x:c>
      <x:c r="N275" s="23" t="n">
        <x:v>0.0012541361511131388</x:v>
      </x:c>
      <x:c r="O275" s="23" t="n">
        <x:f>M275</x:f>
        <x:v>0</x:v>
      </x:c>
      <x:c r="P275" s="23" t="n">
        <x:v>0.8497068130058025</x:v>
      </x:c>
      <x:c r="Q275" s="23" t="n">
        <x:v>-0.49599443034935575</x:v>
      </x:c>
    </x:row>
    <x:row r="276">
      <x:c r="A276" s="23" t="str">
        <x:v>Lightning</x:v>
      </x:c>
      <x:c r="B276" s="23" t="n">
        <x:v>1444.0280253533274</x:v>
      </x:c>
      <x:c r="C276" s="23" t="n">
        <x:v>965.3495872276835</x:v>
      </x:c>
      <x:c r="D276" s="23" t="n">
        <x:v>457.76882600039244</x:v>
      </x:c>
      <x:c r="E276" s="23" t="n">
        <x:v>329.7034327243455</x:v>
      </x:c>
      <x:c r="F276" s="23" t="n">
        <x:v>22.552778623998165</x:v>
      </x:c>
      <x:c r="G276" s="23" t="n">
        <x:v>0.8441946552903392</x:v>
      </x:c>
      <x:c r="H276" s="23" t="n">
        <x:v>40</x:v>
      </x:c>
      <x:c r="I276" s="23" t="n">
        <x:v>25</x:v>
      </x:c>
      <x:c r="J276" s="23" t="n">
        <x:f>(IF(A276='Hybrid Calculator'!$B$6,0,1))^2+((B276-'Hybrid Calculator'!$B$7)/1500)^2+((C276-'Hybrid Calculator'!$B$8)/1300)^2+((D276-'Hybrid Calculator'!$B$9)/800)^2+((E276-'Hybrid Calculator'!$B$10)/350)^2+((F276-'Hybrid Calculator'!$B$11)/30)^2+(G276-'Hybrid Calculator'!$B$12)^2+((H276-'Hybrid Calculator'!$E$14)/IF(A276="Lightning",100,30000))^2+((I276-'Hybrid Calculator'!$E$17)/IF(A276="Lightning",100,30000))^2</x:f>
        <x:v>0.30327505304904956</x:v>
      </x:c>
      <x:c r="K276" s="23" t="n">
        <x:f>RANK(J276,$J$2:$J$1401,1)</x:f>
        <x:v>601</x:v>
      </x:c>
      <x:c r="L276" s="23" t="n">
        <x:f>IF(K276&lt;=7,1,0)</x:f>
        <x:v>0</x:v>
      </x:c>
      <x:c r="M276" s="23" t="n">
        <x:f>IF(L276=1,1/(J276+0.000001),0)</x:f>
        <x:v>0</x:v>
      </x:c>
      <x:c r="N276" s="23" t="n">
        <x:v>-0.010274849681706444</x:v>
      </x:c>
      <x:c r="O276" s="23" t="n">
        <x:f>M276</x:f>
        <x:v>0</x:v>
      </x:c>
      <x:c r="P276" s="23" t="n">
        <x:v>0.7644346386770735</x:v>
      </x:c>
      <x:c r="Q276" s="23" t="n">
        <x:v>-9.487000085583077</x:v>
      </x:c>
    </x:row>
    <x:row r="277">
      <x:c r="A277" s="23" t="str">
        <x:v>Lightning</x:v>
      </x:c>
      <x:c r="B277" s="23" t="n">
        <x:v>1421.1365132709034</x:v>
      </x:c>
      <x:c r="C277" s="23" t="n">
        <x:v>774.03726761695</x:v>
      </x:c>
      <x:c r="D277" s="23" t="n">
        <x:v>433.8918683119118</x:v>
      </x:c>
      <x:c r="E277" s="23" t="n">
        <x:v>209.080671351403</x:v>
      </x:c>
      <x:c r="F277" s="23" t="n">
        <x:v>13.587840481195599</x:v>
      </x:c>
      <x:c r="G277" s="23" t="n">
        <x:v>0.826178728430532</x:v>
      </x:c>
      <x:c r="H277" s="23" t="n">
        <x:v>55</x:v>
      </x:c>
      <x:c r="I277" s="23" t="n">
        <x:v>25</x:v>
      </x:c>
      <x:c r="J277" s="23" t="n">
        <x:f>(IF(A277='Hybrid Calculator'!$B$6,0,1))^2+((B277-'Hybrid Calculator'!$B$7)/1500)^2+((C277-'Hybrid Calculator'!$B$8)/1300)^2+((D277-'Hybrid Calculator'!$B$9)/800)^2+((E277-'Hybrid Calculator'!$B$10)/350)^2+((F277-'Hybrid Calculator'!$B$11)/30)^2+(G277-'Hybrid Calculator'!$B$12)^2+((H277-'Hybrid Calculator'!$E$14)/IF(A277="Lightning",100,30000))^2+((I277-'Hybrid Calculator'!$E$17)/IF(A277="Lightning",100,30000))^2</x:f>
        <x:v>0.06809221482828026</x:v>
      </x:c>
      <x:c r="K277" s="23" t="n">
        <x:f>RANK(J277,$J$2:$J$1401,1)</x:f>
        <x:v>106</x:v>
      </x:c>
      <x:c r="L277" s="23" t="n">
        <x:f>IF(K277&lt;=7,1,0)</x:f>
        <x:v>0</x:v>
      </x:c>
      <x:c r="M277" s="23" t="n">
        <x:f>IF(L277=1,1/(J277+0.000001),0)</x:f>
        <x:v>0</x:v>
      </x:c>
      <x:c r="N277" s="23" t="n">
        <x:v>0.0033922028079762523</x:v>
      </x:c>
      <x:c r="O277" s="23" t="n">
        <x:f>M277</x:f>
        <x:v>0</x:v>
      </x:c>
      <x:c r="P277" s="23" t="n">
        <x:v>-0.7710523699019021</x:v>
      </x:c>
      <x:c r="Q277" s="23" t="n">
        <x:v>12.754638002922093</x:v>
      </x:c>
    </x:row>
    <x:row r="278">
      <x:c r="A278" s="23" t="str">
        <x:v>Lightning</x:v>
      </x:c>
      <x:c r="B278" s="23" t="n">
        <x:v>1431.4872264163569</x:v>
      </x:c>
      <x:c r="C278" s="23" t="n">
        <x:v>864.1638234374113</x:v>
      </x:c>
      <x:c r="D278" s="23" t="n">
        <x:v>744.862362742424</x:v>
      </x:c>
      <x:c r="E278" s="23" t="n">
        <x:v>310.481889040675</x:v>
      </x:c>
      <x:c r="F278" s="23" t="n">
        <x:v>23.432773205451667</x:v>
      </x:c>
      <x:c r="G278" s="23" t="n">
        <x:v>0.8154968631244265</x:v>
      </x:c>
      <x:c r="H278" s="23" t="n">
        <x:v>35</x:v>
      </x:c>
      <x:c r="I278" s="23" t="n">
        <x:v>25</x:v>
      </x:c>
      <x:c r="J278" s="23" t="n">
        <x:f>(IF(A278='Hybrid Calculator'!$B$6,0,1))^2+((B278-'Hybrid Calculator'!$B$7)/1500)^2+((C278-'Hybrid Calculator'!$B$8)/1300)^2+((D278-'Hybrid Calculator'!$B$9)/800)^2+((E278-'Hybrid Calculator'!$B$10)/350)^2+((F278-'Hybrid Calculator'!$B$11)/30)^2+(G278-'Hybrid Calculator'!$B$12)^2+((H278-'Hybrid Calculator'!$E$14)/IF(A278="Lightning",100,30000))^2+((I278-'Hybrid Calculator'!$E$17)/IF(A278="Lightning",100,30000))^2</x:f>
        <x:v>0.35361753698016185</x:v>
      </x:c>
      <x:c r="K278" s="23" t="n">
        <x:f>RANK(J278,$J$2:$J$1401,1)</x:f>
        <x:v>653</x:v>
      </x:c>
      <x:c r="L278" s="23" t="n">
        <x:f>IF(K278&lt;=7,1,0)</x:f>
        <x:v>0</x:v>
      </x:c>
      <x:c r="M278" s="23" t="n">
        <x:f>IF(L278=1,1/(J278+0.000001),0)</x:f>
        <x:v>0</x:v>
      </x:c>
      <x:c r="N278" s="23" t="n">
        <x:v>-0.0008836358365806873</x:v>
      </x:c>
      <x:c r="O278" s="23" t="n">
        <x:f>M278</x:f>
        <x:v>0</x:v>
      </x:c>
      <x:c r="P278" s="23" t="n">
        <x:v>0.8523634047836239</x:v>
      </x:c>
      <x:c r="Q278" s="23" t="n">
        <x:v>-13.923084312941683</x:v>
      </x:c>
    </x:row>
    <x:row r="279">
      <x:c r="A279" s="23" t="str">
        <x:v>Lightning</x:v>
      </x:c>
      <x:c r="B279" s="23" t="n">
        <x:v>1454.9365957151167</x:v>
      </x:c>
      <x:c r="C279" s="23" t="n">
        <x:v>697.0359024591744</x:v>
      </x:c>
      <x:c r="D279" s="23" t="n">
        <x:v>558.6061782203615</x:v>
      </x:c>
      <x:c r="E279" s="23" t="n">
        <x:v>263.26839769724756</x:v>
      </x:c>
      <x:c r="F279" s="23" t="n">
        <x:v>20.205072370823473</x:v>
      </x:c>
      <x:c r="G279" s="23" t="n">
        <x:v>0.8449867192748934</x:v>
      </x:c>
      <x:c r="H279" s="23" t="n">
        <x:v>50</x:v>
      </x:c>
      <x:c r="I279" s="23" t="n">
        <x:v>25</x:v>
      </x:c>
      <x:c r="J279" s="23" t="n">
        <x:f>(IF(A279='Hybrid Calculator'!$B$6,0,1))^2+((B279-'Hybrid Calculator'!$B$7)/1500)^2+((C279-'Hybrid Calculator'!$B$8)/1300)^2+((D279-'Hybrid Calculator'!$B$9)/800)^2+((E279-'Hybrid Calculator'!$B$10)/350)^2+((F279-'Hybrid Calculator'!$B$11)/30)^2+(G279-'Hybrid Calculator'!$B$12)^2+((H279-'Hybrid Calculator'!$E$14)/IF(A279="Lightning",100,30000))^2+((I279-'Hybrid Calculator'!$E$17)/IF(A279="Lightning",100,30000))^2</x:f>
        <x:v>0.1281971115690196</x:v>
      </x:c>
      <x:c r="K279" s="23" t="n">
        <x:f>RANK(J279,$J$2:$J$1401,1)</x:f>
        <x:v>272</x:v>
      </x:c>
      <x:c r="L279" s="23" t="n">
        <x:f>IF(K279&lt;=7,1,0)</x:f>
        <x:v>0</x:v>
      </x:c>
      <x:c r="M279" s="23" t="n">
        <x:f>IF(L279=1,1/(J279+0.000001),0)</x:f>
        <x:v>0</x:v>
      </x:c>
      <x:c r="N279" s="23" t="n">
        <x:v>-0.0032678252873392655</x:v>
      </x:c>
      <x:c r="O279" s="23" t="n">
        <x:f>M279</x:f>
        <x:v>0</x:v>
      </x:c>
      <x:c r="P279" s="23" t="n">
        <x:v>0.13160021766600494</x:v>
      </x:c>
      <x:c r="Q279" s="23" t="n">
        <x:v>8.752476949172433</x:v>
      </x:c>
    </x:row>
    <x:row r="280">
      <x:c r="A280" s="23" t="str">
        <x:v>Lightning</x:v>
      </x:c>
      <x:c r="B280" s="23" t="n">
        <x:v>1366.8741362169385</x:v>
      </x:c>
      <x:c r="C280" s="23" t="n">
        <x:v>1063.65234706318</x:v>
      </x:c>
      <x:c r="D280" s="23" t="n">
        <x:v>643.1935520842671</x:v>
      </x:c>
      <x:c r="E280" s="23" t="n">
        <x:v>137.31890868628398</x:v>
      </x:c>
      <x:c r="F280" s="23" t="n">
        <x:v>13.763826644048095</x:v>
      </x:c>
      <x:c r="G280" s="23" t="n">
        <x:v>0.8368942076829262</x:v>
      </x:c>
      <x:c r="H280" s="23" t="n">
        <x:v>40</x:v>
      </x:c>
      <x:c r="I280" s="23" t="n">
        <x:v>25</x:v>
      </x:c>
      <x:c r="J280" s="23" t="n">
        <x:f>(IF(A280='Hybrid Calculator'!$B$6,0,1))^2+((B280-'Hybrid Calculator'!$B$7)/1500)^2+((C280-'Hybrid Calculator'!$B$8)/1300)^2+((D280-'Hybrid Calculator'!$B$9)/800)^2+((E280-'Hybrid Calculator'!$B$10)/350)^2+((F280-'Hybrid Calculator'!$B$11)/30)^2+(G280-'Hybrid Calculator'!$B$12)^2+((H280-'Hybrid Calculator'!$E$14)/IF(A280="Lightning",100,30000))^2+((I280-'Hybrid Calculator'!$E$17)/IF(A280="Lightning",100,30000))^2</x:f>
        <x:v>0.09707183199893066</x:v>
      </x:c>
      <x:c r="K280" s="23" t="n">
        <x:f>RANK(J280,$J$2:$J$1401,1)</x:f>
        <x:v>195</x:v>
      </x:c>
      <x:c r="L280" s="23" t="n">
        <x:f>IF(K280&lt;=7,1,0)</x:f>
        <x:v>0</x:v>
      </x:c>
      <x:c r="M280" s="23" t="n">
        <x:f>IF(L280=1,1/(J280+0.000001),0)</x:f>
        <x:v>0</x:v>
      </x:c>
      <x:c r="N280" s="23" t="n">
        <x:v>0.004308307364313535</x:v>
      </x:c>
      <x:c r="O280" s="23" t="n">
        <x:f>M280</x:f>
        <x:v>0</x:v>
      </x:c>
      <x:c r="P280" s="23" t="n">
        <x:v>1.0002663861812167</x:v>
      </x:c>
      <x:c r="Q280" s="23" t="n">
        <x:v>-6.0437602926201635</x:v>
      </x:c>
    </x:row>
    <x:row r="281">
      <x:c r="A281" s="23" t="str">
        <x:v>Lightning</x:v>
      </x:c>
      <x:c r="B281" s="23" t="n">
        <x:v>1413.09395438293</x:v>
      </x:c>
      <x:c r="C281" s="23" t="n">
        <x:v>815.9275837475434</x:v>
      </x:c>
      <x:c r="D281" s="23" t="n">
        <x:v>451.40403816476464</x:v>
      </x:c>
      <x:c r="E281" s="23" t="n">
        <x:v>111.9083712529391</x:v>
      </x:c>
      <x:c r="F281" s="23" t="n">
        <x:v>15.979557667393237</x:v>
      </x:c>
      <x:c r="G281" s="23" t="n">
        <x:v>0.8167903145076707</x:v>
      </x:c>
      <x:c r="H281" s="23" t="n">
        <x:v>55</x:v>
      </x:c>
      <x:c r="I281" s="23" t="n">
        <x:v>25</x:v>
      </x:c>
      <x:c r="J281" s="23" t="n">
        <x:f>(IF(A281='Hybrid Calculator'!$B$6,0,1))^2+((B281-'Hybrid Calculator'!$B$7)/1500)^2+((C281-'Hybrid Calculator'!$B$8)/1300)^2+((D281-'Hybrid Calculator'!$B$9)/800)^2+((E281-'Hybrid Calculator'!$B$10)/350)^2+((F281-'Hybrid Calculator'!$B$11)/30)^2+(G281-'Hybrid Calculator'!$B$12)^2+((H281-'Hybrid Calculator'!$E$14)/IF(A281="Lightning",100,30000))^2+((I281-'Hybrid Calculator'!$E$17)/IF(A281="Lightning",100,30000))^2</x:f>
        <x:v>0.025853341757154383</x:v>
      </x:c>
      <x:c r="K281" s="23" t="n">
        <x:f>RANK(J281,$J$2:$J$1401,1)</x:f>
        <x:v>16</x:v>
      </x:c>
      <x:c r="L281" s="23" t="n">
        <x:f>IF(K281&lt;=7,1,0)</x:f>
        <x:v>0</x:v>
      </x:c>
      <x:c r="M281" s="23" t="n">
        <x:f>IF(L281=1,1/(J281+0.000001),0)</x:f>
        <x:v>0</x:v>
      </x:c>
      <x:c r="N281" s="23" t="n">
        <x:v>-0.009955084737109932</x:v>
      </x:c>
      <x:c r="O281" s="23" t="n">
        <x:f>M281</x:f>
        <x:v>0</x:v>
      </x:c>
      <x:c r="P281" s="23" t="n">
        <x:v>0.8388251048059487</x:v>
      </x:c>
      <x:c r="Q281" s="23" t="n">
        <x:v>7.921651025096253</x:v>
      </x:c>
    </x:row>
    <x:row r="282">
      <x:c r="A282" s="23" t="str">
        <x:v>Lightning</x:v>
      </x:c>
      <x:c r="B282" s="23" t="n">
        <x:v>1423.2615270651877</x:v>
      </x:c>
      <x:c r="C282" s="23" t="n">
        <x:v>724.5763023733161</x:v>
      </x:c>
      <x:c r="D282" s="23" t="n">
        <x:v>425.78592393547297</x:v>
      </x:c>
      <x:c r="E282" s="23" t="n">
        <x:v>117.16617642203346</x:v>
      </x:c>
      <x:c r="F282" s="23" t="n">
        <x:v>15.816677303984761</x:v>
      </x:c>
      <x:c r="G282" s="23" t="n">
        <x:v>0.8472183520277031</x:v>
      </x:c>
      <x:c r="H282" s="23" t="n">
        <x:v>60</x:v>
      </x:c>
      <x:c r="I282" s="23" t="n">
        <x:v>25</x:v>
      </x:c>
      <x:c r="J282" s="23" t="n">
        <x:f>(IF(A282='Hybrid Calculator'!$B$6,0,1))^2+((B282-'Hybrid Calculator'!$B$7)/1500)^2+((C282-'Hybrid Calculator'!$B$8)/1300)^2+((D282-'Hybrid Calculator'!$B$9)/800)^2+((E282-'Hybrid Calculator'!$B$10)/350)^2+((F282-'Hybrid Calculator'!$B$11)/30)^2+(G282-'Hybrid Calculator'!$B$12)^2+((H282-'Hybrid Calculator'!$E$14)/IF(A282="Lightning",100,30000))^2+((I282-'Hybrid Calculator'!$E$17)/IF(A282="Lightning",100,30000))^2</x:f>
        <x:v>0.045457088911180984</x:v>
      </x:c>
      <x:c r="K282" s="23" t="n">
        <x:f>RANK(J282,$J$2:$J$1401,1)</x:f>
        <x:v>45</x:v>
      </x:c>
      <x:c r="L282" s="23" t="n">
        <x:f>IF(K282&lt;=7,1,0)</x:f>
        <x:v>0</x:v>
      </x:c>
      <x:c r="M282" s="23" t="n">
        <x:f>IF(L282=1,1/(J282+0.000001),0)</x:f>
        <x:v>0</x:v>
      </x:c>
      <x:c r="N282" s="23" t="n">
        <x:v>-0.009006455789326129</x:v>
      </x:c>
      <x:c r="O282" s="23" t="n">
        <x:f>M282</x:f>
        <x:v>0</x:v>
      </x:c>
      <x:c r="P282" s="23" t="n">
        <x:v>-0.958550859082365</x:v>
      </x:c>
      <x:c r="Q282" s="23" t="n">
        <x:v>12.415339846610777</x:v>
      </x:c>
    </x:row>
    <x:row r="283">
      <x:c r="A283" s="23" t="str">
        <x:v>Lightning</x:v>
      </x:c>
      <x:c r="B283" s="23" t="n">
        <x:v>1350.449020753149</x:v>
      </x:c>
      <x:c r="C283" s="23" t="n">
        <x:v>1213.9437684090808</x:v>
      </x:c>
      <x:c r="D283" s="23" t="n">
        <x:v>414.34172773733735</x:v>
      </x:c>
      <x:c r="E283" s="23" t="n">
        <x:v>147.99323786981404</x:v>
      </x:c>
      <x:c r="F283" s="23" t="n">
        <x:v>8.288837597239763</x:v>
      </x:c>
      <x:c r="G283" s="23" t="n">
        <x:v>0.8428024029219523</x:v>
      </x:c>
      <x:c r="H283" s="23" t="n">
        <x:v>45</x:v>
      </x:c>
      <x:c r="I283" s="23" t="n">
        <x:v>25</x:v>
      </x:c>
      <x:c r="J283" s="23" t="n">
        <x:f>(IF(A283='Hybrid Calculator'!$B$6,0,1))^2+((B283-'Hybrid Calculator'!$B$7)/1500)^2+((C283-'Hybrid Calculator'!$B$8)/1300)^2+((D283-'Hybrid Calculator'!$B$9)/800)^2+((E283-'Hybrid Calculator'!$B$10)/350)^2+((F283-'Hybrid Calculator'!$B$11)/30)^2+(G283-'Hybrid Calculator'!$B$12)^2+((H283-'Hybrid Calculator'!$E$14)/IF(A283="Lightning",100,30000))^2+((I283-'Hybrid Calculator'!$E$17)/IF(A283="Lightning",100,30000))^2</x:f>
        <x:v>0.21121650378358994</x:v>
      </x:c>
      <x:c r="K283" s="23" t="n">
        <x:f>RANK(J283,$J$2:$J$1401,1)</x:f>
        <x:v>470</x:v>
      </x:c>
      <x:c r="L283" s="23" t="n">
        <x:f>IF(K283&lt;=7,1,0)</x:f>
        <x:v>0</x:v>
      </x:c>
      <x:c r="M283" s="23" t="n">
        <x:f>IF(L283=1,1/(J283+0.000001),0)</x:f>
        <x:v>0</x:v>
      </x:c>
      <x:c r="N283" s="23" t="n">
        <x:v>0.01792094384381193</x:v>
      </x:c>
      <x:c r="O283" s="23" t="n">
        <x:f>M283</x:f>
        <x:v>0</x:v>
      </x:c>
      <x:c r="P283" s="23" t="n">
        <x:v>0.5936731294153361</x:v>
      </x:c>
      <x:c r="Q283" s="23" t="n">
        <x:v>6.090445832030582</x:v>
      </x:c>
    </x:row>
    <x:row r="284">
      <x:c r="A284" s="23" t="str">
        <x:v>Lightning</x:v>
      </x:c>
      <x:c r="B284" s="23" t="n">
        <x:v>1392.6192538579926</x:v>
      </x:c>
      <x:c r="C284" s="23" t="n">
        <x:v>1245.3987411805429</x:v>
      </x:c>
      <x:c r="D284" s="23" t="n">
        <x:v>468.83552335202694</x:v>
      </x:c>
      <x:c r="E284" s="23" t="n">
        <x:v>326.2092011119239</x:v>
      </x:c>
      <x:c r="F284" s="23" t="n">
        <x:v>23.795808014459908</x:v>
      </x:c>
      <x:c r="G284" s="23" t="n">
        <x:v>0.8362278863484972</x:v>
      </x:c>
      <x:c r="H284" s="23" t="n">
        <x:v>35</x:v>
      </x:c>
      <x:c r="I284" s="23" t="n">
        <x:v>25</x:v>
      </x:c>
      <x:c r="J284" s="23" t="n">
        <x:f>(IF(A284='Hybrid Calculator'!$B$6,0,1))^2+((B284-'Hybrid Calculator'!$B$7)/1500)^2+((C284-'Hybrid Calculator'!$B$8)/1300)^2+((D284-'Hybrid Calculator'!$B$9)/800)^2+((E284-'Hybrid Calculator'!$B$10)/350)^2+((F284-'Hybrid Calculator'!$B$11)/30)^2+(G284-'Hybrid Calculator'!$B$12)^2+((H284-'Hybrid Calculator'!$E$14)/IF(A284="Lightning",100,30000))^2+((I284-'Hybrid Calculator'!$E$17)/IF(A284="Lightning",100,30000))^2</x:f>
        <x:v>0.40188441622874616</x:v>
      </x:c>
      <x:c r="K284" s="23" t="n">
        <x:f>RANK(J284,$J$2:$J$1401,1)</x:f>
        <x:v>687</x:v>
      </x:c>
      <x:c r="L284" s="23" t="n">
        <x:f>IF(K284&lt;=7,1,0)</x:f>
        <x:v>0</x:v>
      </x:c>
      <x:c r="M284" s="23" t="n">
        <x:f>IF(L284=1,1/(J284+0.000001),0)</x:f>
        <x:v>0</x:v>
      </x:c>
      <x:c r="N284" s="23" t="n">
        <x:v>0.01421926378436611</x:v>
      </x:c>
      <x:c r="O284" s="23" t="n">
        <x:f>M284</x:f>
        <x:v>0</x:v>
      </x:c>
      <x:c r="P284" s="23" t="n">
        <x:v>1.8454047961566005</x:v>
      </x:c>
      <x:c r="Q284" s="23" t="n">
        <x:v>-18.716455800206404</x:v>
      </x:c>
    </x:row>
    <x:row r="285">
      <x:c r="A285" s="23" t="str">
        <x:v>Lightning</x:v>
      </x:c>
      <x:c r="B285" s="23" t="n">
        <x:v>1445.2263077138923</x:v>
      </x:c>
      <x:c r="C285" s="23" t="n">
        <x:v>1056.116537610069</x:v>
      </x:c>
      <x:c r="D285" s="23" t="n">
        <x:v>739.6674352698028</x:v>
      </x:c>
      <x:c r="E285" s="23" t="n">
        <x:v>131.32478603627533</x:v>
      </x:c>
      <x:c r="F285" s="23" t="n">
        <x:v>25.46747414721176</x:v>
      </x:c>
      <x:c r="G285" s="23" t="n">
        <x:v>0.8109948551841081</x:v>
      </x:c>
      <x:c r="H285" s="23" t="n">
        <x:v>35</x:v>
      </x:c>
      <x:c r="I285" s="23" t="n">
        <x:v>25</x:v>
      </x:c>
      <x:c r="J285" s="23" t="n">
        <x:f>(IF(A285='Hybrid Calculator'!$B$6,0,1))^2+((B285-'Hybrid Calculator'!$B$7)/1500)^2+((C285-'Hybrid Calculator'!$B$8)/1300)^2+((D285-'Hybrid Calculator'!$B$9)/800)^2+((E285-'Hybrid Calculator'!$B$10)/350)^2+((F285-'Hybrid Calculator'!$B$11)/30)^2+(G285-'Hybrid Calculator'!$B$12)^2+((H285-'Hybrid Calculator'!$E$14)/IF(A285="Lightning",100,30000))^2+((I285-'Hybrid Calculator'!$E$17)/IF(A285="Lightning",100,30000))^2</x:f>
        <x:v>0.1944388553899778</x:v>
      </x:c>
      <x:c r="K285" s="23" t="n">
        <x:f>RANK(J285,$J$2:$J$1401,1)</x:f>
        <x:v>434</x:v>
      </x:c>
      <x:c r="L285" s="23" t="n">
        <x:f>IF(K285&lt;=7,1,0)</x:f>
        <x:v>0</x:v>
      </x:c>
      <x:c r="M285" s="23" t="n">
        <x:f>IF(L285=1,1/(J285+0.000001),0)</x:f>
        <x:v>0</x:v>
      </x:c>
      <x:c r="N285" s="23" t="n">
        <x:v>-0.00006064132704008962</x:v>
      </x:c>
      <x:c r="O285" s="23" t="n">
        <x:f>M285</x:f>
        <x:v>0</x:v>
      </x:c>
      <x:c r="P285" s="23" t="n">
        <x:v>0.2691513337936158</x:v>
      </x:c>
      <x:c r="Q285" s="23" t="n">
        <x:v>-11.607500498970467</x:v>
      </x:c>
    </x:row>
    <x:row r="286">
      <x:c r="A286" s="23" t="str">
        <x:v>Lightning</x:v>
      </x:c>
      <x:c r="B286" s="23" t="n">
        <x:v>1358.4089614916593</x:v>
      </x:c>
      <x:c r="C286" s="23" t="n">
        <x:v>652.1607670816593</x:v>
      </x:c>
      <x:c r="D286" s="23" t="n">
        <x:v>721.858942322433</x:v>
      </x:c>
      <x:c r="E286" s="23" t="n">
        <x:v>205.2477730740793</x:v>
      </x:c>
      <x:c r="F286" s="23" t="n">
        <x:v>17.54739500582218</x:v>
      </x:c>
      <x:c r="G286" s="23" t="n">
        <x:v>0.8118449686304666</x:v>
      </x:c>
      <x:c r="H286" s="23" t="n">
        <x:v>45</x:v>
      </x:c>
      <x:c r="I286" s="23" t="n">
        <x:v>25</x:v>
      </x:c>
      <x:c r="J286" s="23" t="n">
        <x:f>(IF(A286='Hybrid Calculator'!$B$6,0,1))^2+((B286-'Hybrid Calculator'!$B$7)/1500)^2+((C286-'Hybrid Calculator'!$B$8)/1300)^2+((D286-'Hybrid Calculator'!$B$9)/800)^2+((E286-'Hybrid Calculator'!$B$10)/350)^2+((F286-'Hybrid Calculator'!$B$11)/30)^2+(G286-'Hybrid Calculator'!$B$12)^2+((H286-'Hybrid Calculator'!$E$14)/IF(A286="Lightning",100,30000))^2+((I286-'Hybrid Calculator'!$E$17)/IF(A286="Lightning",100,30000))^2</x:f>
        <x:v>0.13053088750419392</x:v>
      </x:c>
      <x:c r="K286" s="23" t="n">
        <x:f>RANK(J286,$J$2:$J$1401,1)</x:f>
        <x:v>279</x:v>
      </x:c>
      <x:c r="L286" s="23" t="n">
        <x:f>IF(K286&lt;=7,1,0)</x:f>
        <x:v>0</x:v>
      </x:c>
      <x:c r="M286" s="23" t="n">
        <x:f>IF(L286=1,1/(J286+0.000001),0)</x:f>
        <x:v>0</x:v>
      </x:c>
      <x:c r="N286" s="23" t="n">
        <x:v>-0.007121579780840159</x:v>
      </x:c>
      <x:c r="O286" s="23" t="n">
        <x:f>M286</x:f>
        <x:v>0</x:v>
      </x:c>
      <x:c r="P286" s="23" t="n">
        <x:v>-1.5974736482135938</x:v>
      </x:c>
      <x:c r="Q286" s="23" t="n">
        <x:v>8.94802033765086</x:v>
      </x:c>
    </x:row>
    <x:row r="287">
      <x:c r="A287" s="23" t="str">
        <x:v>Lightning</x:v>
      </x:c>
      <x:c r="B287" s="23" t="n">
        <x:v>1454.8698117141612</x:v>
      </x:c>
      <x:c r="C287" s="23" t="n">
        <x:v>637.9327436676249</x:v>
      </x:c>
      <x:c r="D287" s="23" t="n">
        <x:v>629.136945027858</x:v>
      </x:c>
      <x:c r="E287" s="23" t="n">
        <x:v>153.6560528166592</x:v>
      </x:c>
      <x:c r="F287" s="23" t="n">
        <x:v>21.22918457398191</x:v>
      </x:c>
      <x:c r="G287" s="23" t="n">
        <x:v>0.8143297811364756</x:v>
      </x:c>
      <x:c r="H287" s="23" t="n">
        <x:v>50</x:v>
      </x:c>
      <x:c r="I287" s="23" t="n">
        <x:v>25</x:v>
      </x:c>
      <x:c r="J287" s="23" t="n">
        <x:f>(IF(A287='Hybrid Calculator'!$B$6,0,1))^2+((B287-'Hybrid Calculator'!$B$7)/1500)^2+((C287-'Hybrid Calculator'!$B$8)/1300)^2+((D287-'Hybrid Calculator'!$B$9)/800)^2+((E287-'Hybrid Calculator'!$B$10)/350)^2+((F287-'Hybrid Calculator'!$B$11)/30)^2+(G287-'Hybrid Calculator'!$B$12)^2+((H287-'Hybrid Calculator'!$E$14)/IF(A287="Lightning",100,30000))^2+((I287-'Hybrid Calculator'!$E$17)/IF(A287="Lightning",100,30000))^2</x:f>
        <x:v>0.06148161421001993</x:v>
      </x:c>
      <x:c r="K287" s="23" t="n">
        <x:f>RANK(J287,$J$2:$J$1401,1)</x:f>
        <x:v>86</x:v>
      </x:c>
      <x:c r="L287" s="23" t="n">
        <x:f>IF(K287&lt;=7,1,0)</x:f>
        <x:v>0</x:v>
      </x:c>
      <x:c r="M287" s="23" t="n">
        <x:f>IF(L287=1,1/(J287+0.000001),0)</x:f>
        <x:v>0</x:v>
      </x:c>
      <x:c r="N287" s="23" t="n">
        <x:v>-0.010232662447138052</x:v>
      </x:c>
      <x:c r="O287" s="23" t="n">
        <x:f>M287</x:f>
        <x:v>0</x:v>
      </x:c>
      <x:c r="P287" s="23" t="n">
        <x:v>-1.4730640180928276</x:v>
      </x:c>
      <x:c r="Q287" s="23" t="n">
        <x:v>-4.428325439534547</x:v>
      </x:c>
    </x:row>
    <x:row r="288">
      <x:c r="A288" s="23" t="str">
        <x:v>Lightning</x:v>
      </x:c>
      <x:c r="B288" s="23" t="n">
        <x:v>1460.7093778671697</x:v>
      </x:c>
      <x:c r="C288" s="23" t="n">
        <x:v>1087.9530349862762</x:v>
      </x:c>
      <x:c r="D288" s="23" t="n">
        <x:v>398.6182853579521</x:v>
      </x:c>
      <x:c r="E288" s="23" t="n">
        <x:v>108.66414649179205</x:v>
      </x:c>
      <x:c r="F288" s="23" t="n">
        <x:v>29.7761494172737</x:v>
      </x:c>
      <x:c r="G288" s="23" t="n">
        <x:v>0.8355072637996637</x:v>
      </x:c>
      <x:c r="H288" s="23" t="n">
        <x:v>45</x:v>
      </x:c>
      <x:c r="I288" s="23" t="n">
        <x:v>25</x:v>
      </x:c>
      <x:c r="J288" s="23" t="n">
        <x:f>(IF(A288='Hybrid Calculator'!$B$6,0,1))^2+((B288-'Hybrid Calculator'!$B$7)/1500)^2+((C288-'Hybrid Calculator'!$B$8)/1300)^2+((D288-'Hybrid Calculator'!$B$9)/800)^2+((E288-'Hybrid Calculator'!$B$10)/350)^2+((F288-'Hybrid Calculator'!$B$11)/30)^2+(G288-'Hybrid Calculator'!$B$12)^2+((H288-'Hybrid Calculator'!$E$14)/IF(A288="Lightning",100,30000))^2+((I288-'Hybrid Calculator'!$E$17)/IF(A288="Lightning",100,30000))^2</x:f>
        <x:v>0.20809859596583555</x:v>
      </x:c>
      <x:c r="K288" s="23" t="n">
        <x:f>RANK(J288,$J$2:$J$1401,1)</x:f>
        <x:v>459</x:v>
      </x:c>
      <x:c r="L288" s="23" t="n">
        <x:f>IF(K288&lt;=7,1,0)</x:f>
        <x:v>0</x:v>
      </x:c>
      <x:c r="M288" s="23" t="n">
        <x:f>IF(L288=1,1/(J288+0.000001),0)</x:f>
        <x:v>0</x:v>
      </x:c>
      <x:c r="N288" s="23" t="n">
        <x:v>-0.013149506480136575</x:v>
      </x:c>
      <x:c r="O288" s="23" t="n">
        <x:f>M288</x:f>
        <x:v>0</x:v>
      </x:c>
      <x:c r="P288" s="23" t="n">
        <x:v>0.7634057865991934</x:v>
      </x:c>
      <x:c r="Q288" s="23" t="n">
        <x:v>-14.774825731029978</x:v>
      </x:c>
    </x:row>
    <x:row r="289">
      <x:c r="A289" s="23" t="str">
        <x:v>Lightning</x:v>
      </x:c>
      <x:c r="B289" s="23" t="n">
        <x:v>1480.2102292771451</x:v>
      </x:c>
      <x:c r="C289" s="23" t="n">
        <x:v>891.6235222481191</x:v>
      </x:c>
      <x:c r="D289" s="23" t="n">
        <x:v>748.0395278893411</x:v>
      </x:c>
      <x:c r="E289" s="23" t="n">
        <x:v>104.74199666175991</x:v>
      </x:c>
      <x:c r="F289" s="23" t="n">
        <x:v>28.328916003461927</x:v>
      </x:c>
      <x:c r="G289" s="23" t="n">
        <x:v>0.8348768659401685</x:v>
      </x:c>
      <x:c r="H289" s="23" t="n">
        <x:v>40</x:v>
      </x:c>
      <x:c r="I289" s="23" t="n">
        <x:v>25</x:v>
      </x:c>
      <x:c r="J289" s="23" t="n">
        <x:f>(IF(A289='Hybrid Calculator'!$B$6,0,1))^2+((B289-'Hybrid Calculator'!$B$7)/1500)^2+((C289-'Hybrid Calculator'!$B$8)/1300)^2+((D289-'Hybrid Calculator'!$B$9)/800)^2+((E289-'Hybrid Calculator'!$B$10)/350)^2+((F289-'Hybrid Calculator'!$B$11)/30)^2+(G289-'Hybrid Calculator'!$B$12)^2+((H289-'Hybrid Calculator'!$E$14)/IF(A289="Lightning",100,30000))^2+((I289-'Hybrid Calculator'!$E$17)/IF(A289="Lightning",100,30000))^2</x:f>
        <x:v>0.23279433356402046</x:v>
      </x:c>
      <x:c r="K289" s="23" t="n">
        <x:f>RANK(J289,$J$2:$J$1401,1)</x:f>
        <x:v>508</x:v>
      </x:c>
      <x:c r="L289" s="23" t="n">
        <x:f>IF(K289&lt;=7,1,0)</x:f>
        <x:v>0</x:v>
      </x:c>
      <x:c r="M289" s="23" t="n">
        <x:f>IF(L289=1,1/(J289+0.000001),0)</x:f>
        <x:v>0</x:v>
      </x:c>
      <x:c r="N289" s="23" t="n">
        <x:v>-0.014194052196544904</x:v>
      </x:c>
      <x:c r="O289" s="23" t="n">
        <x:f>M289</x:f>
        <x:v>0</x:v>
      </x:c>
      <x:c r="P289" s="23" t="n">
        <x:v>-0.9620450537034415</x:v>
      </x:c>
      <x:c r="Q289" s="23" t="n">
        <x:v>-25.099650354856976</x:v>
      </x:c>
    </x:row>
    <x:row r="290">
      <x:c r="A290" s="23" t="str">
        <x:v>Lightning</x:v>
      </x:c>
      <x:c r="B290" s="23" t="n">
        <x:v>1428.018370270729</x:v>
      </x:c>
      <x:c r="C290" s="23" t="n">
        <x:v>657.1353519684635</x:v>
      </x:c>
      <x:c r="D290" s="23" t="n">
        <x:v>703.9566086605191</x:v>
      </x:c>
      <x:c r="E290" s="23" t="n">
        <x:v>154.0361498319544</x:v>
      </x:c>
      <x:c r="F290" s="23" t="n">
        <x:v>15.155810384079814</x:v>
      </x:c>
      <x:c r="G290" s="23" t="n">
        <x:v>0.8233233595383354</x:v>
      </x:c>
      <x:c r="H290" s="23" t="n">
        <x:v>50</x:v>
      </x:c>
      <x:c r="I290" s="23" t="n">
        <x:v>25</x:v>
      </x:c>
      <x:c r="J290" s="23" t="n">
        <x:f>(IF(A290='Hybrid Calculator'!$B$6,0,1))^2+((B290-'Hybrid Calculator'!$B$7)/1500)^2+((C290-'Hybrid Calculator'!$B$8)/1300)^2+((D290-'Hybrid Calculator'!$B$9)/800)^2+((E290-'Hybrid Calculator'!$B$10)/350)^2+((F290-'Hybrid Calculator'!$B$11)/30)^2+(G290-'Hybrid Calculator'!$B$12)^2+((H290-'Hybrid Calculator'!$E$14)/IF(A290="Lightning",100,30000))^2+((I290-'Hybrid Calculator'!$E$17)/IF(A290="Lightning",100,30000))^2</x:f>
        <x:v>0.09958156994449052</x:v>
      </x:c>
      <x:c r="K290" s="23" t="n">
        <x:f>RANK(J290,$J$2:$J$1401,1)</x:f>
        <x:v>204</x:v>
      </x:c>
      <x:c r="L290" s="23" t="n">
        <x:f>IF(K290&lt;=7,1,0)</x:f>
        <x:v>0</x:v>
      </x:c>
      <x:c r="M290" s="23" t="n">
        <x:f>IF(L290=1,1/(J290+0.000001),0)</x:f>
        <x:v>0</x:v>
      </x:c>
      <x:c r="N290" s="23" t="n">
        <x:v>-0.010649726548806138</x:v>
      </x:c>
      <x:c r="O290" s="23" t="n">
        <x:f>M290</x:f>
        <x:v>0</x:v>
      </x:c>
      <x:c r="P290" s="23" t="n">
        <x:v>-0.33389934748466743</x:v>
      </x:c>
      <x:c r="Q290" s="23" t="n">
        <x:v>0.7353523850181318</x:v>
      </x:c>
    </x:row>
    <x:row r="291">
      <x:c r="A291" s="23" t="str">
        <x:v>Lightning</x:v>
      </x:c>
      <x:c r="B291" s="23" t="n">
        <x:v>1411.6832426399924</x:v>
      </x:c>
      <x:c r="C291" s="23" t="n">
        <x:v>1184.417293430306</x:v>
      </x:c>
      <x:c r="D291" s="23" t="n">
        <x:v>564.6407769061625</x:v>
      </x:c>
      <x:c r="E291" s="23" t="n">
        <x:v>226.0043245460838</x:v>
      </x:c>
      <x:c r="F291" s="23" t="n">
        <x:v>21.84522157581523</x:v>
      </x:c>
      <x:c r="G291" s="23" t="n">
        <x:v>0.8492994794296101</x:v>
      </x:c>
      <x:c r="H291" s="23" t="n">
        <x:v>35</x:v>
      </x:c>
      <x:c r="I291" s="23" t="n">
        <x:v>25</x:v>
      </x:c>
      <x:c r="J291" s="23" t="n">
        <x:f>(IF(A291='Hybrid Calculator'!$B$6,0,1))^2+((B291-'Hybrid Calculator'!$B$7)/1500)^2+((C291-'Hybrid Calculator'!$B$8)/1300)^2+((D291-'Hybrid Calculator'!$B$9)/800)^2+((E291-'Hybrid Calculator'!$B$10)/350)^2+((F291-'Hybrid Calculator'!$B$11)/30)^2+(G291-'Hybrid Calculator'!$B$12)^2+((H291-'Hybrid Calculator'!$E$14)/IF(A291="Lightning",100,30000))^2+((I291-'Hybrid Calculator'!$E$17)/IF(A291="Lightning",100,30000))^2</x:f>
        <x:v>0.15573086858429283</x:v>
      </x:c>
      <x:c r="K291" s="23" t="n">
        <x:f>RANK(J291,$J$2:$J$1401,1)</x:f>
        <x:v>344</x:v>
      </x:c>
      <x:c r="L291" s="23" t="n">
        <x:f>IF(K291&lt;=7,1,0)</x:f>
        <x:v>0</x:v>
      </x:c>
      <x:c r="M291" s="23" t="n">
        <x:f>IF(L291=1,1/(J291+0.000001),0)</x:f>
        <x:v>0</x:v>
      </x:c>
      <x:c r="N291" s="23" t="n">
        <x:v>0.0014874258996453449</x:v>
      </x:c>
      <x:c r="O291" s="23" t="n">
        <x:f>M291</x:f>
        <x:v>0</x:v>
      </x:c>
      <x:c r="P291" s="23" t="n">
        <x:v>-0.14252188236008578</x:v>
      </x:c>
      <x:c r="Q291" s="23" t="n">
        <x:v>-10.091789645088511</x:v>
      </x:c>
    </x:row>
    <x:row r="292">
      <x:c r="A292" s="23" t="str">
        <x:v>Lightning</x:v>
      </x:c>
      <x:c r="B292" s="23" t="n">
        <x:v>1494.9549526674673</x:v>
      </x:c>
      <x:c r="C292" s="23" t="n">
        <x:v>721.3290516869165</x:v>
      </x:c>
      <x:c r="D292" s="23" t="n">
        <x:v>591.9712904840708</x:v>
      </x:c>
      <x:c r="E292" s="23" t="n">
        <x:v>177.95011690584943</x:v>
      </x:c>
      <x:c r="F292" s="23" t="n">
        <x:v>28.007653796114028</x:v>
      </x:c>
      <x:c r="G292" s="23" t="n">
        <x:v>0.8508633203315549</x:v>
      </x:c>
      <x:c r="H292" s="23" t="n">
        <x:v>50</x:v>
      </x:c>
      <x:c r="I292" s="23" t="n">
        <x:v>25</x:v>
      </x:c>
      <x:c r="J292" s="23" t="n">
        <x:f>(IF(A292='Hybrid Calculator'!$B$6,0,1))^2+((B292-'Hybrid Calculator'!$B$7)/1500)^2+((C292-'Hybrid Calculator'!$B$8)/1300)^2+((D292-'Hybrid Calculator'!$B$9)/800)^2+((E292-'Hybrid Calculator'!$B$10)/350)^2+((F292-'Hybrid Calculator'!$B$11)/30)^2+(G292-'Hybrid Calculator'!$B$12)^2+((H292-'Hybrid Calculator'!$E$14)/IF(A292="Lightning",100,30000))^2+((I292-'Hybrid Calculator'!$E$17)/IF(A292="Lightning",100,30000))^2</x:f>
        <x:v>0.13295748290265227</x:v>
      </x:c>
      <x:c r="K292" s="23" t="n">
        <x:f>RANK(J292,$J$2:$J$1401,1)</x:f>
        <x:v>284</x:v>
      </x:c>
      <x:c r="L292" s="23" t="n">
        <x:f>IF(K292&lt;=7,1,0)</x:f>
        <x:v>0</x:v>
      </x:c>
      <x:c r="M292" s="23" t="n">
        <x:f>IF(L292=1,1/(J292+0.000001),0)</x:f>
        <x:v>0</x:v>
      </x:c>
      <x:c r="N292" s="23" t="n">
        <x:v>-0.0016969087456821796</x:v>
      </x:c>
      <x:c r="O292" s="23" t="n">
        <x:f>M292</x:f>
        <x:v>0</x:v>
      </x:c>
      <x:c r="P292" s="23" t="n">
        <x:v>0.5063358971880874</x:v>
      </x:c>
      <x:c r="Q292" s="23" t="n">
        <x:v>-1.072224781315981</x:v>
      </x:c>
    </x:row>
    <x:row r="293">
      <x:c r="A293" s="23" t="str">
        <x:v>Lightning</x:v>
      </x:c>
      <x:c r="B293" s="23" t="n">
        <x:v>1384.8676018766128</x:v>
      </x:c>
      <x:c r="C293" s="23" t="n">
        <x:v>731.8367473315448</x:v>
      </x:c>
      <x:c r="D293" s="23" t="n">
        <x:v>667.1053673140705</x:v>
      </x:c>
      <x:c r="E293" s="23" t="n">
        <x:v>271.22227642219514</x:v>
      </x:c>
      <x:c r="F293" s="23" t="n">
        <x:v>14.043720986228436</x:v>
      </x:c>
      <x:c r="G293" s="23" t="n">
        <x:v>0.8277621277421713</x:v>
      </x:c>
      <x:c r="H293" s="23" t="n">
        <x:v>45</x:v>
      </x:c>
      <x:c r="I293" s="23" t="n">
        <x:v>25</x:v>
      </x:c>
      <x:c r="J293" s="23" t="n">
        <x:f>(IF(A293='Hybrid Calculator'!$B$6,0,1))^2+((B293-'Hybrid Calculator'!$B$7)/1500)^2+((C293-'Hybrid Calculator'!$B$8)/1300)^2+((D293-'Hybrid Calculator'!$B$9)/800)^2+((E293-'Hybrid Calculator'!$B$10)/350)^2+((F293-'Hybrid Calculator'!$B$11)/30)^2+(G293-'Hybrid Calculator'!$B$12)^2+((H293-'Hybrid Calculator'!$E$14)/IF(A293="Lightning",100,30000))^2+((I293-'Hybrid Calculator'!$E$17)/IF(A293="Lightning",100,30000))^2</x:f>
        <x:v>0.19719230593268555</x:v>
      </x:c>
      <x:c r="K293" s="23" t="n">
        <x:f>RANK(J293,$J$2:$J$1401,1)</x:f>
        <x:v>441</x:v>
      </x:c>
      <x:c r="L293" s="23" t="n">
        <x:f>IF(K293&lt;=7,1,0)</x:f>
        <x:v>0</x:v>
      </x:c>
      <x:c r="M293" s="23" t="n">
        <x:f>IF(L293=1,1/(J293+0.000001),0)</x:f>
        <x:v>0</x:v>
      </x:c>
      <x:c r="N293" s="23" t="n">
        <x:v>-0.0020347356105081538</x:v>
      </x:c>
      <x:c r="O293" s="23" t="n">
        <x:f>M293</x:f>
        <x:v>0</x:v>
      </x:c>
      <x:c r="P293" s="23" t="n">
        <x:v>-1.1079104833154219</x:v>
      </x:c>
      <x:c r="Q293" s="23" t="n">
        <x:v>2.1843322827280645</x:v>
      </x:c>
    </x:row>
    <x:row r="294">
      <x:c r="A294" s="23" t="str">
        <x:v>Lightning</x:v>
      </x:c>
      <x:c r="B294" s="23" t="n">
        <x:v>1483.8094070088118</x:v>
      </x:c>
      <x:c r="C294" s="23" t="n">
        <x:v>1200.6499999086373</x:v>
      </x:c>
      <x:c r="D294" s="23" t="n">
        <x:v>500.4874503239989</x:v>
      </x:c>
      <x:c r="E294" s="23" t="n">
        <x:v>216.0485896584578</x:v>
      </x:c>
      <x:c r="F294" s="23" t="n">
        <x:v>15.719204913824797</x:v>
      </x:c>
      <x:c r="G294" s="23" t="n">
        <x:v>0.7923948897072114</x:v>
      </x:c>
      <x:c r="H294" s="23" t="n">
        <x:v>35</x:v>
      </x:c>
      <x:c r="I294" s="23" t="n">
        <x:v>25</x:v>
      </x:c>
      <x:c r="J294" s="23" t="n">
        <x:f>(IF(A294='Hybrid Calculator'!$B$6,0,1))^2+((B294-'Hybrid Calculator'!$B$7)/1500)^2+((C294-'Hybrid Calculator'!$B$8)/1300)^2+((D294-'Hybrid Calculator'!$B$9)/800)^2+((E294-'Hybrid Calculator'!$B$10)/350)^2+((F294-'Hybrid Calculator'!$B$11)/30)^2+(G294-'Hybrid Calculator'!$B$12)^2+((H294-'Hybrid Calculator'!$E$14)/IF(A294="Lightning",100,30000))^2+((I294-'Hybrid Calculator'!$E$17)/IF(A294="Lightning",100,30000))^2</x:f>
        <x:v>0.1417578173825676</x:v>
      </x:c>
      <x:c r="K294" s="23" t="n">
        <x:f>RANK(J294,$J$2:$J$1401,1)</x:f>
        <x:v>308</x:v>
      </x:c>
      <x:c r="L294" s="23" t="n">
        <x:f>IF(K294&lt;=7,1,0)</x:f>
        <x:v>0</x:v>
      </x:c>
      <x:c r="M294" s="23" t="n">
        <x:f>IF(L294=1,1/(J294+0.000001),0)</x:f>
        <x:v>0</x:v>
      </x:c>
      <x:c r="N294" s="23" t="n">
        <x:v>0.001814392098943296</x:v>
      </x:c>
      <x:c r="O294" s="23" t="n">
        <x:f>M294</x:f>
        <x:v>0</x:v>
      </x:c>
      <x:c r="P294" s="23" t="n">
        <x:v>1.1065956676116855</x:v>
      </x:c>
      <x:c r="Q294" s="23" t="n">
        <x:v>-7.592907030159722</x:v>
      </x:c>
    </x:row>
    <x:row r="295">
      <x:c r="A295" s="23" t="str">
        <x:v>Lightning</x:v>
      </x:c>
      <x:c r="B295" s="23" t="n">
        <x:v>1491.3172438857146</x:v>
      </x:c>
      <x:c r="C295" s="23" t="n">
        <x:v>690.0859481422231</x:v>
      </x:c>
      <x:c r="D295" s="23" t="n">
        <x:v>360.0157638080418</x:v>
      </x:c>
      <x:c r="E295" s="23" t="n">
        <x:v>319.7998562082648</x:v>
      </x:c>
      <x:c r="F295" s="23" t="n">
        <x:v>22.49114085966721</x:v>
      </x:c>
      <x:c r="G295" s="23" t="n">
        <x:v>0.8072866048989817</x:v>
      </x:c>
      <x:c r="H295" s="23" t="n">
        <x:v>50</x:v>
      </x:c>
      <x:c r="I295" s="23" t="n">
        <x:v>25</x:v>
      </x:c>
      <x:c r="J295" s="23" t="n">
        <x:f>(IF(A295='Hybrid Calculator'!$B$6,0,1))^2+((B295-'Hybrid Calculator'!$B$7)/1500)^2+((C295-'Hybrid Calculator'!$B$8)/1300)^2+((D295-'Hybrid Calculator'!$B$9)/800)^2+((E295-'Hybrid Calculator'!$B$10)/350)^2+((F295-'Hybrid Calculator'!$B$11)/30)^2+(G295-'Hybrid Calculator'!$B$12)^2+((H295-'Hybrid Calculator'!$E$14)/IF(A295="Lightning",100,30000))^2+((I295-'Hybrid Calculator'!$E$17)/IF(A295="Lightning",100,30000))^2</x:f>
        <x:v>0.3009283599493288</x:v>
      </x:c>
      <x:c r="K295" s="23" t="n">
        <x:f>RANK(J295,$J$2:$J$1401,1)</x:f>
        <x:v>597</x:v>
      </x:c>
      <x:c r="L295" s="23" t="n">
        <x:f>IF(K295&lt;=7,1,0)</x:f>
        <x:v>0</x:v>
      </x:c>
      <x:c r="M295" s="23" t="n">
        <x:f>IF(L295=1,1/(J295+0.000001),0)</x:f>
        <x:v>0</x:v>
      </x:c>
      <x:c r="N295" s="23" t="n">
        <x:v>-0.01715454487522816</x:v>
      </x:c>
      <x:c r="O295" s="23" t="n">
        <x:f>M295</x:f>
        <x:v>0</x:v>
      </x:c>
      <x:c r="P295" s="23" t="n">
        <x:v>-0.07000514863388929</x:v>
      </x:c>
      <x:c r="Q295" s="23" t="n">
        <x:v>-3.1058595444894763</x:v>
      </x:c>
    </x:row>
    <x:row r="296">
      <x:c r="A296" s="23" t="str">
        <x:v>Lightning</x:v>
      </x:c>
      <x:c r="B296" s="23" t="n">
        <x:v>1467.2074577305466</x:v>
      </x:c>
      <x:c r="C296" s="23" t="n">
        <x:v>1158.9529139804654</x:v>
      </x:c>
      <x:c r="D296" s="23" t="n">
        <x:v>413.13077937811613</x:v>
      </x:c>
      <x:c r="E296" s="23" t="n">
        <x:v>114.35721743153408</x:v>
      </x:c>
      <x:c r="F296" s="23" t="n">
        <x:v>8.559875138103962</x:v>
      </x:c>
      <x:c r="G296" s="23" t="n">
        <x:v>0.8261382887721993</x:v>
      </x:c>
      <x:c r="H296" s="23" t="n">
        <x:v>45</x:v>
      </x:c>
      <x:c r="I296" s="23" t="n">
        <x:v>25</x:v>
      </x:c>
      <x:c r="J296" s="23" t="n">
        <x:f>(IF(A296='Hybrid Calculator'!$B$6,0,1))^2+((B296-'Hybrid Calculator'!$B$7)/1500)^2+((C296-'Hybrid Calculator'!$B$8)/1300)^2+((D296-'Hybrid Calculator'!$B$9)/800)^2+((E296-'Hybrid Calculator'!$B$10)/350)^2+((F296-'Hybrid Calculator'!$B$11)/30)^2+(G296-'Hybrid Calculator'!$B$12)^2+((H296-'Hybrid Calculator'!$E$14)/IF(A296="Lightning",100,30000))^2+((I296-'Hybrid Calculator'!$E$17)/IF(A296="Lightning",100,30000))^2</x:f>
        <x:v>0.19175610538860355</x:v>
      </x:c>
      <x:c r="K296" s="23" t="n">
        <x:f>RANK(J296,$J$2:$J$1401,1)</x:f>
        <x:v>430</x:v>
      </x:c>
      <x:c r="L296" s="23" t="n">
        <x:f>IF(K296&lt;=7,1,0)</x:f>
        <x:v>0</x:v>
      </x:c>
      <x:c r="M296" s="23" t="n">
        <x:f>IF(L296=1,1/(J296+0.000001),0)</x:f>
        <x:v>0</x:v>
      </x:c>
      <x:c r="N296" s="23" t="n">
        <x:v>-0.003763799806265178</x:v>
      </x:c>
      <x:c r="O296" s="23" t="n">
        <x:f>M296</x:f>
        <x:v>0</x:v>
      </x:c>
      <x:c r="P296" s="23" t="n">
        <x:v>0.05963483912686485</x:v>
      </x:c>
      <x:c r="Q296" s="23" t="n">
        <x:v>11.390260167644328</x:v>
      </x:c>
    </x:row>
    <x:row r="297">
      <x:c r="A297" s="23" t="str">
        <x:v>Lightning</x:v>
      </x:c>
      <x:c r="B297" s="23" t="n">
        <x:v>1491.6673014988191</x:v>
      </x:c>
      <x:c r="C297" s="23" t="n">
        <x:v>1035.229244059883</x:v>
      </x:c>
      <x:c r="D297" s="23" t="n">
        <x:v>602.8695133514702</x:v>
      </x:c>
      <x:c r="E297" s="23" t="n">
        <x:v>155.7115907035768</x:v>
      </x:c>
      <x:c r="F297" s="23" t="n">
        <x:v>20.71889206627384</x:v>
      </x:c>
      <x:c r="G297" s="23" t="n">
        <x:v>0.8250321677466855</x:v>
      </x:c>
      <x:c r="H297" s="23" t="n">
        <x:v>35</x:v>
      </x:c>
      <x:c r="I297" s="23" t="n">
        <x:v>25</x:v>
      </x:c>
      <x:c r="J297" s="23" t="n">
        <x:f>(IF(A297='Hybrid Calculator'!$B$6,0,1))^2+((B297-'Hybrid Calculator'!$B$7)/1500)^2+((C297-'Hybrid Calculator'!$B$8)/1300)^2+((D297-'Hybrid Calculator'!$B$9)/800)^2+((E297-'Hybrid Calculator'!$B$10)/350)^2+((F297-'Hybrid Calculator'!$B$11)/30)^2+(G297-'Hybrid Calculator'!$B$12)^2+((H297-'Hybrid Calculator'!$E$14)/IF(A297="Lightning",100,30000))^2+((I297-'Hybrid Calculator'!$E$17)/IF(A297="Lightning",100,30000))^2</x:f>
        <x:v>0.06707379739167052</x:v>
      </x:c>
      <x:c r="K297" s="23" t="n">
        <x:f>RANK(J297,$J$2:$J$1401,1)</x:f>
        <x:v>102</x:v>
      </x:c>
      <x:c r="L297" s="23" t="n">
        <x:f>IF(K297&lt;=7,1,0)</x:f>
        <x:v>0</x:v>
      </x:c>
      <x:c r="M297" s="23" t="n">
        <x:f>IF(L297=1,1/(J297+0.000001),0)</x:f>
        <x:v>0</x:v>
      </x:c>
      <x:c r="N297" s="23" t="n">
        <x:v>0.006786362247807487</x:v>
      </x:c>
      <x:c r="O297" s="23" t="n">
        <x:f>M297</x:f>
        <x:v>0</x:v>
      </x:c>
      <x:c r="P297" s="23" t="n">
        <x:v>0.026674599194819848</x:v>
      </x:c>
      <x:c r="Q297" s="23" t="n">
        <x:v>-13.639649491591399</x:v>
      </x:c>
    </x:row>
    <x:row r="298">
      <x:c r="A298" s="23" t="str">
        <x:v>Lightning</x:v>
      </x:c>
      <x:c r="B298" s="23" t="n">
        <x:v>1438.7042339192703</x:v>
      </x:c>
      <x:c r="C298" s="23" t="n">
        <x:v>818.2902339962311</x:v>
      </x:c>
      <x:c r="D298" s="23" t="n">
        <x:v>568.5764670372009</x:v>
      </x:c>
      <x:c r="E298" s="23" t="n">
        <x:v>135.1389287575148</x:v>
      </x:c>
      <x:c r="F298" s="23" t="n">
        <x:v>24.22782440762967</x:v>
      </x:c>
      <x:c r="G298" s="23" t="n">
        <x:v>0.7983223801082932</x:v>
      </x:c>
      <x:c r="H298" s="23" t="n">
        <x:v>45</x:v>
      </x:c>
      <x:c r="I298" s="23" t="n">
        <x:v>25</x:v>
      </x:c>
      <x:c r="J298" s="23" t="n">
        <x:f>(IF(A298='Hybrid Calculator'!$B$6,0,1))^2+((B298-'Hybrid Calculator'!$B$7)/1500)^2+((C298-'Hybrid Calculator'!$B$8)/1300)^2+((D298-'Hybrid Calculator'!$B$9)/800)^2+((E298-'Hybrid Calculator'!$B$10)/350)^2+((F298-'Hybrid Calculator'!$B$11)/30)^2+(G298-'Hybrid Calculator'!$B$12)^2+((H298-'Hybrid Calculator'!$E$14)/IF(A298="Lightning",100,30000))^2+((I298-'Hybrid Calculator'!$E$17)/IF(A298="Lightning",100,30000))^2</x:f>
        <x:v>0.049252554531322976</x:v>
      </x:c>
      <x:c r="K298" s="23" t="n">
        <x:f>RANK(J298,$J$2:$J$1401,1)</x:f>
        <x:v>51</x:v>
      </x:c>
      <x:c r="L298" s="23" t="n">
        <x:f>IF(K298&lt;=7,1,0)</x:f>
        <x:v>0</x:v>
      </x:c>
      <x:c r="M298" s="23" t="n">
        <x:f>IF(L298=1,1/(J298+0.000001),0)</x:f>
        <x:v>0</x:v>
      </x:c>
      <x:c r="N298" s="23" t="n">
        <x:v>-0.006228549418486384</x:v>
      </x:c>
      <x:c r="O298" s="23" t="n">
        <x:f>M298</x:f>
        <x:v>0</x:v>
      </x:c>
      <x:c r="P298" s="23" t="n">
        <x:v>-0.5980909579358737</x:v>
      </x:c>
      <x:c r="Q298" s="23" t="n">
        <x:v>-10.786428921758443</x:v>
      </x:c>
    </x:row>
    <x:row r="299">
      <x:c r="A299" s="23" t="str">
        <x:v>Lightning</x:v>
      </x:c>
      <x:c r="B299" s="23" t="n">
        <x:v>1350.0007481197827</x:v>
      </x:c>
      <x:c r="C299" s="23" t="n">
        <x:v>949.5885343290865</x:v>
      </x:c>
      <x:c r="D299" s="23" t="n">
        <x:v>447.5681877695024</x:v>
      </x:c>
      <x:c r="E299" s="23" t="n">
        <x:v>318.8588875764981</x:v>
      </x:c>
      <x:c r="F299" s="23" t="n">
        <x:v>21.09970320528373</x:v>
      </x:c>
      <x:c r="G299" s="23" t="n">
        <x:v>0.8430449509713799</x:v>
      </x:c>
      <x:c r="H299" s="23" t="n">
        <x:v>40</x:v>
      </x:c>
      <x:c r="I299" s="23" t="n">
        <x:v>25</x:v>
      </x:c>
      <x:c r="J299" s="23" t="n">
        <x:f>(IF(A299='Hybrid Calculator'!$B$6,0,1))^2+((B299-'Hybrid Calculator'!$B$7)/1500)^2+((C299-'Hybrid Calculator'!$B$8)/1300)^2+((D299-'Hybrid Calculator'!$B$9)/800)^2+((E299-'Hybrid Calculator'!$B$10)/350)^2+((F299-'Hybrid Calculator'!$B$11)/30)^2+(G299-'Hybrid Calculator'!$B$12)^2+((H299-'Hybrid Calculator'!$E$14)/IF(A299="Lightning",100,30000))^2+((I299-'Hybrid Calculator'!$E$17)/IF(A299="Lightning",100,30000))^2</x:f>
        <x:v>0.2634662707668147</x:v>
      </x:c>
      <x:c r="K299" s="23" t="n">
        <x:f>RANK(J299,$J$2:$J$1401,1)</x:f>
        <x:v>561</x:v>
      </x:c>
      <x:c r="L299" s="23" t="n">
        <x:f>IF(K299&lt;=7,1,0)</x:f>
        <x:v>0</x:v>
      </x:c>
      <x:c r="M299" s="23" t="n">
        <x:f>IF(L299=1,1/(J299+0.000001),0)</x:f>
        <x:v>0</x:v>
      </x:c>
      <x:c r="N299" s="23" t="n">
        <x:v>-0.0033342485514704645</x:v>
      </x:c>
      <x:c r="O299" s="23" t="n">
        <x:f>M299</x:f>
        <x:v>0</x:v>
      </x:c>
      <x:c r="P299" s="23" t="n">
        <x:v>0.33198203787952707</x:v>
      </x:c>
      <x:c r="Q299" s="23" t="n">
        <x:v>-4.182262662554422</x:v>
      </x:c>
    </x:row>
    <x:row r="300">
      <x:c r="A300" s="23" t="str">
        <x:v>Lightning</x:v>
      </x:c>
      <x:c r="B300" s="23" t="n">
        <x:v>1454.1976494714618</x:v>
      </x:c>
      <x:c r="C300" s="23" t="n">
        <x:v>720.8856169483624</x:v>
      </x:c>
      <x:c r="D300" s="23" t="n">
        <x:v>371.53548020869493</x:v>
      </x:c>
      <x:c r="E300" s="23" t="n">
        <x:v>104.76347942138091</x:v>
      </x:c>
      <x:c r="F300" s="23" t="n">
        <x:v>29.084876319393516</x:v>
      </x:c>
      <x:c r="G300" s="23" t="n">
        <x:v>0.8439287442085334</x:v>
      </x:c>
      <x:c r="H300" s="23" t="n">
        <x:v>60</x:v>
      </x:c>
      <x:c r="I300" s="23" t="n">
        <x:v>25</x:v>
      </x:c>
      <x:c r="J300" s="23" t="n">
        <x:f>(IF(A300='Hybrid Calculator'!$B$6,0,1))^2+((B300-'Hybrid Calculator'!$B$7)/1500)^2+((C300-'Hybrid Calculator'!$B$8)/1300)^2+((D300-'Hybrid Calculator'!$B$9)/800)^2+((E300-'Hybrid Calculator'!$B$10)/350)^2+((F300-'Hybrid Calculator'!$B$11)/30)^2+(G300-'Hybrid Calculator'!$B$12)^2+((H300-'Hybrid Calculator'!$E$14)/IF(A300="Lightning",100,30000))^2+((I300-'Hybrid Calculator'!$E$17)/IF(A300="Lightning",100,30000))^2</x:f>
        <x:v>0.1877951263267485</x:v>
      </x:c>
      <x:c r="K300" s="23" t="n">
        <x:f>RANK(J300,$J$2:$J$1401,1)</x:f>
        <x:v>420</x:v>
      </x:c>
      <x:c r="L300" s="23" t="n">
        <x:f>IF(K300&lt;=7,1,0)</x:f>
        <x:v>0</x:v>
      </x:c>
      <x:c r="M300" s="23" t="n">
        <x:f>IF(L300=1,1/(J300+0.000001),0)</x:f>
        <x:v>0</x:v>
      </x:c>
      <x:c r="N300" s="23" t="n">
        <x:v>-0.002979914306744602</x:v>
      </x:c>
      <x:c r="O300" s="23" t="n">
        <x:f>M300</x:f>
        <x:v>0</x:v>
      </x:c>
      <x:c r="P300" s="23" t="n">
        <x:v>0.04809483956468341</x:v>
      </x:c>
      <x:c r="Q300" s="23" t="n">
        <x:v>-1.7364468755843063</x:v>
      </x:c>
    </x:row>
    <x:row r="301">
      <x:c r="A301" s="23" t="str">
        <x:v>Lightning</x:v>
      </x:c>
      <x:c r="B301" s="23" t="n">
        <x:v>1487.6323383883573</x:v>
      </x:c>
      <x:c r="C301" s="23" t="n">
        <x:v>831.6863309824839</x:v>
      </x:c>
      <x:c r="D301" s="23" t="n">
        <x:v>499.8601854778826</x:v>
      </x:c>
      <x:c r="E301" s="23" t="n">
        <x:v>154.78735106997192</x:v>
      </x:c>
      <x:c r="F301" s="23" t="n">
        <x:v>27.760992963332683</x:v>
      </x:c>
      <x:c r="G301" s="23" t="n">
        <x:v>0.8218365941615775</x:v>
      </x:c>
      <x:c r="H301" s="23" t="n">
        <x:v>45</x:v>
      </x:c>
      <x:c r="I301" s="23" t="n">
        <x:v>25</x:v>
      </x:c>
      <x:c r="J301" s="23" t="n">
        <x:f>(IF(A301='Hybrid Calculator'!$B$6,0,1))^2+((B301-'Hybrid Calculator'!$B$7)/1500)^2+((C301-'Hybrid Calculator'!$B$8)/1300)^2+((D301-'Hybrid Calculator'!$B$9)/800)^2+((E301-'Hybrid Calculator'!$B$10)/350)^2+((F301-'Hybrid Calculator'!$B$11)/30)^2+(G301-'Hybrid Calculator'!$B$12)^2+((H301-'Hybrid Calculator'!$E$14)/IF(A301="Lightning",100,30000))^2+((I301-'Hybrid Calculator'!$E$17)/IF(A301="Lightning",100,30000))^2</x:f>
        <x:v>0.09992796741178046</x:v>
      </x:c>
      <x:c r="K301" s="23" t="n">
        <x:f>RANK(J301,$J$2:$J$1401,1)</x:f>
        <x:v>207</x:v>
      </x:c>
      <x:c r="L301" s="23" t="n">
        <x:f>IF(K301&lt;=7,1,0)</x:f>
        <x:v>0</x:v>
      </x:c>
      <x:c r="M301" s="23" t="n">
        <x:f>IF(L301=1,1/(J301+0.000001),0)</x:f>
        <x:v>0</x:v>
      </x:c>
      <x:c r="N301" s="23" t="n">
        <x:v>-0.013010633667036142</x:v>
      </x:c>
      <x:c r="O301" s="23" t="n">
        <x:f>M301</x:f>
        <x:v>0</x:v>
      </x:c>
      <x:c r="P301" s="23" t="n">
        <x:v>0.44570818032892845</x:v>
      </x:c>
      <x:c r="Q301" s="23" t="n">
        <x:v>-11.835908352447404</x:v>
      </x:c>
    </x:row>
    <x:row r="302">
      <x:c r="A302" s="23" t="str">
        <x:v>Lightning</x:v>
      </x:c>
      <x:c r="B302" s="23" t="n">
        <x:v>1375.0693945912644</x:v>
      </x:c>
      <x:c r="C302" s="23" t="n">
        <x:v>684.2496215016581</x:v>
      </x:c>
      <x:c r="D302" s="23" t="n">
        <x:v>475.95337219536304</x:v>
      </x:c>
      <x:c r="E302" s="23" t="n">
        <x:v>224.55042238114402</x:v>
      </x:c>
      <x:c r="F302" s="23" t="n">
        <x:v>16.87312509212643</x:v>
      </x:c>
      <x:c r="G302" s="23" t="n">
        <x:v>0.8528010318311863</x:v>
      </x:c>
      <x:c r="H302" s="23" t="n">
        <x:v>55</x:v>
      </x:c>
      <x:c r="I302" s="23" t="n">
        <x:v>25</x:v>
      </x:c>
      <x:c r="J302" s="23" t="n">
        <x:f>(IF(A302='Hybrid Calculator'!$B$6,0,1))^2+((B302-'Hybrid Calculator'!$B$7)/1500)^2+((C302-'Hybrid Calculator'!$B$8)/1300)^2+((D302-'Hybrid Calculator'!$B$9)/800)^2+((E302-'Hybrid Calculator'!$B$10)/350)^2+((F302-'Hybrid Calculator'!$B$11)/30)^2+(G302-'Hybrid Calculator'!$B$12)^2+((H302-'Hybrid Calculator'!$E$14)/IF(A302="Lightning",100,30000))^2+((I302-'Hybrid Calculator'!$E$17)/IF(A302="Lightning",100,30000))^2</x:f>
        <x:v>0.07015407774691433</x:v>
      </x:c>
      <x:c r="K302" s="23" t="n">
        <x:f>RANK(J302,$J$2:$J$1401,1)</x:f>
        <x:v>112</x:v>
      </x:c>
      <x:c r="L302" s="23" t="n">
        <x:f>IF(K302&lt;=7,1,0)</x:f>
        <x:v>0</x:v>
      </x:c>
      <x:c r="M302" s="23" t="n">
        <x:f>IF(L302=1,1/(J302+0.000001),0)</x:f>
        <x:v>0</x:v>
      </x:c>
      <x:c r="N302" s="23" t="n">
        <x:v>-0.0037710935224668507</x:v>
      </x:c>
      <x:c r="O302" s="23" t="n">
        <x:f>M302</x:f>
        <x:v>0</x:v>
      </x:c>
      <x:c r="P302" s="23" t="n">
        <x:v>0.3318690420187522</x:v>
      </x:c>
      <x:c r="Q302" s="23" t="n">
        <x:v>4.933309806369607</x:v>
      </x:c>
    </x:row>
    <x:row r="303">
      <x:c r="A303" s="23" t="str">
        <x:v>Lightning</x:v>
      </x:c>
      <x:c r="B303" s="23" t="n">
        <x:v>1474.893382040318</x:v>
      </x:c>
      <x:c r="C303" s="23" t="n">
        <x:v>782.6537111308426</x:v>
      </x:c>
      <x:c r="D303" s="23" t="n">
        <x:v>455.8241526596248</x:v>
      </x:c>
      <x:c r="E303" s="23" t="n">
        <x:v>231.33309445809573</x:v>
      </x:c>
      <x:c r="F303" s="23" t="n">
        <x:v>10.470147240441293</x:v>
      </x:c>
      <x:c r="G303" s="23" t="n">
        <x:v>0.7996373802796006</x:v>
      </x:c>
      <x:c r="H303" s="23" t="n">
        <x:v>45</x:v>
      </x:c>
      <x:c r="I303" s="23" t="n">
        <x:v>25</x:v>
      </x:c>
      <x:c r="J303" s="23" t="n">
        <x:f>(IF(A303='Hybrid Calculator'!$B$6,0,1))^2+((B303-'Hybrid Calculator'!$B$7)/1500)^2+((C303-'Hybrid Calculator'!$B$8)/1300)^2+((D303-'Hybrid Calculator'!$B$9)/800)^2+((E303-'Hybrid Calculator'!$B$10)/350)^2+((F303-'Hybrid Calculator'!$B$11)/30)^2+(G303-'Hybrid Calculator'!$B$12)^2+((H303-'Hybrid Calculator'!$E$14)/IF(A303="Lightning",100,30000))^2+((I303-'Hybrid Calculator'!$E$17)/IF(A303="Lightning",100,30000))^2</x:f>
        <x:v>0.1353973892667365</x:v>
      </x:c>
      <x:c r="K303" s="23" t="n">
        <x:f>RANK(J303,$J$2:$J$1401,1)</x:f>
        <x:v>292</x:v>
      </x:c>
      <x:c r="L303" s="23" t="n">
        <x:f>IF(K303&lt;=7,1,0)</x:f>
        <x:v>0</x:v>
      </x:c>
      <x:c r="M303" s="23" t="n">
        <x:f>IF(L303=1,1/(J303+0.000001),0)</x:f>
        <x:v>0</x:v>
      </x:c>
      <x:c r="N303" s="23" t="n">
        <x:v>0.010433325459334508</x:v>
      </x:c>
      <x:c r="O303" s="23" t="n">
        <x:f>M303</x:f>
        <x:v>0</x:v>
      </x:c>
      <x:c r="P303" s="23" t="n">
        <x:v>-0.4170622682785208</x:v>
      </x:c>
      <x:c r="Q303" s="23" t="n">
        <x:v>5.244768706793593</x:v>
      </x:c>
    </x:row>
    <x:row r="304">
      <x:c r="A304" s="23" t="str">
        <x:v>Lightning</x:v>
      </x:c>
      <x:c r="B304" s="23" t="n">
        <x:v>1486.6082367952913</x:v>
      </x:c>
      <x:c r="C304" s="23" t="n">
        <x:v>646.6348054702394</x:v>
      </x:c>
      <x:c r="D304" s="23" t="n">
        <x:v>351.8581738695502</x:v>
      </x:c>
      <x:c r="E304" s="23" t="n">
        <x:v>249.5546263945289</x:v>
      </x:c>
      <x:c r="F304" s="23" t="n">
        <x:v>27.669438485056162</x:v>
      </x:c>
      <x:c r="G304" s="23" t="n">
        <x:v>0.819552197533194</x:v>
      </x:c>
      <x:c r="H304" s="23" t="n">
        <x:v>55</x:v>
      </x:c>
      <x:c r="I304" s="23" t="n">
        <x:v>25</x:v>
      </x:c>
      <x:c r="J304" s="23" t="n">
        <x:f>(IF(A304='Hybrid Calculator'!$B$6,0,1))^2+((B304-'Hybrid Calculator'!$B$7)/1500)^2+((C304-'Hybrid Calculator'!$B$8)/1300)^2+((D304-'Hybrid Calculator'!$B$9)/800)^2+((E304-'Hybrid Calculator'!$B$10)/350)^2+((F304-'Hybrid Calculator'!$B$11)/30)^2+(G304-'Hybrid Calculator'!$B$12)^2+((H304-'Hybrid Calculator'!$E$14)/IF(A304="Lightning",100,30000))^2+((I304-'Hybrid Calculator'!$E$17)/IF(A304="Lightning",100,30000))^2</x:f>
        <x:v>0.23727738516253136</x:v>
      </x:c>
      <x:c r="K304" s="23" t="n">
        <x:f>RANK(J304,$J$2:$J$1401,1)</x:f>
        <x:v>516</x:v>
      </x:c>
      <x:c r="L304" s="23" t="n">
        <x:f>IF(K304&lt;=7,1,0)</x:f>
        <x:v>0</x:v>
      </x:c>
      <x:c r="M304" s="23" t="n">
        <x:f>IF(L304=1,1/(J304+0.000001),0)</x:f>
        <x:v>0</x:v>
      </x:c>
      <x:c r="N304" s="23" t="n">
        <x:v>-0.006068611839230353</x:v>
      </x:c>
      <x:c r="O304" s="23" t="n">
        <x:f>M304</x:f>
        <x:v>0</x:v>
      </x:c>
      <x:c r="P304" s="23" t="n">
        <x:v>-0.6666779212978469</x:v>
      </x:c>
      <x:c r="Q304" s="23" t="n">
        <x:v>-2.875829551761626</x:v>
      </x:c>
    </x:row>
    <x:row r="305">
      <x:c r="A305" s="23" t="str">
        <x:v>Lightning</x:v>
      </x:c>
      <x:c r="B305" s="23" t="n">
        <x:v>1485.205701563973</x:v>
      </x:c>
      <x:c r="C305" s="23" t="n">
        <x:v>841.8258615536615</x:v>
      </x:c>
      <x:c r="D305" s="23" t="n">
        <x:v>655.0134097225964</x:v>
      </x:c>
      <x:c r="E305" s="23" t="n">
        <x:v>167.65355870127678</x:v>
      </x:c>
      <x:c r="F305" s="23" t="n">
        <x:v>16.695652762893587</x:v>
      </x:c>
      <x:c r="G305" s="23" t="n">
        <x:v>0.8110275254352018</x:v>
      </x:c>
      <x:c r="H305" s="23" t="n">
        <x:v>40</x:v>
      </x:c>
      <x:c r="I305" s="23" t="n">
        <x:v>25</x:v>
      </x:c>
      <x:c r="J305" s="23" t="n">
        <x:f>(IF(A305='Hybrid Calculator'!$B$6,0,1))^2+((B305-'Hybrid Calculator'!$B$7)/1500)^2+((C305-'Hybrid Calculator'!$B$8)/1300)^2+((D305-'Hybrid Calculator'!$B$9)/800)^2+((E305-'Hybrid Calculator'!$B$10)/350)^2+((F305-'Hybrid Calculator'!$B$11)/30)^2+(G305-'Hybrid Calculator'!$B$12)^2+((H305-'Hybrid Calculator'!$E$14)/IF(A305="Lightning",100,30000))^2+((I305-'Hybrid Calculator'!$E$17)/IF(A305="Lightning",100,30000))^2</x:f>
        <x:v>0.05543806573830995</x:v>
      </x:c>
      <x:c r="K305" s="23" t="n">
        <x:f>RANK(J305,$J$2:$J$1401,1)</x:f>
        <x:v>69</x:v>
      </x:c>
      <x:c r="L305" s="23" t="n">
        <x:f>IF(K305&lt;=7,1,0)</x:f>
        <x:v>0</x:v>
      </x:c>
      <x:c r="M305" s="23" t="n">
        <x:f>IF(L305=1,1/(J305+0.000001),0)</x:f>
        <x:v>0</x:v>
      </x:c>
      <x:c r="N305" s="23" t="n">
        <x:v>-0.0022027127695172233</x:v>
      </x:c>
      <x:c r="O305" s="23" t="n">
        <x:f>M305</x:f>
        <x:v>0</x:v>
      </x:c>
      <x:c r="P305" s="23" t="n">
        <x:v>0.00036860003361738336</x:v>
      </x:c>
      <x:c r="Q305" s="23" t="n">
        <x:v>5.081370887842013</x:v>
      </x:c>
    </x:row>
    <x:row r="306">
      <x:c r="A306" s="23" t="str">
        <x:v>Lightning</x:v>
      </x:c>
      <x:c r="B306" s="23" t="n">
        <x:v>1465.2222210774198</x:v>
      </x:c>
      <x:c r="C306" s="23" t="n">
        <x:v>612.7793819759972</x:v>
      </x:c>
      <x:c r="D306" s="23" t="n">
        <x:v>660.2940179407597</x:v>
      </x:c>
      <x:c r="E306" s="23" t="n">
        <x:v>232.9000200680457</x:v>
      </x:c>
      <x:c r="F306" s="23" t="n">
        <x:v>26.913026615045965</x:v>
      </x:c>
      <x:c r="G306" s="23" t="n">
        <x:v>0.7989724243222737</x:v>
      </x:c>
      <x:c r="H306" s="23" t="n">
        <x:v>45</x:v>
      </x:c>
      <x:c r="I306" s="23" t="n">
        <x:v>25</x:v>
      </x:c>
      <x:c r="J306" s="23" t="n">
        <x:f>(IF(A306='Hybrid Calculator'!$B$6,0,1))^2+((B306-'Hybrid Calculator'!$B$7)/1500)^2+((C306-'Hybrid Calculator'!$B$8)/1300)^2+((D306-'Hybrid Calculator'!$B$9)/800)^2+((E306-'Hybrid Calculator'!$B$10)/350)^2+((F306-'Hybrid Calculator'!$B$11)/30)^2+(G306-'Hybrid Calculator'!$B$12)^2+((H306-'Hybrid Calculator'!$E$14)/IF(A306="Lightning",100,30000))^2+((I306-'Hybrid Calculator'!$E$17)/IF(A306="Lightning",100,30000))^2</x:f>
        <x:v>0.21185102350288776</x:v>
      </x:c>
      <x:c r="K306" s="23" t="n">
        <x:f>RANK(J306,$J$2:$J$1401,1)</x:f>
        <x:v>473</x:v>
      </x:c>
      <x:c r="L306" s="23" t="n">
        <x:f>IF(K306&lt;=7,1,0)</x:f>
        <x:v>0</x:v>
      </x:c>
      <x:c r="M306" s="23" t="n">
        <x:f>IF(L306=1,1/(J306+0.000001),0)</x:f>
        <x:v>0</x:v>
      </x:c>
      <x:c r="N306" s="23" t="n">
        <x:v>0.0010788760487963067</x:v>
      </x:c>
      <x:c r="O306" s="23" t="n">
        <x:f>M306</x:f>
        <x:v>0</x:v>
      </x:c>
      <x:c r="P306" s="23" t="n">
        <x:v>-1.0132334128415792</x:v>
      </x:c>
      <x:c r="Q306" s="23" t="n">
        <x:v>-2.1700557422063866</x:v>
      </x:c>
    </x:row>
    <x:row r="307">
      <x:c r="A307" s="23" t="str">
        <x:v>Lightning</x:v>
      </x:c>
      <x:c r="B307" s="23" t="n">
        <x:v>1375.6487060221843</x:v>
      </x:c>
      <x:c r="C307" s="23" t="n">
        <x:v>1023.8076800480485</x:v>
      </x:c>
      <x:c r="D307" s="23" t="n">
        <x:v>431.277637090534</x:v>
      </x:c>
      <x:c r="E307" s="23" t="n">
        <x:v>300.8158188732341</x:v>
      </x:c>
      <x:c r="F307" s="23" t="n">
        <x:v>8.873572760727257</x:v>
      </x:c>
      <x:c r="G307" s="23" t="n">
        <x:v>0.8564778702612966</x:v>
      </x:c>
      <x:c r="H307" s="23" t="n">
        <x:v>45</x:v>
      </x:c>
      <x:c r="I307" s="23" t="n">
        <x:v>25</x:v>
      </x:c>
      <x:c r="J307" s="23" t="n">
        <x:f>(IF(A307='Hybrid Calculator'!$B$6,0,1))^2+((B307-'Hybrid Calculator'!$B$7)/1500)^2+((C307-'Hybrid Calculator'!$B$8)/1300)^2+((D307-'Hybrid Calculator'!$B$9)/800)^2+((E307-'Hybrid Calculator'!$B$10)/350)^2+((F307-'Hybrid Calculator'!$B$11)/30)^2+(G307-'Hybrid Calculator'!$B$12)^2+((H307-'Hybrid Calculator'!$E$14)/IF(A307="Lightning",100,30000))^2+((I307-'Hybrid Calculator'!$E$17)/IF(A307="Lightning",100,30000))^2</x:f>
        <x:v>0.3188090154411706</x:v>
      </x:c>
      <x:c r="K307" s="23" t="n">
        <x:f>RANK(J307,$J$2:$J$1401,1)</x:f>
        <x:v>622</x:v>
      </x:c>
      <x:c r="L307" s="23" t="n">
        <x:f>IF(K307&lt;=7,1,0)</x:f>
        <x:v>0</x:v>
      </x:c>
      <x:c r="M307" s="23" t="n">
        <x:f>IF(L307=1,1/(J307+0.000001),0)</x:f>
        <x:v>0</x:v>
      </x:c>
      <x:c r="N307" s="23" t="n">
        <x:v>0.016533392064308705</x:v>
      </x:c>
      <x:c r="O307" s="23" t="n">
        <x:f>M307</x:f>
        <x:v>0</x:v>
      </x:c>
      <x:c r="P307" s="23" t="n">
        <x:v>1.0067007234630765</x:v>
      </x:c>
      <x:c r="Q307" s="23" t="n">
        <x:v>-2.977556827554963</x:v>
      </x:c>
    </x:row>
    <x:row r="308">
      <x:c r="A308" s="23" t="str">
        <x:v>Lightning</x:v>
      </x:c>
      <x:c r="B308" s="23" t="n">
        <x:v>1429.4574801810086</x:v>
      </x:c>
      <x:c r="C308" s="23" t="n">
        <x:v>1022.9701199918054</x:v>
      </x:c>
      <x:c r="D308" s="23" t="n">
        <x:v>499.18371830135584</x:v>
      </x:c>
      <x:c r="E308" s="23" t="n">
        <x:v>156.9579709158279</x:v>
      </x:c>
      <x:c r="F308" s="23" t="n">
        <x:v>10.248898224905133</x:v>
      </x:c>
      <x:c r="G308" s="23" t="n">
        <x:v>0.8170814269711264</x:v>
      </x:c>
      <x:c r="H308" s="23" t="n">
        <x:v>45</x:v>
      </x:c>
      <x:c r="I308" s="23" t="n">
        <x:v>25</x:v>
      </x:c>
      <x:c r="J308" s="23" t="n">
        <x:f>(IF(A308='Hybrid Calculator'!$B$6,0,1))^2+((B308-'Hybrid Calculator'!$B$7)/1500)^2+((C308-'Hybrid Calculator'!$B$8)/1300)^2+((D308-'Hybrid Calculator'!$B$9)/800)^2+((E308-'Hybrid Calculator'!$B$10)/350)^2+((F308-'Hybrid Calculator'!$B$11)/30)^2+(G308-'Hybrid Calculator'!$B$12)^2+((H308-'Hybrid Calculator'!$E$14)/IF(A308="Lightning",100,30000))^2+((I308-'Hybrid Calculator'!$E$17)/IF(A308="Lightning",100,30000))^2</x:f>
        <x:v>0.09626215210458514</x:v>
      </x:c>
      <x:c r="K308" s="23" t="n">
        <x:f>RANK(J308,$J$2:$J$1401,1)</x:f>
        <x:v>192</x:v>
      </x:c>
      <x:c r="L308" s="23" t="n">
        <x:f>IF(K308&lt;=7,1,0)</x:f>
        <x:v>0</x:v>
      </x:c>
      <x:c r="M308" s="23" t="n">
        <x:f>IF(L308=1,1/(J308+0.000001),0)</x:f>
        <x:v>0</x:v>
      </x:c>
      <x:c r="N308" s="23" t="n">
        <x:v>0.009309846140262534</x:v>
      </x:c>
      <x:c r="O308" s="23" t="n">
        <x:f>M308</x:f>
        <x:v>0</x:v>
      </x:c>
      <x:c r="P308" s="23" t="n">
        <x:v>0.9856084038233064</x:v>
      </x:c>
      <x:c r="Q308" s="23" t="n">
        <x:v>0.4351647934695393</x:v>
      </x:c>
    </x:row>
    <x:row r="309">
      <x:c r="A309" s="23" t="str">
        <x:v>Lightning</x:v>
      </x:c>
      <x:c r="B309" s="23" t="n">
        <x:v>1491.265325958375</x:v>
      </x:c>
      <x:c r="C309" s="23" t="n">
        <x:v>609.1045928420499</x:v>
      </x:c>
      <x:c r="D309" s="23" t="n">
        <x:v>488.98128950968385</x:v>
      </x:c>
      <x:c r="E309" s="23" t="n">
        <x:v>283.34268477745354</x:v>
      </x:c>
      <x:c r="F309" s="23" t="n">
        <x:v>11.64286419795826</x:v>
      </x:c>
      <x:c r="G309" s="23" t="n">
        <x:v>0.8018446423346177</x:v>
      </x:c>
      <x:c r="H309" s="23" t="n">
        <x:v>50</x:v>
      </x:c>
      <x:c r="I309" s="23" t="n">
        <x:v>25</x:v>
      </x:c>
      <x:c r="J309" s="23" t="n">
        <x:f>(IF(A309='Hybrid Calculator'!$B$6,0,1))^2+((B309-'Hybrid Calculator'!$B$7)/1500)^2+((C309-'Hybrid Calculator'!$B$8)/1300)^2+((D309-'Hybrid Calculator'!$B$9)/800)^2+((E309-'Hybrid Calculator'!$B$10)/350)^2+((F309-'Hybrid Calculator'!$B$11)/30)^2+(G309-'Hybrid Calculator'!$B$12)^2+((H309-'Hybrid Calculator'!$E$14)/IF(A309="Lightning",100,30000))^2+((I309-'Hybrid Calculator'!$E$17)/IF(A309="Lightning",100,30000))^2</x:f>
        <x:v>0.23419841638807262</x:v>
      </x:c>
      <x:c r="K309" s="23" t="n">
        <x:f>RANK(J309,$J$2:$J$1401,1)</x:f>
        <x:v>513</x:v>
      </x:c>
      <x:c r="L309" s="23" t="n">
        <x:f>IF(K309&lt;=7,1,0)</x:f>
        <x:v>0</x:v>
      </x:c>
      <x:c r="M309" s="23" t="n">
        <x:f>IF(L309=1,1/(J309+0.000001),0)</x:f>
        <x:v>0</x:v>
      </x:c>
      <x:c r="N309" s="23" t="n">
        <x:v>-0.008847523862049345</x:v>
      </x:c>
      <x:c r="O309" s="23" t="n">
        <x:f>M309</x:f>
        <x:v>0</x:v>
      </x:c>
      <x:c r="P309" s="23" t="n">
        <x:v>-1.5309829226244815</x:v>
      </x:c>
      <x:c r="Q309" s="23" t="n">
        <x:v>21.04542185506125</x:v>
      </x:c>
    </x:row>
    <x:row r="310">
      <x:c r="A310" s="23" t="str">
        <x:v>Lightning</x:v>
      </x:c>
      <x:c r="B310" s="23" t="n">
        <x:v>1455.8787401765585</x:v>
      </x:c>
      <x:c r="C310" s="23" t="n">
        <x:v>1230.0778551376425</x:v>
      </x:c>
      <x:c r="D310" s="23" t="n">
        <x:v>531.7028718069196</x:v>
      </x:c>
      <x:c r="E310" s="23" t="n">
        <x:v>246.95100121432915</x:v>
      </x:c>
      <x:c r="F310" s="23" t="n">
        <x:v>23.339568151161075</x:v>
      </x:c>
      <x:c r="G310" s="23" t="n">
        <x:v>0.8214055216056295</x:v>
      </x:c>
      <x:c r="H310" s="23" t="n">
        <x:v>35</x:v>
      </x:c>
      <x:c r="I310" s="23" t="n">
        <x:v>25</x:v>
      </x:c>
      <x:c r="J310" s="23" t="n">
        <x:f>(IF(A310='Hybrid Calculator'!$B$6,0,1))^2+((B310-'Hybrid Calculator'!$B$7)/1500)^2+((C310-'Hybrid Calculator'!$B$8)/1300)^2+((D310-'Hybrid Calculator'!$B$9)/800)^2+((E310-'Hybrid Calculator'!$B$10)/350)^2+((F310-'Hybrid Calculator'!$B$11)/30)^2+(G310-'Hybrid Calculator'!$B$12)^2+((H310-'Hybrid Calculator'!$E$14)/IF(A310="Lightning",100,30000))^2+((I310-'Hybrid Calculator'!$E$17)/IF(A310="Lightning",100,30000))^2</x:f>
        <x:v>0.2127293638933194</x:v>
      </x:c>
      <x:c r="K310" s="23" t="n">
        <x:f>RANK(J310,$J$2:$J$1401,1)</x:f>
        <x:v>475</x:v>
      </x:c>
      <x:c r="L310" s="23" t="n">
        <x:f>IF(K310&lt;=7,1,0)</x:f>
        <x:v>0</x:v>
      </x:c>
      <x:c r="M310" s="23" t="n">
        <x:f>IF(L310=1,1/(J310+0.000001),0)</x:f>
        <x:v>0</x:v>
      </x:c>
      <x:c r="N310" s="23" t="n">
        <x:v>0.015153327038582853</x:v>
      </x:c>
      <x:c r="O310" s="23" t="n">
        <x:f>M310</x:f>
        <x:v>0</x:v>
      </x:c>
      <x:c r="P310" s="23" t="n">
        <x:v>1.1799530539549181</x:v>
      </x:c>
      <x:c r="Q310" s="23" t="n">
        <x:v>-14.464987014699318</x:v>
      </x:c>
    </x:row>
    <x:row r="311">
      <x:c r="A311" s="23" t="str">
        <x:v>Lightning</x:v>
      </x:c>
      <x:c r="B311" s="23" t="n">
        <x:v>1451.887133962009</x:v>
      </x:c>
      <x:c r="C311" s="23" t="n">
        <x:v>1107.2960062185302</x:v>
      </x:c>
      <x:c r="D311" s="23" t="n">
        <x:v>650.42774239555</x:v>
      </x:c>
      <x:c r="E311" s="23" t="n">
        <x:v>318.96133876405656</x:v>
      </x:c>
      <x:c r="F311" s="23" t="n">
        <x:v>23.96524463267997</x:v>
      </x:c>
      <x:c r="G311" s="23" t="n">
        <x:v>0.809140885998495</x:v>
      </x:c>
      <x:c r="H311" s="23" t="n">
        <x:v>35</x:v>
      </x:c>
      <x:c r="I311" s="23" t="n">
        <x:v>25</x:v>
      </x:c>
      <x:c r="J311" s="23" t="n">
        <x:f>(IF(A311='Hybrid Calculator'!$B$6,0,1))^2+((B311-'Hybrid Calculator'!$B$7)/1500)^2+((C311-'Hybrid Calculator'!$B$8)/1300)^2+((D311-'Hybrid Calculator'!$B$9)/800)^2+((E311-'Hybrid Calculator'!$B$10)/350)^2+((F311-'Hybrid Calculator'!$B$11)/30)^2+(G311-'Hybrid Calculator'!$B$12)^2+((H311-'Hybrid Calculator'!$E$14)/IF(A311="Lightning",100,30000))^2+((I311-'Hybrid Calculator'!$E$17)/IF(A311="Lightning",100,30000))^2</x:f>
        <x:v>0.3637006102532585</x:v>
      </x:c>
      <x:c r="K311" s="23" t="n">
        <x:f>RANK(J311,$J$2:$J$1401,1)</x:f>
        <x:v>661</x:v>
      </x:c>
      <x:c r="L311" s="23" t="n">
        <x:f>IF(K311&lt;=7,1,0)</x:f>
        <x:v>0</x:v>
      </x:c>
      <x:c r="M311" s="23" t="n">
        <x:f>IF(L311=1,1/(J311+0.000001),0)</x:f>
        <x:v>0</x:v>
      </x:c>
      <x:c r="N311" s="23" t="n">
        <x:v>0.01856627480786699</x:v>
      </x:c>
      <x:c r="O311" s="23" t="n">
        <x:f>M311</x:f>
        <x:v>0</x:v>
      </x:c>
      <x:c r="P311" s="23" t="n">
        <x:v>-0.5075699576739936</x:v>
      </x:c>
      <x:c r="Q311" s="23" t="n">
        <x:v>-19.71706205973919</x:v>
      </x:c>
    </x:row>
    <x:row r="312">
      <x:c r="A312" s="23" t="str">
        <x:v>Lightning</x:v>
      </x:c>
      <x:c r="B312" s="23" t="n">
        <x:v>1364.4582119537517</x:v>
      </x:c>
      <x:c r="C312" s="23" t="n">
        <x:v>992.8708963678218</x:v>
      </x:c>
      <x:c r="D312" s="23" t="n">
        <x:v>369.82820369303226</x:v>
      </x:c>
      <x:c r="E312" s="23" t="n">
        <x:v>226.98708354262635</x:v>
      </x:c>
      <x:c r="F312" s="23" t="n">
        <x:v>28.61406893376261</x:v>
      </x:c>
      <x:c r="G312" s="23" t="n">
        <x:v>0.8163628483074717</x:v>
      </x:c>
      <x:c r="H312" s="23" t="n">
        <x:v>45</x:v>
      </x:c>
      <x:c r="I312" s="23" t="n">
        <x:v>25</x:v>
      </x:c>
      <x:c r="J312" s="23" t="n">
        <x:f>(IF(A312='Hybrid Calculator'!$B$6,0,1))^2+((B312-'Hybrid Calculator'!$B$7)/1500)^2+((C312-'Hybrid Calculator'!$B$8)/1300)^2+((D312-'Hybrid Calculator'!$B$9)/800)^2+((E312-'Hybrid Calculator'!$B$10)/350)^2+((F312-'Hybrid Calculator'!$B$11)/30)^2+(G312-'Hybrid Calculator'!$B$12)^2+((H312-'Hybrid Calculator'!$E$14)/IF(A312="Lightning",100,30000))^2+((I312-'Hybrid Calculator'!$E$17)/IF(A312="Lightning",100,30000))^2</x:f>
        <x:v>0.20474070191958427</x:v>
      </x:c>
      <x:c r="K312" s="23" t="n">
        <x:f>RANK(J312,$J$2:$J$1401,1)</x:f>
        <x:v>456</x:v>
      </x:c>
      <x:c r="L312" s="23" t="n">
        <x:f>IF(K312&lt;=7,1,0)</x:f>
        <x:v>0</x:v>
      </x:c>
      <x:c r="M312" s="23" t="n">
        <x:f>IF(L312=1,1/(J312+0.000001),0)</x:f>
        <x:v>0</x:v>
      </x:c>
      <x:c r="N312" s="23" t="n">
        <x:v>-0.0056828087370912606</x:v>
      </x:c>
      <x:c r="O312" s="23" t="n">
        <x:f>M312</x:f>
        <x:v>0</x:v>
      </x:c>
      <x:c r="P312" s="23" t="n">
        <x:v>-0.28973092142948786</x:v>
      </x:c>
      <x:c r="Q312" s="23" t="n">
        <x:v>-8.025369657593046</x:v>
      </x:c>
    </x:row>
    <x:row r="313">
      <x:c r="A313" s="23" t="str">
        <x:v>Lightning</x:v>
      </x:c>
      <x:c r="B313" s="23" t="n">
        <x:v>1387.406742980238</x:v>
      </x:c>
      <x:c r="C313" s="23" t="n">
        <x:v>1008.5006322246045</x:v>
      </x:c>
      <x:c r="D313" s="23" t="n">
        <x:v>668.9525182358921</x:v>
      </x:c>
      <x:c r="E313" s="23" t="n">
        <x:v>164.27736710291356</x:v>
      </x:c>
      <x:c r="F313" s="23" t="n">
        <x:v>16.227469395380467</x:v>
      </x:c>
      <x:c r="G313" s="23" t="n">
        <x:v>0.8208281306922436</x:v>
      </x:c>
      <x:c r="H313" s="23" t="n">
        <x:v>40</x:v>
      </x:c>
      <x:c r="I313" s="23" t="n">
        <x:v>25</x:v>
      </x:c>
      <x:c r="J313" s="23" t="n">
        <x:f>(IF(A313='Hybrid Calculator'!$B$6,0,1))^2+((B313-'Hybrid Calculator'!$B$7)/1500)^2+((C313-'Hybrid Calculator'!$B$8)/1300)^2+((D313-'Hybrid Calculator'!$B$9)/800)^2+((E313-'Hybrid Calculator'!$B$10)/350)^2+((F313-'Hybrid Calculator'!$B$11)/30)^2+(G313-'Hybrid Calculator'!$B$12)^2+((H313-'Hybrid Calculator'!$E$14)/IF(A313="Lightning",100,30000))^2+((I313-'Hybrid Calculator'!$E$17)/IF(A313="Lightning",100,30000))^2</x:f>
        <x:v>0.07749788649437148</x:v>
      </x:c>
      <x:c r="K313" s="23" t="n">
        <x:f>RANK(J313,$J$2:$J$1401,1)</x:f>
        <x:v>131</x:v>
      </x:c>
      <x:c r="L313" s="23" t="n">
        <x:f>IF(K313&lt;=7,1,0)</x:f>
        <x:v>0</x:v>
      </x:c>
      <x:c r="M313" s="23" t="n">
        <x:f>IF(L313=1,1/(J313+0.000001),0)</x:f>
        <x:v>0</x:v>
      </x:c>
      <x:c r="N313" s="23" t="n">
        <x:v>-0.0001357611008383497</x:v>
      </x:c>
      <x:c r="O313" s="23" t="n">
        <x:f>M313</x:f>
        <x:v>0</x:v>
      </x:c>
      <x:c r="P313" s="23" t="n">
        <x:v>0.7384442887588278</x:v>
      </x:c>
      <x:c r="Q313" s="23" t="n">
        <x:v>-1.5640547731147763</x:v>
      </x:c>
    </x:row>
    <x:row r="314">
      <x:c r="A314" s="23" t="str">
        <x:v>Lightning</x:v>
      </x:c>
      <x:c r="B314" s="23" t="n">
        <x:v>1465.296260593459</x:v>
      </x:c>
      <x:c r="C314" s="23" t="n">
        <x:v>1005.4896009038202</x:v>
      </x:c>
      <x:c r="D314" s="23" t="n">
        <x:v>400.0853007659316</x:v>
      </x:c>
      <x:c r="E314" s="23" t="n">
        <x:v>286.0528759029694</x:v>
      </x:c>
      <x:c r="F314" s="23" t="n">
        <x:v>27.560585733503103</x:v>
      </x:c>
      <x:c r="G314" s="23" t="n">
        <x:v>0.8318776739039458</x:v>
      </x:c>
      <x:c r="H314" s="23" t="n">
        <x:v>40</x:v>
      </x:c>
      <x:c r="I314" s="23" t="n">
        <x:v>25</x:v>
      </x:c>
      <x:c r="J314" s="23" t="n">
        <x:f>(IF(A314='Hybrid Calculator'!$B$6,0,1))^2+((B314-'Hybrid Calculator'!$B$7)/1500)^2+((C314-'Hybrid Calculator'!$B$8)/1300)^2+((D314-'Hybrid Calculator'!$B$9)/800)^2+((E314-'Hybrid Calculator'!$B$10)/350)^2+((F314-'Hybrid Calculator'!$B$11)/30)^2+(G314-'Hybrid Calculator'!$B$12)^2+((H314-'Hybrid Calculator'!$E$14)/IF(A314="Lightning",100,30000))^2+((I314-'Hybrid Calculator'!$E$17)/IF(A314="Lightning",100,30000))^2</x:f>
        <x:v>0.2830880216291526</x:v>
      </x:c>
      <x:c r="K314" s="23" t="n">
        <x:f>RANK(J314,$J$2:$J$1401,1)</x:f>
        <x:v>586</x:v>
      </x:c>
      <x:c r="L314" s="23" t="n">
        <x:f>IF(K314&lt;=7,1,0)</x:f>
        <x:v>0</x:v>
      </x:c>
      <x:c r="M314" s="23" t="n">
        <x:f>IF(L314=1,1/(J314+0.000001),0)</x:f>
        <x:v>0</x:v>
      </x:c>
      <x:c r="N314" s="23" t="n">
        <x:v>-0.004800632283667561</x:v>
      </x:c>
      <x:c r="O314" s="23" t="n">
        <x:f>M314</x:f>
        <x:v>0</x:v>
      </x:c>
      <x:c r="P314" s="23" t="n">
        <x:v>-0.5466302547304593</x:v>
      </x:c>
      <x:c r="Q314" s="23" t="n">
        <x:v>-12.690203488702537</x:v>
      </x:c>
    </x:row>
    <x:row r="315">
      <x:c r="A315" s="23" t="str">
        <x:v>Lightning</x:v>
      </x:c>
      <x:c r="B315" s="23" t="n">
        <x:v>1364.543985959608</x:v>
      </x:c>
      <x:c r="C315" s="23" t="n">
        <x:v>875.7716546533629</x:v>
      </x:c>
      <x:c r="D315" s="23" t="n">
        <x:v>514.2498900182545</x:v>
      </x:c>
      <x:c r="E315" s="23" t="n">
        <x:v>169.1311401501298</x:v>
      </x:c>
      <x:c r="F315" s="23" t="n">
        <x:v>14.16663414472714</x:v>
      </x:c>
      <x:c r="G315" s="23" t="n">
        <x:v>0.8023876051930711</x:v>
      </x:c>
      <x:c r="H315" s="23" t="n">
        <x:v>50</x:v>
      </x:c>
      <x:c r="I315" s="23" t="n">
        <x:v>25</x:v>
      </x:c>
      <x:c r="J315" s="23" t="n">
        <x:f>(IF(A315='Hybrid Calculator'!$B$6,0,1))^2+((B315-'Hybrid Calculator'!$B$7)/1500)^2+((C315-'Hybrid Calculator'!$B$8)/1300)^2+((D315-'Hybrid Calculator'!$B$9)/800)^2+((E315-'Hybrid Calculator'!$B$10)/350)^2+((F315-'Hybrid Calculator'!$B$11)/30)^2+(G315-'Hybrid Calculator'!$B$12)^2+((H315-'Hybrid Calculator'!$E$14)/IF(A315="Lightning",100,30000))^2+((I315-'Hybrid Calculator'!$E$17)/IF(A315="Lightning",100,30000))^2</x:f>
        <x:v>0.026497164803666054</x:v>
      </x:c>
      <x:c r="K315" s="23" t="n">
        <x:f>RANK(J315,$J$2:$J$1401,1)</x:f>
        <x:v>18</x:v>
      </x:c>
      <x:c r="L315" s="23" t="n">
        <x:f>IF(K315&lt;=7,1,0)</x:f>
        <x:v>0</x:v>
      </x:c>
      <x:c r="M315" s="23" t="n">
        <x:f>IF(L315=1,1/(J315+0.000001),0)</x:f>
        <x:v>0</x:v>
      </x:c>
      <x:c r="N315" s="23" t="n">
        <x:v>-0.003949289128382105</x:v>
      </x:c>
      <x:c r="O315" s="23" t="n">
        <x:f>M315</x:f>
        <x:v>0</x:v>
      </x:c>
      <x:c r="P315" s="23" t="n">
        <x:v>-0.5322739749332186</x:v>
      </x:c>
      <x:c r="Q315" s="23" t="n">
        <x:v>5.066748387132293</x:v>
      </x:c>
    </x:row>
    <x:row r="316">
      <x:c r="A316" s="23" t="str">
        <x:v>Lightning</x:v>
      </x:c>
      <x:c r="B316" s="23" t="n">
        <x:v>1487.4898158246651</x:v>
      </x:c>
      <x:c r="C316" s="23" t="n">
        <x:v>1124.7482354869135</x:v>
      </x:c>
      <x:c r="D316" s="23" t="n">
        <x:v>571.6110996901989</x:v>
      </x:c>
      <x:c r="E316" s="23" t="n">
        <x:v>148.8368859118782</x:v>
      </x:c>
      <x:c r="F316" s="23" t="n">
        <x:v>10.335472679696977</x:v>
      </x:c>
      <x:c r="G316" s="23" t="n">
        <x:v>0.8340862164064311</x:v>
      </x:c>
      <x:c r="H316" s="23" t="n">
        <x:v>40</x:v>
      </x:c>
      <x:c r="I316" s="23" t="n">
        <x:v>25</x:v>
      </x:c>
      <x:c r="J316" s="23" t="n">
        <x:f>(IF(A316='Hybrid Calculator'!$B$6,0,1))^2+((B316-'Hybrid Calculator'!$B$7)/1500)^2+((C316-'Hybrid Calculator'!$B$8)/1300)^2+((D316-'Hybrid Calculator'!$B$9)/800)^2+((E316-'Hybrid Calculator'!$B$10)/350)^2+((F316-'Hybrid Calculator'!$B$11)/30)^2+(G316-'Hybrid Calculator'!$B$12)^2+((H316-'Hybrid Calculator'!$E$14)/IF(A316="Lightning",100,30000))^2+((I316-'Hybrid Calculator'!$E$17)/IF(A316="Lightning",100,30000))^2</x:f>
        <x:v>0.1386904853583228</x:v>
      </x:c>
      <x:c r="K316" s="23" t="n">
        <x:f>RANK(J316,$J$2:$J$1401,1)</x:f>
        <x:v>298</x:v>
      </x:c>
      <x:c r="L316" s="23" t="n">
        <x:f>IF(K316&lt;=7,1,0)</x:f>
        <x:v>0</x:v>
      </x:c>
      <x:c r="M316" s="23" t="n">
        <x:f>IF(L316=1,1/(J316+0.000001),0)</x:f>
        <x:v>0</x:v>
      </x:c>
      <x:c r="N316" s="23" t="n">
        <x:v>0.005164778973675288</x:v>
      </x:c>
      <x:c r="O316" s="23" t="n">
        <x:f>M316</x:f>
        <x:v>0</x:v>
      </x:c>
      <x:c r="P316" s="23" t="n">
        <x:v>1.3606820580123724</x:v>
      </x:c>
      <x:c r="Q316" s="23" t="n">
        <x:v>5.322501147061075</x:v>
      </x:c>
    </x:row>
    <x:row r="317">
      <x:c r="A317" s="23" t="str">
        <x:v>Lightning</x:v>
      </x:c>
      <x:c r="B317" s="23" t="n">
        <x:v>1407.6305264490657</x:v>
      </x:c>
      <x:c r="C317" s="23" t="n">
        <x:v>978.9405833929777</x:v>
      </x:c>
      <x:c r="D317" s="23" t="n">
        <x:v>428.7793098948896</x:v>
      </x:c>
      <x:c r="E317" s="23" t="n">
        <x:v>220.76873764861375</x:v>
      </x:c>
      <x:c r="F317" s="23" t="n">
        <x:v>20.500536577310413</x:v>
      </x:c>
      <x:c r="G317" s="23" t="n">
        <x:v>0.8372176823299379</x:v>
      </x:c>
      <x:c r="H317" s="23" t="n">
        <x:v>45</x:v>
      </x:c>
      <x:c r="I317" s="23" t="n">
        <x:v>25</x:v>
      </x:c>
      <x:c r="J317" s="23" t="n">
        <x:f>(IF(A317='Hybrid Calculator'!$B$6,0,1))^2+((B317-'Hybrid Calculator'!$B$7)/1500)^2+((C317-'Hybrid Calculator'!$B$8)/1300)^2+((D317-'Hybrid Calculator'!$B$9)/800)^2+((E317-'Hybrid Calculator'!$B$10)/350)^2+((F317-'Hybrid Calculator'!$B$11)/30)^2+(G317-'Hybrid Calculator'!$B$12)^2+((H317-'Hybrid Calculator'!$E$14)/IF(A317="Lightning",100,30000))^2+((I317-'Hybrid Calculator'!$E$17)/IF(A317="Lightning",100,30000))^2</x:f>
        <x:v>0.06602402903250414</x:v>
      </x:c>
      <x:c r="K317" s="23" t="n">
        <x:f>RANK(J317,$J$2:$J$1401,1)</x:f>
        <x:v>96</x:v>
      </x:c>
      <x:c r="L317" s="23" t="n">
        <x:f>IF(K317&lt;=7,1,0)</x:f>
        <x:v>0</x:v>
      </x:c>
      <x:c r="M317" s="23" t="n">
        <x:f>IF(L317=1,1/(J317+0.000001),0)</x:f>
        <x:v>0</x:v>
      </x:c>
      <x:c r="N317" s="23" t="n">
        <x:v>-0.010110565571853858</x:v>
      </x:c>
      <x:c r="O317" s="23" t="n">
        <x:f>M317</x:f>
        <x:v>0</x:v>
      </x:c>
      <x:c r="P317" s="23" t="n">
        <x:v>-0.39184196049923514</x:v>
      </x:c>
      <x:c r="Q317" s="23" t="n">
        <x:v>-2.0820831821267802</x:v>
      </x:c>
    </x:row>
    <x:row r="318">
      <x:c r="A318" s="23" t="str">
        <x:v>Lightning</x:v>
      </x:c>
      <x:c r="B318" s="23" t="n">
        <x:v>1411.983825545758</x:v>
      </x:c>
      <x:c r="C318" s="23" t="n">
        <x:v>871.3825780316256</x:v>
      </x:c>
      <x:c r="D318" s="23" t="n">
        <x:v>681.7798608914018</x:v>
      </x:c>
      <x:c r="E318" s="23" t="n">
        <x:v>309.6109060407616</x:v>
      </x:c>
      <x:c r="F318" s="23" t="n">
        <x:v>21.410715291276574</x:v>
      </x:c>
      <x:c r="G318" s="23" t="n">
        <x:v>0.7902027058159001</x:v>
      </x:c>
      <x:c r="H318" s="23" t="n">
        <x:v>40</x:v>
      </x:c>
      <x:c r="I318" s="23" t="n">
        <x:v>25</x:v>
      </x:c>
      <x:c r="J318" s="23" t="n">
        <x:f>(IF(A318='Hybrid Calculator'!$B$6,0,1))^2+((B318-'Hybrid Calculator'!$B$7)/1500)^2+((C318-'Hybrid Calculator'!$B$8)/1300)^2+((D318-'Hybrid Calculator'!$B$9)/800)^2+((E318-'Hybrid Calculator'!$B$10)/350)^2+((F318-'Hybrid Calculator'!$B$11)/30)^2+(G318-'Hybrid Calculator'!$B$12)^2+((H318-'Hybrid Calculator'!$E$14)/IF(A318="Lightning",100,30000))^2+((I318-'Hybrid Calculator'!$E$17)/IF(A318="Lightning",100,30000))^2</x:f>
        <x:v>0.2802428848004865</x:v>
      </x:c>
      <x:c r="K318" s="23" t="n">
        <x:f>RANK(J318,$J$2:$J$1401,1)</x:f>
        <x:v>581</x:v>
      </x:c>
      <x:c r="L318" s="23" t="n">
        <x:f>IF(K318&lt;=7,1,0)</x:f>
        <x:v>0</x:v>
      </x:c>
      <x:c r="M318" s="23" t="n">
        <x:f>IF(L318=1,1/(J318+0.000001),0)</x:f>
        <x:v>0</x:v>
      </x:c>
      <x:c r="N318" s="23" t="n">
        <x:v>0.0005521033838706835</x:v>
      </x:c>
      <x:c r="O318" s="23" t="n">
        <x:f>M318</x:f>
        <x:v>0</x:v>
      </x:c>
      <x:c r="P318" s="23" t="n">
        <x:v>-0.7274172798459233</x:v>
      </x:c>
      <x:c r="Q318" s="23" t="n">
        <x:v>-6.910368576420751</x:v>
      </x:c>
    </x:row>
    <x:row r="319">
      <x:c r="A319" s="23" t="str">
        <x:v>Lightning</x:v>
      </x:c>
      <x:c r="B319" s="23" t="n">
        <x:v>1402.7248246246018</x:v>
      </x:c>
      <x:c r="C319" s="23" t="n">
        <x:v>1137.8466650145128</x:v>
      </x:c>
      <x:c r="D319" s="23" t="n">
        <x:v>395.24767035618424</x:v>
      </x:c>
      <x:c r="E319" s="23" t="n">
        <x:v>313.0792604479939</x:v>
      </x:c>
      <x:c r="F319" s="23" t="n">
        <x:v>13.721248738933355</x:v>
      </x:c>
      <x:c r="G319" s="23" t="n">
        <x:v>0.8051157632330432</x:v>
      </x:c>
      <x:c r="H319" s="23" t="n">
        <x:v>40</x:v>
      </x:c>
      <x:c r="I319" s="23" t="n">
        <x:v>25</x:v>
      </x:c>
      <x:c r="J319" s="23" t="n">
        <x:f>(IF(A319='Hybrid Calculator'!$B$6,0,1))^2+((B319-'Hybrid Calculator'!$B$7)/1500)^2+((C319-'Hybrid Calculator'!$B$8)/1300)^2+((D319-'Hybrid Calculator'!$B$9)/800)^2+((E319-'Hybrid Calculator'!$B$10)/350)^2+((F319-'Hybrid Calculator'!$B$11)/30)^2+(G319-'Hybrid Calculator'!$B$12)^2+((H319-'Hybrid Calculator'!$E$14)/IF(A319="Lightning",100,30000))^2+((I319-'Hybrid Calculator'!$E$17)/IF(A319="Lightning",100,30000))^2</x:f>
        <x:v>0.3190891264288835</x:v>
      </x:c>
      <x:c r="K319" s="23" t="n">
        <x:f>RANK(J319,$J$2:$J$1401,1)</x:f>
        <x:v>623</x:v>
      </x:c>
      <x:c r="L319" s="23" t="n">
        <x:f>IF(K319&lt;=7,1,0)</x:f>
        <x:v>0</x:v>
      </x:c>
      <x:c r="M319" s="23" t="n">
        <x:f>IF(L319=1,1/(J319+0.000001),0)</x:f>
        <x:v>0</x:v>
      </x:c>
      <x:c r="N319" s="23" t="n">
        <x:v>0.020365051073435447</x:v>
      </x:c>
      <x:c r="O319" s="23" t="n">
        <x:f>M319</x:f>
        <x:v>0</x:v>
      </x:c>
      <x:c r="P319" s="23" t="n">
        <x:v>1.1870690650650246</x:v>
      </x:c>
      <x:c r="Q319" s="23" t="n">
        <x:v>5.159317215862757</x:v>
      </x:c>
    </x:row>
    <x:row r="320">
      <x:c r="A320" s="23" t="str">
        <x:v>Lightning</x:v>
      </x:c>
      <x:c r="B320" s="23" t="n">
        <x:v>1442.0778285479173</x:v>
      </x:c>
      <x:c r="C320" s="23" t="n">
        <x:v>959.5536445849575</x:v>
      </x:c>
      <x:c r="D320" s="23" t="n">
        <x:v>739.9673592299223</x:v>
      </x:c>
      <x:c r="E320" s="23" t="n">
        <x:v>150.65585971577093</x:v>
      </x:c>
      <x:c r="F320" s="23" t="n">
        <x:v>8.344114040024579</x:v>
      </x:c>
      <x:c r="G320" s="23" t="n">
        <x:v>0.8587780778179877</x:v>
      </x:c>
      <x:c r="H320" s="23" t="n">
        <x:v>40</x:v>
      </x:c>
      <x:c r="I320" s="23" t="n">
        <x:v>25</x:v>
      </x:c>
      <x:c r="J320" s="23" t="n">
        <x:f>(IF(A320='Hybrid Calculator'!$B$6,0,1))^2+((B320-'Hybrid Calculator'!$B$7)/1500)^2+((C320-'Hybrid Calculator'!$B$8)/1300)^2+((D320-'Hybrid Calculator'!$B$9)/800)^2+((E320-'Hybrid Calculator'!$B$10)/350)^2+((F320-'Hybrid Calculator'!$B$11)/30)^2+(G320-'Hybrid Calculator'!$B$12)^2+((H320-'Hybrid Calculator'!$E$14)/IF(A320="Lightning",100,30000))^2+((I320-'Hybrid Calculator'!$E$17)/IF(A320="Lightning",100,30000))^2</x:f>
        <x:v>0.2233164148634412</x:v>
      </x:c>
      <x:c r="K320" s="23" t="n">
        <x:f>RANK(J320,$J$2:$J$1401,1)</x:f>
        <x:v>492</x:v>
      </x:c>
      <x:c r="L320" s="23" t="n">
        <x:f>IF(K320&lt;=7,1,0)</x:f>
        <x:v>0</x:v>
      </x:c>
      <x:c r="M320" s="23" t="n">
        <x:f>IF(L320=1,1/(J320+0.000001),0)</x:f>
        <x:v>0</x:v>
      </x:c>
      <x:c r="N320" s="23" t="n">
        <x:v>0.0054700164757202074</x:v>
      </x:c>
      <x:c r="O320" s="23" t="n">
        <x:f>M320</x:f>
        <x:v>0</x:v>
      </x:c>
      <x:c r="P320" s="23" t="n">
        <x:v>-0.1319711972924793</x:v>
      </x:c>
      <x:c r="Q320" s="23" t="n">
        <x:v>3.2602077236786045</x:v>
      </x:c>
    </x:row>
    <x:row r="321">
      <x:c r="A321" s="23" t="str">
        <x:v>Lightning</x:v>
      </x:c>
      <x:c r="B321" s="23" t="n">
        <x:v>1439.1212887479924</x:v>
      </x:c>
      <x:c r="C321" s="23" t="n">
        <x:v>810.4416076559573</x:v>
      </x:c>
      <x:c r="D321" s="23" t="n">
        <x:v>639.4939783029258</x:v>
      </x:c>
      <x:c r="E321" s="23" t="n">
        <x:v>116.66366671677679</x:v>
      </x:c>
      <x:c r="F321" s="23" t="n">
        <x:v>21.099568776320666</x:v>
      </x:c>
      <x:c r="G321" s="23" t="n">
        <x:v>0.8310801381431521</x:v>
      </x:c>
      <x:c r="H321" s="23" t="n">
        <x:v>45</x:v>
      </x:c>
      <x:c r="I321" s="23" t="n">
        <x:v>25</x:v>
      </x:c>
      <x:c r="J321" s="23" t="n">
        <x:f>(IF(A321='Hybrid Calculator'!$B$6,0,1))^2+((B321-'Hybrid Calculator'!$B$7)/1500)^2+((C321-'Hybrid Calculator'!$B$8)/1300)^2+((D321-'Hybrid Calculator'!$B$9)/800)^2+((E321-'Hybrid Calculator'!$B$10)/350)^2+((F321-'Hybrid Calculator'!$B$11)/30)^2+(G321-'Hybrid Calculator'!$B$12)^2+((H321-'Hybrid Calculator'!$E$14)/IF(A321="Lightning",100,30000))^2+((I321-'Hybrid Calculator'!$E$17)/IF(A321="Lightning",100,30000))^2</x:f>
        <x:v>0.050621915819306265</x:v>
      </x:c>
      <x:c r="K321" s="23" t="n">
        <x:f>RANK(J321,$J$2:$J$1401,1)</x:f>
        <x:v>56</x:v>
      </x:c>
      <x:c r="L321" s="23" t="n">
        <x:f>IF(K321&lt;=7,1,0)</x:f>
        <x:v>0</x:v>
      </x:c>
      <x:c r="M321" s="23" t="n">
        <x:f>IF(L321=1,1/(J321+0.000001),0)</x:f>
        <x:v>0</x:v>
      </x:c>
      <x:c r="N321" s="23" t="n">
        <x:v>0.007111087792270876</x:v>
      </x:c>
      <x:c r="O321" s="23" t="n">
        <x:f>M321</x:f>
        <x:v>0</x:v>
      </x:c>
      <x:c r="P321" s="23" t="n">
        <x:v>-1.1191065680755443</x:v>
      </x:c>
      <x:c r="Q321" s="23" t="n">
        <x:v>-7.681106581531822</x:v>
      </x:c>
    </x:row>
    <x:row r="322">
      <x:c r="A322" s="23" t="str">
        <x:v>Lightning</x:v>
      </x:c>
      <x:c r="B322" s="23" t="n">
        <x:v>1493.127320939675</x:v>
      </x:c>
      <x:c r="C322" s="23" t="n">
        <x:v>770.288336451631</x:v>
      </x:c>
      <x:c r="D322" s="23" t="n">
        <x:v>717.1854360029101</x:v>
      </x:c>
      <x:c r="E322" s="23" t="n">
        <x:v>225.18120820866898</x:v>
      </x:c>
      <x:c r="F322" s="23" t="n">
        <x:v>13.245726458728313</x:v>
      </x:c>
      <x:c r="G322" s="23" t="n">
        <x:v>0.7964502141089179</x:v>
      </x:c>
      <x:c r="H322" s="23" t="n">
        <x:v>40</x:v>
      </x:c>
      <x:c r="I322" s="23" t="n">
        <x:v>25</x:v>
      </x:c>
      <x:c r="J322" s="23" t="n">
        <x:f>(IF(A322='Hybrid Calculator'!$B$6,0,1))^2+((B322-'Hybrid Calculator'!$B$7)/1500)^2+((C322-'Hybrid Calculator'!$B$8)/1300)^2+((D322-'Hybrid Calculator'!$B$9)/800)^2+((E322-'Hybrid Calculator'!$B$10)/350)^2+((F322-'Hybrid Calculator'!$B$11)/30)^2+(G322-'Hybrid Calculator'!$B$12)^2+((H322-'Hybrid Calculator'!$E$14)/IF(A322="Lightning",100,30000))^2+((I322-'Hybrid Calculator'!$E$17)/IF(A322="Lightning",100,30000))^2</x:f>
        <x:v>0.1668949061858158</x:v>
      </x:c>
      <x:c r="K322" s="23" t="n">
        <x:f>RANK(J322,$J$2:$J$1401,1)</x:f>
        <x:v>374</x:v>
      </x:c>
      <x:c r="L322" s="23" t="n">
        <x:f>IF(K322&lt;=7,1,0)</x:f>
        <x:v>0</x:v>
      </x:c>
      <x:c r="M322" s="23" t="n">
        <x:f>IF(L322=1,1/(J322+0.000001),0)</x:f>
        <x:v>0</x:v>
      </x:c>
      <x:c r="N322" s="23" t="n">
        <x:v>0.005611875609071726</x:v>
      </x:c>
      <x:c r="O322" s="23" t="n">
        <x:f>M322</x:f>
        <x:v>0</x:v>
      </x:c>
      <x:c r="P322" s="23" t="n">
        <x:v>-0.28933226241171894</x:v>
      </x:c>
      <x:c r="Q322" s="23" t="n">
        <x:v>7.538152068128738</x:v>
      </x:c>
    </x:row>
    <x:row r="323">
      <x:c r="A323" s="23" t="str">
        <x:v>Lightning</x:v>
      </x:c>
      <x:c r="B323" s="23" t="n">
        <x:v>1412.379049428273</x:v>
      </x:c>
      <x:c r="C323" s="23" t="n">
        <x:v>698.1924321269616</x:v>
      </x:c>
      <x:c r="D323" s="23" t="n">
        <x:v>418.6340388841927</x:v>
      </x:c>
      <x:c r="E323" s="23" t="n">
        <x:v>310.0005625002086</x:v>
      </x:c>
      <x:c r="F323" s="23" t="n">
        <x:v>29.58751346031204</x:v>
      </x:c>
      <x:c r="G323" s="23" t="n">
        <x:v>0.818750976859592</x:v>
      </x:c>
      <x:c r="H323" s="23" t="n">
        <x:v>50</x:v>
      </x:c>
      <x:c r="I323" s="23" t="n">
        <x:v>25</x:v>
      </x:c>
      <x:c r="J323" s="23" t="n">
        <x:f>(IF(A323='Hybrid Calculator'!$B$6,0,1))^2+((B323-'Hybrid Calculator'!$B$7)/1500)^2+((C323-'Hybrid Calculator'!$B$8)/1300)^2+((D323-'Hybrid Calculator'!$B$9)/800)^2+((E323-'Hybrid Calculator'!$B$10)/350)^2+((F323-'Hybrid Calculator'!$B$11)/30)^2+(G323-'Hybrid Calculator'!$B$12)^2+((H323-'Hybrid Calculator'!$E$14)/IF(A323="Lightning",100,30000))^2+((I323-'Hybrid Calculator'!$E$17)/IF(A323="Lightning",100,30000))^2</x:f>
        <x:v>0.3696264065408889</x:v>
      </x:c>
      <x:c r="K323" s="23" t="n">
        <x:f>RANK(J323,$J$2:$J$1401,1)</x:f>
        <x:v>666</x:v>
      </x:c>
      <x:c r="L323" s="23" t="n">
        <x:f>IF(K323&lt;=7,1,0)</x:f>
        <x:v>0</x:v>
      </x:c>
      <x:c r="M323" s="23" t="n">
        <x:f>IF(L323=1,1/(J323+0.000001),0)</x:f>
        <x:v>0</x:v>
      </x:c>
      <x:c r="N323" s="23" t="n">
        <x:v>-0.006191939287488957</x:v>
      </x:c>
      <x:c r="O323" s="23" t="n">
        <x:f>M323</x:f>
        <x:v>0</x:v>
      </x:c>
      <x:c r="P323" s="23" t="n">
        <x:v>0.3485468530274147</x:v>
      </x:c>
      <x:c r="Q323" s="23" t="n">
        <x:v>-9.017561276662263</x:v>
      </x:c>
    </x:row>
    <x:row r="324">
      <x:c r="A324" s="23" t="str">
        <x:v>Lightning</x:v>
      </x:c>
      <x:c r="B324" s="23" t="n">
        <x:v>1448.5409283544868</x:v>
      </x:c>
      <x:c r="C324" s="23" t="n">
        <x:v>921.4442751253955</x:v>
      </x:c>
      <x:c r="D324" s="23" t="n">
        <x:v>433.38294234126806</x:v>
      </x:c>
      <x:c r="E324" s="23" t="n">
        <x:v>259.0798677247949</x:v>
      </x:c>
      <x:c r="F324" s="23" t="n">
        <x:v>27.874061454087496</x:v>
      </x:c>
      <x:c r="G324" s="23" t="n">
        <x:v>0.8069761467003264</x:v>
      </x:c>
      <x:c r="H324" s="23" t="n">
        <x:v>45</x:v>
      </x:c>
      <x:c r="I324" s="23" t="n">
        <x:v>25</x:v>
      </x:c>
      <x:c r="J324" s="23" t="n">
        <x:f>(IF(A324='Hybrid Calculator'!$B$6,0,1))^2+((B324-'Hybrid Calculator'!$B$7)/1500)^2+((C324-'Hybrid Calculator'!$B$8)/1300)^2+((D324-'Hybrid Calculator'!$B$9)/800)^2+((E324-'Hybrid Calculator'!$B$10)/350)^2+((F324-'Hybrid Calculator'!$B$11)/30)^2+(G324-'Hybrid Calculator'!$B$12)^2+((H324-'Hybrid Calculator'!$E$14)/IF(A324="Lightning",100,30000))^2+((I324-'Hybrid Calculator'!$E$17)/IF(A324="Lightning",100,30000))^2</x:f>
        <x:v>0.2076369576914339</x:v>
      </x:c>
      <x:c r="K324" s="23" t="n">
        <x:f>RANK(J324,$J$2:$J$1401,1)</x:f>
        <x:v>458</x:v>
      </x:c>
      <x:c r="L324" s="23" t="n">
        <x:f>IF(K324&lt;=7,1,0)</x:f>
        <x:v>0</x:v>
      </x:c>
      <x:c r="M324" s="23" t="n">
        <x:f>IF(L324=1,1/(J324+0.000001),0)</x:f>
        <x:v>0</x:v>
      </x:c>
      <x:c r="N324" s="23" t="n">
        <x:v>0.0022677384200975315</x:v>
      </x:c>
      <x:c r="O324" s="23" t="n">
        <x:f>M324</x:f>
        <x:v>0</x:v>
      </x:c>
      <x:c r="P324" s="23" t="n">
        <x:v>-0.04739856356709993</x:v>
      </x:c>
      <x:c r="Q324" s="23" t="n">
        <x:v>-15.71059536613393</x:v>
      </x:c>
    </x:row>
    <x:row r="325">
      <x:c r="A325" s="23" t="str">
        <x:v>Lightning</x:v>
      </x:c>
      <x:c r="B325" s="23" t="n">
        <x:v>1454.6212511253543</x:v>
      </x:c>
      <x:c r="C325" s="23" t="n">
        <x:v>1134.9050474120304</x:v>
      </x:c>
      <x:c r="D325" s="23" t="n">
        <x:v>428.45396446064115</x:v>
      </x:c>
      <x:c r="E325" s="23" t="n">
        <x:v>254.763148650527</x:v>
      </x:c>
      <x:c r="F325" s="23" t="n">
        <x:v>24.634157026652247</x:v>
      </x:c>
      <x:c r="G325" s="23" t="n">
        <x:v>0.8136036300612614</x:v>
      </x:c>
      <x:c r="H325" s="23" t="n">
        <x:v>40</x:v>
      </x:c>
      <x:c r="I325" s="23" t="n">
        <x:v>25</x:v>
      </x:c>
      <x:c r="J325" s="23" t="n">
        <x:f>(IF(A325='Hybrid Calculator'!$B$6,0,1))^2+((B325-'Hybrid Calculator'!$B$7)/1500)^2+((C325-'Hybrid Calculator'!$B$8)/1300)^2+((D325-'Hybrid Calculator'!$B$9)/800)^2+((E325-'Hybrid Calculator'!$B$10)/350)^2+((F325-'Hybrid Calculator'!$B$11)/30)^2+(G325-'Hybrid Calculator'!$B$12)^2+((H325-'Hybrid Calculator'!$E$14)/IF(A325="Lightning",100,30000))^2+((I325-'Hybrid Calculator'!$E$17)/IF(A325="Lightning",100,30000))^2</x:f>
        <x:v>0.19786235273535502</x:v>
      </x:c>
      <x:c r="K325" s="23" t="n">
        <x:f>RANK(J325,$J$2:$J$1401,1)</x:f>
        <x:v>443</x:v>
      </x:c>
      <x:c r="L325" s="23" t="n">
        <x:f>IF(K325&lt;=7,1,0)</x:f>
        <x:v>0</x:v>
      </x:c>
      <x:c r="M325" s="23" t="n">
        <x:f>IF(L325=1,1/(J325+0.000001),0)</x:f>
        <x:v>0</x:v>
      </x:c>
      <x:c r="N325" s="23" t="n">
        <x:v>-0.005262082937486756</x:v>
      </x:c>
      <x:c r="O325" s="23" t="n">
        <x:f>M325</x:f>
        <x:v>0</x:v>
      </x:c>
      <x:c r="P325" s="23" t="n">
        <x:v>1.6942311250955981</x:v>
      </x:c>
      <x:c r="Q325" s="23" t="n">
        <x:v>-9.595736238995642</x:v>
      </x:c>
    </x:row>
    <x:row r="326">
      <x:c r="A326" s="23" t="str">
        <x:v>Lightning</x:v>
      </x:c>
      <x:c r="B326" s="23" t="n">
        <x:v>1436.3663425901905</x:v>
      </x:c>
      <x:c r="C326" s="23" t="n">
        <x:v>694.5105751161464</x:v>
      </x:c>
      <x:c r="D326" s="23" t="n">
        <x:v>607.5319297611713</x:v>
      </x:c>
      <x:c r="E326" s="23" t="n">
        <x:v>98.63306429004297</x:v>
      </x:c>
      <x:c r="F326" s="23" t="n">
        <x:v>8.911185174249113</x:v>
      </x:c>
      <x:c r="G326" s="23" t="n">
        <x:v>0.8399407440214418</x:v>
      </x:c>
      <x:c r="H326" s="23" t="n">
        <x:v>55</x:v>
      </x:c>
      <x:c r="I326" s="23" t="n">
        <x:v>25</x:v>
      </x:c>
      <x:c r="J326" s="23" t="n">
        <x:f>(IF(A326='Hybrid Calculator'!$B$6,0,1))^2+((B326-'Hybrid Calculator'!$B$7)/1500)^2+((C326-'Hybrid Calculator'!$B$8)/1300)^2+((D326-'Hybrid Calculator'!$B$9)/800)^2+((E326-'Hybrid Calculator'!$B$10)/350)^2+((F326-'Hybrid Calculator'!$B$11)/30)^2+(G326-'Hybrid Calculator'!$B$12)^2+((H326-'Hybrid Calculator'!$E$14)/IF(A326="Lightning",100,30000))^2+((I326-'Hybrid Calculator'!$E$17)/IF(A326="Lightning",100,30000))^2</x:f>
        <x:v>0.15902911984579934</x:v>
      </x:c>
      <x:c r="K326" s="23" t="n">
        <x:f>RANK(J326,$J$2:$J$1401,1)</x:f>
        <x:v>350</x:v>
      </x:c>
      <x:c r="L326" s="23" t="n">
        <x:f>IF(K326&lt;=7,1,0)</x:f>
        <x:v>0</x:v>
      </x:c>
      <x:c r="M326" s="23" t="n">
        <x:f>IF(L326=1,1/(J326+0.000001),0)</x:f>
        <x:v>0</x:v>
      </x:c>
      <x:c r="N326" s="23" t="n">
        <x:v>0.004010670744583722</x:v>
      </x:c>
      <x:c r="O326" s="23" t="n">
        <x:f>M326</x:f>
        <x:v>0</x:v>
      </x:c>
      <x:c r="P326" s="23" t="n">
        <x:v>-1.4748934105482547</x:v>
      </x:c>
      <x:c r="Q326" s="23" t="n">
        <x:v>7.317112368002654</x:v>
      </x:c>
    </x:row>
    <x:row r="327">
      <x:c r="A327" s="23" t="str">
        <x:v>Lightning</x:v>
      </x:c>
      <x:c r="B327" s="23" t="n">
        <x:v>1391.6911065462045</x:v>
      </x:c>
      <x:c r="C327" s="23" t="n">
        <x:v>922.980740480125</x:v>
      </x:c>
      <x:c r="D327" s="23" t="n">
        <x:v>670.3026845119894</x:v>
      </x:c>
      <x:c r="E327" s="23" t="n">
        <x:v>280.22781763691455</x:v>
      </x:c>
      <x:c r="F327" s="23" t="n">
        <x:v>9.510878899600357</x:v>
      </x:c>
      <x:c r="G327" s="23" t="n">
        <x:v>0.8373895312752575</x:v>
      </x:c>
      <x:c r="H327" s="23" t="n">
        <x:v>40</x:v>
      </x:c>
      <x:c r="I327" s="23" t="n">
        <x:v>25</x:v>
      </x:c>
      <x:c r="J327" s="23" t="n">
        <x:f>(IF(A327='Hybrid Calculator'!$B$6,0,1))^2+((B327-'Hybrid Calculator'!$B$7)/1500)^2+((C327-'Hybrid Calculator'!$B$8)/1300)^2+((D327-'Hybrid Calculator'!$B$9)/800)^2+((E327-'Hybrid Calculator'!$B$10)/350)^2+((F327-'Hybrid Calculator'!$B$11)/30)^2+(G327-'Hybrid Calculator'!$B$12)^2+((H327-'Hybrid Calculator'!$E$14)/IF(A327="Lightning",100,30000))^2+((I327-'Hybrid Calculator'!$E$17)/IF(A327="Lightning",100,30000))^2</x:f>
        <x:v>0.2874899763701085</x:v>
      </x:c>
      <x:c r="K327" s="23" t="n">
        <x:f>RANK(J327,$J$2:$J$1401,1)</x:f>
        <x:v>591</x:v>
      </x:c>
      <x:c r="L327" s="23" t="n">
        <x:f>IF(K327&lt;=7,1,0)</x:f>
        <x:v>0</x:v>
      </x:c>
      <x:c r="M327" s="23" t="n">
        <x:f>IF(L327=1,1/(J327+0.000001),0)</x:f>
        <x:v>0</x:v>
      </x:c>
      <x:c r="N327" s="23" t="n">
        <x:v>0.013077591531395427</x:v>
      </x:c>
      <x:c r="O327" s="23" t="n">
        <x:f>M327</x:f>
        <x:v>0</x:v>
      </x:c>
      <x:c r="P327" s="23" t="n">
        <x:v>1.1168439513805666</x:v>
      </x:c>
      <x:c r="Q327" s="23" t="n">
        <x:v>-3.7888312520356067</x:v>
      </x:c>
    </x:row>
    <x:row r="328">
      <x:c r="A328" s="23" t="str">
        <x:v>Lightning</x:v>
      </x:c>
      <x:c r="B328" s="23" t="n">
        <x:v>1490.5033917166293</x:v>
      </x:c>
      <x:c r="C328" s="23" t="n">
        <x:v>1221.8650457798503</x:v>
      </x:c>
      <x:c r="D328" s="23" t="n">
        <x:v>361.551315523684</x:v>
      </x:c>
      <x:c r="E328" s="23" t="n">
        <x:v>297.4370308057405</x:v>
      </x:c>
      <x:c r="F328" s="23" t="n">
        <x:v>24.079264821484685</x:v>
      </x:c>
      <x:c r="G328" s="23" t="n">
        <x:v>0.7946787910838612</x:v>
      </x:c>
      <x:c r="H328" s="23" t="n">
        <x:v>35</x:v>
      </x:c>
      <x:c r="I328" s="23" t="n">
        <x:v>25</x:v>
      </x:c>
      <x:c r="J328" s="23" t="n">
        <x:f>(IF(A328='Hybrid Calculator'!$B$6,0,1))^2+((B328-'Hybrid Calculator'!$B$7)/1500)^2+((C328-'Hybrid Calculator'!$B$8)/1300)^2+((D328-'Hybrid Calculator'!$B$9)/800)^2+((E328-'Hybrid Calculator'!$B$10)/350)^2+((F328-'Hybrid Calculator'!$B$11)/30)^2+(G328-'Hybrid Calculator'!$B$12)^2+((H328-'Hybrid Calculator'!$E$14)/IF(A328="Lightning",100,30000))^2+((I328-'Hybrid Calculator'!$E$17)/IF(A328="Lightning",100,30000))^2</x:f>
        <x:v>0.3488601387343501</x:v>
      </x:c>
      <x:c r="K328" s="23" t="n">
        <x:f>RANK(J328,$J$2:$J$1401,1)</x:f>
        <x:v>650</x:v>
      </x:c>
      <x:c r="L328" s="23" t="n">
        <x:f>IF(K328&lt;=7,1,0)</x:f>
        <x:v>0</x:v>
      </x:c>
      <x:c r="M328" s="23" t="n">
        <x:f>IF(L328=1,1/(J328+0.000001),0)</x:f>
        <x:v>0</x:v>
      </x:c>
      <x:c r="N328" s="23" t="n">
        <x:v>0.01164191449431451</x:v>
      </x:c>
      <x:c r="O328" s="23" t="n">
        <x:f>M328</x:f>
        <x:v>0</x:v>
      </x:c>
      <x:c r="P328" s="23" t="n">
        <x:v>1.322284968430047</x:v>
      </x:c>
      <x:c r="Q328" s="23" t="n">
        <x:v>-6.8617078404224685</x:v>
      </x:c>
    </x:row>
    <x:row r="329">
      <x:c r="A329" s="23" t="str">
        <x:v>Lightning</x:v>
      </x:c>
      <x:c r="B329" s="23" t="n">
        <x:v>1408.734301070217</x:v>
      </x:c>
      <x:c r="C329" s="23" t="n">
        <x:v>1240.8960954518989</x:v>
      </x:c>
      <x:c r="D329" s="23" t="n">
        <x:v>704.9084641970694</x:v>
      </x:c>
      <x:c r="E329" s="23" t="n">
        <x:v>146.12176005728543</x:v>
      </x:c>
      <x:c r="F329" s="23" t="n">
        <x:v>19.587518468964845</x:v>
      </x:c>
      <x:c r="G329" s="23" t="n">
        <x:v>0.8261869744444267</x:v>
      </x:c>
      <x:c r="H329" s="23" t="n">
        <x:v>35</x:v>
      </x:c>
      <x:c r="I329" s="23" t="n">
        <x:v>25</x:v>
      </x:c>
      <x:c r="J329" s="23" t="n">
        <x:f>(IF(A329='Hybrid Calculator'!$B$6,0,1))^2+((B329-'Hybrid Calculator'!$B$7)/1500)^2+((C329-'Hybrid Calculator'!$B$8)/1300)^2+((D329-'Hybrid Calculator'!$B$9)/800)^2+((E329-'Hybrid Calculator'!$B$10)/350)^2+((F329-'Hybrid Calculator'!$B$11)/30)^2+(G329-'Hybrid Calculator'!$B$12)^2+((H329-'Hybrid Calculator'!$E$14)/IF(A329="Lightning",100,30000))^2+((I329-'Hybrid Calculator'!$E$17)/IF(A329="Lightning",100,30000))^2</x:f>
        <x:v>0.18011224848638485</x:v>
      </x:c>
      <x:c r="K329" s="23" t="n">
        <x:f>RANK(J329,$J$2:$J$1401,1)</x:f>
        <x:v>400</x:v>
      </x:c>
      <x:c r="L329" s="23" t="n">
        <x:f>IF(K329&lt;=7,1,0)</x:f>
        <x:v>0</x:v>
      </x:c>
      <x:c r="M329" s="23" t="n">
        <x:f>IF(L329=1,1/(J329+0.000001),0)</x:f>
        <x:v>0</x:v>
      </x:c>
      <x:c r="N329" s="23" t="n">
        <x:v>0.015588858083407153</x:v>
      </x:c>
      <x:c r="O329" s="23" t="n">
        <x:f>M329</x:f>
        <x:v>0</x:v>
      </x:c>
      <x:c r="P329" s="23" t="n">
        <x:v>1.258992030223908</x:v>
      </x:c>
      <x:c r="Q329" s="23" t="n">
        <x:v>-16.344022758140454</x:v>
      </x:c>
    </x:row>
    <x:row r="330">
      <x:c r="A330" s="23" t="str">
        <x:v>Lightning</x:v>
      </x:c>
      <x:c r="B330" s="23" t="n">
        <x:v>1484.932137443684</x:v>
      </x:c>
      <x:c r="C330" s="23" t="n">
        <x:v>1039.7841244586743</x:v>
      </x:c>
      <x:c r="D330" s="23" t="n">
        <x:v>671.9746198505163</x:v>
      </x:c>
      <x:c r="E330" s="23" t="n">
        <x:v>141.5836686338298</x:v>
      </x:c>
      <x:c r="F330" s="23" t="n">
        <x:v>18.12437525112182</x:v>
      </x:c>
      <x:c r="G330" s="23" t="n">
        <x:v>0.84379935574485</x:v>
      </x:c>
      <x:c r="H330" s="23" t="n">
        <x:v>40</x:v>
      </x:c>
      <x:c r="I330" s="23" t="n">
        <x:v>25</x:v>
      </x:c>
      <x:c r="J330" s="23" t="n">
        <x:f>(IF(A330='Hybrid Calculator'!$B$6,0,1))^2+((B330-'Hybrid Calculator'!$B$7)/1500)^2+((C330-'Hybrid Calculator'!$B$8)/1300)^2+((D330-'Hybrid Calculator'!$B$9)/800)^2+((E330-'Hybrid Calculator'!$B$10)/350)^2+((F330-'Hybrid Calculator'!$B$11)/30)^2+(G330-'Hybrid Calculator'!$B$12)^2+((H330-'Hybrid Calculator'!$E$14)/IF(A330="Lightning",100,30000))^2+((I330-'Hybrid Calculator'!$E$17)/IF(A330="Lightning",100,30000))^2</x:f>
        <x:v>0.08042159844401095</x:v>
      </x:c>
      <x:c r="K330" s="23" t="n">
        <x:f>RANK(J330,$J$2:$J$1401,1)</x:f>
        <x:v>142</x:v>
      </x:c>
      <x:c r="L330" s="23" t="n">
        <x:f>IF(K330&lt;=7,1,0)</x:f>
        <x:v>0</x:v>
      </x:c>
      <x:c r="M330" s="23" t="n">
        <x:f>IF(L330=1,1/(J330+0.000001),0)</x:f>
        <x:v>0</x:v>
      </x:c>
      <x:c r="N330" s="23" t="n">
        <x:v>0.001305495138768542</x:v>
      </x:c>
      <x:c r="O330" s="23" t="n">
        <x:f>M330</x:f>
        <x:v>0</x:v>
      </x:c>
      <x:c r="P330" s="23" t="n">
        <x:v>0.419564806622283</x:v>
      </x:c>
      <x:c r="Q330" s="23" t="n">
        <x:v>2.1801792539818052</x:v>
      </x:c>
    </x:row>
    <x:row r="331">
      <x:c r="A331" s="23" t="str">
        <x:v>Lightning</x:v>
      </x:c>
      <x:c r="B331" s="23" t="n">
        <x:v>1453.3665282069705</x:v>
      </x:c>
      <x:c r="C331" s="23" t="n">
        <x:v>841.6869154665619</x:v>
      </x:c>
      <x:c r="D331" s="23" t="n">
        <x:v>729.3299454264343</x:v>
      </x:c>
      <x:c r="E331" s="23" t="n">
        <x:v>249.89882790949196</x:v>
      </x:c>
      <x:c r="F331" s="23" t="n">
        <x:v>21.687787547241896</x:v>
      </x:c>
      <x:c r="G331" s="23" t="n">
        <x:v>0.814692717064172</x:v>
      </x:c>
      <x:c r="H331" s="23" t="n">
        <x:v>40</x:v>
      </x:c>
      <x:c r="I331" s="23" t="n">
        <x:v>25</x:v>
      </x:c>
      <x:c r="J331" s="23" t="n">
        <x:f>(IF(A331='Hybrid Calculator'!$B$6,0,1))^2+((B331-'Hybrid Calculator'!$B$7)/1500)^2+((C331-'Hybrid Calculator'!$B$8)/1300)^2+((D331-'Hybrid Calculator'!$B$9)/800)^2+((E331-'Hybrid Calculator'!$B$10)/350)^2+((F331-'Hybrid Calculator'!$B$11)/30)^2+(G331-'Hybrid Calculator'!$B$12)^2+((H331-'Hybrid Calculator'!$E$14)/IF(A331="Lightning",100,30000))^2+((I331-'Hybrid Calculator'!$E$17)/IF(A331="Lightning",100,30000))^2</x:f>
        <x:v>0.18536069269797353</x:v>
      </x:c>
      <x:c r="K331" s="23" t="n">
        <x:f>RANK(J331,$J$2:$J$1401,1)</x:f>
        <x:v>415</x:v>
      </x:c>
      <x:c r="L331" s="23" t="n">
        <x:f>IF(K331&lt;=7,1,0)</x:f>
        <x:v>0</x:v>
      </x:c>
      <x:c r="M331" s="23" t="n">
        <x:f>IF(L331=1,1/(J331+0.000001),0)</x:f>
        <x:v>0</x:v>
      </x:c>
      <x:c r="N331" s="23" t="n">
        <x:v>0.005050039294842046</x:v>
      </x:c>
      <x:c r="O331" s="23" t="n">
        <x:f>M331</x:f>
        <x:v>0</x:v>
      </x:c>
      <x:c r="P331" s="23" t="n">
        <x:v>0.36664283337369596</x:v>
      </x:c>
      <x:c r="Q331" s="23" t="n">
        <x:v>-1.681125693118247</x:v>
      </x:c>
    </x:row>
    <x:row r="332">
      <x:c r="A332" s="23" t="str">
        <x:v>Lightning</x:v>
      </x:c>
      <x:c r="B332" s="23" t="n">
        <x:v>1385.5523378122598</x:v>
      </x:c>
      <x:c r="C332" s="23" t="n">
        <x:v>992.1976398560219</x:v>
      </x:c>
      <x:c r="D332" s="23" t="n">
        <x:v>737.646478228271</x:v>
      </x:c>
      <x:c r="E332" s="23" t="n">
        <x:v>172.87506371038035</x:v>
      </x:c>
      <x:c r="F332" s="23" t="n">
        <x:v>23.350677236914635</x:v>
      </x:c>
      <x:c r="G332" s="23" t="n">
        <x:v>0.8575222250656225</x:v>
      </x:c>
      <x:c r="H332" s="23" t="n">
        <x:v>35</x:v>
      </x:c>
      <x:c r="I332" s="23" t="n">
        <x:v>25</x:v>
      </x:c>
      <x:c r="J332" s="23" t="n">
        <x:f>(IF(A332='Hybrid Calculator'!$B$6,0,1))^2+((B332-'Hybrid Calculator'!$B$7)/1500)^2+((C332-'Hybrid Calculator'!$B$8)/1300)^2+((D332-'Hybrid Calculator'!$B$9)/800)^2+((E332-'Hybrid Calculator'!$B$10)/350)^2+((F332-'Hybrid Calculator'!$B$11)/30)^2+(G332-'Hybrid Calculator'!$B$12)^2+((H332-'Hybrid Calculator'!$E$14)/IF(A332="Lightning",100,30000))^2+((I332-'Hybrid Calculator'!$E$17)/IF(A332="Lightning",100,30000))^2</x:f>
        <x:v>0.15522262641452586</x:v>
      </x:c>
      <x:c r="K332" s="23" t="n">
        <x:f>RANK(J332,$J$2:$J$1401,1)</x:f>
        <x:v>341</x:v>
      </x:c>
      <x:c r="L332" s="23" t="n">
        <x:f>IF(K332&lt;=7,1,0)</x:f>
        <x:v>0</x:v>
      </x:c>
      <x:c r="M332" s="23" t="n">
        <x:f>IF(L332=1,1/(J332+0.000001),0)</x:f>
        <x:v>0</x:v>
      </x:c>
      <x:c r="N332" s="23" t="n">
        <x:v>0.0008142220217426388</x:v>
      </x:c>
      <x:c r="O332" s="23" t="n">
        <x:f>M332</x:f>
        <x:v>0</x:v>
      </x:c>
      <x:c r="P332" s="23" t="n">
        <x:v>-0.23948688672391683</x:v>
      </x:c>
      <x:c r="Q332" s="23" t="n">
        <x:v>-5.469433591440065</x:v>
      </x:c>
    </x:row>
    <x:row r="333">
      <x:c r="A333" s="23" t="str">
        <x:v>Lightning</x:v>
      </x:c>
      <x:c r="B333" s="23" t="n">
        <x:v>1405.4653656785376</x:v>
      </x:c>
      <x:c r="C333" s="23" t="n">
        <x:v>700.6038097431883</x:v>
      </x:c>
      <x:c r="D333" s="23" t="n">
        <x:v>448.37351562455297</x:v>
      </x:c>
      <x:c r="E333" s="23" t="n">
        <x:v>124.07634260132909</x:v>
      </x:c>
      <x:c r="F333" s="23" t="n">
        <x:v>28.52032140502706</x:v>
      </x:c>
      <x:c r="G333" s="23" t="n">
        <x:v>0.8192097211396322</x:v>
      </x:c>
      <x:c r="H333" s="23" t="n">
        <x:v>55</x:v>
      </x:c>
      <x:c r="I333" s="23" t="n">
        <x:v>25</x:v>
      </x:c>
      <x:c r="J333" s="23" t="n">
        <x:f>(IF(A333='Hybrid Calculator'!$B$6,0,1))^2+((B333-'Hybrid Calculator'!$B$7)/1500)^2+((C333-'Hybrid Calculator'!$B$8)/1300)^2+((D333-'Hybrid Calculator'!$B$9)/800)^2+((E333-'Hybrid Calculator'!$B$10)/350)^2+((F333-'Hybrid Calculator'!$B$11)/30)^2+(G333-'Hybrid Calculator'!$B$12)^2+((H333-'Hybrid Calculator'!$E$14)/IF(A333="Lightning",100,30000))^2+((I333-'Hybrid Calculator'!$E$17)/IF(A333="Lightning",100,30000))^2</x:f>
        <x:v>0.13709055214312799</x:v>
      </x:c>
      <x:c r="K333" s="23" t="n">
        <x:f>RANK(J333,$J$2:$J$1401,1)</x:f>
        <x:v>296</x:v>
      </x:c>
      <x:c r="L333" s="23" t="n">
        <x:f>IF(K333&lt;=7,1,0)</x:f>
        <x:v>0</x:v>
      </x:c>
      <x:c r="M333" s="23" t="n">
        <x:f>IF(L333=1,1/(J333+0.000001),0)</x:f>
        <x:v>0</x:v>
      </x:c>
      <x:c r="N333" s="23" t="n">
        <x:v>-0.023623856882388772</x:v>
      </x:c>
      <x:c r="O333" s="23" t="n">
        <x:f>M333</x:f>
        <x:v>0</x:v>
      </x:c>
      <x:c r="P333" s="23" t="n">
        <x:v>0.4751842911016624</x:v>
      </x:c>
      <x:c r="Q333" s="23" t="n">
        <x:v>-0.4345936380427702</x:v>
      </x:c>
    </x:row>
    <x:row r="334">
      <x:c r="A334" s="23" t="str">
        <x:v>Lightning</x:v>
      </x:c>
      <x:c r="B334" s="23" t="n">
        <x:v>1368.002947163768</x:v>
      </x:c>
      <x:c r="C334" s="23" t="n">
        <x:v>1211.1645238590427</x:v>
      </x:c>
      <x:c r="D334" s="23" t="n">
        <x:v>370.0127109885216</x:v>
      </x:c>
      <x:c r="E334" s="23" t="n">
        <x:v>175.1158487587236</x:v>
      </x:c>
      <x:c r="F334" s="23" t="n">
        <x:v>9.511145467869937</x:v>
      </x:c>
      <x:c r="G334" s="23" t="n">
        <x:v>0.8491926414868795</x:v>
      </x:c>
      <x:c r="H334" s="23" t="n">
        <x:v>45</x:v>
      </x:c>
      <x:c r="I334" s="23" t="n">
        <x:v>25</x:v>
      </x:c>
      <x:c r="J334" s="23" t="n">
        <x:f>(IF(A334='Hybrid Calculator'!$B$6,0,1))^2+((B334-'Hybrid Calculator'!$B$7)/1500)^2+((C334-'Hybrid Calculator'!$B$8)/1300)^2+((D334-'Hybrid Calculator'!$B$9)/800)^2+((E334-'Hybrid Calculator'!$B$10)/350)^2+((F334-'Hybrid Calculator'!$B$11)/30)^2+(G334-'Hybrid Calculator'!$B$12)^2+((H334-'Hybrid Calculator'!$E$14)/IF(A334="Lightning",100,30000))^2+((I334-'Hybrid Calculator'!$E$17)/IF(A334="Lightning",100,30000))^2</x:f>
        <x:v>0.20330713313623708</x:v>
      </x:c>
      <x:c r="K334" s="23" t="n">
        <x:f>RANK(J334,$J$2:$J$1401,1)</x:f>
        <x:v>452</x:v>
      </x:c>
      <x:c r="L334" s="23" t="n">
        <x:f>IF(K334&lt;=7,1,0)</x:f>
        <x:v>0</x:v>
      </x:c>
      <x:c r="M334" s="23" t="n">
        <x:f>IF(L334=1,1/(J334+0.000001),0)</x:f>
        <x:v>0</x:v>
      </x:c>
      <x:c r="N334" s="23" t="n">
        <x:v>0.018201330657169335</x:v>
      </x:c>
      <x:c r="O334" s="23" t="n">
        <x:f>M334</x:f>
        <x:v>0</x:v>
      </x:c>
      <x:c r="P334" s="23" t="n">
        <x:v>1.6134315751615205</x:v>
      </x:c>
      <x:c r="Q334" s="23" t="n">
        <x:v>5.427104634822626</x:v>
      </x:c>
    </x:row>
    <x:row r="335">
      <x:c r="A335" s="23" t="str">
        <x:v>Lightning</x:v>
      </x:c>
      <x:c r="B335" s="23" t="n">
        <x:v>1426.0814654524438</x:v>
      </x:c>
      <x:c r="C335" s="23" t="n">
        <x:v>975.6671748124063</x:v>
      </x:c>
      <x:c r="D335" s="23" t="n">
        <x:v>600.8300325833261</x:v>
      </x:c>
      <x:c r="E335" s="23" t="n">
        <x:v>176.50809376034886</x:v>
      </x:c>
      <x:c r="F335" s="23" t="n">
        <x:v>25.05294253444299</x:v>
      </x:c>
      <x:c r="G335" s="23" t="n">
        <x:v>0.8420724881161005</x:v>
      </x:c>
      <x:c r="H335" s="23" t="n">
        <x:v>40</x:v>
      </x:c>
      <x:c r="I335" s="23" t="n">
        <x:v>25</x:v>
      </x:c>
      <x:c r="J335" s="23" t="n">
        <x:f>(IF(A335='Hybrid Calculator'!$B$6,0,1))^2+((B335-'Hybrid Calculator'!$B$7)/1500)^2+((C335-'Hybrid Calculator'!$B$8)/1300)^2+((D335-'Hybrid Calculator'!$B$9)/800)^2+((E335-'Hybrid Calculator'!$B$10)/350)^2+((F335-'Hybrid Calculator'!$B$11)/30)^2+(G335-'Hybrid Calculator'!$B$12)^2+((H335-'Hybrid Calculator'!$E$14)/IF(A335="Lightning",100,30000))^2+((I335-'Hybrid Calculator'!$E$17)/IF(A335="Lightning",100,30000))^2</x:f>
        <x:v>0.08916613590221983</x:v>
      </x:c>
      <x:c r="K335" s="23" t="n">
        <x:f>RANK(J335,$J$2:$J$1401,1)</x:f>
        <x:v>170</x:v>
      </x:c>
      <x:c r="L335" s="23" t="n">
        <x:f>IF(K335&lt;=7,1,0)</x:f>
        <x:v>0</x:v>
      </x:c>
      <x:c r="M335" s="23" t="n">
        <x:f>IF(L335=1,1/(J335+0.000001),0)</x:f>
        <x:v>0</x:v>
      </x:c>
      <x:c r="N335" s="23" t="n">
        <x:v>-0.008494923749931216</x:v>
      </x:c>
      <x:c r="O335" s="23" t="n">
        <x:f>M335</x:f>
        <x:v>0</x:v>
      </x:c>
      <x:c r="P335" s="23" t="n">
        <x:v>-0.7795795665457632</x:v>
      </x:c>
      <x:c r="Q335" s="23" t="n">
        <x:v>-7.3408284087051925</x:v>
      </x:c>
    </x:row>
    <x:row r="336">
      <x:c r="A336" s="23" t="str">
        <x:v>Lightning</x:v>
      </x:c>
      <x:c r="B336" s="23" t="n">
        <x:v>1489.8692809045315</x:v>
      </x:c>
      <x:c r="C336" s="23" t="n">
        <x:v>817.5671818084083</x:v>
      </x:c>
      <x:c r="D336" s="23" t="n">
        <x:v>729.5346604660153</x:v>
      </x:c>
      <x:c r="E336" s="23" t="n">
        <x:v>220.71211457485333</x:v>
      </x:c>
      <x:c r="F336" s="23" t="n">
        <x:v>20.454613683745265</x:v>
      </x:c>
      <x:c r="G336" s="23" t="n">
        <x:v>0.7996581911039539</x:v>
      </x:c>
      <x:c r="H336" s="23" t="n">
        <x:v>35</x:v>
      </x:c>
      <x:c r="I336" s="23" t="n">
        <x:v>25</x:v>
      </x:c>
      <x:c r="J336" s="23" t="n">
        <x:f>(IF(A336='Hybrid Calculator'!$B$6,0,1))^2+((B336-'Hybrid Calculator'!$B$7)/1500)^2+((C336-'Hybrid Calculator'!$B$8)/1300)^2+((D336-'Hybrid Calculator'!$B$9)/800)^2+((E336-'Hybrid Calculator'!$B$10)/350)^2+((F336-'Hybrid Calculator'!$B$11)/30)^2+(G336-'Hybrid Calculator'!$B$12)^2+((H336-'Hybrid Calculator'!$E$14)/IF(A336="Lightning",100,30000))^2+((I336-'Hybrid Calculator'!$E$17)/IF(A336="Lightning",100,30000))^2</x:f>
        <x:v>0.15279156737205757</x:v>
      </x:c>
      <x:c r="K336" s="23" t="n">
        <x:f>RANK(J336,$J$2:$J$1401,1)</x:f>
        <x:v>332</x:v>
      </x:c>
      <x:c r="L336" s="23" t="n">
        <x:f>IF(K336&lt;=7,1,0)</x:f>
        <x:v>0</x:v>
      </x:c>
      <x:c r="M336" s="23" t="n">
        <x:f>IF(L336=1,1/(J336+0.000001),0)</x:f>
        <x:v>0</x:v>
      </x:c>
      <x:c r="N336" s="23" t="n">
        <x:v>0.006959874242697284</x:v>
      </x:c>
      <x:c r="O336" s="23" t="n">
        <x:f>M336</x:f>
        <x:v>0</x:v>
      </x:c>
      <x:c r="P336" s="23" t="n">
        <x:v>-0.11243808657930288</x:v>
      </x:c>
      <x:c r="Q336" s="23" t="n">
        <x:v>-7.350783319837092</x:v>
      </x:c>
    </x:row>
    <x:row r="337">
      <x:c r="A337" s="23" t="str">
        <x:v>Lightning</x:v>
      </x:c>
      <x:c r="B337" s="23" t="n">
        <x:v>1421.8610657961108</x:v>
      </x:c>
      <x:c r="C337" s="23" t="n">
        <x:v>929.1360246250406</x:v>
      </x:c>
      <x:c r="D337" s="23" t="n">
        <x:v>469.8973403312266</x:v>
      </x:c>
      <x:c r="E337" s="23" t="n">
        <x:v>214.27626504562795</x:v>
      </x:c>
      <x:c r="F337" s="23" t="n">
        <x:v>8.800101902801543</x:v>
      </x:c>
      <x:c r="G337" s="23" t="n">
        <x:v>0.7989512695418671</x:v>
      </x:c>
      <x:c r="H337" s="23" t="n">
        <x:v>50</x:v>
      </x:c>
      <x:c r="I337" s="23" t="n">
        <x:v>25</x:v>
      </x:c>
      <x:c r="J337" s="23" t="n">
        <x:f>(IF(A337='Hybrid Calculator'!$B$6,0,1))^2+((B337-'Hybrid Calculator'!$B$7)/1500)^2+((C337-'Hybrid Calculator'!$B$8)/1300)^2+((D337-'Hybrid Calculator'!$B$9)/800)^2+((E337-'Hybrid Calculator'!$B$10)/350)^2+((F337-'Hybrid Calculator'!$B$11)/30)^2+(G337-'Hybrid Calculator'!$B$12)^2+((H337-'Hybrid Calculator'!$E$14)/IF(A337="Lightning",100,30000))^2+((I337-'Hybrid Calculator'!$E$17)/IF(A337="Lightning",100,30000))^2</x:f>
        <x:v>0.14383722078751843</x:v>
      </x:c>
      <x:c r="K337" s="23" t="n">
        <x:f>RANK(J337,$J$2:$J$1401,1)</x:f>
        <x:v>311</x:v>
      </x:c>
      <x:c r="L337" s="23" t="n">
        <x:f>IF(K337&lt;=7,1,0)</x:f>
        <x:v>0</x:v>
      </x:c>
      <x:c r="M337" s="23" t="n">
        <x:f>IF(L337=1,1/(J337+0.000001),0)</x:f>
        <x:v>0</x:v>
      </x:c>
      <x:c r="N337" s="23" t="n">
        <x:v>0.014687908261541427</x:v>
      </x:c>
      <x:c r="O337" s="23" t="n">
        <x:f>M337</x:f>
        <x:v>0</x:v>
      </x:c>
      <x:c r="P337" s="23" t="n">
        <x:v>-0.8833582402205735</x:v>
      </x:c>
      <x:c r="Q337" s="23" t="n">
        <x:v>5.215254101183518</x:v>
      </x:c>
    </x:row>
    <x:row r="338">
      <x:c r="A338" s="23" t="str">
        <x:v>Lightning</x:v>
      </x:c>
      <x:c r="B338" s="23" t="n">
        <x:v>1386.6889997385442</x:v>
      </x:c>
      <x:c r="C338" s="23" t="n">
        <x:v>1218.3666504337452</x:v>
      </x:c>
      <x:c r="D338" s="23" t="n">
        <x:v>474.4660997763276</x:v>
      </x:c>
      <x:c r="E338" s="23" t="n">
        <x:v>223.22336303303018</x:v>
      </x:c>
      <x:c r="F338" s="23" t="n">
        <x:v>23.60852020420134</x:v>
      </x:c>
      <x:c r="G338" s="23" t="n">
        <x:v>0.8195476161246188</x:v>
      </x:c>
      <x:c r="H338" s="23" t="n">
        <x:v>35</x:v>
      </x:c>
      <x:c r="I338" s="23" t="n">
        <x:v>25</x:v>
      </x:c>
      <x:c r="J338" s="23" t="n">
        <x:f>(IF(A338='Hybrid Calculator'!$B$6,0,1))^2+((B338-'Hybrid Calculator'!$B$7)/1500)^2+((C338-'Hybrid Calculator'!$B$8)/1300)^2+((D338-'Hybrid Calculator'!$B$9)/800)^2+((E338-'Hybrid Calculator'!$B$10)/350)^2+((F338-'Hybrid Calculator'!$B$11)/30)^2+(G338-'Hybrid Calculator'!$B$12)^2+((H338-'Hybrid Calculator'!$E$14)/IF(A338="Lightning",100,30000))^2+((I338-'Hybrid Calculator'!$E$17)/IF(A338="Lightning",100,30000))^2</x:f>
        <x:v>0.17722885376407674</x:v>
      </x:c>
      <x:c r="K338" s="23" t="n">
        <x:f>RANK(J338,$J$2:$J$1401,1)</x:f>
        <x:v>396</x:v>
      </x:c>
      <x:c r="L338" s="23" t="n">
        <x:f>IF(K338&lt;=7,1,0)</x:f>
        <x:v>0</x:v>
      </x:c>
      <x:c r="M338" s="23" t="n">
        <x:f>IF(L338=1,1/(J338+0.000001),0)</x:f>
        <x:v>0</x:v>
      </x:c>
      <x:c r="N338" s="23" t="n">
        <x:v>0.013074826741538592</x:v>
      </x:c>
      <x:c r="O338" s="23" t="n">
        <x:f>M338</x:f>
        <x:v>0</x:v>
      </x:c>
      <x:c r="P338" s="23" t="n">
        <x:v>1.1529607923235048</x:v>
      </x:c>
      <x:c r="Q338" s="23" t="n">
        <x:v>-8.317592310625514</x:v>
      </x:c>
    </x:row>
    <x:row r="339">
      <x:c r="A339" s="23" t="str">
        <x:v>Lightning</x:v>
      </x:c>
      <x:c r="B339" s="23" t="n">
        <x:v>1440.1371085667051</x:v>
      </x:c>
      <x:c r="C339" s="23" t="n">
        <x:v>1059.5378267811611</x:v>
      </x:c>
      <x:c r="D339" s="23" t="n">
        <x:v>445.11821204796433</x:v>
      </x:c>
      <x:c r="E339" s="23" t="n">
        <x:v>290.2102043572813</x:v>
      </x:c>
      <x:c r="F339" s="23" t="n">
        <x:v>25.549382128287107</x:v>
      </x:c>
      <x:c r="G339" s="23" t="n">
        <x:v>0.8233473079511896</x:v>
      </x:c>
      <x:c r="H339" s="23" t="n">
        <x:v>40</x:v>
      </x:c>
      <x:c r="I339" s="23" t="n">
        <x:v>25</x:v>
      </x:c>
      <x:c r="J339" s="23" t="n">
        <x:f>(IF(A339='Hybrid Calculator'!$B$6,0,1))^2+((B339-'Hybrid Calculator'!$B$7)/1500)^2+((C339-'Hybrid Calculator'!$B$8)/1300)^2+((D339-'Hybrid Calculator'!$B$9)/800)^2+((E339-'Hybrid Calculator'!$B$10)/350)^2+((F339-'Hybrid Calculator'!$B$11)/30)^2+(G339-'Hybrid Calculator'!$B$12)^2+((H339-'Hybrid Calculator'!$E$14)/IF(A339="Lightning",100,30000))^2+((I339-'Hybrid Calculator'!$E$17)/IF(A339="Lightning",100,30000))^2</x:f>
        <x:v>0.256495397148529</x:v>
      </x:c>
      <x:c r="K339" s="23" t="n">
        <x:f>RANK(J339,$J$2:$J$1401,1)</x:f>
        <x:v>553</x:v>
      </x:c>
      <x:c r="L339" s="23" t="n">
        <x:f>IF(K339&lt;=7,1,0)</x:f>
        <x:v>0</x:v>
      </x:c>
      <x:c r="M339" s="23" t="n">
        <x:f>IF(L339=1,1/(J339+0.000001),0)</x:f>
        <x:v>0</x:v>
      </x:c>
      <x:c r="N339" s="23" t="n">
        <x:v>-0.0007592671441010168</x:v>
      </x:c>
      <x:c r="O339" s="23" t="n">
        <x:f>M339</x:f>
        <x:v>0</x:v>
      </x:c>
      <x:c r="P339" s="23" t="n">
        <x:v>-0.02078539473093599</x:v>
      </x:c>
      <x:c r="Q339" s="23" t="n">
        <x:v>-7.307452665302435</x:v>
      </x:c>
    </x:row>
    <x:row r="340">
      <x:c r="A340" s="23" t="str">
        <x:v>Lightning</x:v>
      </x:c>
      <x:c r="B340" s="23" t="n">
        <x:v>1361.1311800545081</x:v>
      </x:c>
      <x:c r="C340" s="23" t="n">
        <x:v>655.8585131191649</x:v>
      </x:c>
      <x:c r="D340" s="23" t="n">
        <x:v>408.4577601402998</x:v>
      </x:c>
      <x:c r="E340" s="23" t="n">
        <x:v>141.01545103592798</x:v>
      </x:c>
      <x:c r="F340" s="23" t="n">
        <x:v>12.633426268585026</x:v>
      </x:c>
      <x:c r="G340" s="23" t="n">
        <x:v>0.8124420378427022</x:v>
      </x:c>
      <x:c r="H340" s="23" t="n">
        <x:v>65</x:v>
      </x:c>
      <x:c r="I340" s="23" t="n">
        <x:v>25</x:v>
      </x:c>
      <x:c r="J340" s="23" t="n">
        <x:f>(IF(A340='Hybrid Calculator'!$B$6,0,1))^2+((B340-'Hybrid Calculator'!$B$7)/1500)^2+((C340-'Hybrid Calculator'!$B$8)/1300)^2+((D340-'Hybrid Calculator'!$B$9)/800)^2+((E340-'Hybrid Calculator'!$B$10)/350)^2+((F340-'Hybrid Calculator'!$B$11)/30)^2+(G340-'Hybrid Calculator'!$B$12)^2+((H340-'Hybrid Calculator'!$E$14)/IF(A340="Lightning",100,30000))^2+((I340-'Hybrid Calculator'!$E$17)/IF(A340="Lightning",100,30000))^2</x:f>
        <x:v>0.09866587107899041</x:v>
      </x:c>
      <x:c r="K340" s="23" t="n">
        <x:f>RANK(J340,$J$2:$J$1401,1)</x:f>
        <x:v>199</x:v>
      </x:c>
      <x:c r="L340" s="23" t="n">
        <x:f>IF(K340&lt;=7,1,0)</x:f>
        <x:v>0</x:v>
      </x:c>
      <x:c r="M340" s="23" t="n">
        <x:f>IF(L340=1,1/(J340+0.000001),0)</x:f>
        <x:v>0</x:v>
      </x:c>
      <x:c r="N340" s="23" t="n">
        <x:v>0.004741069835306977</x:v>
      </x:c>
      <x:c r="O340" s="23" t="n">
        <x:f>M340</x:f>
        <x:v>0</x:v>
      </x:c>
      <x:c r="P340" s="23" t="n">
        <x:v>-1.058908377445917</x:v>
      </x:c>
      <x:c r="Q340" s="23" t="n">
        <x:v>15.432252746957147</x:v>
      </x:c>
    </x:row>
    <x:row r="341">
      <x:c r="A341" s="23" t="str">
        <x:v>Lightning</x:v>
      </x:c>
      <x:c r="B341" s="23" t="n">
        <x:v>1497.7283615036868</x:v>
      </x:c>
      <x:c r="C341" s="23" t="n">
        <x:v>757.4825205374509</x:v>
      </x:c>
      <x:c r="D341" s="23" t="n">
        <x:v>624.4257125072181</x:v>
      </x:c>
      <x:c r="E341" s="23" t="n">
        <x:v>175.96141648944467</x:v>
      </x:c>
      <x:c r="F341" s="23" t="n">
        <x:v>28.750319577287883</x:v>
      </x:c>
      <x:c r="G341" s="23" t="n">
        <x:v>0.7991887107305229</x:v>
      </x:c>
      <x:c r="H341" s="23" t="n">
        <x:v>40</x:v>
      </x:c>
      <x:c r="I341" s="23" t="n">
        <x:v>25</x:v>
      </x:c>
      <x:c r="J341" s="23" t="n">
        <x:f>(IF(A341='Hybrid Calculator'!$B$6,0,1))^2+((B341-'Hybrid Calculator'!$B$7)/1500)^2+((C341-'Hybrid Calculator'!$B$8)/1300)^2+((D341-'Hybrid Calculator'!$B$9)/800)^2+((E341-'Hybrid Calculator'!$B$10)/350)^2+((F341-'Hybrid Calculator'!$B$11)/30)^2+(G341-'Hybrid Calculator'!$B$12)^2+((H341-'Hybrid Calculator'!$E$14)/IF(A341="Lightning",100,30000))^2+((I341-'Hybrid Calculator'!$E$17)/IF(A341="Lightning",100,30000))^2</x:f>
        <x:v>0.16428438256349612</x:v>
      </x:c>
      <x:c r="K341" s="23" t="n">
        <x:f>RANK(J341,$J$2:$J$1401,1)</x:f>
        <x:v>363</x:v>
      </x:c>
      <x:c r="L341" s="23" t="n">
        <x:f>IF(K341&lt;=7,1,0)</x:f>
        <x:v>0</x:v>
      </x:c>
      <x:c r="M341" s="23" t="n">
        <x:f>IF(L341=1,1/(J341+0.000001),0)</x:f>
        <x:v>0</x:v>
      </x:c>
      <x:c r="N341" s="23" t="n">
        <x:v>0.0037416395274014747</x:v>
      </x:c>
      <x:c r="O341" s="23" t="n">
        <x:f>M341</x:f>
        <x:v>0</x:v>
      </x:c>
      <x:c r="P341" s="23" t="n">
        <x:v>-1.233387941373742</x:v>
      </x:c>
      <x:c r="Q341" s="23" t="n">
        <x:v>-8.414645386636039</x:v>
      </x:c>
    </x:row>
    <x:row r="342">
      <x:c r="A342" s="23" t="str">
        <x:v>Lightning</x:v>
      </x:c>
      <x:c r="B342" s="23" t="n">
        <x:v>1366.7522145900875</x:v>
      </x:c>
      <x:c r="C342" s="23" t="n">
        <x:v>1100.0699659693055</x:v>
      </x:c>
      <x:c r="D342" s="23" t="n">
        <x:v>450.64568649977446</x:v>
      </x:c>
      <x:c r="E342" s="23" t="n">
        <x:v>177.34264138387516</x:v>
      </x:c>
      <x:c r="F342" s="23" t="n">
        <x:v>14.08665094524622</x:v>
      </x:c>
      <x:c r="G342" s="23" t="n">
        <x:v>0.8340940543473698</x:v>
      </x:c>
      <x:c r="H342" s="23" t="n">
        <x:v>45</x:v>
      </x:c>
      <x:c r="I342" s="23" t="n">
        <x:v>25</x:v>
      </x:c>
      <x:c r="J342" s="23" t="n">
        <x:f>(IF(A342='Hybrid Calculator'!$B$6,0,1))^2+((B342-'Hybrid Calculator'!$B$7)/1500)^2+((C342-'Hybrid Calculator'!$B$8)/1300)^2+((D342-'Hybrid Calculator'!$B$9)/800)^2+((E342-'Hybrid Calculator'!$B$10)/350)^2+((F342-'Hybrid Calculator'!$B$11)/30)^2+(G342-'Hybrid Calculator'!$B$12)^2+((H342-'Hybrid Calculator'!$E$14)/IF(A342="Lightning",100,30000))^2+((I342-'Hybrid Calculator'!$E$17)/IF(A342="Lightning",100,30000))^2</x:f>
        <x:v>0.0727603737136203</x:v>
      </x:c>
      <x:c r="K342" s="23" t="n">
        <x:f>RANK(J342,$J$2:$J$1401,1)</x:f>
        <x:v>116</x:v>
      </x:c>
      <x:c r="L342" s="23" t="n">
        <x:f>IF(K342&lt;=7,1,0)</x:f>
        <x:v>0</x:v>
      </x:c>
      <x:c r="M342" s="23" t="n">
        <x:f>IF(L342=1,1/(J342+0.000001),0)</x:f>
        <x:v>0</x:v>
      </x:c>
      <x:c r="N342" s="23" t="n">
        <x:v>0.010155357063131865</x:v>
      </x:c>
      <x:c r="O342" s="23" t="n">
        <x:f>M342</x:f>
        <x:v>0</x:v>
      </x:c>
      <x:c r="P342" s="23" t="n">
        <x:v>-0.13235060834374224</x:v>
      </x:c>
      <x:c r="Q342" s="23" t="n">
        <x:v>7.969425444475746</x:v>
      </x:c>
    </x:row>
    <x:row r="343">
      <x:c r="A343" s="23" t="str">
        <x:v>Lightning</x:v>
      </x:c>
      <x:c r="B343" s="23" t="n">
        <x:v>1488.70998948114</x:v>
      </x:c>
      <x:c r="C343" s="23" t="n">
        <x:v>1166.1555915838107</x:v>
      </x:c>
      <x:c r="D343" s="23" t="n">
        <x:v>682.0155230350792</x:v>
      </x:c>
      <x:c r="E343" s="23" t="n">
        <x:v>225.56697150692344</x:v>
      </x:c>
      <x:c r="F343" s="23" t="n">
        <x:v>23.1592808351852</x:v>
      </x:c>
      <x:c r="G343" s="23" t="n">
        <x:v>0.8508544428786263</x:v>
      </x:c>
      <x:c r="H343" s="23" t="n">
        <x:v>35</x:v>
      </x:c>
      <x:c r="I343" s="23" t="n">
        <x:v>25</x:v>
      </x:c>
      <x:c r="J343" s="23" t="n">
        <x:f>(IF(A343='Hybrid Calculator'!$B$6,0,1))^2+((B343-'Hybrid Calculator'!$B$7)/1500)^2+((C343-'Hybrid Calculator'!$B$8)/1300)^2+((D343-'Hybrid Calculator'!$B$9)/800)^2+((E343-'Hybrid Calculator'!$B$10)/350)^2+((F343-'Hybrid Calculator'!$B$11)/30)^2+(G343-'Hybrid Calculator'!$B$12)^2+((H343-'Hybrid Calculator'!$E$14)/IF(A343="Lightning",100,30000))^2+((I343-'Hybrid Calculator'!$E$17)/IF(A343="Lightning",100,30000))^2</x:f>
        <x:v>0.20690188975833634</x:v>
      </x:c>
      <x:c r="K343" s="23" t="n">
        <x:f>RANK(J343,$J$2:$J$1401,1)</x:f>
        <x:v>457</x:v>
      </x:c>
      <x:c r="L343" s="23" t="n">
        <x:f>IF(K343&lt;=7,1,0)</x:f>
        <x:v>0</x:v>
      </x:c>
      <x:c r="M343" s="23" t="n">
        <x:f>IF(L343=1,1/(J343+0.000001),0)</x:f>
        <x:v>0</x:v>
      </x:c>
      <x:c r="N343" s="23" t="n">
        <x:v>0.011324209787143102</x:v>
      </x:c>
      <x:c r="O343" s="23" t="n">
        <x:f>M343</x:f>
        <x:v>0</x:v>
      </x:c>
      <x:c r="P343" s="23" t="n">
        <x:v>0.5143476671620064</x:v>
      </x:c>
      <x:c r="Q343" s="23" t="n">
        <x:v>-18.546928106619816</x:v>
      </x:c>
    </x:row>
    <x:row r="344">
      <x:c r="A344" s="23" t="str">
        <x:v>Lightning</x:v>
      </x:c>
      <x:c r="B344" s="23" t="n">
        <x:v>1462.663023476489</x:v>
      </x:c>
      <x:c r="C344" s="23" t="n">
        <x:v>619.7703939047642</x:v>
      </x:c>
      <x:c r="D344" s="23" t="n">
        <x:v>515.1436984539032</x:v>
      </x:c>
      <x:c r="E344" s="23" t="n">
        <x:v>273.18510772427544</x:v>
      </x:c>
      <x:c r="F344" s="23" t="n">
        <x:v>8.039753365330398</x:v>
      </x:c>
      <x:c r="G344" s="23" t="n">
        <x:v>0.8589306608564221</x:v>
      </x:c>
      <x:c r="H344" s="23" t="n">
        <x:v>55</x:v>
      </x:c>
      <x:c r="I344" s="23" t="n">
        <x:v>25</x:v>
      </x:c>
      <x:c r="J344" s="23" t="n">
        <x:f>(IF(A344='Hybrid Calculator'!$B$6,0,1))^2+((B344-'Hybrid Calculator'!$B$7)/1500)^2+((C344-'Hybrid Calculator'!$B$8)/1300)^2+((D344-'Hybrid Calculator'!$B$9)/800)^2+((E344-'Hybrid Calculator'!$B$10)/350)^2+((F344-'Hybrid Calculator'!$B$11)/30)^2+(G344-'Hybrid Calculator'!$B$12)^2+((H344-'Hybrid Calculator'!$E$14)/IF(A344="Lightning",100,30000))^2+((I344-'Hybrid Calculator'!$E$17)/IF(A344="Lightning",100,30000))^2</x:f>
        <x:v>0.2818169000475832</x:v>
      </x:c>
      <x:c r="K344" s="23" t="n">
        <x:f>RANK(J344,$J$2:$J$1401,1)</x:f>
        <x:v>584</x:v>
      </x:c>
      <x:c r="L344" s="23" t="n">
        <x:f>IF(K344&lt;=7,1,0)</x:f>
        <x:v>0</x:v>
      </x:c>
      <x:c r="M344" s="23" t="n">
        <x:f>IF(L344=1,1/(J344+0.000001),0)</x:f>
        <x:v>0</x:v>
      </x:c>
      <x:c r="N344" s="23" t="n">
        <x:v>0.0009501269248790578</x:v>
      </x:c>
      <x:c r="O344" s="23" t="n">
        <x:f>M344</x:f>
        <x:v>0</x:v>
      </x:c>
      <x:c r="P344" s="23" t="n">
        <x:v>0.22464528059330746</x:v>
      </x:c>
      <x:c r="Q344" s="23" t="n">
        <x:v>10.451011257256823</x:v>
      </x:c>
    </x:row>
    <x:row r="345">
      <x:c r="A345" s="23" t="str">
        <x:v>Lightning</x:v>
      </x:c>
      <x:c r="B345" s="23" t="n">
        <x:v>1405.1391714136116</x:v>
      </x:c>
      <x:c r="C345" s="23" t="n">
        <x:v>880.3988971747458</x:v>
      </x:c>
      <x:c r="D345" s="23" t="n">
        <x:v>705.547062214464</x:v>
      </x:c>
      <x:c r="E345" s="23" t="n">
        <x:v>247.5998248392716</x:v>
      </x:c>
      <x:c r="F345" s="23" t="n">
        <x:v>21.856267196591944</x:v>
      </x:c>
      <x:c r="G345" s="23" t="n">
        <x:v>0.8292919628415257</x:v>
      </x:c>
      <x:c r="H345" s="23" t="n">
        <x:v>40</x:v>
      </x:c>
      <x:c r="I345" s="23" t="n">
        <x:v>25</x:v>
      </x:c>
      <x:c r="J345" s="23" t="n">
        <x:f>(IF(A345='Hybrid Calculator'!$B$6,0,1))^2+((B345-'Hybrid Calculator'!$B$7)/1500)^2+((C345-'Hybrid Calculator'!$B$8)/1300)^2+((D345-'Hybrid Calculator'!$B$9)/800)^2+((E345-'Hybrid Calculator'!$B$10)/350)^2+((F345-'Hybrid Calculator'!$B$11)/30)^2+(G345-'Hybrid Calculator'!$B$12)^2+((H345-'Hybrid Calculator'!$E$14)/IF(A345="Lightning",100,30000))^2+((I345-'Hybrid Calculator'!$E$17)/IF(A345="Lightning",100,30000))^2</x:f>
        <x:v>0.16710061610710605</x:v>
      </x:c>
      <x:c r="K345" s="23" t="n">
        <x:f>RANK(J345,$J$2:$J$1401,1)</x:f>
        <x:v>376</x:v>
      </x:c>
      <x:c r="L345" s="23" t="n">
        <x:f>IF(K345&lt;=7,1,0)</x:f>
        <x:v>0</x:v>
      </x:c>
      <x:c r="M345" s="23" t="n">
        <x:f>IF(L345=1,1/(J345+0.000001),0)</x:f>
        <x:v>0</x:v>
      </x:c>
      <x:c r="N345" s="23" t="n">
        <x:v>-0.009242618087229593</x:v>
      </x:c>
      <x:c r="O345" s="23" t="n">
        <x:f>M345</x:f>
        <x:v>0</x:v>
      </x:c>
      <x:c r="P345" s="23" t="n">
        <x:v>-0.7606212093500417</x:v>
      </x:c>
      <x:c r="Q345" s="23" t="n">
        <x:v>-11.264388852019465</x:v>
      </x:c>
    </x:row>
    <x:row r="346">
      <x:c r="A346" s="23" t="str">
        <x:v>Lightning</x:v>
      </x:c>
      <x:c r="B346" s="23" t="n">
        <x:v>1370.9931230172515</x:v>
      </x:c>
      <x:c r="C346" s="23" t="n">
        <x:v>875.1687746844254</x:v>
      </x:c>
      <x:c r="D346" s="23" t="n">
        <x:v>570.3850926831365</x:v>
      </x:c>
      <x:c r="E346" s="23" t="n">
        <x:v>199.2659917869605</x:v>
      </x:c>
      <x:c r="F346" s="23" t="n">
        <x:v>10.991664161905646</x:v>
      </x:c>
      <x:c r="G346" s="23" t="n">
        <x:v>0.8058536999044009</x:v>
      </x:c>
      <x:c r="H346" s="23" t="n">
        <x:v>45</x:v>
      </x:c>
      <x:c r="I346" s="23" t="n">
        <x:v>25</x:v>
      </x:c>
      <x:c r="J346" s="23" t="n">
        <x:f>(IF(A346='Hybrid Calculator'!$B$6,0,1))^2+((B346-'Hybrid Calculator'!$B$7)/1500)^2+((C346-'Hybrid Calculator'!$B$8)/1300)^2+((D346-'Hybrid Calculator'!$B$9)/800)^2+((E346-'Hybrid Calculator'!$B$10)/350)^2+((F346-'Hybrid Calculator'!$B$11)/30)^2+(G346-'Hybrid Calculator'!$B$12)^2+((H346-'Hybrid Calculator'!$E$14)/IF(A346="Lightning",100,30000))^2+((I346-'Hybrid Calculator'!$E$17)/IF(A346="Lightning",100,30000))^2</x:f>
        <x:v>0.09456438016983197</x:v>
      </x:c>
      <x:c r="K346" s="23" t="n">
        <x:f>RANK(J346,$J$2:$J$1401,1)</x:f>
        <x:v>186</x:v>
      </x:c>
      <x:c r="L346" s="23" t="n">
        <x:f>IF(K346&lt;=7,1,0)</x:f>
        <x:v>0</x:v>
      </x:c>
      <x:c r="M346" s="23" t="n">
        <x:f>IF(L346=1,1/(J346+0.000001),0)</x:f>
        <x:v>0</x:v>
      </x:c>
      <x:c r="N346" s="23" t="n">
        <x:v>0.00028969364661235453</x:v>
      </x:c>
      <x:c r="O346" s="23" t="n">
        <x:f>M346</x:f>
        <x:v>0</x:v>
      </x:c>
      <x:c r="P346" s="23" t="n">
        <x:v>-1.0306926616023802</x:v>
      </x:c>
      <x:c r="Q346" s="23" t="n">
        <x:v>10.388287473015225</x:v>
      </x:c>
    </x:row>
    <x:row r="347">
      <x:c r="A347" s="23" t="str">
        <x:v>Lightning</x:v>
      </x:c>
      <x:c r="B347" s="23" t="n">
        <x:v>1385.3606585995294</x:v>
      </x:c>
      <x:c r="C347" s="23" t="n">
        <x:v>971.2175030494109</x:v>
      </x:c>
      <x:c r="D347" s="23" t="n">
        <x:v>699.3584633804858</x:v>
      </x:c>
      <x:c r="E347" s="23" t="n">
        <x:v>324.17849513702095</x:v>
      </x:c>
      <x:c r="F347" s="23" t="n">
        <x:v>9.639874984044582</x:v>
      </x:c>
      <x:c r="G347" s="23" t="n">
        <x:v>0.8285041752131657</x:v>
      </x:c>
      <x:c r="H347" s="23" t="n">
        <x:v>40</x:v>
      </x:c>
      <x:c r="I347" s="23" t="n">
        <x:v>25</x:v>
      </x:c>
      <x:c r="J347" s="23" t="n">
        <x:f>(IF(A347='Hybrid Calculator'!$B$6,0,1))^2+((B347-'Hybrid Calculator'!$B$7)/1500)^2+((C347-'Hybrid Calculator'!$B$8)/1300)^2+((D347-'Hybrid Calculator'!$B$9)/800)^2+((E347-'Hybrid Calculator'!$B$10)/350)^2+((F347-'Hybrid Calculator'!$B$11)/30)^2+(G347-'Hybrid Calculator'!$B$12)^2+((H347-'Hybrid Calculator'!$E$14)/IF(A347="Lightning",100,30000))^2+((I347-'Hybrid Calculator'!$E$17)/IF(A347="Lightning",100,30000))^2</x:f>
        <x:v>0.4164474278140092</x:v>
      </x:c>
      <x:c r="K347" s="23" t="n">
        <x:f>RANK(J347,$J$2:$J$1401,1)</x:f>
        <x:v>692</x:v>
      </x:c>
      <x:c r="L347" s="23" t="n">
        <x:f>IF(K347&lt;=7,1,0)</x:f>
        <x:v>0</x:v>
      </x:c>
      <x:c r="M347" s="23" t="n">
        <x:f>IF(L347=1,1/(J347+0.000001),0)</x:f>
        <x:v>0</x:v>
      </x:c>
      <x:c r="N347" s="23" t="n">
        <x:v>0.009396275948783561</x:v>
      </x:c>
      <x:c r="O347" s="23" t="n">
        <x:f>M347</x:f>
        <x:v>0</x:v>
      </x:c>
      <x:c r="P347" s="23" t="n">
        <x:v>-0.318585732786282</x:v>
      </x:c>
      <x:c r="Q347" s="23" t="n">
        <x:v>2.4387360464738776</x:v>
      </x:c>
    </x:row>
    <x:row r="348">
      <x:c r="A348" s="23" t="str">
        <x:v>Lightning</x:v>
      </x:c>
      <x:c r="B348" s="23" t="n">
        <x:v>1495.0259825913236</x:v>
      </x:c>
      <x:c r="C348" s="23" t="n">
        <x:v>856.026414653752</x:v>
      </x:c>
      <x:c r="D348" s="23" t="n">
        <x:v>609.2589039355516</x:v>
      </x:c>
      <x:c r="E348" s="23" t="n">
        <x:v>218.43782077310607</x:v>
      </x:c>
      <x:c r="F348" s="23" t="n">
        <x:v>9.992262587882578</x:v>
      </x:c>
      <x:c r="G348" s="23" t="n">
        <x:v>0.8093377884360962</x:v>
      </x:c>
      <x:c r="H348" s="23" t="n">
        <x:v>40</x:v>
      </x:c>
      <x:c r="I348" s="23" t="n">
        <x:v>25</x:v>
      </x:c>
      <x:c r="J348" s="23" t="n">
        <x:f>(IF(A348='Hybrid Calculator'!$B$6,0,1))^2+((B348-'Hybrid Calculator'!$B$7)/1500)^2+((C348-'Hybrid Calculator'!$B$8)/1300)^2+((D348-'Hybrid Calculator'!$B$9)/800)^2+((E348-'Hybrid Calculator'!$B$10)/350)^2+((F348-'Hybrid Calculator'!$B$11)/30)^2+(G348-'Hybrid Calculator'!$B$12)^2+((H348-'Hybrid Calculator'!$E$14)/IF(A348="Lightning",100,30000))^2+((I348-'Hybrid Calculator'!$E$17)/IF(A348="Lightning",100,30000))^2</x:f>
        <x:v>0.1496254930568363</x:v>
      </x:c>
      <x:c r="K348" s="23" t="n">
        <x:f>RANK(J348,$J$2:$J$1401,1)</x:f>
        <x:v>326</x:v>
      </x:c>
      <x:c r="L348" s="23" t="n">
        <x:f>IF(K348&lt;=7,1,0)</x:f>
        <x:v>0</x:v>
      </x:c>
      <x:c r="M348" s="23" t="n">
        <x:f>IF(L348=1,1/(J348+0.000001),0)</x:f>
        <x:v>0</x:v>
      </x:c>
      <x:c r="N348" s="23" t="n">
        <x:v>-0.0012336607345946327</x:v>
      </x:c>
      <x:c r="O348" s="23" t="n">
        <x:f>M348</x:f>
        <x:v>0</x:v>
      </x:c>
      <x:c r="P348" s="23" t="n">
        <x:v>-0.09445859049915128</x:v>
      </x:c>
      <x:c r="Q348" s="23" t="n">
        <x:v>-0.4840303356486402</x:v>
      </x:c>
    </x:row>
    <x:row r="349">
      <x:c r="A349" s="23" t="str">
        <x:v>Lightning</x:v>
      </x:c>
      <x:c r="B349" s="23" t="n">
        <x:v>1371.0768392658792</x:v>
      </x:c>
      <x:c r="C349" s="23" t="n">
        <x:v>865.5866788234562</x:v>
      </x:c>
      <x:c r="D349" s="23" t="n">
        <x:v>608.4694127552211</x:v>
      </x:c>
      <x:c r="E349" s="23" t="n">
        <x:v>138.5584834916517</x:v>
      </x:c>
      <x:c r="F349" s="23" t="n">
        <x:v>18.45008226064965</x:v>
      </x:c>
      <x:c r="G349" s="23" t="n">
        <x:v>0.848444919474423</x:v>
      </x:c>
      <x:c r="H349" s="23" t="n">
        <x:v>45</x:v>
      </x:c>
      <x:c r="I349" s="23" t="n">
        <x:v>25</x:v>
      </x:c>
      <x:c r="J349" s="23" t="n">
        <x:f>(IF(A349='Hybrid Calculator'!$B$6,0,1))^2+((B349-'Hybrid Calculator'!$B$7)/1500)^2+((C349-'Hybrid Calculator'!$B$8)/1300)^2+((D349-'Hybrid Calculator'!$B$9)/800)^2+((E349-'Hybrid Calculator'!$B$10)/350)^2+((F349-'Hybrid Calculator'!$B$11)/30)^2+(G349-'Hybrid Calculator'!$B$12)^2+((H349-'Hybrid Calculator'!$E$14)/IF(A349="Lightning",100,30000))^2+((I349-'Hybrid Calculator'!$E$17)/IF(A349="Lightning",100,30000))^2</x:f>
        <x:v>0.024200360887000706</x:v>
      </x:c>
      <x:c r="K349" s="23" t="n">
        <x:f>RANK(J349,$J$2:$J$1401,1)</x:f>
        <x:v>14</x:v>
      </x:c>
      <x:c r="L349" s="23" t="n">
        <x:f>IF(K349&lt;=7,1,0)</x:f>
        <x:v>0</x:v>
      </x:c>
      <x:c r="M349" s="23" t="n">
        <x:f>IF(L349=1,1/(J349+0.000001),0)</x:f>
        <x:v>0</x:v>
      </x:c>
      <x:c r="N349" s="23" t="n">
        <x:v>0.008263847537131941</x:v>
      </x:c>
      <x:c r="O349" s="23" t="n">
        <x:f>M349</x:f>
        <x:v>0</x:v>
      </x:c>
      <x:c r="P349" s="23" t="n">
        <x:v>-0.31936777404661143</x:v>
      </x:c>
      <x:c r="Q349" s="23" t="n">
        <x:v>3.5664802729609164</x:v>
      </x:c>
    </x:row>
    <x:row r="350">
      <x:c r="A350" s="23" t="str">
        <x:v>Lightning</x:v>
      </x:c>
      <x:c r="B350" s="23" t="n">
        <x:v>1411.0946049448103</x:v>
      </x:c>
      <x:c r="C350" s="23" t="n">
        <x:v>1175.0591437215917</x:v>
      </x:c>
      <x:c r="D350" s="23" t="n">
        <x:v>395.9368398413062</x:v>
      </x:c>
      <x:c r="E350" s="23" t="n">
        <x:v>275.47752459766343</x:v>
      </x:c>
      <x:c r="F350" s="23" t="n">
        <x:v>11.137016866356134</x:v>
      </x:c>
      <x:c r="G350" s="23" t="n">
        <x:v>0.8351594399684109</x:v>
      </x:c>
      <x:c r="H350" s="23" t="n">
        <x:v>40</x:v>
      </x:c>
      <x:c r="I350" s="23" t="n">
        <x:v>25</x:v>
      </x:c>
      <x:c r="J350" s="23" t="n">
        <x:f>(IF(A350='Hybrid Calculator'!$B$6,0,1))^2+((B350-'Hybrid Calculator'!$B$7)/1500)^2+((C350-'Hybrid Calculator'!$B$8)/1300)^2+((D350-'Hybrid Calculator'!$B$9)/800)^2+((E350-'Hybrid Calculator'!$B$10)/350)^2+((F350-'Hybrid Calculator'!$B$11)/30)^2+(G350-'Hybrid Calculator'!$B$12)^2+((H350-'Hybrid Calculator'!$E$14)/IF(A350="Lightning",100,30000))^2+((I350-'Hybrid Calculator'!$E$17)/IF(A350="Lightning",100,30000))^2</x:f>
        <x:v>0.2785236963538861</x:v>
      </x:c>
      <x:c r="K350" s="23" t="n">
        <x:f>RANK(J350,$J$2:$J$1401,1)</x:f>
        <x:v>580</x:v>
      </x:c>
      <x:c r="L350" s="23" t="n">
        <x:f>IF(K350&lt;=7,1,0)</x:f>
        <x:v>0</x:v>
      </x:c>
      <x:c r="M350" s="23" t="n">
        <x:f>IF(L350=1,1/(J350+0.000001),0)</x:f>
        <x:v>0</x:v>
      </x:c>
      <x:c r="N350" s="23" t="n">
        <x:v>0.007680742283360686</x:v>
      </x:c>
      <x:c r="O350" s="23" t="n">
        <x:f>M350</x:f>
        <x:v>0</x:v>
      </x:c>
      <x:c r="P350" s="23" t="n">
        <x:v>-0.21187356420651327</x:v>
      </x:c>
      <x:c r="Q350" s="23" t="n">
        <x:v>-4.252442679126261</x:v>
      </x:c>
    </x:row>
    <x:row r="351">
      <x:c r="A351" s="23" t="str">
        <x:v>Lightning</x:v>
      </x:c>
      <x:c r="B351" s="23" t="n">
        <x:v>1497.0067618531175</x:v>
      </x:c>
      <x:c r="C351" s="23" t="n">
        <x:v>1101.296277414076</x:v>
      </x:c>
      <x:c r="D351" s="23" t="n">
        <x:v>589.7580598481</x:v>
      </x:c>
      <x:c r="E351" s="23" t="n">
        <x:v>191.87240481376648</x:v>
      </x:c>
      <x:c r="F351" s="23" t="n">
        <x:v>27.680287251714617</x:v>
      </x:c>
      <x:c r="G351" s="23" t="n">
        <x:v>0.8069627680582926</x:v>
      </x:c>
      <x:c r="H351" s="23" t="n">
        <x:v>35</x:v>
      </x:c>
      <x:c r="I351" s="23" t="n">
        <x:v>25</x:v>
      </x:c>
      <x:c r="J351" s="23" t="n">
        <x:f>(IF(A351='Hybrid Calculator'!$B$6,0,1))^2+((B351-'Hybrid Calculator'!$B$7)/1500)^2+((C351-'Hybrid Calculator'!$B$8)/1300)^2+((D351-'Hybrid Calculator'!$B$9)/800)^2+((E351-'Hybrid Calculator'!$B$10)/350)^2+((F351-'Hybrid Calculator'!$B$11)/30)^2+(G351-'Hybrid Calculator'!$B$12)^2+((H351-'Hybrid Calculator'!$E$14)/IF(A351="Lightning",100,30000))^2+((I351-'Hybrid Calculator'!$E$17)/IF(A351="Lightning",100,30000))^2</x:f>
        <x:v>0.18288395390555348</x:v>
      </x:c>
      <x:c r="K351" s="23" t="n">
        <x:f>RANK(J351,$J$2:$J$1401,1)</x:f>
        <x:v>407</x:v>
      </x:c>
      <x:c r="L351" s="23" t="n">
        <x:f>IF(K351&lt;=7,1,0)</x:f>
        <x:v>0</x:v>
      </x:c>
      <x:c r="M351" s="23" t="n">
        <x:f>IF(L351=1,1/(J351+0.000001),0)</x:f>
        <x:v>0</x:v>
      </x:c>
      <x:c r="N351" s="23" t="n">
        <x:v>0.005585252552138487</x:v>
      </x:c>
      <x:c r="O351" s="23" t="n">
        <x:f>M351</x:f>
        <x:v>0</x:v>
      </x:c>
      <x:c r="P351" s="23" t="n">
        <x:v>0.6278126968640265</x:v>
      </x:c>
      <x:c r="Q351" s="23" t="n">
        <x:v>-20.51017445111279</x:v>
      </x:c>
    </x:row>
    <x:row r="352">
      <x:c r="A352" s="23" t="str">
        <x:v>Lightning</x:v>
      </x:c>
      <x:c r="B352" s="23" t="n">
        <x:v>1360.58483091183</x:v>
      </x:c>
      <x:c r="C352" s="23" t="n">
        <x:v>821.3627427699976</x:v>
      </x:c>
      <x:c r="D352" s="23" t="n">
        <x:v>610.2174846455455</x:v>
      </x:c>
      <x:c r="E352" s="23" t="n">
        <x:v>206.91050983266905</x:v>
      </x:c>
      <x:c r="F352" s="23" t="n">
        <x:v>10.234867066144943</x:v>
      </x:c>
      <x:c r="G352" s="23" t="n">
        <x:v>0.8450351782725193</x:v>
      </x:c>
      <x:c r="H352" s="23" t="n">
        <x:v>45</x:v>
      </x:c>
      <x:c r="I352" s="23" t="n">
        <x:v>25</x:v>
      </x:c>
      <x:c r="J352" s="23" t="n">
        <x:f>(IF(A352='Hybrid Calculator'!$B$6,0,1))^2+((B352-'Hybrid Calculator'!$B$7)/1500)^2+((C352-'Hybrid Calculator'!$B$8)/1300)^2+((D352-'Hybrid Calculator'!$B$9)/800)^2+((E352-'Hybrid Calculator'!$B$10)/350)^2+((F352-'Hybrid Calculator'!$B$11)/30)^2+(G352-'Hybrid Calculator'!$B$12)^2+((H352-'Hybrid Calculator'!$E$14)/IF(A352="Lightning",100,30000))^2+((I352-'Hybrid Calculator'!$E$17)/IF(A352="Lightning",100,30000))^2</x:f>
        <x:v>0.12677917107927048</x:v>
      </x:c>
      <x:c r="K352" s="23" t="n">
        <x:f>RANK(J352,$J$2:$J$1401,1)</x:f>
        <x:v>268</x:v>
      </x:c>
      <x:c r="L352" s="23" t="n">
        <x:f>IF(K352&lt;=7,1,0)</x:f>
        <x:v>0</x:v>
      </x:c>
      <x:c r="M352" s="23" t="n">
        <x:f>IF(L352=1,1/(J352+0.000001),0)</x:f>
        <x:v>0</x:v>
      </x:c>
      <x:c r="N352" s="23" t="n">
        <x:v>0.014662312634610819</x:v>
      </x:c>
      <x:c r="O352" s="23" t="n">
        <x:f>M352</x:f>
        <x:v>0</x:v>
      </x:c>
      <x:c r="P352" s="23" t="n">
        <x:v>0.3708180134763879</x:v>
      </x:c>
      <x:c r="Q352" s="23" t="n">
        <x:v>3.9222598061578537</x:v>
      </x:c>
    </x:row>
    <x:row r="353">
      <x:c r="A353" s="23" t="str">
        <x:v>Lightning</x:v>
      </x:c>
      <x:c r="B353" s="23" t="n">
        <x:v>1386.5964108263142</x:v>
      </x:c>
      <x:c r="C353" s="23" t="n">
        <x:v>929.943755432032</x:v>
      </x:c>
      <x:c r="D353" s="23" t="n">
        <x:v>647.2028833813965</x:v>
      </x:c>
      <x:c r="E353" s="23" t="n">
        <x:v>157.4297551251948</x:v>
      </x:c>
      <x:c r="F353" s="23" t="n">
        <x:v>14.350674709770828</x:v>
      </x:c>
      <x:c r="G353" s="23" t="n">
        <x:v>0.8409561076527462</x:v>
      </x:c>
      <x:c r="H353" s="23" t="n">
        <x:v>45</x:v>
      </x:c>
      <x:c r="I353" s="23" t="n">
        <x:v>25</x:v>
      </x:c>
      <x:c r="J353" s="23" t="n">
        <x:f>(IF(A353='Hybrid Calculator'!$B$6,0,1))^2+((B353-'Hybrid Calculator'!$B$7)/1500)^2+((C353-'Hybrid Calculator'!$B$8)/1300)^2+((D353-'Hybrid Calculator'!$B$9)/800)^2+((E353-'Hybrid Calculator'!$B$10)/350)^2+((F353-'Hybrid Calculator'!$B$11)/30)^2+(G353-'Hybrid Calculator'!$B$12)^2+((H353-'Hybrid Calculator'!$E$14)/IF(A353="Lightning",100,30000))^2+((I353-'Hybrid Calculator'!$E$17)/IF(A353="Lightning",100,30000))^2</x:f>
        <x:v>0.06081413835750539</x:v>
      </x:c>
      <x:c r="K353" s="23" t="n">
        <x:f>RANK(J353,$J$2:$J$1401,1)</x:f>
        <x:v>84</x:v>
      </x:c>
      <x:c r="L353" s="23" t="n">
        <x:f>IF(K353&lt;=7,1,0)</x:f>
        <x:v>0</x:v>
      </x:c>
      <x:c r="M353" s="23" t="n">
        <x:f>IF(L353=1,1/(J353+0.000001),0)</x:f>
        <x:v>0</x:v>
      </x:c>
      <x:c r="N353" s="23" t="n">
        <x:v>0.01701305221035776</x:v>
      </x:c>
      <x:c r="O353" s="23" t="n">
        <x:f>M353</x:f>
        <x:v>0</x:v>
      </x:c>
      <x:c r="P353" s="23" t="n">
        <x:v>0.10662997292615017</x:v>
      </x:c>
      <x:c r="Q353" s="23" t="n">
        <x:v>2.845105622498977</x:v>
      </x:c>
    </x:row>
    <x:row r="354">
      <x:c r="A354" s="23" t="str">
        <x:v>Lightning</x:v>
      </x:c>
      <x:c r="B354" s="23" t="n">
        <x:v>1399.8419896932319</x:v>
      </x:c>
      <x:c r="C354" s="23" t="n">
        <x:v>917.652065132279</x:v>
      </x:c>
      <x:c r="D354" s="23" t="n">
        <x:v>385.1744547486305</x:v>
      </x:c>
      <x:c r="E354" s="23" t="n">
        <x:v>113.57353335013613</x:v>
      </x:c>
      <x:c r="F354" s="23" t="n">
        <x:v>11.92626331280917</x:v>
      </x:c>
      <x:c r="G354" s="23" t="n">
        <x:v>0.8047453379980288</x:v>
      </x:c>
      <x:c r="H354" s="23" t="n">
        <x:v>55</x:v>
      </x:c>
      <x:c r="I354" s="23" t="n">
        <x:v>25</x:v>
      </x:c>
      <x:c r="J354" s="23" t="n">
        <x:f>(IF(A354='Hybrid Calculator'!$B$6,0,1))^2+((B354-'Hybrid Calculator'!$B$7)/1500)^2+((C354-'Hybrid Calculator'!$B$8)/1300)^2+((D354-'Hybrid Calculator'!$B$9)/800)^2+((E354-'Hybrid Calculator'!$B$10)/350)^2+((F354-'Hybrid Calculator'!$B$11)/30)^2+(G354-'Hybrid Calculator'!$B$12)^2+((H354-'Hybrid Calculator'!$E$14)/IF(A354="Lightning",100,30000))^2+((I354-'Hybrid Calculator'!$E$17)/IF(A354="Lightning",100,30000))^2</x:f>
        <x:v>0.08517089273782297</x:v>
      </x:c>
      <x:c r="K354" s="23" t="n">
        <x:f>RANK(J354,$J$2:$J$1401,1)</x:f>
        <x:v>152</x:v>
      </x:c>
      <x:c r="L354" s="23" t="n">
        <x:f>IF(K354&lt;=7,1,0)</x:f>
        <x:v>0</x:v>
      </x:c>
      <x:c r="M354" s="23" t="n">
        <x:f>IF(L354=1,1/(J354+0.000001),0)</x:f>
        <x:v>0</x:v>
      </x:c>
      <x:c r="N354" s="23" t="n">
        <x:v>0.002747395704581157</x:v>
      </x:c>
      <x:c r="O354" s="23" t="n">
        <x:f>M354</x:f>
        <x:v>0</x:v>
      </x:c>
      <x:c r="P354" s="23" t="n">
        <x:v>-0.9400582193945723</x:v>
      </x:c>
      <x:c r="Q354" s="23" t="n">
        <x:v>12.382705075019203</x:v>
      </x:c>
    </x:row>
    <x:row r="355">
      <x:c r="A355" s="23" t="str">
        <x:v>Lightning</x:v>
      </x:c>
      <x:c r="B355" s="23" t="n">
        <x:v>1408.7178825284354</x:v>
      </x:c>
      <x:c r="C355" s="23" t="n">
        <x:v>1114.9119730107486</x:v>
      </x:c>
      <x:c r="D355" s="23" t="n">
        <x:v>660.9660915099084</x:v>
      </x:c>
      <x:c r="E355" s="23" t="n">
        <x:v>159.9360746750608</x:v>
      </x:c>
      <x:c r="F355" s="23" t="n">
        <x:v>21.52696389472112</x:v>
      </x:c>
      <x:c r="G355" s="23" t="n">
        <x:v>0.8179056784231216</x:v>
      </x:c>
      <x:c r="H355" s="23" t="n">
        <x:v>35</x:v>
      </x:c>
      <x:c r="I355" s="23" t="n">
        <x:v>25</x:v>
      </x:c>
      <x:c r="J355" s="23" t="n">
        <x:f>(IF(A355='Hybrid Calculator'!$B$6,0,1))^2+((B355-'Hybrid Calculator'!$B$7)/1500)^2+((C355-'Hybrid Calculator'!$B$8)/1300)^2+((D355-'Hybrid Calculator'!$B$9)/800)^2+((E355-'Hybrid Calculator'!$B$10)/350)^2+((F355-'Hybrid Calculator'!$B$11)/30)^2+(G355-'Hybrid Calculator'!$B$12)^2+((H355-'Hybrid Calculator'!$E$14)/IF(A355="Lightning",100,30000))^2+((I355-'Hybrid Calculator'!$E$17)/IF(A355="Lightning",100,30000))^2</x:f>
        <x:v>0.1156188589195343</x:v>
      </x:c>
      <x:c r="K355" s="23" t="n">
        <x:f>RANK(J355,$J$2:$J$1401,1)</x:f>
        <x:v>242</x:v>
      </x:c>
      <x:c r="L355" s="23" t="n">
        <x:f>IF(K355&lt;=7,1,0)</x:f>
        <x:v>0</x:v>
      </x:c>
      <x:c r="M355" s="23" t="n">
        <x:f>IF(L355=1,1/(J355+0.000001),0)</x:f>
        <x:v>0</x:v>
      </x:c>
      <x:c r="N355" s="23" t="n">
        <x:v>0.0021898410443166316</x:v>
      </x:c>
      <x:c r="O355" s="23" t="n">
        <x:f>M355</x:f>
        <x:v>0</x:v>
      </x:c>
      <x:c r="P355" s="23" t="n">
        <x:v>-0.1989841273846764</x:v>
      </x:c>
      <x:c r="Q355" s="23" t="n">
        <x:v>-4.764076540879387</x:v>
      </x:c>
    </x:row>
    <x:row r="356">
      <x:c r="A356" s="23" t="str">
        <x:v>Lightning</x:v>
      </x:c>
      <x:c r="B356" s="23" t="n">
        <x:v>1468.997560814023</x:v>
      </x:c>
      <x:c r="C356" s="23" t="n">
        <x:v>818.0713495588861</x:v>
      </x:c>
      <x:c r="D356" s="23" t="n">
        <x:v>360.1961152628064</x:v>
      </x:c>
      <x:c r="E356" s="23" t="n">
        <x:v>194.49063249165192</x:v>
      </x:c>
      <x:c r="F356" s="23" t="n">
        <x:v>14.957734091207385</x:v>
      </x:c>
      <x:c r="G356" s="23" t="n">
        <x:v>0.8585098348301836</x:v>
      </x:c>
      <x:c r="H356" s="23" t="n">
        <x:v>55</x:v>
      </x:c>
      <x:c r="I356" s="23" t="n">
        <x:v>25</x:v>
      </x:c>
      <x:c r="J356" s="23" t="n">
        <x:f>(IF(A356='Hybrid Calculator'!$B$6,0,1))^2+((B356-'Hybrid Calculator'!$B$7)/1500)^2+((C356-'Hybrid Calculator'!$B$8)/1300)^2+((D356-'Hybrid Calculator'!$B$9)/800)^2+((E356-'Hybrid Calculator'!$B$10)/350)^2+((F356-'Hybrid Calculator'!$B$11)/30)^2+(G356-'Hybrid Calculator'!$B$12)^2+((H356-'Hybrid Calculator'!$E$14)/IF(A356="Lightning",100,30000))^2+((I356-'Hybrid Calculator'!$E$17)/IF(A356="Lightning",100,30000))^2</x:f>
        <x:v>0.06608616618271772</x:v>
      </x:c>
      <x:c r="K356" s="23" t="n">
        <x:f>RANK(J356,$J$2:$J$1401,1)</x:f>
        <x:v>97</x:v>
      </x:c>
      <x:c r="L356" s="23" t="n">
        <x:f>IF(K356&lt;=7,1,0)</x:f>
        <x:v>0</x:v>
      </x:c>
      <x:c r="M356" s="23" t="n">
        <x:f>IF(L356=1,1/(J356+0.000001),0)</x:f>
        <x:v>0</x:v>
      </x:c>
      <x:c r="N356" s="23" t="n">
        <x:v>0.0031015928417077454</x:v>
      </x:c>
      <x:c r="O356" s="23" t="n">
        <x:f>M356</x:f>
        <x:v>0</x:v>
      </x:c>
      <x:c r="P356" s="23" t="n">
        <x:v>0.05212559888082069</x:v>
      </x:c>
      <x:c r="Q356" s="23" t="n">
        <x:v>22.12328005847712</x:v>
      </x:c>
    </x:row>
    <x:row r="357">
      <x:c r="A357" s="23" t="str">
        <x:v>Lightning</x:v>
      </x:c>
      <x:c r="B357" s="23" t="n">
        <x:v>1471.4768643141724</x:v>
      </x:c>
      <x:c r="C357" s="23" t="n">
        <x:v>1089.591889665462</x:v>
      </x:c>
      <x:c r="D357" s="23" t="n">
        <x:v>715.2858988381922</x:v>
      </x:c>
      <x:c r="E357" s="23" t="n">
        <x:v>83.24426940642297</x:v>
      </x:c>
      <x:c r="F357" s="23" t="n">
        <x:v>27.936463308054954</x:v>
      </x:c>
      <x:c r="G357" s="23" t="n">
        <x:v>0.8306678859191016</x:v>
      </x:c>
      <x:c r="H357" s="23" t="n">
        <x:v>35</x:v>
      </x:c>
      <x:c r="I357" s="23" t="n">
        <x:v>25</x:v>
      </x:c>
      <x:c r="J357" s="23" t="n">
        <x:f>(IF(A357='Hybrid Calculator'!$B$6,0,1))^2+((B357-'Hybrid Calculator'!$B$7)/1500)^2+((C357-'Hybrid Calculator'!$B$8)/1300)^2+((D357-'Hybrid Calculator'!$B$9)/800)^2+((E357-'Hybrid Calculator'!$B$10)/350)^2+((F357-'Hybrid Calculator'!$B$11)/30)^2+(G357-'Hybrid Calculator'!$B$12)^2+((H357-'Hybrid Calculator'!$E$14)/IF(A357="Lightning",100,30000))^2+((I357-'Hybrid Calculator'!$E$17)/IF(A357="Lightning",100,30000))^2</x:f>
        <x:v>0.2652787693380637</x:v>
      </x:c>
      <x:c r="K357" s="23" t="n">
        <x:f>RANK(J357,$J$2:$J$1401,1)</x:f>
        <x:v>564</x:v>
      </x:c>
      <x:c r="L357" s="23" t="n">
        <x:f>IF(K357&lt;=7,1,0)</x:f>
        <x:v>0</x:v>
      </x:c>
      <x:c r="M357" s="23" t="n">
        <x:f>IF(L357=1,1/(J357+0.000001),0)</x:f>
        <x:v>0</x:v>
      </x:c>
      <x:c r="N357" s="23" t="n">
        <x:v>0.013288734553012382</x:v>
      </x:c>
      <x:c r="O357" s="23" t="n">
        <x:f>M357</x:f>
        <x:v>0</x:v>
      </x:c>
      <x:c r="P357" s="23" t="n">
        <x:v>0.3489547900468608</x:v>
      </x:c>
      <x:c r="Q357" s="23" t="n">
        <x:v>-23.083290537290168</x:v>
      </x:c>
    </x:row>
    <x:row r="358">
      <x:c r="A358" s="23" t="str">
        <x:v>Lightning</x:v>
      </x:c>
      <x:c r="B358" s="23" t="n">
        <x:v>1383.8826020015404</x:v>
      </x:c>
      <x:c r="C358" s="23" t="n">
        <x:v>1135.1961762295105</x:v>
      </x:c>
      <x:c r="D358" s="23" t="n">
        <x:v>638.4200666099787</x:v>
      </x:c>
      <x:c r="E358" s="23" t="n">
        <x:v>146.12572743324563</x:v>
      </x:c>
      <x:c r="F358" s="23" t="n">
        <x:v>28.721607842482626</x:v>
      </x:c>
      <x:c r="G358" s="23" t="n">
        <x:v>0.8456420575338416</x:v>
      </x:c>
      <x:c r="H358" s="23" t="n">
        <x:v>35</x:v>
      </x:c>
      <x:c r="I358" s="23" t="n">
        <x:v>25</x:v>
      </x:c>
      <x:c r="J358" s="23" t="n">
        <x:f>(IF(A358='Hybrid Calculator'!$B$6,0,1))^2+((B358-'Hybrid Calculator'!$B$7)/1500)^2+((C358-'Hybrid Calculator'!$B$8)/1300)^2+((D358-'Hybrid Calculator'!$B$9)/800)^2+((E358-'Hybrid Calculator'!$B$10)/350)^2+((F358-'Hybrid Calculator'!$B$11)/30)^2+(G358-'Hybrid Calculator'!$B$12)^2+((H358-'Hybrid Calculator'!$E$14)/IF(A358="Lightning",100,30000))^2+((I358-'Hybrid Calculator'!$E$17)/IF(A358="Lightning",100,30000))^2</x:f>
        <x:v>0.2181877362440551</x:v>
      </x:c>
      <x:c r="K358" s="23" t="n">
        <x:f>RANK(J358,$J$2:$J$1401,1)</x:f>
        <x:v>486</x:v>
      </x:c>
      <x:c r="L358" s="23" t="n">
        <x:f>IF(K358&lt;=7,1,0)</x:f>
        <x:v>0</x:v>
      </x:c>
      <x:c r="M358" s="23" t="n">
        <x:f>IF(L358=1,1/(J358+0.000001),0)</x:f>
        <x:v>0</x:v>
      </x:c>
      <x:c r="N358" s="23" t="n">
        <x:v>0.007904102989378048</x:v>
      </x:c>
      <x:c r="O358" s="23" t="n">
        <x:f>M358</x:f>
        <x:v>0</x:v>
      </x:c>
      <x:c r="P358" s="23" t="n">
        <x:v>1.0398231560372722</x:v>
      </x:c>
      <x:c r="Q358" s="23" t="n">
        <x:v>-13.993141307258384</x:v>
      </x:c>
    </x:row>
    <x:row r="359">
      <x:c r="A359" s="23" t="str">
        <x:v>Lightning</x:v>
      </x:c>
      <x:c r="B359" s="23" t="n">
        <x:v>1368.6805989942513</x:v>
      </x:c>
      <x:c r="C359" s="23" t="n">
        <x:v>1074.2881092708558</x:v>
      </x:c>
      <x:c r="D359" s="23" t="n">
        <x:v>699.8635406605899</x:v>
      </x:c>
      <x:c r="E359" s="23" t="n">
        <x:v>270.27828599791974</x:v>
      </x:c>
      <x:c r="F359" s="23" t="n">
        <x:v>10.02555588958785</x:v>
      </x:c>
      <x:c r="G359" s="23" t="n">
        <x:v>0.8078519460558892</x:v>
      </x:c>
      <x:c r="H359" s="23" t="n">
        <x:v>35</x:v>
      </x:c>
      <x:c r="I359" s="23" t="n">
        <x:v>25</x:v>
      </x:c>
      <x:c r="J359" s="23" t="n">
        <x:f>(IF(A359='Hybrid Calculator'!$B$6,0,1))^2+((B359-'Hybrid Calculator'!$B$7)/1500)^2+((C359-'Hybrid Calculator'!$B$8)/1300)^2+((D359-'Hybrid Calculator'!$B$9)/800)^2+((E359-'Hybrid Calculator'!$B$10)/350)^2+((F359-'Hybrid Calculator'!$B$11)/30)^2+(G359-'Hybrid Calculator'!$B$12)^2+((H359-'Hybrid Calculator'!$E$14)/IF(A359="Lightning",100,30000))^2+((I359-'Hybrid Calculator'!$E$17)/IF(A359="Lightning",100,30000))^2</x:f>
        <x:v>0.3141310509573784</x:v>
      </x:c>
      <x:c r="K359" s="23" t="n">
        <x:f>RANK(J359,$J$2:$J$1401,1)</x:f>
        <x:v>615</x:v>
      </x:c>
      <x:c r="L359" s="23" t="n">
        <x:f>IF(K359&lt;=7,1,0)</x:f>
        <x:v>0</x:v>
      </x:c>
      <x:c r="M359" s="23" t="n">
        <x:f>IF(L359=1,1/(J359+0.000001),0)</x:f>
        <x:v>0</x:v>
      </x:c>
      <x:c r="N359" s="23" t="n">
        <x:v>0.01323025139596612</x:v>
      </x:c>
      <x:c r="O359" s="23" t="n">
        <x:f>M359</x:f>
        <x:v>0</x:v>
      </x:c>
      <x:c r="P359" s="23" t="n">
        <x:v>0.25444738557038704</x:v>
      </x:c>
      <x:c r="Q359" s="23" t="n">
        <x:v>1.722849682606693</x:v>
      </x:c>
    </x:row>
    <x:row r="360">
      <x:c r="A360" s="23" t="str">
        <x:v>Lightning</x:v>
      </x:c>
      <x:c r="B360" s="23" t="n">
        <x:v>1381.0881230514497</x:v>
      </x:c>
      <x:c r="C360" s="23" t="n">
        <x:v>1221.5404440532438</x:v>
      </x:c>
      <x:c r="D360" s="23" t="n">
        <x:v>664.5119434222579</x:v>
      </x:c>
      <x:c r="E360" s="23" t="n">
        <x:v>259.4075768557377</x:v>
      </x:c>
      <x:c r="F360" s="23" t="n">
        <x:v>26.11768552288413</x:v>
      </x:c>
      <x:c r="G360" s="23" t="n">
        <x:v>0.8208269630768337</x:v>
      </x:c>
      <x:c r="H360" s="23" t="n">
        <x:v>30</x:v>
      </x:c>
      <x:c r="I360" s="23" t="n">
        <x:v>25</x:v>
      </x:c>
      <x:c r="J360" s="23" t="n">
        <x:f>(IF(A360='Hybrid Calculator'!$B$6,0,1))^2+((B360-'Hybrid Calculator'!$B$7)/1500)^2+((C360-'Hybrid Calculator'!$B$8)/1300)^2+((D360-'Hybrid Calculator'!$B$9)/800)^2+((E360-'Hybrid Calculator'!$B$10)/350)^2+((F360-'Hybrid Calculator'!$B$11)/30)^2+(G360-'Hybrid Calculator'!$B$12)^2+((H360-'Hybrid Calculator'!$E$14)/IF(A360="Lightning",100,30000))^2+((I360-'Hybrid Calculator'!$E$17)/IF(A360="Lightning",100,30000))^2</x:f>
        <x:v>0.3270185466930897</x:v>
      </x:c>
      <x:c r="K360" s="23" t="n">
        <x:f>RANK(J360,$J$2:$J$1401,1)</x:f>
        <x:v>634</x:v>
      </x:c>
      <x:c r="L360" s="23" t="n">
        <x:f>IF(K360&lt;=7,1,0)</x:f>
        <x:v>0</x:v>
      </x:c>
      <x:c r="M360" s="23" t="n">
        <x:f>IF(L360=1,1/(J360+0.000001),0)</x:f>
        <x:v>0</x:v>
      </x:c>
      <x:c r="N360" s="23" t="n">
        <x:v>0.0033528370111157724</x:v>
      </x:c>
      <x:c r="O360" s="23" t="n">
        <x:f>M360</x:f>
        <x:v>0</x:v>
      </x:c>
      <x:c r="P360" s="23" t="n">
        <x:v>0.9945459822910152</x:v>
      </x:c>
      <x:c r="Q360" s="23" t="n">
        <x:v>-25.45973996042858</x:v>
      </x:c>
    </x:row>
    <x:row r="361">
      <x:c r="A361" s="23" t="str">
        <x:v>Lightning</x:v>
      </x:c>
      <x:c r="B361" s="23" t="n">
        <x:v>1481.8757373956032</x:v>
      </x:c>
      <x:c r="C361" s="23" t="n">
        <x:v>804.5273202238604</x:v>
      </x:c>
      <x:c r="D361" s="23" t="n">
        <x:v>498.3937253244221</x:v>
      </x:c>
      <x:c r="E361" s="23" t="n">
        <x:v>305.045514293015</x:v>
      </x:c>
      <x:c r="F361" s="23" t="n">
        <x:v>25.04521051282063</x:v>
      </x:c>
      <x:c r="G361" s="23" t="n">
        <x:v>0.8416165623394772</x:v>
      </x:c>
      <x:c r="H361" s="23" t="n">
        <x:v>45</x:v>
      </x:c>
      <x:c r="I361" s="23" t="n">
        <x:v>25</x:v>
      </x:c>
      <x:c r="J361" s="23" t="n">
        <x:f>(IF(A361='Hybrid Calculator'!$B$6,0,1))^2+((B361-'Hybrid Calculator'!$B$7)/1500)^2+((C361-'Hybrid Calculator'!$B$8)/1300)^2+((D361-'Hybrid Calculator'!$B$9)/800)^2+((E361-'Hybrid Calculator'!$B$10)/350)^2+((F361-'Hybrid Calculator'!$B$11)/30)^2+(G361-'Hybrid Calculator'!$B$12)^2+((H361-'Hybrid Calculator'!$E$14)/IF(A361="Lightning",100,30000))^2+((I361-'Hybrid Calculator'!$E$17)/IF(A361="Lightning",100,30000))^2</x:f>
        <x:v>0.24946994864888755</x:v>
      </x:c>
      <x:c r="K361" s="23" t="n">
        <x:f>RANK(J361,$J$2:$J$1401,1)</x:f>
        <x:v>538</x:v>
      </x:c>
      <x:c r="L361" s="23" t="n">
        <x:f>IF(K361&lt;=7,1,0)</x:f>
        <x:v>0</x:v>
      </x:c>
      <x:c r="M361" s="23" t="n">
        <x:f>IF(L361=1,1/(J361+0.000001),0)</x:f>
        <x:v>0</x:v>
      </x:c>
      <x:c r="N361" s="23" t="n">
        <x:v>0.002179037160183528</x:v>
      </x:c>
      <x:c r="O361" s="23" t="n">
        <x:f>M361</x:f>
        <x:v>0</x:v>
      </x:c>
      <x:c r="P361" s="23" t="n">
        <x:v>0.3080025861922806</x:v>
      </x:c>
      <x:c r="Q361" s="23" t="n">
        <x:v>-0.08024598759106993</x:v>
      </x:c>
    </x:row>
    <x:row r="362">
      <x:c r="A362" s="23" t="str">
        <x:v>Lightning</x:v>
      </x:c>
      <x:c r="B362" s="23" t="n">
        <x:v>1467.1536043519154</x:v>
      </x:c>
      <x:c r="C362" s="23" t="n">
        <x:v>767.6742944051512</x:v>
      </x:c>
      <x:c r="D362" s="23" t="n">
        <x:v>693.5931794345379</x:v>
      </x:c>
      <x:c r="E362" s="23" t="n">
        <x:v>287.1409145719372</x:v>
      </x:c>
      <x:c r="F362" s="23" t="n">
        <x:v>11.506346530281007</x:v>
      </x:c>
      <x:c r="G362" s="23" t="n">
        <x:v>0.8048012180789375</x:v>
      </x:c>
      <x:c r="H362" s="23" t="n">
        <x:v>40</x:v>
      </x:c>
      <x:c r="I362" s="23" t="n">
        <x:v>25</x:v>
      </x:c>
      <x:c r="J362" s="23" t="n">
        <x:f>(IF(A362='Hybrid Calculator'!$B$6,0,1))^2+((B362-'Hybrid Calculator'!$B$7)/1500)^2+((C362-'Hybrid Calculator'!$B$8)/1300)^2+((D362-'Hybrid Calculator'!$B$9)/800)^2+((E362-'Hybrid Calculator'!$B$10)/350)^2+((F362-'Hybrid Calculator'!$B$11)/30)^2+(G362-'Hybrid Calculator'!$B$12)^2+((H362-'Hybrid Calculator'!$E$14)/IF(A362="Lightning",100,30000))^2+((I362-'Hybrid Calculator'!$E$17)/IF(A362="Lightning",100,30000))^2</x:f>
        <x:v>0.2814684321150048</x:v>
      </x:c>
      <x:c r="K362" s="23" t="n">
        <x:f>RANK(J362,$J$2:$J$1401,1)</x:f>
        <x:v>583</x:v>
      </x:c>
      <x:c r="L362" s="23" t="n">
        <x:f>IF(K362&lt;=7,1,0)</x:f>
        <x:v>0</x:v>
      </x:c>
      <x:c r="M362" s="23" t="n">
        <x:f>IF(L362=1,1/(J362+0.000001),0)</x:f>
        <x:v>0</x:v>
      </x:c>
      <x:c r="N362" s="23" t="n">
        <x:v>0.005491005739590937</x:v>
      </x:c>
      <x:c r="O362" s="23" t="n">
        <x:f>M362</x:f>
        <x:v>0</x:v>
      </x:c>
      <x:c r="P362" s="23" t="n">
        <x:v>-0.5144635301874487</x:v>
      </x:c>
      <x:c r="Q362" s="23" t="n">
        <x:v>-2.260567437600457</x:v>
      </x:c>
    </x:row>
    <x:row r="363">
      <x:c r="A363" s="23" t="str">
        <x:v>Lightning</x:v>
      </x:c>
      <x:c r="B363" s="23" t="n">
        <x:v>1394.3809883552603</x:v>
      </x:c>
      <x:c r="C363" s="23" t="n">
        <x:v>1033.559687808156</x:v>
      </x:c>
      <x:c r="D363" s="23" t="n">
        <x:v>437.8726481460035</x:v>
      </x:c>
      <x:c r="E363" s="23" t="n">
        <x:v>276.30150974262506</x:v>
      </x:c>
      <x:c r="F363" s="23" t="n">
        <x:v>14.99787758430466</x:v>
      </x:c>
      <x:c r="G363" s="23" t="n">
        <x:v>0.807116623101756</x:v>
      </x:c>
      <x:c r="H363" s="23" t="n">
        <x:v>45</x:v>
      </x:c>
      <x:c r="I363" s="23" t="n">
        <x:v>25</x:v>
      </x:c>
      <x:c r="J363" s="23" t="n">
        <x:f>(IF(A363='Hybrid Calculator'!$B$6,0,1))^2+((B363-'Hybrid Calculator'!$B$7)/1500)^2+((C363-'Hybrid Calculator'!$B$8)/1300)^2+((D363-'Hybrid Calculator'!$B$9)/800)^2+((E363-'Hybrid Calculator'!$B$10)/350)^2+((F363-'Hybrid Calculator'!$B$11)/30)^2+(G363-'Hybrid Calculator'!$B$12)^2+((H363-'Hybrid Calculator'!$E$14)/IF(A363="Lightning",100,30000))^2+((I363-'Hybrid Calculator'!$E$17)/IF(A363="Lightning",100,30000))^2</x:f>
        <x:v>0.1728995951376219</x:v>
      </x:c>
      <x:c r="K363" s="23" t="n">
        <x:f>RANK(J363,$J$2:$J$1401,1)</x:f>
        <x:v>391</x:v>
      </x:c>
      <x:c r="L363" s="23" t="n">
        <x:f>IF(K363&lt;=7,1,0)</x:f>
        <x:v>0</x:v>
      </x:c>
      <x:c r="M363" s="23" t="n">
        <x:f>IF(L363=1,1/(J363+0.000001),0)</x:f>
        <x:v>0</x:v>
      </x:c>
      <x:c r="N363" s="23" t="n">
        <x:v>-0.0003092946151856957</x:v>
      </x:c>
      <x:c r="O363" s="23" t="n">
        <x:f>M363</x:f>
        <x:v>0</x:v>
      </x:c>
      <x:c r="P363" s="23" t="n">
        <x:v>-0.36234813032269386</x:v>
      </x:c>
      <x:c r="Q363" s="23" t="n">
        <x:v>8.224640145268268</x:v>
      </x:c>
    </x:row>
    <x:row r="364">
      <x:c r="A364" s="23" t="str">
        <x:v>Lightning</x:v>
      </x:c>
      <x:c r="B364" s="23" t="n">
        <x:v>1479.4429848901927</x:v>
      </x:c>
      <x:c r="C364" s="23" t="n">
        <x:v>902.616357372608</x:v>
      </x:c>
      <x:c r="D364" s="23" t="n">
        <x:v>562.7383524551988</x:v>
      </x:c>
      <x:c r="E364" s="23" t="n">
        <x:v>80.34229928860441</x:v>
      </x:c>
      <x:c r="F364" s="23" t="n">
        <x:v>14.577151456847787</x:v>
      </x:c>
      <x:c r="G364" s="23" t="n">
        <x:v>0.7907070157979615</x:v>
      </x:c>
      <x:c r="H364" s="23" t="n">
        <x:v>45</x:v>
      </x:c>
      <x:c r="I364" s="23" t="n">
        <x:v>25</x:v>
      </x:c>
      <x:c r="J364" s="23" t="n">
        <x:f>(IF(A364='Hybrid Calculator'!$B$6,0,1))^2+((B364-'Hybrid Calculator'!$B$7)/1500)^2+((C364-'Hybrid Calculator'!$B$8)/1300)^2+((D364-'Hybrid Calculator'!$B$9)/800)^2+((E364-'Hybrid Calculator'!$B$10)/350)^2+((F364-'Hybrid Calculator'!$B$11)/30)^2+(G364-'Hybrid Calculator'!$B$12)^2+((H364-'Hybrid Calculator'!$E$14)/IF(A364="Lightning",100,30000))^2+((I364-'Hybrid Calculator'!$E$17)/IF(A364="Lightning",100,30000))^2</x:f>
        <x:v>0.06917209955925556</x:v>
      </x:c>
      <x:c r="K364" s="23" t="n">
        <x:f>RANK(J364,$J$2:$J$1401,1)</x:f>
        <x:v>109</x:v>
      </x:c>
      <x:c r="L364" s="23" t="n">
        <x:f>IF(K364&lt;=7,1,0)</x:f>
        <x:v>0</x:v>
      </x:c>
      <x:c r="M364" s="23" t="n">
        <x:f>IF(L364=1,1/(J364+0.000001),0)</x:f>
        <x:v>0</x:v>
      </x:c>
      <x:c r="N364" s="23" t="n">
        <x:v>-0.0021175026411426323</x:v>
      </x:c>
      <x:c r="O364" s="23" t="n">
        <x:f>M364</x:f>
        <x:v>0</x:v>
      </x:c>
      <x:c r="P364" s="23" t="n">
        <x:v>-0.6105007053335783</x:v>
      </x:c>
      <x:c r="Q364" s="23" t="n">
        <x:v>14.979979781050133</x:v>
      </x:c>
    </x:row>
    <x:row r="365">
      <x:c r="A365" s="23" t="str">
        <x:v>Lightning</x:v>
      </x:c>
      <x:c r="B365" s="23" t="n">
        <x:v>1464.9473016732372</x:v>
      </x:c>
      <x:c r="C365" s="23" t="n">
        <x:v>785.1539782481268</x:v>
      </x:c>
      <x:c r="D365" s="23" t="n">
        <x:v>737.1308588422835</x:v>
      </x:c>
      <x:c r="E365" s="23" t="n">
        <x:v>259.52602566219866</x:v>
      </x:c>
      <x:c r="F365" s="23" t="n">
        <x:v>18.285648070741445</x:v>
      </x:c>
      <x:c r="G365" s="23" t="n">
        <x:v>0.839472329155542</x:v>
      </x:c>
      <x:c r="H365" s="23" t="n">
        <x:v>40</x:v>
      </x:c>
      <x:c r="I365" s="23" t="n">
        <x:v>25</x:v>
      </x:c>
      <x:c r="J365" s="23" t="n">
        <x:f>(IF(A365='Hybrid Calculator'!$B$6,0,1))^2+((B365-'Hybrid Calculator'!$B$7)/1500)^2+((C365-'Hybrid Calculator'!$B$8)/1300)^2+((D365-'Hybrid Calculator'!$B$9)/800)^2+((E365-'Hybrid Calculator'!$B$10)/350)^2+((F365-'Hybrid Calculator'!$B$11)/30)^2+(G365-'Hybrid Calculator'!$B$12)^2+((H365-'Hybrid Calculator'!$E$14)/IF(A365="Lightning",100,30000))^2+((I365-'Hybrid Calculator'!$E$17)/IF(A365="Lightning",100,30000))^2</x:f>
        <x:v>0.1994147631851158</x:v>
      </x:c>
      <x:c r="K365" s="23" t="n">
        <x:f>RANK(J365,$J$2:$J$1401,1)</x:f>
        <x:v>445</x:v>
      </x:c>
      <x:c r="L365" s="23" t="n">
        <x:f>IF(K365&lt;=7,1,0)</x:f>
        <x:v>0</x:v>
      </x:c>
      <x:c r="M365" s="23" t="n">
        <x:f>IF(L365=1,1/(J365+0.000001),0)</x:f>
        <x:v>0</x:v>
      </x:c>
      <x:c r="N365" s="23" t="n">
        <x:v>-0.0019311565029080935</x:v>
      </x:c>
      <x:c r="O365" s="23" t="n">
        <x:f>M365</x:f>
        <x:v>0</x:v>
      </x:c>
      <x:c r="P365" s="23" t="n">
        <x:v>-0.3384371535484618</x:v>
      </x:c>
      <x:c r="Q365" s="23" t="n">
        <x:v>3.1555669114372904</x:v>
      </x:c>
    </x:row>
    <x:row r="366">
      <x:c r="A366" s="23" t="str">
        <x:v>Lightning</x:v>
      </x:c>
      <x:c r="B366" s="23" t="n">
        <x:v>1453.480220027268</x:v>
      </x:c>
      <x:c r="C366" s="23" t="n">
        <x:v>1244.154697691556</x:v>
      </x:c>
      <x:c r="D366" s="23" t="n">
        <x:v>566.3810582831502</x:v>
      </x:c>
      <x:c r="E366" s="23" t="n">
        <x:v>189.6662185736932</x:v>
      </x:c>
      <x:c r="F366" s="23" t="n">
        <x:v>27.490976547822356</x:v>
      </x:c>
      <x:c r="G366" s="23" t="n">
        <x:v>0.8566010526684114</x:v>
      </x:c>
      <x:c r="H366" s="23" t="n">
        <x:v>35</x:v>
      </x:c>
      <x:c r="I366" s="23" t="n">
        <x:v>25</x:v>
      </x:c>
      <x:c r="J366" s="23" t="n">
        <x:f>(IF(A366='Hybrid Calculator'!$B$6,0,1))^2+((B366-'Hybrid Calculator'!$B$7)/1500)^2+((C366-'Hybrid Calculator'!$B$8)/1300)^2+((D366-'Hybrid Calculator'!$B$9)/800)^2+((E366-'Hybrid Calculator'!$B$10)/350)^2+((F366-'Hybrid Calculator'!$B$11)/30)^2+(G366-'Hybrid Calculator'!$B$12)^2+((H366-'Hybrid Calculator'!$E$14)/IF(A366="Lightning",100,30000))^2+((I366-'Hybrid Calculator'!$E$17)/IF(A366="Lightning",100,30000))^2</x:f>
        <x:v>0.2256767486643641</x:v>
      </x:c>
      <x:c r="K366" s="23" t="n">
        <x:f>RANK(J366,$J$2:$J$1401,1)</x:f>
        <x:v>498</x:v>
      </x:c>
      <x:c r="L366" s="23" t="n">
        <x:f>IF(K366&lt;=7,1,0)</x:f>
        <x:v>0</x:v>
      </x:c>
      <x:c r="M366" s="23" t="n">
        <x:f>IF(L366=1,1/(J366+0.000001),0)</x:f>
        <x:v>0</x:v>
      </x:c>
      <x:c r="N366" s="23" t="n">
        <x:v>0.013606512555993433</x:v>
      </x:c>
      <x:c r="O366" s="23" t="n">
        <x:f>M366</x:f>
        <x:v>0</x:v>
      </x:c>
      <x:c r="P366" s="23" t="n">
        <x:v>0.9997768641215004</x:v>
      </x:c>
      <x:c r="Q366" s="23" t="n">
        <x:v>-24.371152871976392</x:v>
      </x:c>
    </x:row>
    <x:row r="367">
      <x:c r="A367" s="23" t="str">
        <x:v>Lightning</x:v>
      </x:c>
      <x:c r="B367" s="23" t="n">
        <x:v>1433.2942471490242</x:v>
      </x:c>
      <x:c r="C367" s="23" t="n">
        <x:v>999.2990099126473</x:v>
      </x:c>
      <x:c r="D367" s="23" t="n">
        <x:v>434.87325021997094</x:v>
      </x:c>
      <x:c r="E367" s="23" t="n">
        <x:v>168.28099141828716</x:v>
      </x:c>
      <x:c r="F367" s="23" t="n">
        <x:v>27.910661552567035</x:v>
      </x:c>
      <x:c r="G367" s="23" t="n">
        <x:v>0.8189999883295969</x:v>
      </x:c>
      <x:c r="H367" s="23" t="n">
        <x:v>45</x:v>
      </x:c>
      <x:c r="I367" s="23" t="n">
        <x:v>25</x:v>
      </x:c>
      <x:c r="J367" s="23" t="n">
        <x:f>(IF(A367='Hybrid Calculator'!$B$6,0,1))^2+((B367-'Hybrid Calculator'!$B$7)/1500)^2+((C367-'Hybrid Calculator'!$B$8)/1300)^2+((D367-'Hybrid Calculator'!$B$9)/800)^2+((E367-'Hybrid Calculator'!$B$10)/350)^2+((F367-'Hybrid Calculator'!$B$11)/30)^2+(G367-'Hybrid Calculator'!$B$12)^2+((H367-'Hybrid Calculator'!$E$14)/IF(A367="Lightning",100,30000))^2+((I367-'Hybrid Calculator'!$E$17)/IF(A367="Lightning",100,30000))^2</x:f>
        <x:v>0.12347710477543011</x:v>
      </x:c>
      <x:c r="K367" s="23" t="n">
        <x:f>RANK(J367,$J$2:$J$1401,1)</x:f>
        <x:v>263</x:v>
      </x:c>
      <x:c r="L367" s="23" t="n">
        <x:f>IF(K367&lt;=7,1,0)</x:f>
        <x:v>0</x:v>
      </x:c>
      <x:c r="M367" s="23" t="n">
        <x:f>IF(L367=1,1/(J367+0.000001),0)</x:f>
        <x:v>0</x:v>
      </x:c>
      <x:c r="N367" s="23" t="n">
        <x:v>0.003752344386308115</x:v>
      </x:c>
      <x:c r="O367" s="23" t="n">
        <x:f>M367</x:f>
        <x:v>0</x:v>
      </x:c>
      <x:c r="P367" s="23" t="n">
        <x:v>0.9993121736484198</x:v>
      </x:c>
      <x:c r="Q367" s="23" t="n">
        <x:v>-8.169608584173602</x:v>
      </x:c>
    </x:row>
    <x:row r="368">
      <x:c r="A368" s="23" t="str">
        <x:v>Lightning</x:v>
      </x:c>
      <x:c r="B368" s="23" t="n">
        <x:v>1457.8764813719317</x:v>
      </x:c>
      <x:c r="C368" s="23" t="n">
        <x:v>970.7851792336442</x:v>
      </x:c>
      <x:c r="D368" s="23" t="n">
        <x:v>660.0972700864077</x:v>
      </x:c>
      <x:c r="E368" s="23" t="n">
        <x:v>300.57360428152606</x:v>
      </x:c>
      <x:c r="F368" s="23" t="n">
        <x:v>15.716165632940829</x:v>
      </x:c>
      <x:c r="G368" s="23" t="n">
        <x:v>0.795707119840663</x:v>
      </x:c>
      <x:c r="H368" s="23" t="n">
        <x:v>35</x:v>
      </x:c>
      <x:c r="I368" s="23" t="n">
        <x:v>25</x:v>
      </x:c>
      <x:c r="J368" s="23" t="n">
        <x:f>(IF(A368='Hybrid Calculator'!$B$6,0,1))^2+((B368-'Hybrid Calculator'!$B$7)/1500)^2+((C368-'Hybrid Calculator'!$B$8)/1300)^2+((D368-'Hybrid Calculator'!$B$9)/800)^2+((E368-'Hybrid Calculator'!$B$10)/350)^2+((F368-'Hybrid Calculator'!$B$11)/30)^2+(G368-'Hybrid Calculator'!$B$12)^2+((H368-'Hybrid Calculator'!$E$14)/IF(A368="Lightning",100,30000))^2+((I368-'Hybrid Calculator'!$E$17)/IF(A368="Lightning",100,30000))^2</x:f>
        <x:v>0.26594347279455566</x:v>
      </x:c>
      <x:c r="K368" s="23" t="n">
        <x:f>RANK(J368,$J$2:$J$1401,1)</x:f>
        <x:v>567</x:v>
      </x:c>
      <x:c r="L368" s="23" t="n">
        <x:f>IF(K368&lt;=7,1,0)</x:f>
        <x:v>0</x:v>
      </x:c>
      <x:c r="M368" s="23" t="n">
        <x:f>IF(L368=1,1/(J368+0.000001),0)</x:f>
        <x:v>0</x:v>
      </x:c>
      <x:c r="N368" s="23" t="n">
        <x:v>0.009209123449237966</x:v>
      </x:c>
      <x:c r="O368" s="23" t="n">
        <x:f>M368</x:f>
        <x:v>0</x:v>
      </x:c>
      <x:c r="P368" s="23" t="n">
        <x:v>0.7382856522475052</x:v>
      </x:c>
      <x:c r="Q368" s="23" t="n">
        <x:v>0.7112942868218397</x:v>
      </x:c>
    </x:row>
    <x:row r="369">
      <x:c r="A369" s="23" t="str">
        <x:v>Lightning</x:v>
      </x:c>
      <x:c r="B369" s="23" t="n">
        <x:v>1478.090024215635</x:v>
      </x:c>
      <x:c r="C369" s="23" t="n">
        <x:v>1176.1934777256101</x:v>
      </x:c>
      <x:c r="D369" s="23" t="n">
        <x:v>720.4340944997966</x:v>
      </x:c>
      <x:c r="E369" s="23" t="n">
        <x:v>145.98403945099562</x:v>
      </x:c>
      <x:c r="F369" s="23" t="n">
        <x:v>20.52100622979924</x:v>
      </x:c>
      <x:c r="G369" s="23" t="n">
        <x:v>0.8189168472215533</x:v>
      </x:c>
      <x:c r="H369" s="23" t="n">
        <x:v>30</x:v>
      </x:c>
      <x:c r="I369" s="23" t="n">
        <x:v>25</x:v>
      </x:c>
      <x:c r="J369" s="23" t="n">
        <x:f>(IF(A369='Hybrid Calculator'!$B$6,0,1))^2+((B369-'Hybrid Calculator'!$B$7)/1500)^2+((C369-'Hybrid Calculator'!$B$8)/1300)^2+((D369-'Hybrid Calculator'!$B$9)/800)^2+((E369-'Hybrid Calculator'!$B$10)/350)^2+((F369-'Hybrid Calculator'!$B$11)/30)^2+(G369-'Hybrid Calculator'!$B$12)^2+((H369-'Hybrid Calculator'!$E$14)/IF(A369="Lightning",100,30000))^2+((I369-'Hybrid Calculator'!$E$17)/IF(A369="Lightning",100,30000))^2</x:f>
        <x:v>0.18480742194094</x:v>
      </x:c>
      <x:c r="K369" s="23" t="n">
        <x:f>RANK(J369,$J$2:$J$1401,1)</x:f>
        <x:v>413</x:v>
      </x:c>
      <x:c r="L369" s="23" t="n">
        <x:f>IF(K369&lt;=7,1,0)</x:f>
        <x:v>0</x:v>
      </x:c>
      <x:c r="M369" s="23" t="n">
        <x:f>IF(L369=1,1/(J369+0.000001),0)</x:f>
        <x:v>0</x:v>
      </x:c>
      <x:c r="N369" s="23" t="n">
        <x:v>0.017940028438694577</x:v>
      </x:c>
      <x:c r="O369" s="23" t="n">
        <x:f>M369</x:f>
        <x:v>0</x:v>
      </x:c>
      <x:c r="P369" s="23" t="n">
        <x:v>-0.04696126107887011</x:v>
      </x:c>
      <x:c r="Q369" s="23" t="n">
        <x:v>-14.586480800384152</x:v>
      </x:c>
    </x:row>
    <x:row r="370">
      <x:c r="A370" s="23" t="str">
        <x:v>Lightning</x:v>
      </x:c>
      <x:c r="B370" s="23" t="n">
        <x:v>1430.7573036756366</x:v>
      </x:c>
      <x:c r="C370" s="23" t="n">
        <x:v>974.0138350869529</x:v>
      </x:c>
      <x:c r="D370" s="23" t="n">
        <x:v>646.7952569946647</x:v>
      </x:c>
      <x:c r="E370" s="23" t="n">
        <x:v>92.23514584125951</x:v>
      </x:c>
      <x:c r="F370" s="23" t="n">
        <x:v>9.333060581237078</x:v>
      </x:c>
      <x:c r="G370" s="23" t="n">
        <x:v>0.8531828878843226</x:v>
      </x:c>
      <x:c r="H370" s="23" t="n">
        <x:v>45</x:v>
      </x:c>
      <x:c r="I370" s="23" t="n">
        <x:v>25</x:v>
      </x:c>
      <x:c r="J370" s="23" t="n">
        <x:f>(IF(A370='Hybrid Calculator'!$B$6,0,1))^2+((B370-'Hybrid Calculator'!$B$7)/1500)^2+((C370-'Hybrid Calculator'!$B$8)/1300)^2+((D370-'Hybrid Calculator'!$B$9)/800)^2+((E370-'Hybrid Calculator'!$B$10)/350)^2+((F370-'Hybrid Calculator'!$B$11)/30)^2+(G370-'Hybrid Calculator'!$B$12)^2+((H370-'Hybrid Calculator'!$E$14)/IF(A370="Lightning",100,30000))^2+((I370-'Hybrid Calculator'!$E$17)/IF(A370="Lightning",100,30000))^2</x:f>
        <x:v>0.16699492605639532</x:v>
      </x:c>
      <x:c r="K370" s="23" t="n">
        <x:f>RANK(J370,$J$2:$J$1401,1)</x:f>
        <x:v>375</x:v>
      </x:c>
      <x:c r="L370" s="23" t="n">
        <x:f>IF(K370&lt;=7,1,0)</x:f>
        <x:v>0</x:v>
      </x:c>
      <x:c r="M370" s="23" t="n">
        <x:f>IF(L370=1,1/(J370+0.000001),0)</x:f>
        <x:v>0</x:v>
      </x:c>
      <x:c r="N370" s="23" t="n">
        <x:v>0.011731288324398514</x:v>
      </x:c>
      <x:c r="O370" s="23" t="n">
        <x:f>M370</x:f>
        <x:v>0</x:v>
      </x:c>
      <x:c r="P370" s="23" t="n">
        <x:v>-0.15118680922654448</x:v>
      </x:c>
      <x:c r="Q370" s="23" t="n">
        <x:v>3.736049127153592</x:v>
      </x:c>
    </x:row>
    <x:row r="371">
      <x:c r="A371" s="23" t="str">
        <x:v>Lightning</x:v>
      </x:c>
      <x:c r="B371" s="23" t="n">
        <x:v>1461.3551536691375</x:v>
      </x:c>
      <x:c r="C371" s="23" t="n">
        <x:v>1131.1423738254234</x:v>
      </x:c>
      <x:c r="D371" s="23" t="n">
        <x:v>635.0682740099728</x:v>
      </x:c>
      <x:c r="E371" s="23" t="n">
        <x:v>182.01477445662022</x:v>
      </x:c>
      <x:c r="F371" s="23" t="n">
        <x:v>25.7293071099557</x:v>
      </x:c>
      <x:c r="G371" s="23" t="n">
        <x:v>0.8348976640356705</x:v>
      </x:c>
      <x:c r="H371" s="23" t="n">
        <x:v>35</x:v>
      </x:c>
      <x:c r="I371" s="23" t="n">
        <x:v>25</x:v>
      </x:c>
      <x:c r="J371" s="23" t="n">
        <x:f>(IF(A371='Hybrid Calculator'!$B$6,0,1))^2+((B371-'Hybrid Calculator'!$B$7)/1500)^2+((C371-'Hybrid Calculator'!$B$8)/1300)^2+((D371-'Hybrid Calculator'!$B$9)/800)^2+((E371-'Hybrid Calculator'!$B$10)/350)^2+((F371-'Hybrid Calculator'!$B$11)/30)^2+(G371-'Hybrid Calculator'!$B$12)^2+((H371-'Hybrid Calculator'!$E$14)/IF(A371="Lightning",100,30000))^2+((I371-'Hybrid Calculator'!$E$17)/IF(A371="Lightning",100,30000))^2</x:f>
        <x:v>0.1650213495239612</x:v>
      </x:c>
      <x:c r="K371" s="23" t="n">
        <x:f>RANK(J371,$J$2:$J$1401,1)</x:f>
        <x:v>366</x:v>
      </x:c>
      <x:c r="L371" s="23" t="n">
        <x:f>IF(K371&lt;=7,1,0)</x:f>
        <x:v>0</x:v>
      </x:c>
      <x:c r="M371" s="23" t="n">
        <x:f>IF(L371=1,1/(J371+0.000001),0)</x:f>
        <x:v>0</x:v>
      </x:c>
      <x:c r="N371" s="23" t="n">
        <x:v>0.004868803003214461</x:v>
      </x:c>
      <x:c r="O371" s="23" t="n">
        <x:f>M371</x:f>
        <x:v>0</x:v>
      </x:c>
      <x:c r="P371" s="23" t="n">
        <x:v>0.22962023988718983</x:v>
      </x:c>
      <x:c r="Q371" s="23" t="n">
        <x:v>-16.658924760564787</x:v>
      </x:c>
    </x:row>
    <x:row r="372">
      <x:c r="A372" s="23" t="str">
        <x:v>Lightning</x:v>
      </x:c>
      <x:c r="B372" s="23" t="n">
        <x:v>1376.8039329210296</x:v>
      </x:c>
      <x:c r="C372" s="23" t="n">
        <x:v>608.0408153240569</x:v>
      </x:c>
      <x:c r="D372" s="23" t="n">
        <x:v>437.12089732289314</x:v>
      </x:c>
      <x:c r="E372" s="23" t="n">
        <x:v>208.7772361538373</x:v>
      </x:c>
      <x:c r="F372" s="23" t="n">
        <x:v>28.946284412406385</x:v>
      </x:c>
      <x:c r="G372" s="23" t="n">
        <x:v>0.851266087719705</x:v>
      </x:c>
      <x:c r="H372" s="23" t="n">
        <x:v>60</x:v>
      </x:c>
      <x:c r="I372" s="23" t="n">
        <x:v>25</x:v>
      </x:c>
      <x:c r="J372" s="23" t="n">
        <x:f>(IF(A372='Hybrid Calculator'!$B$6,0,1))^2+((B372-'Hybrid Calculator'!$B$7)/1500)^2+((C372-'Hybrid Calculator'!$B$8)/1300)^2+((D372-'Hybrid Calculator'!$B$9)/800)^2+((E372-'Hybrid Calculator'!$B$10)/350)^2+((F372-'Hybrid Calculator'!$B$11)/30)^2+(G372-'Hybrid Calculator'!$B$12)^2+((H372-'Hybrid Calculator'!$E$14)/IF(A372="Lightning",100,30000))^2+((I372-'Hybrid Calculator'!$E$17)/IF(A372="Lightning",100,30000))^2</x:f>
        <x:v>0.20228129402168643</x:v>
      </x:c>
      <x:c r="K372" s="23" t="n">
        <x:f>RANK(J372,$J$2:$J$1401,1)</x:f>
        <x:v>451</x:v>
      </x:c>
      <x:c r="L372" s="23" t="n">
        <x:f>IF(K372&lt;=7,1,0)</x:f>
        <x:v>0</x:v>
      </x:c>
      <x:c r="M372" s="23" t="n">
        <x:f>IF(L372=1,1/(J372+0.000001),0)</x:f>
        <x:v>0</x:v>
      </x:c>
      <x:c r="N372" s="23" t="n">
        <x:v>-0.02270551486271244</x:v>
      </x:c>
      <x:c r="O372" s="23" t="n">
        <x:f>M372</x:f>
        <x:v>0</x:v>
      </x:c>
      <x:c r="P372" s="23" t="n">
        <x:v>0.017609220317936547</x:v>
      </x:c>
      <x:c r="Q372" s="23" t="n">
        <x:v>-6.822537167580549</x:v>
      </x:c>
    </x:row>
    <x:row r="373">
      <x:c r="A373" s="23" t="str">
        <x:v>Lightning</x:v>
      </x:c>
      <x:c r="B373" s="23" t="n">
        <x:v>1498.5714875045232</x:v>
      </x:c>
      <x:c r="C373" s="23" t="n">
        <x:v>776.1442041024566</x:v>
      </x:c>
      <x:c r="D373" s="23" t="n">
        <x:v>617.5555839203298</x:v>
      </x:c>
      <x:c r="E373" s="23" t="n">
        <x:v>237.97011007089168</x:v>
      </x:c>
      <x:c r="F373" s="23" t="n">
        <x:v>8.570481488015503</x:v>
      </x:c>
      <x:c r="G373" s="23" t="n">
        <x:v>0.8596574276592583</x:v>
      </x:c>
      <x:c r="H373" s="23" t="n">
        <x:v>45</x:v>
      </x:c>
      <x:c r="I373" s="23" t="n">
        <x:v>25</x:v>
      </x:c>
      <x:c r="J373" s="23" t="n">
        <x:f>(IF(A373='Hybrid Calculator'!$B$6,0,1))^2+((B373-'Hybrid Calculator'!$B$7)/1500)^2+((C373-'Hybrid Calculator'!$B$8)/1300)^2+((D373-'Hybrid Calculator'!$B$9)/800)^2+((E373-'Hybrid Calculator'!$B$10)/350)^2+((F373-'Hybrid Calculator'!$B$11)/30)^2+(G373-'Hybrid Calculator'!$B$12)^2+((H373-'Hybrid Calculator'!$E$14)/IF(A373="Lightning",100,30000))^2+((I373-'Hybrid Calculator'!$E$17)/IF(A373="Lightning",100,30000))^2</x:f>
        <x:v>0.20402245034373973</x:v>
      </x:c>
      <x:c r="K373" s="23" t="n">
        <x:f>RANK(J373,$J$2:$J$1401,1)</x:f>
        <x:v>455</x:v>
      </x:c>
      <x:c r="L373" s="23" t="n">
        <x:f>IF(K373&lt;=7,1,0)</x:f>
        <x:v>0</x:v>
      </x:c>
      <x:c r="M373" s="23" t="n">
        <x:f>IF(L373=1,1/(J373+0.000001),0)</x:f>
        <x:v>0</x:v>
      </x:c>
      <x:c r="N373" s="23" t="n">
        <x:v>0.00007427094700740433</x:v>
      </x:c>
      <x:c r="O373" s="23" t="n">
        <x:f>M373</x:f>
        <x:v>0</x:v>
      </x:c>
      <x:c r="P373" s="23" t="n">
        <x:v>0.25022243740696837</x:v>
      </x:c>
      <x:c r="Q373" s="23" t="n">
        <x:v>0.9850825129719851</x:v>
      </x:c>
    </x:row>
    <x:row r="374">
      <x:c r="A374" s="23" t="str">
        <x:v>Lightning</x:v>
      </x:c>
      <x:c r="B374" s="23" t="n">
        <x:v>1495.67536348477</x:v>
      </x:c>
      <x:c r="C374" s="23" t="n">
        <x:v>902.5302921771072</x:v>
      </x:c>
      <x:c r="D374" s="23" t="n">
        <x:v>404.17248103767633</x:v>
      </x:c>
      <x:c r="E374" s="23" t="n">
        <x:v>294.6415170864202</x:v>
      </x:c>
      <x:c r="F374" s="23" t="n">
        <x:v>28.261583479121327</x:v>
      </x:c>
      <x:c r="G374" s="23" t="n">
        <x:v>0.8072902540047653</x:v>
      </x:c>
      <x:c r="H374" s="23" t="n">
        <x:v>40</x:v>
      </x:c>
      <x:c r="I374" s="23" t="n">
        <x:v>25</x:v>
      </x:c>
      <x:c r="J374" s="23" t="n">
        <x:f>(IF(A374='Hybrid Calculator'!$B$6,0,1))^2+((B374-'Hybrid Calculator'!$B$7)/1500)^2+((C374-'Hybrid Calculator'!$B$8)/1300)^2+((D374-'Hybrid Calculator'!$B$9)/800)^2+((E374-'Hybrid Calculator'!$B$10)/350)^2+((F374-'Hybrid Calculator'!$B$11)/30)^2+(G374-'Hybrid Calculator'!$B$12)^2+((H374-'Hybrid Calculator'!$E$14)/IF(A374="Lightning",100,30000))^2+((I374-'Hybrid Calculator'!$E$17)/IF(A374="Lightning",100,30000))^2</x:f>
        <x:v>0.30502381585059163</x:v>
      </x:c>
      <x:c r="K374" s="23" t="n">
        <x:f>RANK(J374,$J$2:$J$1401,1)</x:f>
        <x:v>602</x:v>
      </x:c>
      <x:c r="L374" s="23" t="n">
        <x:f>IF(K374&lt;=7,1,0)</x:f>
        <x:v>0</x:v>
      </x:c>
      <x:c r="M374" s="23" t="n">
        <x:f>IF(L374=1,1/(J374+0.000001),0)</x:f>
        <x:v>0</x:v>
      </x:c>
      <x:c r="N374" s="23" t="n">
        <x:v>0.005310309564166005</x:v>
      </x:c>
      <x:c r="O374" s="23" t="n">
        <x:f>M374</x:f>
        <x:v>0</x:v>
      </x:c>
      <x:c r="P374" s="23" t="n">
        <x:v>-1.0454213007202284</x:v>
      </x:c>
      <x:c r="Q374" s="23" t="n">
        <x:v>-17.036389224977484</x:v>
      </x:c>
    </x:row>
    <x:row r="375">
      <x:c r="A375" s="23" t="str">
        <x:v>Lightning</x:v>
      </x:c>
      <x:c r="B375" s="23" t="n">
        <x:v>1435.61756570125</x:v>
      </x:c>
      <x:c r="C375" s="23" t="n">
        <x:v>660.4892992647365</x:v>
      </x:c>
      <x:c r="D375" s="23" t="n">
        <x:v>629.5709648169577</x:v>
      </x:c>
      <x:c r="E375" s="23" t="n">
        <x:v>176.64945979602635</x:v>
      </x:c>
      <x:c r="F375" s="23" t="n">
        <x:v>8.095389709342271</x:v>
      </x:c>
      <x:c r="G375" s="23" t="n">
        <x:v>0.8210209401929751</x:v>
      </x:c>
      <x:c r="H375" s="23" t="n">
        <x:v>55</x:v>
      </x:c>
      <x:c r="I375" s="23" t="n">
        <x:v>25</x:v>
      </x:c>
      <x:c r="J375" s="23" t="n">
        <x:f>(IF(A375='Hybrid Calculator'!$B$6,0,1))^2+((B375-'Hybrid Calculator'!$B$7)/1500)^2+((C375-'Hybrid Calculator'!$B$8)/1300)^2+((D375-'Hybrid Calculator'!$B$9)/800)^2+((E375-'Hybrid Calculator'!$B$10)/350)^2+((F375-'Hybrid Calculator'!$B$11)/30)^2+(G375-'Hybrid Calculator'!$B$12)^2+((H375-'Hybrid Calculator'!$E$14)/IF(A375="Lightning",100,30000))^2+((I375-'Hybrid Calculator'!$E$17)/IF(A375="Lightning",100,30000))^2</x:f>
        <x:v>0.1761163062536029</x:v>
      </x:c>
      <x:c r="K375" s="23" t="n">
        <x:f>RANK(J375,$J$2:$J$1401,1)</x:f>
        <x:v>395</x:v>
      </x:c>
      <x:c r="L375" s="23" t="n">
        <x:f>IF(K375&lt;=7,1,0)</x:f>
        <x:v>0</x:v>
      </x:c>
      <x:c r="M375" s="23" t="n">
        <x:f>IF(L375=1,1/(J375+0.000001),0)</x:f>
        <x:v>0</x:v>
      </x:c>
      <x:c r="N375" s="23" t="n">
        <x:v>0.013895078588076482</x:v>
      </x:c>
      <x:c r="O375" s="23" t="n">
        <x:f>M375</x:f>
        <x:v>0</x:v>
      </x:c>
      <x:c r="P375" s="23" t="n">
        <x:v>0.14005954714679802</x:v>
      </x:c>
      <x:c r="Q375" s="23" t="n">
        <x:v>4.51664533342182</x:v>
      </x:c>
    </x:row>
    <x:row r="376">
      <x:c r="A376" s="23" t="str">
        <x:v>Lightning</x:v>
      </x:c>
      <x:c r="B376" s="23" t="n">
        <x:v>1489.4716979702935</x:v>
      </x:c>
      <x:c r="C376" s="23" t="n">
        <x:v>875.0548608251847</x:v>
      </x:c>
      <x:c r="D376" s="23" t="n">
        <x:v>685.790291056037</x:v>
      </x:c>
      <x:c r="E376" s="23" t="n">
        <x:v>222.9045244003646</x:v>
      </x:c>
      <x:c r="F376" s="23" t="n">
        <x:v>26.6995168896392</x:v>
      </x:c>
      <x:c r="G376" s="23" t="n">
        <x:v>0.8553679793770426</x:v>
      </x:c>
      <x:c r="H376" s="23" t="n">
        <x:v>40</x:v>
      </x:c>
      <x:c r="I376" s="23" t="n">
        <x:v>25</x:v>
      </x:c>
      <x:c r="J376" s="23" t="n">
        <x:f>(IF(A376='Hybrid Calculator'!$B$6,0,1))^2+((B376-'Hybrid Calculator'!$B$7)/1500)^2+((C376-'Hybrid Calculator'!$B$8)/1300)^2+((D376-'Hybrid Calculator'!$B$9)/800)^2+((E376-'Hybrid Calculator'!$B$10)/350)^2+((F376-'Hybrid Calculator'!$B$11)/30)^2+(G376-'Hybrid Calculator'!$B$12)^2+((H376-'Hybrid Calculator'!$E$14)/IF(A376="Lightning",100,30000))^2+((I376-'Hybrid Calculator'!$E$17)/IF(A376="Lightning",100,30000))^2</x:f>
        <x:v>0.1854947763591317</x:v>
      </x:c>
      <x:c r="K376" s="23" t="n">
        <x:f>RANK(J376,$J$2:$J$1401,1)</x:f>
        <x:v>416</x:v>
      </x:c>
      <x:c r="L376" s="23" t="n">
        <x:f>IF(K376&lt;=7,1,0)</x:f>
        <x:v>0</x:v>
      </x:c>
      <x:c r="M376" s="23" t="n">
        <x:f>IF(L376=1,1/(J376+0.000001),0)</x:f>
        <x:v>0</x:v>
      </x:c>
      <x:c r="N376" s="23" t="n">
        <x:v>0.005038194031734555</x:v>
      </x:c>
      <x:c r="O376" s="23" t="n">
        <x:f>M376</x:f>
        <x:v>0</x:v>
      </x:c>
      <x:c r="P376" s="23" t="n">
        <x:v>0.1458182580732199</x:v>
      </x:c>
      <x:c r="Q376" s="23" t="n">
        <x:v>-20.1801263213913</x:v>
      </x:c>
    </x:row>
    <x:row r="377">
      <x:c r="A377" s="23" t="str">
        <x:v>Lightning</x:v>
      </x:c>
      <x:c r="B377" s="23" t="n">
        <x:v>1360.3644376038574</x:v>
      </x:c>
      <x:c r="C377" s="23" t="n">
        <x:v>1037.2886119876057</x:v>
      </x:c>
      <x:c r="D377" s="23" t="n">
        <x:v>460.961754899472</x:v>
      </x:c>
      <x:c r="E377" s="23" t="n">
        <x:v>273.43827047850937</x:v>
      </x:c>
      <x:c r="F377" s="23" t="n">
        <x:v>20.864300593268126</x:v>
      </x:c>
      <x:c r="G377" s="23" t="n">
        <x:v>0.7999861523695291</x:v>
      </x:c>
      <x:c r="H377" s="23" t="n">
        <x:v>40</x:v>
      </x:c>
      <x:c r="I377" s="23" t="n">
        <x:v>25</x:v>
      </x:c>
      <x:c r="J377" s="23" t="n">
        <x:f>(IF(A377='Hybrid Calculator'!$B$6,0,1))^2+((B377-'Hybrid Calculator'!$B$7)/1500)^2+((C377-'Hybrid Calculator'!$B$8)/1300)^2+((D377-'Hybrid Calculator'!$B$9)/800)^2+((E377-'Hybrid Calculator'!$B$10)/350)^2+((F377-'Hybrid Calculator'!$B$11)/30)^2+(G377-'Hybrid Calculator'!$B$12)^2+((H377-'Hybrid Calculator'!$E$14)/IF(A377="Lightning",100,30000))^2+((I377-'Hybrid Calculator'!$E$17)/IF(A377="Lightning",100,30000))^2</x:f>
        <x:v>0.16598894274216977</x:v>
      </x:c>
      <x:c r="K377" s="23" t="n">
        <x:f>RANK(J377,$J$2:$J$1401,1)</x:f>
        <x:v>372</x:v>
      </x:c>
      <x:c r="L377" s="23" t="n">
        <x:f>IF(K377&lt;=7,1,0)</x:f>
        <x:v>0</x:v>
      </x:c>
      <x:c r="M377" s="23" t="n">
        <x:f>IF(L377=1,1/(J377+0.000001),0)</x:f>
        <x:v>0</x:v>
      </x:c>
      <x:c r="N377" s="23" t="n">
        <x:v>-0.004149533137065564</x:v>
      </x:c>
      <x:c r="O377" s="23" t="n">
        <x:f>M377</x:f>
        <x:v>0</x:v>
      </x:c>
      <x:c r="P377" s="23" t="n">
        <x:v>-0.02781639247167078</x:v>
      </x:c>
      <x:c r="Q377" s="23" t="n">
        <x:v>-14.263714855723038</x:v>
      </x:c>
    </x:row>
    <x:row r="378">
      <x:c r="A378" s="23" t="str">
        <x:v>Lightning</x:v>
      </x:c>
      <x:c r="B378" s="23" t="n">
        <x:v>1422.741910116747</x:v>
      </x:c>
      <x:c r="C378" s="23" t="n">
        <x:v>657.8381884726696</x:v>
      </x:c>
      <x:c r="D378" s="23" t="n">
        <x:v>635.6071708723903</x:v>
      </x:c>
      <x:c r="E378" s="23" t="n">
        <x:v>311.57722159521654</x:v>
      </x:c>
      <x:c r="F378" s="23" t="n">
        <x:v>19.773763850331306</x:v>
      </x:c>
      <x:c r="G378" s="23" t="n">
        <x:v>0.851938762201462</x:v>
      </x:c>
      <x:c r="H378" s="23" t="n">
        <x:v>45</x:v>
      </x:c>
      <x:c r="I378" s="23" t="n">
        <x:v>25</x:v>
      </x:c>
      <x:c r="J378" s="23" t="n">
        <x:f>(IF(A378='Hybrid Calculator'!$B$6,0,1))^2+((B378-'Hybrid Calculator'!$B$7)/1500)^2+((C378-'Hybrid Calculator'!$B$8)/1300)^2+((D378-'Hybrid Calculator'!$B$9)/800)^2+((E378-'Hybrid Calculator'!$B$10)/350)^2+((F378-'Hybrid Calculator'!$B$11)/30)^2+(G378-'Hybrid Calculator'!$B$12)^2+((H378-'Hybrid Calculator'!$E$14)/IF(A378="Lightning",100,30000))^2+((I378-'Hybrid Calculator'!$E$17)/IF(A378="Lightning",100,30000))^2</x:f>
        <x:v>0.2690281767071979</x:v>
      </x:c>
      <x:c r="K378" s="23" t="n">
        <x:f>RANK(J378,$J$2:$J$1401,1)</x:f>
        <x:v>572</x:v>
      </x:c>
      <x:c r="L378" s="23" t="n">
        <x:f>IF(K378&lt;=7,1,0)</x:f>
        <x:v>0</x:v>
      </x:c>
      <x:c r="M378" s="23" t="n">
        <x:f>IF(L378=1,1/(J378+0.000001),0)</x:f>
        <x:v>0</x:v>
      </x:c>
      <x:c r="N378" s="23" t="n">
        <x:v>0.002665073238999005</x:v>
      </x:c>
      <x:c r="O378" s="23" t="n">
        <x:f>M378</x:f>
        <x:v>0</x:v>
      </x:c>
      <x:c r="P378" s="23" t="n">
        <x:v>-0.20880228490443642</x:v>
      </x:c>
      <x:c r="Q378" s="23" t="n">
        <x:v>2.8016564384492995</x:v>
      </x:c>
    </x:row>
    <x:row r="379">
      <x:c r="A379" s="23" t="str">
        <x:v>Lightning</x:v>
      </x:c>
      <x:c r="B379" s="23" t="n">
        <x:v>1357.7735279803164</x:v>
      </x:c>
      <x:c r="C379" s="23" t="n">
        <x:v>1107.3104059090838</x:v>
      </x:c>
      <x:c r="D379" s="23" t="n">
        <x:v>600.3630769439042</x:v>
      </x:c>
      <x:c r="E379" s="23" t="n">
        <x:v>139.423275757581</x:v>
      </x:c>
      <x:c r="F379" s="23" t="n">
        <x:v>15.664569503162056</x:v>
      </x:c>
      <x:c r="G379" s="23" t="n">
        <x:v>0.8114637379860505</x:v>
      </x:c>
      <x:c r="H379" s="23" t="n">
        <x:v>40</x:v>
      </x:c>
      <x:c r="I379" s="23" t="n">
        <x:v>25</x:v>
      </x:c>
      <x:c r="J379" s="23" t="n">
        <x:f>(IF(A379='Hybrid Calculator'!$B$6,0,1))^2+((B379-'Hybrid Calculator'!$B$7)/1500)^2+((C379-'Hybrid Calculator'!$B$8)/1300)^2+((D379-'Hybrid Calculator'!$B$9)/800)^2+((E379-'Hybrid Calculator'!$B$10)/350)^2+((F379-'Hybrid Calculator'!$B$11)/30)^2+(G379-'Hybrid Calculator'!$B$12)^2+((H379-'Hybrid Calculator'!$E$14)/IF(A379="Lightning",100,30000))^2+((I379-'Hybrid Calculator'!$E$17)/IF(A379="Lightning",100,30000))^2</x:f>
        <x:v>0.07684303299244868</x:v>
      </x:c>
      <x:c r="K379" s="23" t="n">
        <x:f>RANK(J379,$J$2:$J$1401,1)</x:f>
        <x:v>127</x:v>
      </x:c>
      <x:c r="L379" s="23" t="n">
        <x:f>IF(K379&lt;=7,1,0)</x:f>
        <x:v>0</x:v>
      </x:c>
      <x:c r="M379" s="23" t="n">
        <x:f>IF(L379=1,1/(J379+0.000001),0)</x:f>
        <x:v>0</x:v>
      </x:c>
      <x:c r="N379" s="23" t="n">
        <x:v>0.019852882076706768</x:v>
      </x:c>
      <x:c r="O379" s="23" t="n">
        <x:f>M379</x:f>
        <x:v>0</x:v>
      </x:c>
      <x:c r="P379" s="23" t="n">
        <x:v>-0.08165645980636782</x:v>
      </x:c>
      <x:c r="Q379" s="23" t="n">
        <x:v>3.299431201232437</x:v>
      </x:c>
    </x:row>
    <x:row r="380">
      <x:c r="A380" s="23" t="str">
        <x:v>Lightning</x:v>
      </x:c>
      <x:c r="B380" s="23" t="n">
        <x:v>1353.3692061435431</x:v>
      </x:c>
      <x:c r="C380" s="23" t="n">
        <x:v>1090.8205338637345</x:v>
      </x:c>
      <x:c r="D380" s="23" t="n">
        <x:v>443.8915168866515</x:v>
      </x:c>
      <x:c r="E380" s="23" t="n">
        <x:v>124.73308922024444</x:v>
      </x:c>
      <x:c r="F380" s="23" t="n">
        <x:v>21.58291621133685</x:v>
      </x:c>
      <x:c r="G380" s="23" t="n">
        <x:v>0.8434550891467371</x:v>
      </x:c>
      <x:c r="H380" s="23" t="n">
        <x:v>45</x:v>
      </x:c>
      <x:c r="I380" s="23" t="n">
        <x:v>25</x:v>
      </x:c>
      <x:c r="J380" s="23" t="n">
        <x:f>(IF(A380='Hybrid Calculator'!$B$6,0,1))^2+((B380-'Hybrid Calculator'!$B$7)/1500)^2+((C380-'Hybrid Calculator'!$B$8)/1300)^2+((D380-'Hybrid Calculator'!$B$9)/800)^2+((E380-'Hybrid Calculator'!$B$10)/350)^2+((F380-'Hybrid Calculator'!$B$11)/30)^2+(G380-'Hybrid Calculator'!$B$12)^2+((H380-'Hybrid Calculator'!$E$14)/IF(A380="Lightning",100,30000))^2+((I380-'Hybrid Calculator'!$E$17)/IF(A380="Lightning",100,30000))^2</x:f>
        <x:v>0.060337844487579145</x:v>
      </x:c>
      <x:c r="K380" s="23" t="n">
        <x:f>RANK(J380,$J$2:$J$1401,1)</x:f>
        <x:v>82</x:v>
      </x:c>
      <x:c r="L380" s="23" t="n">
        <x:f>IF(K380&lt;=7,1,0)</x:f>
        <x:v>0</x:v>
      </x:c>
      <x:c r="M380" s="23" t="n">
        <x:f>IF(L380=1,1/(J380+0.000001),0)</x:f>
        <x:v>0</x:v>
      </x:c>
      <x:c r="N380" s="23" t="n">
        <x:v>0.01095182290013974</x:v>
      </x:c>
      <x:c r="O380" s="23" t="n">
        <x:f>M380</x:f>
        <x:v>0</x:v>
      </x:c>
      <x:c r="P380" s="23" t="n">
        <x:v>1.582841487622808</x:v>
      </x:c>
      <x:c r="Q380" s="23" t="n">
        <x:v>-10.91361666425837</x:v>
      </x:c>
    </x:row>
    <x:row r="381">
      <x:c r="A381" s="23" t="str">
        <x:v>Lightning</x:v>
      </x:c>
      <x:c r="B381" s="23" t="n">
        <x:v>1498.9665866014548</x:v>
      </x:c>
      <x:c r="C381" s="23" t="n">
        <x:v>1002.8829238144681</x:v>
      </x:c>
      <x:c r="D381" s="23" t="n">
        <x:v>720.588590670377</x:v>
      </x:c>
      <x:c r="E381" s="23" t="n">
        <x:v>122.69549902528524</x:v>
      </x:c>
      <x:c r="F381" s="23" t="n">
        <x:v>11.038820939604193</x:v>
      </x:c>
      <x:c r="G381" s="23" t="n">
        <x:v>0.7983299684105442</x:v>
      </x:c>
      <x:c r="H381" s="23" t="n">
        <x:v>35</x:v>
      </x:c>
      <x:c r="I381" s="23" t="n">
        <x:v>25</x:v>
      </x:c>
      <x:c r="J381" s="23" t="n">
        <x:f>(IF(A381='Hybrid Calculator'!$B$6,0,1))^2+((B381-'Hybrid Calculator'!$B$7)/1500)^2+((C381-'Hybrid Calculator'!$B$8)/1300)^2+((D381-'Hybrid Calculator'!$B$9)/800)^2+((E381-'Hybrid Calculator'!$B$10)/350)^2+((F381-'Hybrid Calculator'!$B$11)/30)^2+(G381-'Hybrid Calculator'!$B$12)^2+((H381-'Hybrid Calculator'!$E$14)/IF(A381="Lightning",100,30000))^2+((I381-'Hybrid Calculator'!$E$17)/IF(A381="Lightning",100,30000))^2</x:f>
        <x:v>0.18320232224241362</x:v>
      </x:c>
      <x:c r="K381" s="23" t="n">
        <x:f>RANK(J381,$J$2:$J$1401,1)</x:f>
        <x:v>409</x:v>
      </x:c>
      <x:c r="L381" s="23" t="n">
        <x:f>IF(K381&lt;=7,1,0)</x:f>
        <x:v>0</x:v>
      </x:c>
      <x:c r="M381" s="23" t="n">
        <x:f>IF(L381=1,1/(J381+0.000001),0)</x:f>
        <x:v>0</x:v>
      </x:c>
      <x:c r="N381" s="23" t="n">
        <x:v>0.023363183697515888</x:v>
      </x:c>
      <x:c r="O381" s="23" t="n">
        <x:f>M381</x:f>
        <x:v>0</x:v>
      </x:c>
      <x:c r="P381" s="23" t="n">
        <x:v>-0.0033505040763301963</x:v>
      </x:c>
      <x:c r="Q381" s="23" t="n">
        <x:v>1.075791374849814</x:v>
      </x:c>
    </x:row>
    <x:row r="382">
      <x:c r="A382" s="23" t="str">
        <x:v>Lightning</x:v>
      </x:c>
      <x:c r="B382" s="23" t="n">
        <x:v>1434.1287147486582</x:v>
      </x:c>
      <x:c r="C382" s="23" t="n">
        <x:v>965.4178938944824</x:v>
      </x:c>
      <x:c r="D382" s="23" t="n">
        <x:v>425.8639357984066</x:v>
      </x:c>
      <x:c r="E382" s="23" t="n">
        <x:v>275.1012699282728</x:v>
      </x:c>
      <x:c r="F382" s="23" t="n">
        <x:v>8.03030293341726</x:v>
      </x:c>
      <x:c r="G382" s="23" t="n">
        <x:v>0.8574028147174977</x:v>
      </x:c>
      <x:c r="H382" s="23" t="n">
        <x:v>45</x:v>
      </x:c>
      <x:c r="I382" s="23" t="n">
        <x:v>25</x:v>
      </x:c>
      <x:c r="J382" s="23" t="n">
        <x:f>(IF(A382='Hybrid Calculator'!$B$6,0,1))^2+((B382-'Hybrid Calculator'!$B$7)/1500)^2+((C382-'Hybrid Calculator'!$B$8)/1300)^2+((D382-'Hybrid Calculator'!$B$9)/800)^2+((E382-'Hybrid Calculator'!$B$10)/350)^2+((F382-'Hybrid Calculator'!$B$11)/30)^2+(G382-'Hybrid Calculator'!$B$12)^2+((H382-'Hybrid Calculator'!$E$14)/IF(A382="Lightning",100,30000))^2+((I382-'Hybrid Calculator'!$E$17)/IF(A382="Lightning",100,30000))^2</x:f>
        <x:v>0.2699579009605337</x:v>
      </x:c>
      <x:c r="K382" s="23" t="n">
        <x:f>RANK(J382,$J$2:$J$1401,1)</x:f>
        <x:v>574</x:v>
      </x:c>
      <x:c r="L382" s="23" t="n">
        <x:f>IF(K382&lt;=7,1,0)</x:f>
        <x:v>0</x:v>
      </x:c>
      <x:c r="M382" s="23" t="n">
        <x:f>IF(L382=1,1/(J382+0.000001),0)</x:f>
        <x:v>0</x:v>
      </x:c>
      <x:c r="N382" s="23" t="n">
        <x:v>0.01885929116879992</x:v>
      </x:c>
      <x:c r="O382" s="23" t="n">
        <x:f>M382</x:f>
        <x:v>0</x:v>
      </x:c>
      <x:c r="P382" s="23" t="n">
        <x:v>-0.7555421587862199</x:v>
      </x:c>
      <x:c r="Q382" s="23" t="n">
        <x:v>1.8134828317718075</x:v>
      </x:c>
    </x:row>
    <x:row r="383">
      <x:c r="A383" s="23" t="str">
        <x:v>Lightning</x:v>
      </x:c>
      <x:c r="B383" s="23" t="n">
        <x:v>1417.3399833845906</x:v>
      </x:c>
      <x:c r="C383" s="23" t="n">
        <x:v>1125.4315368831158</x:v>
      </x:c>
      <x:c r="D383" s="23" t="n">
        <x:v>492.9997234605253</x:v>
      </x:c>
      <x:c r="E383" s="23" t="n">
        <x:v>273.20019998122007</x:v>
      </x:c>
      <x:c r="F383" s="23" t="n">
        <x:v>18.726384551730007</x:v>
      </x:c>
      <x:c r="G383" s="23" t="n">
        <x:v>0.8550346575211734</x:v>
      </x:c>
      <x:c r="H383" s="23" t="n">
        <x:v>40</x:v>
      </x:c>
      <x:c r="I383" s="23" t="n">
        <x:v>25</x:v>
      </x:c>
      <x:c r="J383" s="23" t="n">
        <x:f>(IF(A383='Hybrid Calculator'!$B$6,0,1))^2+((B383-'Hybrid Calculator'!$B$7)/1500)^2+((C383-'Hybrid Calculator'!$B$8)/1300)^2+((D383-'Hybrid Calculator'!$B$9)/800)^2+((E383-'Hybrid Calculator'!$B$10)/350)^2+((F383-'Hybrid Calculator'!$B$11)/30)^2+(G383-'Hybrid Calculator'!$B$12)^2+((H383-'Hybrid Calculator'!$E$14)/IF(A383="Lightning",100,30000))^2+((I383-'Hybrid Calculator'!$E$17)/IF(A383="Lightning",100,30000))^2</x:f>
        <x:v>0.18018049248802345</x:v>
      </x:c>
      <x:c r="K383" s="23" t="n">
        <x:f>RANK(J383,$J$2:$J$1401,1)</x:f>
        <x:v>401</x:v>
      </x:c>
      <x:c r="L383" s="23" t="n">
        <x:f>IF(K383&lt;=7,1,0)</x:f>
        <x:v>0</x:v>
      </x:c>
      <x:c r="M383" s="23" t="n">
        <x:f>IF(L383=1,1/(J383+0.000001),0)</x:f>
        <x:v>0</x:v>
      </x:c>
      <x:c r="N383" s="23" t="n">
        <x:v>0.012514814092132287</x:v>
      </x:c>
      <x:c r="O383" s="23" t="n">
        <x:f>M383</x:f>
        <x:v>0</x:v>
      </x:c>
      <x:c r="P383" s="23" t="n">
        <x:v>0.8996269553810237</x:v>
      </x:c>
      <x:c r="Q383" s="23" t="n">
        <x:v>-3.308429414524653</x:v>
      </x:c>
    </x:row>
    <x:row r="384">
      <x:c r="A384" s="23" t="str">
        <x:v>Lightning</x:v>
      </x:c>
      <x:c r="B384" s="23" t="n">
        <x:v>1362.6517868600786</x:v>
      </x:c>
      <x:c r="C384" s="23" t="n">
        <x:v>604.045028926339</x:v>
      </x:c>
      <x:c r="D384" s="23" t="n">
        <x:v>660.9032595530152</x:v>
      </x:c>
      <x:c r="E384" s="23" t="n">
        <x:v>294.0841698856093</x:v>
      </x:c>
      <x:c r="F384" s="23" t="n">
        <x:v>9.046833658590913</x:v>
      </x:c>
      <x:c r="G384" s="23" t="n">
        <x:v>0.8536015591328032</x:v>
      </x:c>
      <x:c r="H384" s="23" t="n">
        <x:v>55</x:v>
      </x:c>
      <x:c r="I384" s="23" t="n">
        <x:v>25</x:v>
      </x:c>
      <x:c r="J384" s="23" t="n">
        <x:f>(IF(A384='Hybrid Calculator'!$B$6,0,1))^2+((B384-'Hybrid Calculator'!$B$7)/1500)^2+((C384-'Hybrid Calculator'!$B$8)/1300)^2+((D384-'Hybrid Calculator'!$B$9)/800)^2+((E384-'Hybrid Calculator'!$B$10)/350)^2+((F384-'Hybrid Calculator'!$B$11)/30)^2+(G384-'Hybrid Calculator'!$B$12)^2+((H384-'Hybrid Calculator'!$E$14)/IF(A384="Lightning",100,30000))^2+((I384-'Hybrid Calculator'!$E$17)/IF(A384="Lightning",100,30000))^2</x:f>
        <x:v>0.350367750968831</x:v>
      </x:c>
      <x:c r="K384" s="23" t="n">
        <x:f>RANK(J384,$J$2:$J$1401,1)</x:f>
        <x:v>652</x:v>
      </x:c>
      <x:c r="L384" s="23" t="n">
        <x:f>IF(K384&lt;=7,1,0)</x:f>
        <x:v>0</x:v>
      </x:c>
      <x:c r="M384" s="23" t="n">
        <x:f>IF(L384=1,1/(J384+0.000001),0)</x:f>
        <x:v>0</x:v>
      </x:c>
      <x:c r="N384" s="23" t="n">
        <x:v>-0.0033711897330079843</x:v>
      </x:c>
      <x:c r="O384" s="23" t="n">
        <x:f>M384</x:f>
        <x:v>0</x:v>
      </x:c>
      <x:c r="P384" s="23" t="n">
        <x:v>-0.3224469080147614</x:v>
      </x:c>
      <x:c r="Q384" s="23" t="n">
        <x:v>9.31705828861027</x:v>
      </x:c>
    </x:row>
    <x:row r="385">
      <x:c r="A385" s="23" t="str">
        <x:v>Lightning</x:v>
      </x:c>
      <x:c r="B385" s="23" t="n">
        <x:v>1404.956917616073</x:v>
      </x:c>
      <x:c r="C385" s="23" t="n">
        <x:v>1244.3887229310349</x:v>
      </x:c>
      <x:c r="D385" s="23" t="n">
        <x:v>683.8344388641417</x:v>
      </x:c>
      <x:c r="E385" s="23" t="n">
        <x:v>244.86095287837088</x:v>
      </x:c>
      <x:c r="F385" s="23" t="n">
        <x:v>28.82140398817137</x:v>
      </x:c>
      <x:c r="G385" s="23" t="n">
        <x:v>0.8175765202054754</x:v>
      </x:c>
      <x:c r="H385" s="23" t="n">
        <x:v>30</x:v>
      </x:c>
      <x:c r="I385" s="23" t="n">
        <x:v>25</x:v>
      </x:c>
      <x:c r="J385" s="23" t="n">
        <x:f>(IF(A385='Hybrid Calculator'!$B$6,0,1))^2+((B385-'Hybrid Calculator'!$B$7)/1500)^2+((C385-'Hybrid Calculator'!$B$8)/1300)^2+((D385-'Hybrid Calculator'!$B$9)/800)^2+((E385-'Hybrid Calculator'!$B$10)/350)^2+((F385-'Hybrid Calculator'!$B$11)/30)^2+(G385-'Hybrid Calculator'!$B$12)^2+((H385-'Hybrid Calculator'!$E$14)/IF(A385="Lightning",100,30000))^2+((I385-'Hybrid Calculator'!$E$17)/IF(A385="Lightning",100,30000))^2</x:f>
        <x:v>0.3768523869600182</x:v>
      </x:c>
      <x:c r="K385" s="23" t="n">
        <x:f>RANK(J385,$J$2:$J$1401,1)</x:f>
        <x:v>674</x:v>
      </x:c>
      <x:c r="L385" s="23" t="n">
        <x:f>IF(K385&lt;=7,1,0)</x:f>
        <x:v>0</x:v>
      </x:c>
      <x:c r="M385" s="23" t="n">
        <x:f>IF(L385=1,1/(J385+0.000001),0)</x:f>
        <x:v>0</x:v>
      </x:c>
      <x:c r="N385" s="23" t="n">
        <x:v>0.0021704143085667926</x:v>
      </x:c>
      <x:c r="O385" s="23" t="n">
        <x:f>M385</x:f>
        <x:v>0</x:v>
      </x:c>
      <x:c r="P385" s="23" t="n">
        <x:v>-0.23647990048646506</x:v>
      </x:c>
      <x:c r="Q385" s="23" t="n">
        <x:v>-23.69442114977278</x:v>
      </x:c>
    </x:row>
    <x:row r="386">
      <x:c r="A386" s="23" t="str">
        <x:v>Lightning</x:v>
      </x:c>
      <x:c r="B386" s="23" t="n">
        <x:v>1390.2773976093158</x:v>
      </x:c>
      <x:c r="C386" s="23" t="n">
        <x:v>1122.8853167616762</x:v>
      </x:c>
      <x:c r="D386" s="23" t="n">
        <x:v>740.9704070538282</x:v>
      </x:c>
      <x:c r="E386" s="23" t="n">
        <x:v>149.51778911752626</x:v>
      </x:c>
      <x:c r="F386" s="23" t="n">
        <x:v>21.811410238035023</x:v>
      </x:c>
      <x:c r="G386" s="23" t="n">
        <x:v>0.8371544202486985</x:v>
      </x:c>
      <x:c r="H386" s="23" t="n">
        <x:v>35</x:v>
      </x:c>
      <x:c r="I386" s="23" t="n">
        <x:v>25</x:v>
      </x:c>
      <x:c r="J386" s="23" t="n">
        <x:f>(IF(A386='Hybrid Calculator'!$B$6,0,1))^2+((B386-'Hybrid Calculator'!$B$7)/1500)^2+((C386-'Hybrid Calculator'!$B$8)/1300)^2+((D386-'Hybrid Calculator'!$B$9)/800)^2+((E386-'Hybrid Calculator'!$B$10)/350)^2+((F386-'Hybrid Calculator'!$B$11)/30)^2+(G386-'Hybrid Calculator'!$B$12)^2+((H386-'Hybrid Calculator'!$E$14)/IF(A386="Lightning",100,30000))^2+((I386-'Hybrid Calculator'!$E$17)/IF(A386="Lightning",100,30000))^2</x:f>
        <x:v>0.1703080735065372</x:v>
      </x:c>
      <x:c r="K386" s="23" t="n">
        <x:f>RANK(J386,$J$2:$J$1401,1)</x:f>
        <x:v>381</x:v>
      </x:c>
      <x:c r="L386" s="23" t="n">
        <x:f>IF(K386&lt;=7,1,0)</x:f>
        <x:v>0</x:v>
      </x:c>
      <x:c r="M386" s="23" t="n">
        <x:f>IF(L386=1,1/(J386+0.000001),0)</x:f>
        <x:v>0</x:v>
      </x:c>
      <x:c r="N386" s="23" t="n">
        <x:v>0.014876729844788938</x:v>
      </x:c>
      <x:c r="O386" s="23" t="n">
        <x:f>M386</x:f>
        <x:v>0</x:v>
      </x:c>
      <x:c r="P386" s="23" t="n">
        <x:v>1.535905031487566</x:v>
      </x:c>
      <x:c r="Q386" s="23" t="n">
        <x:v>-15.623642260163024</x:v>
      </x:c>
    </x:row>
    <x:row r="387">
      <x:c r="A387" s="23" t="str">
        <x:v>Lightning</x:v>
      </x:c>
      <x:c r="B387" s="23" t="n">
        <x:v>1425.1667063101195</x:v>
      </x:c>
      <x:c r="C387" s="23" t="n">
        <x:v>1021.3345394004136</x:v>
      </x:c>
      <x:c r="D387" s="23" t="n">
        <x:v>736.2397882156074</x:v>
      </x:c>
      <x:c r="E387" s="23" t="n">
        <x:v>253.69173315819353</x:v>
      </x:c>
      <x:c r="F387" s="23" t="n">
        <x:v>11.621387905906886</x:v>
      </x:c>
      <x:c r="G387" s="23" t="n">
        <x:v>0.8087650115601719</x:v>
      </x:c>
      <x:c r="H387" s="23" t="n">
        <x:v>35</x:v>
      </x:c>
      <x:c r="I387" s="23" t="n">
        <x:v>25</x:v>
      </x:c>
      <x:c r="J387" s="23" t="n">
        <x:f>(IF(A387='Hybrid Calculator'!$B$6,0,1))^2+((B387-'Hybrid Calculator'!$B$7)/1500)^2+((C387-'Hybrid Calculator'!$B$8)/1300)^2+((D387-'Hybrid Calculator'!$B$9)/800)^2+((E387-'Hybrid Calculator'!$B$10)/350)^2+((F387-'Hybrid Calculator'!$B$11)/30)^2+(G387-'Hybrid Calculator'!$B$12)^2+((H387-'Hybrid Calculator'!$E$14)/IF(A387="Lightning",100,30000))^2+((I387-'Hybrid Calculator'!$E$17)/IF(A387="Lightning",100,30000))^2</x:f>
        <x:v>0.2675420929003652</x:v>
      </x:c>
      <x:c r="K387" s="23" t="n">
        <x:f>RANK(J387,$J$2:$J$1401,1)</x:f>
        <x:v>569</x:v>
      </x:c>
      <x:c r="L387" s="23" t="n">
        <x:f>IF(K387&lt;=7,1,0)</x:f>
        <x:v>0</x:v>
      </x:c>
      <x:c r="M387" s="23" t="n">
        <x:f>IF(L387=1,1/(J387+0.000001),0)</x:f>
        <x:v>0</x:v>
      </x:c>
      <x:c r="N387" s="23" t="n">
        <x:v>0.005248374417288426</x:v>
      </x:c>
      <x:c r="O387" s="23" t="n">
        <x:f>M387</x:f>
        <x:v>0</x:v>
      </x:c>
      <x:c r="P387" s="23" t="n">
        <x:v>1.3489115847063644</x:v>
      </x:c>
      <x:c r="Q387" s="23" t="n">
        <x:v>-6.33922626045387</x:v>
      </x:c>
    </x:row>
    <x:row r="388">
      <x:c r="A388" s="23" t="str">
        <x:v>Lightning</x:v>
      </x:c>
      <x:c r="B388" s="23" t="n">
        <x:v>1445.5692416522652</x:v>
      </x:c>
      <x:c r="C388" s="23" t="n">
        <x:v>718.6095414566807</x:v>
      </x:c>
      <x:c r="D388" s="23" t="n">
        <x:v>534.884531609714</x:v>
      </x:c>
      <x:c r="E388" s="23" t="n">
        <x:v>217.1280302410014</x:v>
      </x:c>
      <x:c r="F388" s="23" t="n">
        <x:v>16.232742853462696</x:v>
      </x:c>
      <x:c r="G388" s="23" t="n">
        <x:v>0.820200721716974</x:v>
      </x:c>
      <x:c r="H388" s="23" t="n">
        <x:v>50</x:v>
      </x:c>
      <x:c r="I388" s="23" t="n">
        <x:v>25</x:v>
      </x:c>
      <x:c r="J388" s="23" t="n">
        <x:f>(IF(A388='Hybrid Calculator'!$B$6,0,1))^2+((B388-'Hybrid Calculator'!$B$7)/1500)^2+((C388-'Hybrid Calculator'!$B$8)/1300)^2+((D388-'Hybrid Calculator'!$B$9)/800)^2+((E388-'Hybrid Calculator'!$B$10)/350)^2+((F388-'Hybrid Calculator'!$B$11)/30)^2+(G388-'Hybrid Calculator'!$B$12)^2+((H388-'Hybrid Calculator'!$E$14)/IF(A388="Lightning",100,30000))^2+((I388-'Hybrid Calculator'!$E$17)/IF(A388="Lightning",100,30000))^2</x:f>
        <x:v>0.054801294427482</x:v>
      </x:c>
      <x:c r="K388" s="23" t="n">
        <x:f>RANK(J388,$J$2:$J$1401,1)</x:f>
        <x:v>67</x:v>
      </x:c>
      <x:c r="L388" s="23" t="n">
        <x:f>IF(K388&lt;=7,1,0)</x:f>
        <x:v>0</x:v>
      </x:c>
      <x:c r="M388" s="23" t="n">
        <x:f>IF(L388=1,1/(J388+0.000001),0)</x:f>
        <x:v>0</x:v>
      </x:c>
      <x:c r="N388" s="23" t="n">
        <x:v>-0.012240311848178864</x:v>
      </x:c>
      <x:c r="O388" s="23" t="n">
        <x:f>M388</x:f>
        <x:v>0</x:v>
      </x:c>
      <x:c r="P388" s="23" t="n">
        <x:v>-1.2860073075128327</x:v>
      </x:c>
      <x:c r="Q388" s="23" t="n">
        <x:v>8.138182493083605</x:v>
      </x:c>
    </x:row>
    <x:row r="389">
      <x:c r="A389" s="23" t="str">
        <x:v>Lightning</x:v>
      </x:c>
      <x:c r="B389" s="23" t="n">
        <x:v>1466.701125644613</x:v>
      </x:c>
      <x:c r="C389" s="23" t="n">
        <x:v>715.1531137293205</x:v>
      </x:c>
      <x:c r="D389" s="23" t="n">
        <x:v>436.1996796913445</x:v>
      </x:c>
      <x:c r="E389" s="23" t="n">
        <x:v>90.1658902131021</x:v>
      </x:c>
      <x:c r="F389" s="23" t="n">
        <x:v>24.493308214936405</x:v>
      </x:c>
      <x:c r="G389" s="23" t="n">
        <x:v>0.837886244072579</x:v>
      </x:c>
      <x:c r="H389" s="23" t="n">
        <x:v>60</x:v>
      </x:c>
      <x:c r="I389" s="23" t="n">
        <x:v>25</x:v>
      </x:c>
      <x:c r="J389" s="23" t="n">
        <x:f>(IF(A389='Hybrid Calculator'!$B$6,0,1))^2+((B389-'Hybrid Calculator'!$B$7)/1500)^2+((C389-'Hybrid Calculator'!$B$8)/1300)^2+((D389-'Hybrid Calculator'!$B$9)/800)^2+((E389-'Hybrid Calculator'!$B$10)/350)^2+((F389-'Hybrid Calculator'!$B$11)/30)^2+(G389-'Hybrid Calculator'!$B$12)^2+((H389-'Hybrid Calculator'!$E$14)/IF(A389="Lightning",100,30000))^2+((I389-'Hybrid Calculator'!$E$17)/IF(A389="Lightning",100,30000))^2</x:f>
        <x:v>0.09734880240481988</x:v>
      </x:c>
      <x:c r="K389" s="23" t="n">
        <x:f>RANK(J389,$J$2:$J$1401,1)</x:f>
        <x:v>196</x:v>
      </x:c>
      <x:c r="L389" s="23" t="n">
        <x:f>IF(K389&lt;=7,1,0)</x:f>
        <x:v>0</x:v>
      </x:c>
      <x:c r="M389" s="23" t="n">
        <x:f>IF(L389=1,1/(J389+0.000001),0)</x:f>
        <x:v>0</x:v>
      </x:c>
      <x:c r="N389" s="23" t="n">
        <x:v>-0.005500627915823841</x:v>
      </x:c>
      <x:c r="O389" s="23" t="n">
        <x:f>M389</x:f>
        <x:v>0</x:v>
      </x:c>
      <x:c r="P389" s="23" t="n">
        <x:v>-0.45082918542231454</x:v>
      </x:c>
      <x:c r="Q389" s="23" t="n">
        <x:v>11.255453979461436</x:v>
      </x:c>
    </x:row>
    <x:row r="390">
      <x:c r="A390" s="23" t="str">
        <x:v>Lightning</x:v>
      </x:c>
      <x:c r="B390" s="23" t="n">
        <x:v>1442.509988998063</x:v>
      </x:c>
      <x:c r="C390" s="23" t="n">
        <x:v>707.6711852219887</x:v>
      </x:c>
      <x:c r="D390" s="23" t="n">
        <x:v>524.1697311401367</x:v>
      </x:c>
      <x:c r="E390" s="23" t="n">
        <x:v>308.8457657559775</x:v>
      </x:c>
      <x:c r="F390" s="23" t="n">
        <x:v>13.039052623324096</x:v>
      </x:c>
      <x:c r="G390" s="23" t="n">
        <x:v>0.7971951534575783</x:v>
      </x:c>
      <x:c r="H390" s="23" t="n">
        <x:v>45</x:v>
      </x:c>
      <x:c r="I390" s="23" t="n">
        <x:v>25</x:v>
      </x:c>
      <x:c r="J390" s="23" t="n">
        <x:f>(IF(A390='Hybrid Calculator'!$B$6,0,1))^2+((B390-'Hybrid Calculator'!$B$7)/1500)^2+((C390-'Hybrid Calculator'!$B$8)/1300)^2+((D390-'Hybrid Calculator'!$B$9)/800)^2+((E390-'Hybrid Calculator'!$B$10)/350)^2+((F390-'Hybrid Calculator'!$B$11)/30)^2+(G390-'Hybrid Calculator'!$B$12)^2+((H390-'Hybrid Calculator'!$E$14)/IF(A390="Lightning",100,30000))^2+((I390-'Hybrid Calculator'!$E$17)/IF(A390="Lightning",100,30000))^2</x:f>
        <x:v>0.2551666045060205</x:v>
      </x:c>
      <x:c r="K390" s="23" t="n">
        <x:f>RANK(J390,$J$2:$J$1401,1)</x:f>
        <x:v>551</x:v>
      </x:c>
      <x:c r="L390" s="23" t="n">
        <x:f>IF(K390&lt;=7,1,0)</x:f>
        <x:v>0</x:v>
      </x:c>
      <x:c r="M390" s="23" t="n">
        <x:f>IF(L390=1,1/(J390+0.000001),0)</x:f>
        <x:v>0</x:v>
      </x:c>
      <x:c r="N390" s="23" t="n">
        <x:v>-0.0021727154306656615</x:v>
      </x:c>
      <x:c r="O390" s="23" t="n">
        <x:f>M390</x:f>
        <x:v>0</x:v>
      </x:c>
      <x:c r="P390" s="23" t="n">
        <x:v>-0.06092944879594597</x:v>
      </x:c>
      <x:c r="Q390" s="23" t="n">
        <x:v>1.9608859184033918</x:v>
      </x:c>
    </x:row>
    <x:row r="391">
      <x:c r="A391" s="23" t="str">
        <x:v>Lightning</x:v>
      </x:c>
      <x:c r="B391" s="23" t="n">
        <x:v>1428.9808646659367</x:v>
      </x:c>
      <x:c r="C391" s="23" t="n">
        <x:v>1073.0624780990183</x:v>
      </x:c>
      <x:c r="D391" s="23" t="n">
        <x:v>457.57043128833175</x:v>
      </x:c>
      <x:c r="E391" s="23" t="n">
        <x:v>184.1046247119084</x:v>
      </x:c>
      <x:c r="F391" s="23" t="n">
        <x:v>13.23297126358375</x:v>
      </x:c>
      <x:c r="G391" s="23" t="n">
        <x:v>0.7921827659104019</x:v>
      </x:c>
      <x:c r="H391" s="23" t="n">
        <x:v>40</x:v>
      </x:c>
      <x:c r="I391" s="23" t="n">
        <x:v>25</x:v>
      </x:c>
      <x:c r="J391" s="23" t="n">
        <x:f>(IF(A391='Hybrid Calculator'!$B$6,0,1))^2+((B391-'Hybrid Calculator'!$B$7)/1500)^2+((C391-'Hybrid Calculator'!$B$8)/1300)^2+((D391-'Hybrid Calculator'!$B$9)/800)^2+((E391-'Hybrid Calculator'!$B$10)/350)^2+((F391-'Hybrid Calculator'!$B$11)/30)^2+(G391-'Hybrid Calculator'!$B$12)^2+((H391-'Hybrid Calculator'!$E$14)/IF(A391="Lightning",100,30000))^2+((I391-'Hybrid Calculator'!$E$17)/IF(A391="Lightning",100,30000))^2</x:f>
        <x:v>0.08335458760163855</x:v>
      </x:c>
      <x:c r="K391" s="23" t="n">
        <x:f>RANK(J391,$J$2:$J$1401,1)</x:f>
        <x:v>149</x:v>
      </x:c>
      <x:c r="L391" s="23" t="n">
        <x:f>IF(K391&lt;=7,1,0)</x:f>
        <x:v>0</x:v>
      </x:c>
      <x:c r="M391" s="23" t="n">
        <x:f>IF(L391=1,1/(J391+0.000001),0)</x:f>
        <x:v>0</x:v>
      </x:c>
      <x:c r="N391" s="23" t="n">
        <x:v>-0.002975756953631281</x:v>
      </x:c>
      <x:c r="O391" s="23" t="n">
        <x:f>M391</x:f>
        <x:v>0</x:v>
      </x:c>
      <x:c r="P391" s="23" t="n">
        <x:v>-0.5930652505898593</x:v>
      </x:c>
      <x:c r="Q391" s="23" t="n">
        <x:v>6.396145721293351</x:v>
      </x:c>
    </x:row>
    <x:row r="392">
      <x:c r="A392" s="23" t="str">
        <x:v>Lightning</x:v>
      </x:c>
      <x:c r="B392" s="23" t="n">
        <x:v>1369.4015650078654</x:v>
      </x:c>
      <x:c r="C392" s="23" t="n">
        <x:v>710.0879568955861</x:v>
      </x:c>
      <x:c r="D392" s="23" t="n">
        <x:v>479.16665095835924</x:v>
      </x:c>
      <x:c r="E392" s="23" t="n">
        <x:v>88.82103253388777</x:v>
      </x:c>
      <x:c r="F392" s="23" t="n">
        <x:v>20.161200722679496</x:v>
      </x:c>
      <x:c r="G392" s="23" t="n">
        <x:v>0.8212658611056395</x:v>
      </x:c>
      <x:c r="H392" s="23" t="n">
        <x:v>60</x:v>
      </x:c>
      <x:c r="I392" s="23" t="n">
        <x:v>25</x:v>
      </x:c>
      <x:c r="J392" s="23" t="n">
        <x:f>(IF(A392='Hybrid Calculator'!$B$6,0,1))^2+((B392-'Hybrid Calculator'!$B$7)/1500)^2+((C392-'Hybrid Calculator'!$B$8)/1300)^2+((D392-'Hybrid Calculator'!$B$9)/800)^2+((E392-'Hybrid Calculator'!$B$10)/350)^2+((F392-'Hybrid Calculator'!$B$11)/30)^2+(G392-'Hybrid Calculator'!$B$12)^2+((H392-'Hybrid Calculator'!$E$14)/IF(A392="Lightning",100,30000))^2+((I392-'Hybrid Calculator'!$E$17)/IF(A392="Lightning",100,30000))^2</x:f>
        <x:v>0.057256914603361804</x:v>
      </x:c>
      <x:c r="K392" s="23" t="n">
        <x:f>RANK(J392,$J$2:$J$1401,1)</x:f>
        <x:v>77</x:v>
      </x:c>
      <x:c r="L392" s="23" t="n">
        <x:f>IF(K392&lt;=7,1,0)</x:f>
        <x:v>0</x:v>
      </x:c>
      <x:c r="M392" s="23" t="n">
        <x:f>IF(L392=1,1/(J392+0.000001),0)</x:f>
        <x:v>0</x:v>
      </x:c>
      <x:c r="N392" s="23" t="n">
        <x:v>0.0013094263980961696</x:v>
      </x:c>
      <x:c r="O392" s="23" t="n">
        <x:f>M392</x:f>
        <x:v>0</x:v>
      </x:c>
      <x:c r="P392" s="23" t="n">
        <x:v>-0.13060239446789268</x:v>
      </x:c>
      <x:c r="Q392" s="23" t="n">
        <x:v>5.349651157069957</x:v>
      </x:c>
    </x:row>
    <x:row r="393">
      <x:c r="A393" s="23" t="str">
        <x:v>Lightning</x:v>
      </x:c>
      <x:c r="B393" s="23" t="n">
        <x:v>1438.5094728902914</x:v>
      </x:c>
      <x:c r="C393" s="23" t="n">
        <x:v>668.3492686832324</x:v>
      </x:c>
      <x:c r="D393" s="23" t="n">
        <x:v>577.6302398182452</x:v>
      </x:c>
      <x:c r="E393" s="23" t="n">
        <x:v>279.6004085522145</x:v>
      </x:c>
      <x:c r="F393" s="23" t="n">
        <x:v>23.757488389033824</x:v>
      </x:c>
      <x:c r="G393" s="23" t="n">
        <x:v>0.8172180743189529</x:v>
      </x:c>
      <x:c r="H393" s="23" t="n">
        <x:v>50</x:v>
      </x:c>
      <x:c r="I393" s="23" t="n">
        <x:v>25</x:v>
      </x:c>
      <x:c r="J393" s="23" t="n">
        <x:f>(IF(A393='Hybrid Calculator'!$B$6,0,1))^2+((B393-'Hybrid Calculator'!$B$7)/1500)^2+((C393-'Hybrid Calculator'!$B$8)/1300)^2+((D393-'Hybrid Calculator'!$B$9)/800)^2+((E393-'Hybrid Calculator'!$B$10)/350)^2+((F393-'Hybrid Calculator'!$B$11)/30)^2+(G393-'Hybrid Calculator'!$B$12)^2+((H393-'Hybrid Calculator'!$E$14)/IF(A393="Lightning",100,30000))^2+((I393-'Hybrid Calculator'!$E$17)/IF(A393="Lightning",100,30000))^2</x:f>
        <x:v>0.1968548340053561</x:v>
      </x:c>
      <x:c r="K393" s="23" t="n">
        <x:f>RANK(J393,$J$2:$J$1401,1)</x:f>
        <x:v>439</x:v>
      </x:c>
      <x:c r="L393" s="23" t="n">
        <x:f>IF(K393&lt;=7,1,0)</x:f>
        <x:v>0</x:v>
      </x:c>
      <x:c r="M393" s="23" t="n">
        <x:f>IF(L393=1,1/(J393+0.000001),0)</x:f>
        <x:v>0</x:v>
      </x:c>
      <x:c r="N393" s="23" t="n">
        <x:v>0.0032436394446480055</x:v>
      </x:c>
      <x:c r="O393" s="23" t="n">
        <x:f>M393</x:f>
        <x:v>0</x:v>
      </x:c>
      <x:c r="P393" s="23" t="n">
        <x:v>-0.05266686496294426</x:v>
      </x:c>
      <x:c r="Q393" s="23" t="n">
        <x:v>1.0790544637263793</x:v>
      </x:c>
    </x:row>
    <x:row r="394">
      <x:c r="A394" s="23" t="str">
        <x:v>Lightning</x:v>
      </x:c>
      <x:c r="B394" s="23" t="n">
        <x:v>1459.6134354360402</x:v>
      </x:c>
      <x:c r="C394" s="23" t="n">
        <x:v>769.1272729425691</x:v>
      </x:c>
      <x:c r="D394" s="23" t="n">
        <x:v>613.0393305793405</x:v>
      </x:c>
      <x:c r="E394" s="23" t="n">
        <x:v>102.5998536334373</x:v>
      </x:c>
      <x:c r="F394" s="23" t="n">
        <x:v>15.073984758928418</x:v>
      </x:c>
      <x:c r="G394" s="23" t="n">
        <x:v>0.8271456614066847</x:v>
      </x:c>
      <x:c r="H394" s="23" t="n">
        <x:v>50</x:v>
      </x:c>
      <x:c r="I394" s="23" t="n">
        <x:v>25</x:v>
      </x:c>
      <x:c r="J394" s="23" t="n">
        <x:f>(IF(A394='Hybrid Calculator'!$B$6,0,1))^2+((B394-'Hybrid Calculator'!$B$7)/1500)^2+((C394-'Hybrid Calculator'!$B$8)/1300)^2+((D394-'Hybrid Calculator'!$B$9)/800)^2+((E394-'Hybrid Calculator'!$B$10)/350)^2+((F394-'Hybrid Calculator'!$B$11)/30)^2+(G394-'Hybrid Calculator'!$B$12)^2+((H394-'Hybrid Calculator'!$E$14)/IF(A394="Lightning",100,30000))^2+((I394-'Hybrid Calculator'!$E$17)/IF(A394="Lightning",100,30000))^2</x:f>
        <x:v>0.05580182365254164</x:v>
      </x:c>
      <x:c r="K394" s="23" t="n">
        <x:f>RANK(J394,$J$2:$J$1401,1)</x:f>
        <x:v>70</x:v>
      </x:c>
      <x:c r="L394" s="23" t="n">
        <x:f>IF(K394&lt;=7,1,0)</x:f>
        <x:v>0</x:v>
      </x:c>
      <x:c r="M394" s="23" t="n">
        <x:f>IF(L394=1,1/(J394+0.000001),0)</x:f>
        <x:v>0</x:v>
      </x:c>
      <x:c r="N394" s="23" t="n">
        <x:v>-0.00527047967618266</x:v>
      </x:c>
      <x:c r="O394" s="23" t="n">
        <x:f>M394</x:f>
        <x:v>0</x:v>
      </x:c>
      <x:c r="P394" s="23" t="n">
        <x:v>-0.33530160923664454</x:v>
      </x:c>
      <x:c r="Q394" s="23" t="n">
        <x:v>3.562431301304059</x:v>
      </x:c>
    </x:row>
    <x:row r="395">
      <x:c r="A395" s="23" t="str">
        <x:v>Lightning</x:v>
      </x:c>
      <x:c r="B395" s="23" t="n">
        <x:v>1475.6348825641908</x:v>
      </x:c>
      <x:c r="C395" s="23" t="n">
        <x:v>982.6782074989751</x:v>
      </x:c>
      <x:c r="D395" s="23" t="n">
        <x:v>563.4039469994605</x:v>
      </x:c>
      <x:c r="E395" s="23" t="n">
        <x:v>267.0665412861854</x:v>
      </x:c>
      <x:c r="F395" s="23" t="n">
        <x:v>29.441321522463113</x:v>
      </x:c>
      <x:c r="G395" s="23" t="n">
        <x:v>0.8246839605504648</x:v>
      </x:c>
      <x:c r="H395" s="23" t="n">
        <x:v>40</x:v>
      </x:c>
      <x:c r="I395" s="23" t="n">
        <x:v>25</x:v>
      </x:c>
      <x:c r="J395" s="23" t="n">
        <x:f>(IF(A395='Hybrid Calculator'!$B$6,0,1))^2+((B395-'Hybrid Calculator'!$B$7)/1500)^2+((C395-'Hybrid Calculator'!$B$8)/1300)^2+((D395-'Hybrid Calculator'!$B$9)/800)^2+((E395-'Hybrid Calculator'!$B$10)/350)^2+((F395-'Hybrid Calculator'!$B$11)/30)^2+(G395-'Hybrid Calculator'!$B$12)^2+((H395-'Hybrid Calculator'!$E$14)/IF(A395="Lightning",100,30000))^2+((I395-'Hybrid Calculator'!$E$17)/IF(A395="Lightning",100,30000))^2</x:f>
        <x:v>0.27274705720390074</x:v>
      </x:c>
      <x:c r="K395" s="23" t="n">
        <x:f>RANK(J395,$J$2:$J$1401,1)</x:f>
        <x:v>576</x:v>
      </x:c>
      <x:c r="L395" s="23" t="n">
        <x:f>IF(K395&lt;=7,1,0)</x:f>
        <x:v>0</x:v>
      </x:c>
      <x:c r="M395" s="23" t="n">
        <x:f>IF(L395=1,1/(J395+0.000001),0)</x:f>
        <x:v>0</x:v>
      </x:c>
      <x:c r="N395" s="23" t="n">
        <x:v>0.0033450489712942844</x:v>
      </x:c>
      <x:c r="O395" s="23" t="n">
        <x:f>M395</x:f>
        <x:v>0</x:v>
      </x:c>
      <x:c r="P395" s="23" t="n">
        <x:v>-0.26163283612122257</x:v>
      </x:c>
      <x:c r="Q395" s="23" t="n">
        <x:v>-25.558257926170654</x:v>
      </x:c>
    </x:row>
    <x:row r="396">
      <x:c r="A396" s="23" t="str">
        <x:v>Lightning</x:v>
      </x:c>
      <x:c r="B396" s="23" t="n">
        <x:v>1350.65692642238</x:v>
      </x:c>
      <x:c r="C396" s="23" t="n">
        <x:v>625.4081006743945</x:v>
      </x:c>
      <x:c r="D396" s="23" t="n">
        <x:v>548.288756236434</x:v>
      </x:c>
      <x:c r="E396" s="23" t="n">
        <x:v>259.00102463318035</x:v>
      </x:c>
      <x:c r="F396" s="23" t="n">
        <x:v>29.07991932053119</x:v>
      </x:c>
      <x:c r="G396" s="23" t="n">
        <x:v>0.8405925082112663</x:v>
      </x:c>
      <x:c r="H396" s="23" t="n">
        <x:v>50</x:v>
      </x:c>
      <x:c r="I396" s="23" t="n">
        <x:v>25</x:v>
      </x:c>
      <x:c r="J396" s="23" t="n">
        <x:f>(IF(A396='Hybrid Calculator'!$B$6,0,1))^2+((B396-'Hybrid Calculator'!$B$7)/1500)^2+((C396-'Hybrid Calculator'!$B$8)/1300)^2+((D396-'Hybrid Calculator'!$B$9)/800)^2+((E396-'Hybrid Calculator'!$B$10)/350)^2+((F396-'Hybrid Calculator'!$B$11)/30)^2+(G396-'Hybrid Calculator'!$B$12)^2+((H396-'Hybrid Calculator'!$E$14)/IF(A396="Lightning",100,30000))^2+((I396-'Hybrid Calculator'!$E$17)/IF(A396="Lightning",100,30000))^2</x:f>
        <x:v>0.2577324052678727</x:v>
      </x:c>
      <x:c r="K396" s="23" t="n">
        <x:f>RANK(J396,$J$2:$J$1401,1)</x:f>
        <x:v>555</x:v>
      </x:c>
      <x:c r="L396" s="23" t="n">
        <x:f>IF(K396&lt;=7,1,0)</x:f>
        <x:v>0</x:v>
      </x:c>
      <x:c r="M396" s="23" t="n">
        <x:f>IF(L396=1,1/(J396+0.000001),0)</x:f>
        <x:v>0</x:v>
      </x:c>
      <x:c r="N396" s="23" t="n">
        <x:v>-0.0007911425921209858</x:v>
      </x:c>
      <x:c r="O396" s="23" t="n">
        <x:f>M396</x:f>
        <x:v>0</x:v>
      </x:c>
      <x:c r="P396" s="23" t="n">
        <x:v>-1.2161564015333965</x:v>
      </x:c>
      <x:c r="Q396" s="23" t="n">
        <x:v>-8.287771851679963</x:v>
      </x:c>
    </x:row>
    <x:row r="397">
      <x:c r="A397" s="23" t="str">
        <x:v>Lightning</x:v>
      </x:c>
      <x:c r="B397" s="23" t="n">
        <x:v>1479.0081457584165</x:v>
      </x:c>
      <x:c r="C397" s="23" t="n">
        <x:v>683.3244713488966</x:v>
      </x:c>
      <x:c r="D397" s="23" t="n">
        <x:v>423.3022796921432</x:v>
      </x:c>
      <x:c r="E397" s="23" t="n">
        <x:v>312.20734612550586</x:v>
      </x:c>
      <x:c r="F397" s="23" t="n">
        <x:v>29.280736475717276</x:v>
      </x:c>
      <x:c r="G397" s="23" t="n">
        <x:v>0.83160462314263</x:v>
      </x:c>
      <x:c r="H397" s="23" t="n">
        <x:v>50</x:v>
      </x:c>
      <x:c r="I397" s="23" t="n">
        <x:v>25</x:v>
      </x:c>
      <x:c r="J397" s="23" t="n">
        <x:f>(IF(A397='Hybrid Calculator'!$B$6,0,1))^2+((B397-'Hybrid Calculator'!$B$7)/1500)^2+((C397-'Hybrid Calculator'!$B$8)/1300)^2+((D397-'Hybrid Calculator'!$B$9)/800)^2+((E397-'Hybrid Calculator'!$B$10)/350)^2+((F397-'Hybrid Calculator'!$B$11)/30)^2+(G397-'Hybrid Calculator'!$B$12)^2+((H397-'Hybrid Calculator'!$E$14)/IF(A397="Lightning",100,30000))^2+((I397-'Hybrid Calculator'!$E$17)/IF(A397="Lightning",100,30000))^2</x:f>
        <x:v>0.370984413122711</x:v>
      </x:c>
      <x:c r="K397" s="23" t="n">
        <x:f>RANK(J397,$J$2:$J$1401,1)</x:f>
        <x:v>668</x:v>
      </x:c>
      <x:c r="L397" s="23" t="n">
        <x:f>IF(K397&lt;=7,1,0)</x:f>
        <x:v>0</x:v>
      </x:c>
      <x:c r="M397" s="23" t="n">
        <x:f>IF(L397=1,1/(J397+0.000001),0)</x:f>
        <x:v>0</x:v>
      </x:c>
      <x:c r="N397" s="23" t="n">
        <x:v>-0.008022601822782915</x:v>
      </x:c>
      <x:c r="O397" s="23" t="n">
        <x:f>M397</x:f>
        <x:v>0</x:v>
      </x:c>
      <x:c r="P397" s="23" t="n">
        <x:v>0.019811589823767406</x:v>
      </x:c>
      <x:c r="Q397" s="23" t="n">
        <x:v>-8.094696444780766</x:v>
      </x:c>
    </x:row>
    <x:row r="398">
      <x:c r="A398" s="23" t="str">
        <x:v>Lightning</x:v>
      </x:c>
      <x:c r="B398" s="23" t="n">
        <x:v>1483.7850500363857</x:v>
      </x:c>
      <x:c r="C398" s="23" t="n">
        <x:v>1015.2287132921629</x:v>
      </x:c>
      <x:c r="D398" s="23" t="n">
        <x:v>397.65342753380537</x:v>
      </x:c>
      <x:c r="E398" s="23" t="n">
        <x:v>89.93306032614782</x:v>
      </x:c>
      <x:c r="F398" s="23" t="n">
        <x:v>19.990560948848724</x:v>
      </x:c>
      <x:c r="G398" s="23" t="n">
        <x:v>0.8461809748993255</x:v>
      </x:c>
      <x:c r="H398" s="23" t="n">
        <x:v>50</x:v>
      </x:c>
      <x:c r="I398" s="23" t="n">
        <x:v>25</x:v>
      </x:c>
      <x:c r="J398" s="23" t="n">
        <x:f>(IF(A398='Hybrid Calculator'!$B$6,0,1))^2+((B398-'Hybrid Calculator'!$B$7)/1500)^2+((C398-'Hybrid Calculator'!$B$8)/1300)^2+((D398-'Hybrid Calculator'!$B$9)/800)^2+((E398-'Hybrid Calculator'!$B$10)/350)^2+((F398-'Hybrid Calculator'!$B$11)/30)^2+(G398-'Hybrid Calculator'!$B$12)^2+((H398-'Hybrid Calculator'!$E$14)/IF(A398="Lightning",100,30000))^2+((I398-'Hybrid Calculator'!$E$17)/IF(A398="Lightning",100,30000))^2</x:f>
        <x:v>0.0666643689411057</x:v>
      </x:c>
      <x:c r="K398" s="23" t="n">
        <x:f>RANK(J398,$J$2:$J$1401,1)</x:f>
        <x:v>99</x:v>
      </x:c>
      <x:c r="L398" s="23" t="n">
        <x:f>IF(K398&lt;=7,1,0)</x:f>
        <x:v>0</x:v>
      </x:c>
      <x:c r="M398" s="23" t="n">
        <x:f>IF(L398=1,1/(J398+0.000001),0)</x:f>
        <x:v>0</x:v>
      </x:c>
      <x:c r="N398" s="23" t="n">
        <x:v>-0.00048543787581079023</x:v>
      </x:c>
      <x:c r="O398" s="23" t="n">
        <x:f>M398</x:f>
        <x:v>0</x:v>
      </x:c>
      <x:c r="P398" s="23" t="n">
        <x:v>0.400092000441191</x:v>
      </x:c>
      <x:c r="Q398" s="23" t="n">
        <x:v>3.916402690123732</x:v>
      </x:c>
    </x:row>
    <x:row r="399">
      <x:c r="A399" s="23" t="str">
        <x:v>Lightning</x:v>
      </x:c>
      <x:c r="B399" s="23" t="n">
        <x:v>1480.2943245624192</x:v>
      </x:c>
      <x:c r="C399" s="23" t="n">
        <x:v>1016.0106459399685</x:v>
      </x:c>
      <x:c r="D399" s="23" t="n">
        <x:v>549.3091744370759</x:v>
      </x:c>
      <x:c r="E399" s="23" t="n">
        <x:v>328.7544142641127</x:v>
      </x:c>
      <x:c r="F399" s="23" t="n">
        <x:v>8.036956957075745</x:v>
      </x:c>
      <x:c r="G399" s="23" t="n">
        <x:v>0.8185487742489204</x:v>
      </x:c>
      <x:c r="H399" s="23" t="n">
        <x:v>35</x:v>
      </x:c>
      <x:c r="I399" s="23" t="n">
        <x:v>25</x:v>
      </x:c>
      <x:c r="J399" s="23" t="n">
        <x:f>(IF(A399='Hybrid Calculator'!$B$6,0,1))^2+((B399-'Hybrid Calculator'!$B$7)/1500)^2+((C399-'Hybrid Calculator'!$B$8)/1300)^2+((D399-'Hybrid Calculator'!$B$9)/800)^2+((E399-'Hybrid Calculator'!$B$10)/350)^2+((F399-'Hybrid Calculator'!$B$11)/30)^2+(G399-'Hybrid Calculator'!$B$12)^2+((H399-'Hybrid Calculator'!$E$14)/IF(A399="Lightning",100,30000))^2+((I399-'Hybrid Calculator'!$E$17)/IF(A399="Lightning",100,30000))^2</x:f>
        <x:v>0.4264486021097734</x:v>
      </x:c>
      <x:c r="K399" s="23" t="n">
        <x:f>RANK(J399,$J$2:$J$1401,1)</x:f>
        <x:v>693</x:v>
      </x:c>
      <x:c r="L399" s="23" t="n">
        <x:f>IF(K399&lt;=7,1,0)</x:f>
        <x:v>0</x:v>
      </x:c>
      <x:c r="M399" s="23" t="n">
        <x:f>IF(L399=1,1/(J399+0.000001),0)</x:f>
        <x:v>0</x:v>
      </x:c>
      <x:c r="N399" s="23" t="n">
        <x:v>0.012979938489326326</x:v>
      </x:c>
      <x:c r="O399" s="23" t="n">
        <x:f>M399</x:f>
        <x:v>0</x:v>
      </x:c>
      <x:c r="P399" s="23" t="n">
        <x:v>0.2173954810011054</x:v>
      </x:c>
      <x:c r="Q399" s="23" t="n">
        <x:v>6.353984345780418</x:v>
      </x:c>
    </x:row>
    <x:row r="400">
      <x:c r="A400" s="23" t="str">
        <x:v>Lightning</x:v>
      </x:c>
      <x:c r="B400" s="23" t="n">
        <x:v>1466.5537604363635</x:v>
      </x:c>
      <x:c r="C400" s="23" t="n">
        <x:v>1178.5023136180826</x:v>
      </x:c>
      <x:c r="D400" s="23" t="n">
        <x:v>514.3195822834969</x:v>
      </x:c>
      <x:c r="E400" s="23" t="n">
        <x:v>171.95476671447977</x:v>
      </x:c>
      <x:c r="F400" s="23" t="n">
        <x:v>13.90325231384486</x:v>
      </x:c>
      <x:c r="G400" s="23" t="n">
        <x:v>0.8353447209647857</x:v>
      </x:c>
      <x:c r="H400" s="23" t="n">
        <x:v>40</x:v>
      </x:c>
      <x:c r="I400" s="23" t="n">
        <x:v>25</x:v>
      </x:c>
      <x:c r="J400" s="23" t="n">
        <x:f>(IF(A400='Hybrid Calculator'!$B$6,0,1))^2+((B400-'Hybrid Calculator'!$B$7)/1500)^2+((C400-'Hybrid Calculator'!$B$8)/1300)^2+((D400-'Hybrid Calculator'!$B$9)/800)^2+((E400-'Hybrid Calculator'!$B$10)/350)^2+((F400-'Hybrid Calculator'!$B$11)/30)^2+(G400-'Hybrid Calculator'!$B$12)^2+((H400-'Hybrid Calculator'!$E$14)/IF(A400="Lightning",100,30000))^2+((I400-'Hybrid Calculator'!$E$17)/IF(A400="Lightning",100,30000))^2</x:f>
        <x:v>0.10259024950889187</x:v>
      </x:c>
      <x:c r="K400" s="23" t="n">
        <x:f>RANK(J400,$J$2:$J$1401,1)</x:f>
        <x:v>210</x:v>
      </x:c>
      <x:c r="L400" s="23" t="n">
        <x:f>IF(K400&lt;=7,1,0)</x:f>
        <x:v>0</x:v>
      </x:c>
      <x:c r="M400" s="23" t="n">
        <x:f>IF(L400=1,1/(J400+0.000001),0)</x:f>
        <x:v>0</x:v>
      </x:c>
      <x:c r="N400" s="23" t="n">
        <x:v>0.0013307001967706178</x:v>
      </x:c>
      <x:c r="O400" s="23" t="n">
        <x:f>M400</x:f>
        <x:v>0</x:v>
      </x:c>
      <x:c r="P400" s="23" t="n">
        <x:v>1.778463843438864</x:v>
      </x:c>
      <x:c r="Q400" s="23" t="n">
        <x:v>0.8447668299766065</x:v>
      </x:c>
    </x:row>
    <x:row r="401">
      <x:c r="A401" s="23" t="str">
        <x:v>Lightning</x:v>
      </x:c>
      <x:c r="B401" s="23" t="n">
        <x:v>1409.0112111414783</x:v>
      </x:c>
      <x:c r="C401" s="23" t="n">
        <x:v>1127.0870151929557</x:v>
      </x:c>
      <x:c r="D401" s="23" t="n">
        <x:v>637.6358381472528</x:v>
      </x:c>
      <x:c r="E401" s="23" t="n">
        <x:v>291.1995281884447</x:v>
      </x:c>
      <x:c r="F401" s="23" t="n">
        <x:v>25.923388039227575</x:v>
      </x:c>
      <x:c r="G401" s="23" t="n">
        <x:v>0.8494029248971493</x:v>
      </x:c>
      <x:c r="H401" s="23" t="n">
        <x:v>35</x:v>
      </x:c>
      <x:c r="I401" s="23" t="n">
        <x:v>25</x:v>
      </x:c>
      <x:c r="J401" s="23" t="n">
        <x:f>(IF(A401='Hybrid Calculator'!$B$6,0,1))^2+((B401-'Hybrid Calculator'!$B$7)/1500)^2+((C401-'Hybrid Calculator'!$B$8)/1300)^2+((D401-'Hybrid Calculator'!$B$9)/800)^2+((E401-'Hybrid Calculator'!$B$10)/350)^2+((F401-'Hybrid Calculator'!$B$11)/30)^2+(G401-'Hybrid Calculator'!$B$12)^2+((H401-'Hybrid Calculator'!$E$14)/IF(A401="Lightning",100,30000))^2+((I401-'Hybrid Calculator'!$E$17)/IF(A401="Lightning",100,30000))^2</x:f>
        <x:v>0.32249104703521814</x:v>
      </x:c>
      <x:c r="K401" s="23" t="n">
        <x:f>RANK(J401,$J$2:$J$1401,1)</x:f>
        <x:v>626</x:v>
      </x:c>
      <x:c r="L401" s="23" t="n">
        <x:f>IF(K401&lt;=7,1,0)</x:f>
        <x:v>0</x:v>
      </x:c>
      <x:c r="M401" s="23" t="n">
        <x:f>IF(L401=1,1/(J401+0.000001),0)</x:f>
        <x:v>0</x:v>
      </x:c>
      <x:c r="N401" s="23" t="n">
        <x:v>-0.0041359887301704035</x:v>
      </x:c>
      <x:c r="O401" s="23" t="n">
        <x:f>M401</x:f>
        <x:v>0</x:v>
      </x:c>
      <x:c r="P401" s="23" t="n">
        <x:v>0.05548733943864903</x:v>
      </x:c>
      <x:c r="Q401" s="23" t="n">
        <x:v>-29.30750758353065</x:v>
      </x:c>
    </x:row>
    <x:row r="402">
      <x:c r="A402" s="23" t="str">
        <x:v>Lightning</x:v>
      </x:c>
      <x:c r="B402" s="23" t="n">
        <x:v>1414.7913616150618</x:v>
      </x:c>
      <x:c r="C402" s="23" t="n">
        <x:v>715.2775286114775</x:v>
      </x:c>
      <x:c r="D402" s="23" t="n">
        <x:v>677.2345857694745</x:v>
      </x:c>
      <x:c r="E402" s="23" t="n">
        <x:v>232.06570230657235</x:v>
      </x:c>
      <x:c r="F402" s="23" t="n">
        <x:v>27.549097968265414</x:v>
      </x:c>
      <x:c r="G402" s="23" t="n">
        <x:v>0.8201926621538588</x:v>
      </x:c>
      <x:c r="H402" s="23" t="n">
        <x:v>45</x:v>
      </x:c>
      <x:c r="I402" s="23" t="n">
        <x:v>25</x:v>
      </x:c>
      <x:c r="J402" s="23" t="n">
        <x:f>(IF(A402='Hybrid Calculator'!$B$6,0,1))^2+((B402-'Hybrid Calculator'!$B$7)/1500)^2+((C402-'Hybrid Calculator'!$B$8)/1300)^2+((D402-'Hybrid Calculator'!$B$9)/800)^2+((E402-'Hybrid Calculator'!$B$10)/350)^2+((F402-'Hybrid Calculator'!$B$11)/30)^2+(G402-'Hybrid Calculator'!$B$12)^2+((H402-'Hybrid Calculator'!$E$14)/IF(A402="Lightning",100,30000))^2+((I402-'Hybrid Calculator'!$E$17)/IF(A402="Lightning",100,30000))^2</x:f>
        <x:v>0.2083299191832745</x:v>
      </x:c>
      <x:c r="K402" s="23" t="n">
        <x:f>RANK(J402,$J$2:$J$1401,1)</x:f>
        <x:v>460</x:v>
      </x:c>
      <x:c r="L402" s="23" t="n">
        <x:f>IF(K402&lt;=7,1,0)</x:f>
        <x:v>0</x:v>
      </x:c>
      <x:c r="M402" s="23" t="n">
        <x:f>IF(L402=1,1/(J402+0.000001),0)</x:f>
        <x:v>0</x:v>
      </x:c>
      <x:c r="N402" s="23" t="n">
        <x:v>-0.008004334989895279</x:v>
      </x:c>
      <x:c r="O402" s="23" t="n">
        <x:f>M402</x:f>
        <x:v>0</x:v>
      </x:c>
      <x:c r="P402" s="23" t="n">
        <x:v>-0.7166975168755627</x:v>
      </x:c>
      <x:c r="Q402" s="23" t="n">
        <x:v>-8.489233829536943</x:v>
      </x:c>
    </x:row>
    <x:row r="403">
      <x:c r="A403" s="23" t="str">
        <x:v>Lightning</x:v>
      </x:c>
      <x:c r="B403" s="23" t="n">
        <x:v>1483.3401160896756</x:v>
      </x:c>
      <x:c r="C403" s="23" t="n">
        <x:v>782.6255737105384</x:v>
      </x:c>
      <x:c r="D403" s="23" t="n">
        <x:v>434.0152100659907</x:v>
      </x:c>
      <x:c r="E403" s="23" t="n">
        <x:v>274.9764264281839</x:v>
      </x:c>
      <x:c r="F403" s="23" t="n">
        <x:v>25.179128211457282</x:v>
      </x:c>
      <x:c r="G403" s="23" t="n">
        <x:v>0.8586625906126574</x:v>
      </x:c>
      <x:c r="H403" s="23" t="n">
        <x:v>50</x:v>
      </x:c>
      <x:c r="I403" s="23" t="n">
        <x:v>25</x:v>
      </x:c>
      <x:c r="J403" s="23" t="n">
        <x:f>(IF(A403='Hybrid Calculator'!$B$6,0,1))^2+((B403-'Hybrid Calculator'!$B$7)/1500)^2+((C403-'Hybrid Calculator'!$B$8)/1300)^2+((D403-'Hybrid Calculator'!$B$9)/800)^2+((E403-'Hybrid Calculator'!$B$10)/350)^2+((F403-'Hybrid Calculator'!$B$11)/30)^2+(G403-'Hybrid Calculator'!$B$12)^2+((H403-'Hybrid Calculator'!$E$14)/IF(A403="Lightning",100,30000))^2+((I403-'Hybrid Calculator'!$E$17)/IF(A403="Lightning",100,30000))^2</x:f>
        <x:v>0.1895670104945997</x:v>
      </x:c>
      <x:c r="K403" s="23" t="n">
        <x:f>RANK(J403,$J$2:$J$1401,1)</x:f>
        <x:v>423</x:v>
      </x:c>
      <x:c r="L403" s="23" t="n">
        <x:f>IF(K403&lt;=7,1,0)</x:f>
        <x:v>0</x:v>
      </x:c>
      <x:c r="M403" s="23" t="n">
        <x:f>IF(L403=1,1/(J403+0.000001),0)</x:f>
        <x:v>0</x:v>
      </x:c>
      <x:c r="N403" s="23" t="n">
        <x:v>-0.018639727150498775</x:v>
      </x:c>
      <x:c r="O403" s="23" t="n">
        <x:f>M403</x:f>
        <x:v>0</x:v>
      </x:c>
      <x:c r="P403" s="23" t="n">
        <x:v>-0.1967638403411982</x:v>
      </x:c>
      <x:c r="Q403" s="23" t="n">
        <x:v>0.540074131580468</x:v>
      </x:c>
    </x:row>
    <x:row r="404">
      <x:c r="A404" s="23" t="str">
        <x:v>Lightning</x:v>
      </x:c>
      <x:c r="B404" s="23" t="n">
        <x:v>1487.964088912122</x:v>
      </x:c>
      <x:c r="C404" s="23" t="n">
        <x:v>1078.862131445203</x:v>
      </x:c>
      <x:c r="D404" s="23" t="n">
        <x:v>376.33108235895634</x:v>
      </x:c>
      <x:c r="E404" s="23" t="n">
        <x:v>104.55670683411881</x:v>
      </x:c>
      <x:c r="F404" s="23" t="n">
        <x:v>13.408484824933112</x:v>
      </x:c>
      <x:c r="G404" s="23" t="n">
        <x:v>0.8198986456054264</x:v>
      </x:c>
      <x:c r="H404" s="23" t="n">
        <x:v>45</x:v>
      </x:c>
      <x:c r="I404" s="23" t="n">
        <x:v>25</x:v>
      </x:c>
      <x:c r="J404" s="23" t="n">
        <x:f>(IF(A404='Hybrid Calculator'!$B$6,0,1))^2+((B404-'Hybrid Calculator'!$B$7)/1500)^2+((C404-'Hybrid Calculator'!$B$8)/1300)^2+((D404-'Hybrid Calculator'!$B$9)/800)^2+((E404-'Hybrid Calculator'!$B$10)/350)^2+((F404-'Hybrid Calculator'!$B$11)/30)^2+(G404-'Hybrid Calculator'!$B$12)^2+((H404-'Hybrid Calculator'!$E$14)/IF(A404="Lightning",100,30000))^2+((I404-'Hybrid Calculator'!$E$17)/IF(A404="Lightning",100,30000))^2</x:f>
        <x:v>0.10481352206865756</x:v>
      </x:c>
      <x:c r="K404" s="23" t="n">
        <x:f>RANK(J404,$J$2:$J$1401,1)</x:f>
        <x:v>217</x:v>
      </x:c>
      <x:c r="L404" s="23" t="n">
        <x:f>IF(K404&lt;=7,1,0)</x:f>
        <x:v>0</x:v>
      </x:c>
      <x:c r="M404" s="23" t="n">
        <x:f>IF(L404=1,1/(J404+0.000001),0)</x:f>
        <x:v>0</x:v>
      </x:c>
      <x:c r="N404" s="23" t="n">
        <x:v>0.0160490649944931</x:v>
      </x:c>
      <x:c r="O404" s="23" t="n">
        <x:f>M404</x:f>
        <x:v>0</x:v>
      </x:c>
      <x:c r="P404" s="23" t="n">
        <x:v>0.5717957084287519</x:v>
      </x:c>
      <x:c r="Q404" s="23" t="n">
        <x:v>0.4312255976740289</x:v>
      </x:c>
    </x:row>
    <x:row r="405">
      <x:c r="A405" s="23" t="str">
        <x:v>Lightning</x:v>
      </x:c>
      <x:c r="B405" s="23" t="n">
        <x:v>1374.5872903964482</x:v>
      </x:c>
      <x:c r="C405" s="23" t="n">
        <x:v>794.8151569347829</x:v>
      </x:c>
      <x:c r="D405" s="23" t="n">
        <x:v>505.40987802669406</x:v>
      </x:c>
      <x:c r="E405" s="23" t="n">
        <x:v>156.0309825418517</x:v>
      </x:c>
      <x:c r="F405" s="23" t="n">
        <x:v>10.660457264166325</x:v>
      </x:c>
      <x:c r="G405" s="23" t="n">
        <x:v>0.7926126922667027</x:v>
      </x:c>
      <x:c r="H405" s="23" t="n">
        <x:v>55</x:v>
      </x:c>
      <x:c r="I405" s="23" t="n">
        <x:v>25</x:v>
      </x:c>
      <x:c r="J405" s="23" t="n">
        <x:f>(IF(A405='Hybrid Calculator'!$B$6,0,1))^2+((B405-'Hybrid Calculator'!$B$7)/1500)^2+((C405-'Hybrid Calculator'!$B$8)/1300)^2+((D405-'Hybrid Calculator'!$B$9)/800)^2+((E405-'Hybrid Calculator'!$B$10)/350)^2+((F405-'Hybrid Calculator'!$B$11)/30)^2+(G405-'Hybrid Calculator'!$B$12)^2+((H405-'Hybrid Calculator'!$E$14)/IF(A405="Lightning",100,30000))^2+((I405-'Hybrid Calculator'!$E$17)/IF(A405="Lightning",100,30000))^2</x:f>
        <x:v>0.07481138087914518</x:v>
      </x:c>
      <x:c r="K405" s="23" t="n">
        <x:f>RANK(J405,$J$2:$J$1401,1)</x:f>
        <x:v>121</x:v>
      </x:c>
      <x:c r="L405" s="23" t="n">
        <x:f>IF(K405&lt;=7,1,0)</x:f>
        <x:v>0</x:v>
      </x:c>
      <x:c r="M405" s="23" t="n">
        <x:f>IF(L405=1,1/(J405+0.000001),0)</x:f>
        <x:v>0</x:v>
      </x:c>
      <x:c r="N405" s="23" t="n">
        <x:v>-0.0038005479753069338</x:v>
      </x:c>
      <x:c r="O405" s="23" t="n">
        <x:f>M405</x:f>
        <x:v>0</x:v>
      </x:c>
      <x:c r="P405" s="23" t="n">
        <x:v>-0.915839916565929</x:v>
      </x:c>
      <x:c r="Q405" s="23" t="n">
        <x:v>17.49137447396265</x:v>
      </x:c>
    </x:row>
    <x:row r="406">
      <x:c r="A406" s="23" t="str">
        <x:v>Lightning</x:v>
      </x:c>
      <x:c r="B406" s="23" t="n">
        <x:v>1405.089023290202</x:v>
      </x:c>
      <x:c r="C406" s="23" t="n">
        <x:v>1214.9100509355776</x:v>
      </x:c>
      <x:c r="D406" s="23" t="n">
        <x:v>599.8324459418654</x:v>
      </x:c>
      <x:c r="E406" s="23" t="n">
        <x:v>109.0678579476662</x:v>
      </x:c>
      <x:c r="F406" s="23" t="n">
        <x:v>28.703525241464376</x:v>
      </x:c>
      <x:c r="G406" s="23" t="n">
        <x:v>0.83628286693478</x:v>
      </x:c>
      <x:c r="H406" s="23" t="n">
        <x:v>35</x:v>
      </x:c>
      <x:c r="I406" s="23" t="n">
        <x:v>25</x:v>
      </x:c>
      <x:c r="J406" s="23" t="n">
        <x:f>(IF(A406='Hybrid Calculator'!$B$6,0,1))^2+((B406-'Hybrid Calculator'!$B$7)/1500)^2+((C406-'Hybrid Calculator'!$B$8)/1300)^2+((D406-'Hybrid Calculator'!$B$9)/800)^2+((E406-'Hybrid Calculator'!$B$10)/350)^2+((F406-'Hybrid Calculator'!$B$11)/30)^2+(G406-'Hybrid Calculator'!$B$12)^2+((H406-'Hybrid Calculator'!$E$14)/IF(A406="Lightning",100,30000))^2+((I406-'Hybrid Calculator'!$E$17)/IF(A406="Lightning",100,30000))^2</x:f>
        <x:v>0.2466635082098377</x:v>
      </x:c>
      <x:c r="K406" s="23" t="n">
        <x:f>RANK(J406,$J$2:$J$1401,1)</x:f>
        <x:v>533</x:v>
      </x:c>
      <x:c r="L406" s="23" t="n">
        <x:f>IF(K406&lt;=7,1,0)</x:f>
        <x:v>0</x:v>
      </x:c>
      <x:c r="M406" s="23" t="n">
        <x:f>IF(L406=1,1/(J406+0.000001),0)</x:f>
        <x:v>0</x:v>
      </x:c>
      <x:c r="N406" s="23" t="n">
        <x:v>-0.0051304653838060155</x:v>
      </x:c>
      <x:c r="O406" s="23" t="n">
        <x:f>M406</x:f>
        <x:v>0</x:v>
      </x:c>
      <x:c r="P406" s="23" t="n">
        <x:v>0.5559514940423185</x:v>
      </x:c>
      <x:c r="Q406" s="23" t="n">
        <x:v>-27.85881396327909</x:v>
      </x:c>
    </x:row>
    <x:row r="407">
      <x:c r="A407" s="23" t="str">
        <x:v>Lightning</x:v>
      </x:c>
      <x:c r="B407" s="23" t="n">
        <x:v>1440.9042280283757</x:v>
      </x:c>
      <x:c r="C407" s="23" t="n">
        <x:v>797.466220962815</x:v>
      </x:c>
      <x:c r="D407" s="23" t="n">
        <x:v>451.472191978246</x:v>
      </x:c>
      <x:c r="E407" s="23" t="n">
        <x:v>264.23736188560724</x:v>
      </x:c>
      <x:c r="F407" s="23" t="n">
        <x:v>8.335247757378966</x:v>
      </x:c>
      <x:c r="G407" s="23" t="n">
        <x:v>0.8010308756260202</x:v>
      </x:c>
      <x:c r="H407" s="23" t="n">
        <x:v>50</x:v>
      </x:c>
      <x:c r="I407" s="23" t="n">
        <x:v>25</x:v>
      </x:c>
      <x:c r="J407" s="23" t="n">
        <x:f>(IF(A407='Hybrid Calculator'!$B$6,0,1))^2+((B407-'Hybrid Calculator'!$B$7)/1500)^2+((C407-'Hybrid Calculator'!$B$8)/1300)^2+((D407-'Hybrid Calculator'!$B$9)/800)^2+((E407-'Hybrid Calculator'!$B$10)/350)^2+((F407-'Hybrid Calculator'!$B$11)/30)^2+(G407-'Hybrid Calculator'!$B$12)^2+((H407-'Hybrid Calculator'!$E$14)/IF(A407="Lightning",100,30000))^2+((I407-'Hybrid Calculator'!$E$17)/IF(A407="Lightning",100,30000))^2</x:f>
        <x:v>0.22711934134132764</x:v>
      </x:c>
      <x:c r="K407" s="23" t="n">
        <x:f>RANK(J407,$J$2:$J$1401,1)</x:f>
        <x:v>502</x:v>
      </x:c>
      <x:c r="L407" s="23" t="n">
        <x:f>IF(K407&lt;=7,1,0)</x:f>
        <x:v>0</x:v>
      </x:c>
      <x:c r="M407" s="23" t="n">
        <x:f>IF(L407=1,1/(J407+0.000001),0)</x:f>
        <x:v>0</x:v>
      </x:c>
      <x:c r="N407" s="23" t="n">
        <x:v>0.007171590344050349</x:v>
      </x:c>
      <x:c r="O407" s="23" t="n">
        <x:f>M407</x:f>
        <x:v>0</x:v>
      </x:c>
      <x:c r="P407" s="23" t="n">
        <x:v>-0.659649887348742</x:v>
      </x:c>
      <x:c r="Q407" s="23" t="n">
        <x:v>2.659636898893723</x:v>
      </x:c>
    </x:row>
    <x:row r="408">
      <x:c r="A408" s="23" t="str">
        <x:v>Lightning</x:v>
      </x:c>
      <x:c r="B408" s="23" t="n">
        <x:v>1399.2843242827803</x:v>
      </x:c>
      <x:c r="C408" s="23" t="n">
        <x:v>709.5769600826316</x:v>
      </x:c>
      <x:c r="D408" s="23" t="n">
        <x:v>653.3389074727893</x:v>
      </x:c>
      <x:c r="E408" s="23" t="n">
        <x:v>135.86770857917145</x:v>
      </x:c>
      <x:c r="F408" s="23" t="n">
        <x:v>8.584296993911266</x:v>
      </x:c>
      <x:c r="G408" s="23" t="n">
        <x:v>0.8095595449418761</x:v>
      </x:c>
      <x:c r="H408" s="23" t="n">
        <x:v>50</x:v>
      </x:c>
      <x:c r="I408" s="23" t="n">
        <x:v>25</x:v>
      </x:c>
      <x:c r="J408" s="23" t="n">
        <x:f>(IF(A408='Hybrid Calculator'!$B$6,0,1))^2+((B408-'Hybrid Calculator'!$B$7)/1500)^2+((C408-'Hybrid Calculator'!$B$8)/1300)^2+((D408-'Hybrid Calculator'!$B$9)/800)^2+((E408-'Hybrid Calculator'!$B$10)/350)^2+((F408-'Hybrid Calculator'!$B$11)/30)^2+(G408-'Hybrid Calculator'!$B$12)^2+((H408-'Hybrid Calculator'!$E$14)/IF(A408="Lightning",100,30000))^2+((I408-'Hybrid Calculator'!$E$17)/IF(A408="Lightning",100,30000))^2</x:f>
        <x:v>0.15968564403280391</x:v>
      </x:c>
      <x:c r="K408" s="23" t="n">
        <x:f>RANK(J408,$J$2:$J$1401,1)</x:f>
        <x:v>352</x:v>
      </x:c>
      <x:c r="L408" s="23" t="n">
        <x:f>IF(K408&lt;=7,1,0)</x:f>
        <x:v>0</x:v>
      </x:c>
      <x:c r="M408" s="23" t="n">
        <x:f>IF(L408=1,1/(J408+0.000001),0)</x:f>
        <x:v>0</x:v>
      </x:c>
      <x:c r="N408" s="23" t="n">
        <x:v>-0.0026902284776970653</x:v>
      </x:c>
      <x:c r="O408" s="23" t="n">
        <x:f>M408</x:f>
        <x:v>0</x:v>
      </x:c>
      <x:c r="P408" s="23" t="n">
        <x:v>0.3535997742705064</x:v>
      </x:c>
      <x:c r="Q408" s="23" t="n">
        <x:v>12.331285008718623</x:v>
      </x:c>
    </x:row>
    <x:row r="409">
      <x:c r="A409" s="23" t="str">
        <x:v>Lightning</x:v>
      </x:c>
      <x:c r="B409" s="23" t="n">
        <x:v>1465.9565365989693</x:v>
      </x:c>
      <x:c r="C409" s="23" t="n">
        <x:v>987.8012459492311</x:v>
      </x:c>
      <x:c r="D409" s="23" t="n">
        <x:v>609.9125084467232</x:v>
      </x:c>
      <x:c r="E409" s="23" t="n">
        <x:v>181.59341944381595</x:v>
      </x:c>
      <x:c r="F409" s="23" t="n">
        <x:v>16.40547056356445</x:v>
      </x:c>
      <x:c r="G409" s="23" t="n">
        <x:v>0.793446903466247</x:v>
      </x:c>
      <x:c r="H409" s="23" t="n">
        <x:v>35</x:v>
      </x:c>
      <x:c r="I409" s="23" t="n">
        <x:v>25</x:v>
      </x:c>
      <x:c r="J409" s="23" t="n">
        <x:f>(IF(A409='Hybrid Calculator'!$B$6,0,1))^2+((B409-'Hybrid Calculator'!$B$7)/1500)^2+((C409-'Hybrid Calculator'!$B$8)/1300)^2+((D409-'Hybrid Calculator'!$B$9)/800)^2+((E409-'Hybrid Calculator'!$B$10)/350)^2+((F409-'Hybrid Calculator'!$B$11)/30)^2+(G409-'Hybrid Calculator'!$B$12)^2+((H409-'Hybrid Calculator'!$E$14)/IF(A409="Lightning",100,30000))^2+((I409-'Hybrid Calculator'!$E$17)/IF(A409="Lightning",100,30000))^2</x:f>
        <x:v>0.06708560429579061</x:v>
      </x:c>
      <x:c r="K409" s="23" t="n">
        <x:f>RANK(J409,$J$2:$J$1401,1)</x:f>
        <x:v>103</x:v>
      </x:c>
      <x:c r="L409" s="23" t="n">
        <x:f>IF(K409&lt;=7,1,0)</x:f>
        <x:v>0</x:v>
      </x:c>
      <x:c r="M409" s="23" t="n">
        <x:f>IF(L409=1,1/(J409+0.000001),0)</x:f>
        <x:v>0</x:v>
      </x:c>
      <x:c r="N409" s="23" t="n">
        <x:v>0.01707415382137678</x:v>
      </x:c>
      <x:c r="O409" s="23" t="n">
        <x:f>M409</x:f>
        <x:v>0</x:v>
      </x:c>
      <x:c r="P409" s="23" t="n">
        <x:v>-0.03922655149528964</x:v>
      </x:c>
      <x:c r="Q409" s="23" t="n">
        <x:v>3.2297727031618706</x:v>
      </x:c>
    </x:row>
    <x:row r="410">
      <x:c r="A410" s="23" t="str">
        <x:v>Lightning</x:v>
      </x:c>
      <x:c r="B410" s="23" t="n">
        <x:v>1471.3450289564207</x:v>
      </x:c>
      <x:c r="C410" s="23" t="n">
        <x:v>1118.8468225416727</x:v>
      </x:c>
      <x:c r="D410" s="23" t="n">
        <x:v>418.1448370218277</x:v>
      </x:c>
      <x:c r="E410" s="23" t="n">
        <x:v>129.54434180399403</x:v>
      </x:c>
      <x:c r="F410" s="23" t="n">
        <x:v>17.20112920086831</x:v>
      </x:c>
      <x:c r="G410" s="23" t="n">
        <x:v>0.8433799977577292</x:v>
      </x:c>
      <x:c r="H410" s="23" t="n">
        <x:v>45</x:v>
      </x:c>
      <x:c r="I410" s="23" t="n">
        <x:v>25</x:v>
      </x:c>
      <x:c r="J410" s="23" t="n">
        <x:f>(IF(A410='Hybrid Calculator'!$B$6,0,1))^2+((B410-'Hybrid Calculator'!$B$7)/1500)^2+((C410-'Hybrid Calculator'!$B$8)/1300)^2+((D410-'Hybrid Calculator'!$B$9)/800)^2+((E410-'Hybrid Calculator'!$B$10)/350)^2+((F410-'Hybrid Calculator'!$B$11)/30)^2+(G410-'Hybrid Calculator'!$B$12)^2+((H410-'Hybrid Calculator'!$E$14)/IF(A410="Lightning",100,30000))^2+((I410-'Hybrid Calculator'!$E$17)/IF(A410="Lightning",100,30000))^2</x:f>
        <x:v>0.06252911285933183</x:v>
      </x:c>
      <x:c r="K410" s="23" t="n">
        <x:f>RANK(J410,$J$2:$J$1401,1)</x:f>
        <x:v>89</x:v>
      </x:c>
      <x:c r="L410" s="23" t="n">
        <x:f>IF(K410&lt;=7,1,0)</x:f>
        <x:v>0</x:v>
      </x:c>
      <x:c r="M410" s="23" t="n">
        <x:f>IF(L410=1,1/(J410+0.000001),0)</x:f>
        <x:v>0</x:v>
      </x:c>
      <x:c r="N410" s="23" t="n">
        <x:v>0.0005808598812944155</x:v>
      </x:c>
      <x:c r="O410" s="23" t="n">
        <x:f>M410</x:f>
        <x:v>0</x:v>
      </x:c>
      <x:c r="P410" s="23" t="n">
        <x:v>0.06975969804025794</x:v>
      </x:c>
      <x:c r="Q410" s="23" t="n">
        <x:v>9.915074435329188</x:v>
      </x:c>
    </x:row>
    <x:row r="411">
      <x:c r="A411" s="23" t="str">
        <x:v>Lightning</x:v>
      </x:c>
      <x:c r="B411" s="23" t="n">
        <x:v>1401.5256670187227</x:v>
      </x:c>
      <x:c r="C411" s="23" t="n">
        <x:v>1233.986320067197</x:v>
      </x:c>
      <x:c r="D411" s="23" t="n">
        <x:v>462.5255591236055</x:v>
      </x:c>
      <x:c r="E411" s="23" t="n">
        <x:v>142.95463035348803</x:v>
      </x:c>
      <x:c r="F411" s="23" t="n">
        <x:v>18.1293396926485</x:v>
      </x:c>
      <x:c r="G411" s="23" t="n">
        <x:v>0.8165535491053015</x:v>
      </x:c>
      <x:c r="H411" s="23" t="n">
        <x:v>40</x:v>
      </x:c>
      <x:c r="I411" s="23" t="n">
        <x:v>25</x:v>
      </x:c>
      <x:c r="J411" s="23" t="n">
        <x:f>(IF(A411='Hybrid Calculator'!$B$6,0,1))^2+((B411-'Hybrid Calculator'!$B$7)/1500)^2+((C411-'Hybrid Calculator'!$B$8)/1300)^2+((D411-'Hybrid Calculator'!$B$9)/800)^2+((E411-'Hybrid Calculator'!$B$10)/350)^2+((F411-'Hybrid Calculator'!$B$11)/30)^2+(G411-'Hybrid Calculator'!$B$12)^2+((H411-'Hybrid Calculator'!$E$14)/IF(A411="Lightning",100,30000))^2+((I411-'Hybrid Calculator'!$E$17)/IF(A411="Lightning",100,30000))^2</x:f>
        <x:v>0.10025476889927701</x:v>
      </x:c>
      <x:c r="K411" s="23" t="n">
        <x:f>RANK(J411,$J$2:$J$1401,1)</x:f>
        <x:v>208</x:v>
      </x:c>
      <x:c r="L411" s="23" t="n">
        <x:f>IF(K411&lt;=7,1,0)</x:f>
        <x:v>0</x:v>
      </x:c>
      <x:c r="M411" s="23" t="n">
        <x:f>IF(L411=1,1/(J411+0.000001),0)</x:f>
        <x:v>0</x:v>
      </x:c>
      <x:c r="N411" s="23" t="n">
        <x:v>-0.0012642545064938115</x:v>
      </x:c>
      <x:c r="O411" s="23" t="n">
        <x:f>M411</x:f>
        <x:v>0</x:v>
      </x:c>
      <x:c r="P411" s="23" t="n">
        <x:v>1.6391169584308969</x:v>
      </x:c>
      <x:c r="Q411" s="23" t="n">
        <x:v>-1.2737445309312534</x:v>
      </x:c>
    </x:row>
    <x:row r="412">
      <x:c r="A412" s="23" t="str">
        <x:v>Lightning</x:v>
      </x:c>
      <x:c r="B412" s="23" t="n">
        <x:v>1368.311601318419</x:v>
      </x:c>
      <x:c r="C412" s="23" t="n">
        <x:v>615.5771948746406</x:v>
      </x:c>
      <x:c r="D412" s="23" t="n">
        <x:v>524.6110113337636</x:v>
      </x:c>
      <x:c r="E412" s="23" t="n">
        <x:v>135.04220124566928</x:v>
      </x:c>
      <x:c r="F412" s="23" t="n">
        <x:v>23.755998795852065</x:v>
      </x:c>
      <x:c r="G412" s="23" t="n">
        <x:v>0.8380109670129605</x:v>
      </x:c>
      <x:c r="H412" s="23" t="n">
        <x:v>60</x:v>
      </x:c>
      <x:c r="I412" s="23" t="n">
        <x:v>25</x:v>
      </x:c>
      <x:c r="J412" s="23" t="n">
        <x:f>(IF(A412='Hybrid Calculator'!$B$6,0,1))^2+((B412-'Hybrid Calculator'!$B$7)/1500)^2+((C412-'Hybrid Calculator'!$B$8)/1300)^2+((D412-'Hybrid Calculator'!$B$9)/800)^2+((E412-'Hybrid Calculator'!$B$10)/350)^2+((F412-'Hybrid Calculator'!$B$11)/30)^2+(G412-'Hybrid Calculator'!$B$12)^2+((H412-'Hybrid Calculator'!$E$14)/IF(A412="Lightning",100,30000))^2+((I412-'Hybrid Calculator'!$E$17)/IF(A412="Lightning",100,30000))^2</x:f>
        <x:v>0.07773768991453772</x:v>
      </x:c>
      <x:c r="K412" s="23" t="n">
        <x:f>RANK(J412,$J$2:$J$1401,1)</x:f>
        <x:v>132</x:v>
      </x:c>
      <x:c r="L412" s="23" t="n">
        <x:f>IF(K412&lt;=7,1,0)</x:f>
        <x:v>0</x:v>
      </x:c>
      <x:c r="M412" s="23" t="n">
        <x:f>IF(L412=1,1/(J412+0.000001),0)</x:f>
        <x:v>0</x:v>
      </x:c>
      <x:c r="N412" s="23" t="n">
        <x:v>-0.009894217111666492</x:v>
      </x:c>
      <x:c r="O412" s="23" t="n">
        <x:f>M412</x:f>
        <x:v>0</x:v>
      </x:c>
      <x:c r="P412" s="23" t="n">
        <x:v>-0.07592209496995395</x:v>
      </x:c>
      <x:c r="Q412" s="23" t="n">
        <x:v>-1.5932897299176147</x:v>
      </x:c>
    </x:row>
    <x:row r="413">
      <x:c r="A413" s="23" t="str">
        <x:v>Lightning</x:v>
      </x:c>
      <x:c r="B413" s="23" t="n">
        <x:v>1425.487536995206</x:v>
      </x:c>
      <x:c r="C413" s="23" t="n">
        <x:v>1154.350945376791</x:v>
      </x:c>
      <x:c r="D413" s="23" t="n">
        <x:v>510.49076030030847</x:v>
      </x:c>
      <x:c r="E413" s="23" t="n">
        <x:v>190.76003755442798</x:v>
      </x:c>
      <x:c r="F413" s="23" t="n">
        <x:v>22.12640041531995</x:v>
      </x:c>
      <x:c r="G413" s="23" t="n">
        <x:v>0.8531425640406087</x:v>
      </x:c>
      <x:c r="H413" s="23" t="n">
        <x:v>40</x:v>
      </x:c>
      <x:c r="I413" s="23" t="n">
        <x:v>25</x:v>
      </x:c>
      <x:c r="J413" s="23" t="n">
        <x:f>(IF(A413='Hybrid Calculator'!$B$6,0,1))^2+((B413-'Hybrid Calculator'!$B$7)/1500)^2+((C413-'Hybrid Calculator'!$B$8)/1300)^2+((D413-'Hybrid Calculator'!$B$9)/800)^2+((E413-'Hybrid Calculator'!$B$10)/350)^2+((F413-'Hybrid Calculator'!$B$11)/30)^2+(G413-'Hybrid Calculator'!$B$12)^2+((H413-'Hybrid Calculator'!$E$14)/IF(A413="Lightning",100,30000))^2+((I413-'Hybrid Calculator'!$E$17)/IF(A413="Lightning",100,30000))^2</x:f>
        <x:v>0.0942551204512748</x:v>
      </x:c>
      <x:c r="K413" s="23" t="n">
        <x:f>RANK(J413,$J$2:$J$1401,1)</x:f>
        <x:v>185</x:v>
      </x:c>
      <x:c r="L413" s="23" t="n">
        <x:f>IF(K413&lt;=7,1,0)</x:f>
        <x:v>0</x:v>
      </x:c>
      <x:c r="M413" s="23" t="n">
        <x:f>IF(L413=1,1/(J413+0.000001),0)</x:f>
        <x:v>0</x:v>
      </x:c>
      <x:c r="N413" s="23" t="n">
        <x:v>0.00958408827766033</x:v>
      </x:c>
      <x:c r="O413" s="23" t="n">
        <x:f>M413</x:f>
        <x:v>0</x:v>
      </x:c>
      <x:c r="P413" s="23" t="n">
        <x:v>1.3084363336422626</x:v>
      </x:c>
      <x:c r="Q413" s="23" t="n">
        <x:v>-12.82613989394872</x:v>
      </x:c>
    </x:row>
    <x:row r="414">
      <x:c r="A414" s="23" t="str">
        <x:v>Lightning</x:v>
      </x:c>
      <x:c r="B414" s="23" t="n">
        <x:v>1377.2796521661803</x:v>
      </x:c>
      <x:c r="C414" s="23" t="n">
        <x:v>1243.205797916744</x:v>
      </x:c>
      <x:c r="D414" s="23" t="n">
        <x:v>586.4440310746431</x:v>
      </x:c>
      <x:c r="E414" s="23" t="n">
        <x:v>264.53231843886897</x:v>
      </x:c>
      <x:c r="F414" s="23" t="n">
        <x:v>27.04024773929268</x:v>
      </x:c>
      <x:c r="G414" s="23" t="n">
        <x:v>0.8395146322133952</x:v>
      </x:c>
      <x:c r="H414" s="23" t="n">
        <x:v>30</x:v>
      </x:c>
      <x:c r="I414" s="23" t="n">
        <x:v>25</x:v>
      </x:c>
      <x:c r="J414" s="23" t="n">
        <x:f>(IF(A414='Hybrid Calculator'!$B$6,0,1))^2+((B414-'Hybrid Calculator'!$B$7)/1500)^2+((C414-'Hybrid Calculator'!$B$8)/1300)^2+((D414-'Hybrid Calculator'!$B$9)/800)^2+((E414-'Hybrid Calculator'!$B$10)/350)^2+((F414-'Hybrid Calculator'!$B$11)/30)^2+(G414-'Hybrid Calculator'!$B$12)^2+((H414-'Hybrid Calculator'!$E$14)/IF(A414="Lightning",100,30000))^2+((I414-'Hybrid Calculator'!$E$17)/IF(A414="Lightning",100,30000))^2</x:f>
        <x:v>0.33267718132902047</x:v>
      </x:c>
      <x:c r="K414" s="23" t="n">
        <x:f>RANK(J414,$J$2:$J$1401,1)</x:f>
        <x:v>637</x:v>
      </x:c>
      <x:c r="L414" s="23" t="n">
        <x:f>IF(K414&lt;=7,1,0)</x:f>
        <x:v>0</x:v>
      </x:c>
      <x:c r="M414" s="23" t="n">
        <x:f>IF(L414=1,1/(J414+0.000001),0)</x:f>
        <x:v>0</x:v>
      </x:c>
      <x:c r="N414" s="23" t="n">
        <x:v>-0.003959127386814032</x:v>
      </x:c>
      <x:c r="O414" s="23" t="n">
        <x:f>M414</x:f>
        <x:v>0</x:v>
      </x:c>
      <x:c r="P414" s="23" t="n">
        <x:v>1.747113547174827</x:v>
      </x:c>
      <x:c r="Q414" s="23" t="n">
        <x:v>-22.51066052351598</x:v>
      </x:c>
    </x:row>
    <x:row r="415">
      <x:c r="A415" s="23" t="str">
        <x:v>Lightning</x:v>
      </x:c>
      <x:c r="B415" s="23" t="n">
        <x:v>1446.9649220234714</x:v>
      </x:c>
      <x:c r="C415" s="23" t="n">
        <x:v>1129.7123638447374</x:v>
      </x:c>
      <x:c r="D415" s="23" t="n">
        <x:v>642.8448270075023</x:v>
      </x:c>
      <x:c r="E415" s="23" t="n">
        <x:v>98.81365745794028</x:v>
      </x:c>
      <x:c r="F415" s="23" t="n">
        <x:v>17.87335107056424</x:v>
      </x:c>
      <x:c r="G415" s="23" t="n">
        <x:v>0.8055407201871276</x:v>
      </x:c>
      <x:c r="H415" s="23" t="n">
        <x:v>40</x:v>
      </x:c>
      <x:c r="I415" s="23" t="n">
        <x:v>25</x:v>
      </x:c>
      <x:c r="J415" s="23" t="n">
        <x:f>(IF(A415='Hybrid Calculator'!$B$6,0,1))^2+((B415-'Hybrid Calculator'!$B$7)/1500)^2+((C415-'Hybrid Calculator'!$B$8)/1300)^2+((D415-'Hybrid Calculator'!$B$9)/800)^2+((E415-'Hybrid Calculator'!$B$10)/350)^2+((F415-'Hybrid Calculator'!$B$11)/30)^2+(G415-'Hybrid Calculator'!$B$12)^2+((H415-'Hybrid Calculator'!$E$14)/IF(A415="Lightning",100,30000))^2+((I415-'Hybrid Calculator'!$E$17)/IF(A415="Lightning",100,30000))^2</x:f>
        <x:v>0.11042543994969087</x:v>
      </x:c>
      <x:c r="K415" s="23" t="n">
        <x:f>RANK(J415,$J$2:$J$1401,1)</x:f>
        <x:v>230</x:v>
      </x:c>
      <x:c r="L415" s="23" t="n">
        <x:f>IF(K415&lt;=7,1,0)</x:f>
        <x:v>0</x:v>
      </x:c>
      <x:c r="M415" s="23" t="n">
        <x:f>IF(L415=1,1/(J415+0.000001),0)</x:f>
        <x:v>0</x:v>
      </x:c>
      <x:c r="N415" s="23" t="n">
        <x:v>0.01790389733044262</x:v>
      </x:c>
      <x:c r="O415" s="23" t="n">
        <x:f>M415</x:f>
        <x:v>0</x:v>
      </x:c>
      <x:c r="P415" s="23" t="n">
        <x:v>1.333323499186804</x:v>
      </x:c>
      <x:c r="Q415" s="23" t="n">
        <x:v>-7.995219965899196</x:v>
      </x:c>
    </x:row>
    <x:row r="416">
      <x:c r="A416" s="23" t="str">
        <x:v>Lightning</x:v>
      </x:c>
      <x:c r="B416" s="23" t="n">
        <x:v>1400.9556659962982</x:v>
      </x:c>
      <x:c r="C416" s="23" t="n">
        <x:v>1099.8616314376704</x:v>
      </x:c>
      <x:c r="D416" s="23" t="n">
        <x:v>648.7772127613425</x:v>
      </x:c>
      <x:c r="E416" s="23" t="n">
        <x:v>226.56172675313428</x:v>
      </x:c>
      <x:c r="F416" s="23" t="n">
        <x:v>27.11718635633588</x:v>
      </x:c>
      <x:c r="G416" s="23" t="n">
        <x:v>0.8530422398471273</x:v>
      </x:c>
      <x:c r="H416" s="23" t="n">
        <x:v>35</x:v>
      </x:c>
      <x:c r="I416" s="23" t="n">
        <x:v>25</x:v>
      </x:c>
      <x:c r="J416" s="23" t="n">
        <x:f>(IF(A416='Hybrid Calculator'!$B$6,0,1))^2+((B416-'Hybrid Calculator'!$B$7)/1500)^2+((C416-'Hybrid Calculator'!$B$8)/1300)^2+((D416-'Hybrid Calculator'!$B$9)/800)^2+((E416-'Hybrid Calculator'!$B$10)/350)^2+((F416-'Hybrid Calculator'!$B$11)/30)^2+(G416-'Hybrid Calculator'!$B$12)^2+((H416-'Hybrid Calculator'!$E$14)/IF(A416="Lightning",100,30000))^2+((I416-'Hybrid Calculator'!$E$17)/IF(A416="Lightning",100,30000))^2</x:f>
        <x:v>0.22573261570969458</x:v>
      </x:c>
      <x:c r="K416" s="23" t="n">
        <x:f>RANK(J416,$J$2:$J$1401,1)</x:f>
        <x:v>500</x:v>
      </x:c>
      <x:c r="L416" s="23" t="n">
        <x:f>IF(K416&lt;=7,1,0)</x:f>
        <x:v>0</x:v>
      </x:c>
      <x:c r="M416" s="23" t="n">
        <x:f>IF(L416=1,1/(J416+0.000001),0)</x:f>
        <x:v>0</x:v>
      </x:c>
      <x:c r="N416" s="23" t="n">
        <x:v>-0.005710185000558088</x:v>
      </x:c>
      <x:c r="O416" s="23" t="n">
        <x:f>M416</x:f>
        <x:v>0</x:v>
      </x:c>
      <x:c r="P416" s="23" t="n">
        <x:v>0.35196165909759713</x:v>
      </x:c>
      <x:c r="Q416" s="23" t="n">
        <x:v>-25.61930597233163</x:v>
      </x:c>
    </x:row>
    <x:row r="417">
      <x:c r="A417" s="23" t="str">
        <x:v>Lightning</x:v>
      </x:c>
      <x:c r="B417" s="23" t="n">
        <x:v>1463.631010253448</x:v>
      </x:c>
      <x:c r="C417" s="23" t="n">
        <x:v>1001.9267049385235</x:v>
      </x:c>
      <x:c r="D417" s="23" t="n">
        <x:v>443.5273711569607</x:v>
      </x:c>
      <x:c r="E417" s="23" t="n">
        <x:v>293.68889324367046</x:v>
      </x:c>
      <x:c r="F417" s="23" t="n">
        <x:v>13.635820413473994</x:v>
      </x:c>
      <x:c r="G417" s="23" t="n">
        <x:v>0.8382593783689664</x:v>
      </x:c>
      <x:c r="H417" s="23" t="n">
        <x:v>45</x:v>
      </x:c>
      <x:c r="I417" s="23" t="n">
        <x:v>25</x:v>
      </x:c>
      <x:c r="J417" s="23" t="n">
        <x:f>(IF(A417='Hybrid Calculator'!$B$6,0,1))^2+((B417-'Hybrid Calculator'!$B$7)/1500)^2+((C417-'Hybrid Calculator'!$B$8)/1300)^2+((D417-'Hybrid Calculator'!$B$9)/800)^2+((E417-'Hybrid Calculator'!$B$10)/350)^2+((F417-'Hybrid Calculator'!$B$11)/30)^2+(G417-'Hybrid Calculator'!$B$12)^2+((H417-'Hybrid Calculator'!$E$14)/IF(A417="Lightning",100,30000))^2+((I417-'Hybrid Calculator'!$E$17)/IF(A417="Lightning",100,30000))^2</x:f>
        <x:v>0.21696955760132877</x:v>
      </x:c>
      <x:c r="K417" s="23" t="n">
        <x:f>RANK(J417,$J$2:$J$1401,1)</x:f>
        <x:v>481</x:v>
      </x:c>
      <x:c r="L417" s="23" t="n">
        <x:f>IF(K417&lt;=7,1,0)</x:f>
        <x:v>0</x:v>
      </x:c>
      <x:c r="M417" s="23" t="n">
        <x:f>IF(L417=1,1/(J417+0.000001),0)</x:f>
        <x:v>0</x:v>
      </x:c>
      <x:c r="N417" s="23" t="n">
        <x:v>0.009293632046812883</x:v>
      </x:c>
      <x:c r="O417" s="23" t="n">
        <x:f>M417</x:f>
        <x:v>0</x:v>
      </x:c>
      <x:c r="P417" s="23" t="n">
        <x:v>1.1986313749683646</x:v>
      </x:c>
      <x:c r="Q417" s="23" t="n">
        <x:v>8.674036224850397</x:v>
      </x:c>
    </x:row>
    <x:row r="418">
      <x:c r="A418" s="23" t="str">
        <x:v>Lightning</x:v>
      </x:c>
      <x:c r="B418" s="23" t="n">
        <x:v>1449.3687128880993</x:v>
      </x:c>
      <x:c r="C418" s="23" t="n">
        <x:v>782.9977904562838</x:v>
      </x:c>
      <x:c r="D418" s="23" t="n">
        <x:v>504.2174942791462</x:v>
      </x:c>
      <x:c r="E418" s="23" t="n">
        <x:v>185.68261559819803</x:v>
      </x:c>
      <x:c r="F418" s="23" t="n">
        <x:v>22.497611372731626</x:v>
      </x:c>
      <x:c r="G418" s="23" t="n">
        <x:v>0.8465208366303705</x:v>
      </x:c>
      <x:c r="H418" s="23" t="n">
        <x:v>50</x:v>
      </x:c>
      <x:c r="I418" s="23" t="n">
        <x:v>25</x:v>
      </x:c>
      <x:c r="J418" s="23" t="n">
        <x:f>(IF(A418='Hybrid Calculator'!$B$6,0,1))^2+((B418-'Hybrid Calculator'!$B$7)/1500)^2+((C418-'Hybrid Calculator'!$B$8)/1300)^2+((D418-'Hybrid Calculator'!$B$9)/800)^2+((E418-'Hybrid Calculator'!$B$10)/350)^2+((F418-'Hybrid Calculator'!$B$11)/30)^2+(G418-'Hybrid Calculator'!$B$12)^2+((H418-'Hybrid Calculator'!$E$14)/IF(A418="Lightning",100,30000))^2+((I418-'Hybrid Calculator'!$E$17)/IF(A418="Lightning",100,30000))^2</x:f>
        <x:v>0.03180188359743008</x:v>
      </x:c>
      <x:c r="K418" s="23" t="n">
        <x:f>RANK(J418,$J$2:$J$1401,1)</x:f>
        <x:v>26</x:v>
      </x:c>
      <x:c r="L418" s="23" t="n">
        <x:f>IF(K418&lt;=7,1,0)</x:f>
        <x:v>0</x:v>
      </x:c>
      <x:c r="M418" s="23" t="n">
        <x:f>IF(L418=1,1/(J418+0.000001),0)</x:f>
        <x:v>0</x:v>
      </x:c>
      <x:c r="N418" s="23" t="n">
        <x:v>-0.014832823122895133</x:v>
      </x:c>
      <x:c r="O418" s="23" t="n">
        <x:f>M418</x:f>
        <x:v>0</x:v>
      </x:c>
      <x:c r="P418" s="23" t="n">
        <x:v>0.21084339832147236</x:v>
      </x:c>
      <x:c r="Q418" s="23" t="n">
        <x:v>2.007447339058672</x:v>
      </x:c>
    </x:row>
    <x:row r="419">
      <x:c r="A419" s="23" t="str">
        <x:v>Lightning</x:v>
      </x:c>
      <x:c r="B419" s="23" t="n">
        <x:v>1383.817003655713</x:v>
      </x:c>
      <x:c r="C419" s="23" t="n">
        <x:v>1178.1542940065265</x:v>
      </x:c>
      <x:c r="D419" s="23" t="n">
        <x:v>429.8002435825765</x:v>
      </x:c>
      <x:c r="E419" s="23" t="n">
        <x:v>326.7977983178571</x:v>
      </x:c>
      <x:c r="F419" s="23" t="n">
        <x:v>22.455058136489242</x:v>
      </x:c>
      <x:c r="G419" s="23" t="n">
        <x:v>0.8053940664138646</x:v>
      </x:c>
      <x:c r="H419" s="23" t="n">
        <x:v>35</x:v>
      </x:c>
      <x:c r="I419" s="23" t="n">
        <x:v>25</x:v>
      </x:c>
      <x:c r="J419" s="23" t="n">
        <x:f>(IF(A419='Hybrid Calculator'!$B$6,0,1))^2+((B419-'Hybrid Calculator'!$B$7)/1500)^2+((C419-'Hybrid Calculator'!$B$8)/1300)^2+((D419-'Hybrid Calculator'!$B$9)/800)^2+((E419-'Hybrid Calculator'!$B$10)/350)^2+((F419-'Hybrid Calculator'!$B$11)/30)^2+(G419-'Hybrid Calculator'!$B$12)^2+((H419-'Hybrid Calculator'!$E$14)/IF(A419="Lightning",100,30000))^2+((I419-'Hybrid Calculator'!$E$17)/IF(A419="Lightning",100,30000))^2</x:f>
        <x:v>0.36742970455293905</x:v>
      </x:c>
      <x:c r="K419" s="23" t="n">
        <x:f>RANK(J419,$J$2:$J$1401,1)</x:f>
        <x:v>665</x:v>
      </x:c>
      <x:c r="L419" s="23" t="n">
        <x:f>IF(K419&lt;=7,1,0)</x:f>
        <x:v>0</x:v>
      </x:c>
      <x:c r="M419" s="23" t="n">
        <x:f>IF(L419=1,1/(J419+0.000001),0)</x:f>
        <x:v>0</x:v>
      </x:c>
      <x:c r="N419" s="23" t="n">
        <x:v>0.008157953038228971</x:v>
      </x:c>
      <x:c r="O419" s="23" t="n">
        <x:f>M419</x:f>
        <x:v>0</x:v>
      </x:c>
      <x:c r="P419" s="23" t="n">
        <x:v>0.27044709081548746</x:v>
      </x:c>
      <x:c r="Q419" s="23" t="n">
        <x:v>-12.077930459729714</x:v>
      </x:c>
    </x:row>
    <x:row r="420">
      <x:c r="A420" s="23" t="str">
        <x:v>Lightning</x:v>
      </x:c>
      <x:c r="B420" s="23" t="n">
        <x:v>1368.02548924461</x:v>
      </x:c>
      <x:c r="C420" s="23" t="n">
        <x:v>655.8786821900867</x:v>
      </x:c>
      <x:c r="D420" s="23" t="n">
        <x:v>668.1025454774499</x:v>
      </x:c>
      <x:c r="E420" s="23" t="n">
        <x:v>163.71127588907257</x:v>
      </x:c>
      <x:c r="F420" s="23" t="n">
        <x:v>14.205430151894689</x:v>
      </x:c>
      <x:c r="G420" s="23" t="n">
        <x:v>0.8244179751654156</x:v>
      </x:c>
      <x:c r="H420" s="23" t="n">
        <x:v>50</x:v>
      </x:c>
      <x:c r="I420" s="23" t="n">
        <x:v>25</x:v>
      </x:c>
      <x:c r="J420" s="23" t="n">
        <x:f>(IF(A420='Hybrid Calculator'!$B$6,0,1))^2+((B420-'Hybrid Calculator'!$B$7)/1500)^2+((C420-'Hybrid Calculator'!$B$8)/1300)^2+((D420-'Hybrid Calculator'!$B$9)/800)^2+((E420-'Hybrid Calculator'!$B$10)/350)^2+((F420-'Hybrid Calculator'!$B$11)/30)^2+(G420-'Hybrid Calculator'!$B$12)^2+((H420-'Hybrid Calculator'!$E$14)/IF(A420="Lightning",100,30000))^2+((I420-'Hybrid Calculator'!$E$17)/IF(A420="Lightning",100,30000))^2</x:f>
        <x:v>0.08994103969452609</x:v>
      </x:c>
      <x:c r="K420" s="23" t="n">
        <x:f>RANK(J420,$J$2:$J$1401,1)</x:f>
        <x:v>173</x:v>
      </x:c>
      <x:c r="L420" s="23" t="n">
        <x:f>IF(K420&lt;=7,1,0)</x:f>
        <x:v>0</x:v>
      </x:c>
      <x:c r="M420" s="23" t="n">
        <x:f>IF(L420=1,1/(J420+0.000001),0)</x:f>
        <x:v>0</x:v>
      </x:c>
      <x:c r="N420" s="23" t="n">
        <x:v>0.009058206986239714</x:v>
      </x:c>
      <x:c r="O420" s="23" t="n">
        <x:f>M420</x:f>
        <x:v>0</x:v>
      </x:c>
      <x:c r="P420" s="23" t="n">
        <x:v>-0.11889894712020777</x:v>
      </x:c>
      <x:c r="Q420" s="23" t="n">
        <x:v>11.387624808611918</x:v>
      </x:c>
    </x:row>
    <x:row r="421">
      <x:c r="A421" s="23" t="str">
        <x:v>Lightning</x:v>
      </x:c>
      <x:c r="B421" s="23" t="n">
        <x:v>1453.5109240212478</x:v>
      </x:c>
      <x:c r="C421" s="23" t="n">
        <x:v>1060.2722079725936</x:v>
      </x:c>
      <x:c r="D421" s="23" t="n">
        <x:v>688.7198545970023</x:v>
      </x:c>
      <x:c r="E421" s="23" t="n">
        <x:v>180.2501652110368</x:v>
      </x:c>
      <x:c r="F421" s="23" t="n">
        <x:v>26.94331069337204</x:v>
      </x:c>
      <x:c r="G421" s="23" t="n">
        <x:v>0.8199898470425979</x:v>
      </x:c>
      <x:c r="H421" s="23" t="n">
        <x:v>35</x:v>
      </x:c>
      <x:c r="I421" s="23" t="n">
        <x:v>25</x:v>
      </x:c>
      <x:c r="J421" s="23" t="n">
        <x:f>(IF(A421='Hybrid Calculator'!$B$6,0,1))^2+((B421-'Hybrid Calculator'!$B$7)/1500)^2+((C421-'Hybrid Calculator'!$B$8)/1300)^2+((D421-'Hybrid Calculator'!$B$9)/800)^2+((E421-'Hybrid Calculator'!$B$10)/350)^2+((F421-'Hybrid Calculator'!$B$11)/30)^2+(G421-'Hybrid Calculator'!$B$12)^2+((H421-'Hybrid Calculator'!$E$14)/IF(A421="Lightning",100,30000))^2+((I421-'Hybrid Calculator'!$E$17)/IF(A421="Lightning",100,30000))^2</x:f>
        <x:v>0.19135289893582288</x:v>
      </x:c>
      <x:c r="K421" s="23" t="n">
        <x:f>RANK(J421,$J$2:$J$1401,1)</x:f>
        <x:v>428</x:v>
      </x:c>
      <x:c r="L421" s="23" t="n">
        <x:f>IF(K421&lt;=7,1,0)</x:f>
        <x:v>0</x:v>
      </x:c>
      <x:c r="M421" s="23" t="n">
        <x:f>IF(L421=1,1/(J421+0.000001),0)</x:f>
        <x:v>0</x:v>
      </x:c>
      <x:c r="N421" s="23" t="n">
        <x:v>0.006208699735660517</x:v>
      </x:c>
      <x:c r="O421" s="23" t="n">
        <x:f>M421</x:f>
        <x:v>0</x:v>
      </x:c>
      <x:c r="P421" s="23" t="n">
        <x:v>-0.19835534108342756</x:v>
      </x:c>
      <x:c r="Q421" s="23" t="n">
        <x:v>-25.638269091608436</x:v>
      </x:c>
    </x:row>
    <x:row r="422">
      <x:c r="A422" s="23" t="str">
        <x:v>Lightning</x:v>
      </x:c>
      <x:c r="B422" s="23" t="n">
        <x:v>1355.565769225359</x:v>
      </x:c>
      <x:c r="C422" s="23" t="n">
        <x:v>1022.196825069841</x:v>
      </x:c>
      <x:c r="D422" s="23" t="n">
        <x:v>395.3498827293515</x:v>
      </x:c>
      <x:c r="E422" s="23" t="n">
        <x:v>147.48578936094418</x:v>
      </x:c>
      <x:c r="F422" s="23" t="n">
        <x:v>16.144665656611323</x:v>
      </x:c>
      <x:c r="G422" s="23" t="n">
        <x:v>0.8243495293450542</x:v>
      </x:c>
      <x:c r="H422" s="23" t="n">
        <x:v>50</x:v>
      </x:c>
      <x:c r="I422" s="23" t="n">
        <x:v>25</x:v>
      </x:c>
      <x:c r="J422" s="23" t="n">
        <x:f>(IF(A422='Hybrid Calculator'!$B$6,0,1))^2+((B422-'Hybrid Calculator'!$B$7)/1500)^2+((C422-'Hybrid Calculator'!$B$8)/1300)^2+((D422-'Hybrid Calculator'!$B$9)/800)^2+((E422-'Hybrid Calculator'!$B$10)/350)^2+((F422-'Hybrid Calculator'!$B$11)/30)^2+(G422-'Hybrid Calculator'!$B$12)^2+((H422-'Hybrid Calculator'!$E$14)/IF(A422="Lightning",100,30000))^2+((I422-'Hybrid Calculator'!$E$17)/IF(A422="Lightning",100,30000))^2</x:f>
        <x:v>0.04303459764212414</x:v>
      </x:c>
      <x:c r="K422" s="23" t="n">
        <x:f>RANK(J422,$J$2:$J$1401,1)</x:f>
        <x:v>39</x:v>
      </x:c>
      <x:c r="L422" s="23" t="n">
        <x:f>IF(K422&lt;=7,1,0)</x:f>
        <x:v>0</x:v>
      </x:c>
      <x:c r="M422" s="23" t="n">
        <x:f>IF(L422=1,1/(J422+0.000001),0)</x:f>
        <x:v>0</x:v>
      </x:c>
      <x:c r="N422" s="23" t="n">
        <x:v>-0.0047635662840470605</x:v>
      </x:c>
      <x:c r="O422" s="23" t="n">
        <x:f>M422</x:f>
        <x:v>0</x:v>
      </x:c>
      <x:c r="P422" s="23" t="n">
        <x:v>0.2833668967952079</x:v>
      </x:c>
      <x:c r="Q422" s="23" t="n">
        <x:v>1.7445550821978486</x:v>
      </x:c>
    </x:row>
    <x:row r="423">
      <x:c r="A423" s="23" t="str">
        <x:v>Lightning</x:v>
      </x:c>
      <x:c r="B423" s="23" t="n">
        <x:v>1419.549971690867</x:v>
      </x:c>
      <x:c r="C423" s="23" t="n">
        <x:v>1042.1687247464433</x:v>
      </x:c>
      <x:c r="D423" s="23" t="n">
        <x:v>473.0786190368235</x:v>
      </x:c>
      <x:c r="E423" s="23" t="n">
        <x:v>287.98716112039983</x:v>
      </x:c>
      <x:c r="F423" s="23" t="n">
        <x:v>20.1775215533562</x:v>
      </x:c>
      <x:c r="G423" s="23" t="n">
        <x:v>0.8099089406477288</x:v>
      </x:c>
      <x:c r="H423" s="23" t="n">
        <x:v>40</x:v>
      </x:c>
      <x:c r="I423" s="23" t="n">
        <x:v>25</x:v>
      </x:c>
      <x:c r="J423" s="23" t="n">
        <x:f>(IF(A423='Hybrid Calculator'!$B$6,0,1))^2+((B423-'Hybrid Calculator'!$B$7)/1500)^2+((C423-'Hybrid Calculator'!$B$8)/1300)^2+((D423-'Hybrid Calculator'!$B$9)/800)^2+((E423-'Hybrid Calculator'!$B$10)/350)^2+((F423-'Hybrid Calculator'!$B$11)/30)^2+(G423-'Hybrid Calculator'!$B$12)^2+((H423-'Hybrid Calculator'!$E$14)/IF(A423="Lightning",100,30000))^2+((I423-'Hybrid Calculator'!$E$17)/IF(A423="Lightning",100,30000))^2</x:f>
        <x:v>0.1916578944686242</x:v>
      </x:c>
      <x:c r="K423" s="23" t="n">
        <x:f>RANK(J423,$J$2:$J$1401,1)</x:f>
        <x:v>429</x:v>
      </x:c>
      <x:c r="L423" s="23" t="n">
        <x:f>IF(K423&lt;=7,1,0)</x:f>
        <x:v>0</x:v>
      </x:c>
      <x:c r="M423" s="23" t="n">
        <x:f>IF(L423=1,1/(J423+0.000001),0)</x:f>
        <x:v>0</x:v>
      </x:c>
      <x:c r="N423" s="23" t="n">
        <x:v>0.004108404145422462</x:v>
      </x:c>
      <x:c r="O423" s="23" t="n">
        <x:f>M423</x:f>
        <x:v>0</x:v>
      </x:c>
      <x:c r="P423" s="23" t="n">
        <x:v>0.05761392005668142</x:v>
      </x:c>
      <x:c r="Q423" s="23" t="n">
        <x:v>-5.786502931915948</x:v>
      </x:c>
    </x:row>
    <x:row r="424">
      <x:c r="A424" s="23" t="str">
        <x:v>Lightning</x:v>
      </x:c>
      <x:c r="B424" s="23" t="n">
        <x:v>1455.6715317768976</x:v>
      </x:c>
      <x:c r="C424" s="23" t="n">
        <x:v>997.9782578186132</x:v>
      </x:c>
      <x:c r="D424" s="23" t="n">
        <x:v>358.0244366079569</x:v>
      </x:c>
      <x:c r="E424" s="23" t="n">
        <x:v>186.10753035871312</x:v>
      </x:c>
      <x:c r="F424" s="23" t="n">
        <x:v>25.24688505474478</x:v>
      </x:c>
      <x:c r="G424" s="23" t="n">
        <x:v>0.8235339596378617</x:v>
      </x:c>
      <x:c r="H424" s="23" t="n">
        <x:v>45</x:v>
      </x:c>
      <x:c r="I424" s="23" t="n">
        <x:v>25</x:v>
      </x:c>
      <x:c r="J424" s="23" t="n">
        <x:f>(IF(A424='Hybrid Calculator'!$B$6,0,1))^2+((B424-'Hybrid Calculator'!$B$7)/1500)^2+((C424-'Hybrid Calculator'!$B$8)/1300)^2+((D424-'Hybrid Calculator'!$B$9)/800)^2+((E424-'Hybrid Calculator'!$B$10)/350)^2+((F424-'Hybrid Calculator'!$B$11)/30)^2+(G424-'Hybrid Calculator'!$B$12)^2+((H424-'Hybrid Calculator'!$E$14)/IF(A424="Lightning",100,30000))^2+((I424-'Hybrid Calculator'!$E$17)/IF(A424="Lightning",100,30000))^2</x:f>
        <x:v>0.10860431727055657</x:v>
      </x:c>
      <x:c r="K424" s="23" t="n">
        <x:f>RANK(J424,$J$2:$J$1401,1)</x:f>
        <x:v>223</x:v>
      </x:c>
      <x:c r="L424" s="23" t="n">
        <x:f>IF(K424&lt;=7,1,0)</x:f>
        <x:v>0</x:v>
      </x:c>
      <x:c r="M424" s="23" t="n">
        <x:f>IF(L424=1,1/(J424+0.000001),0)</x:f>
        <x:v>0</x:v>
      </x:c>
      <x:c r="N424" s="23" t="n">
        <x:v>0.0024378558626840796</x:v>
      </x:c>
      <x:c r="O424" s="23" t="n">
        <x:f>M424</x:f>
        <x:v>0</x:v>
      </x:c>
      <x:c r="P424" s="23" t="n">
        <x:v>0.21127249129695969</x:v>
      </x:c>
      <x:c r="Q424" s="23" t="n">
        <x:v>1.5249726726433437</x:v>
      </x:c>
    </x:row>
    <x:row r="425">
      <x:c r="A425" s="23" t="str">
        <x:v>Lightning</x:v>
      </x:c>
      <x:c r="B425" s="23" t="n">
        <x:v>1440.144038235303</x:v>
      </x:c>
      <x:c r="C425" s="23" t="n">
        <x:v>992.8331925999373</x:v>
      </x:c>
      <x:c r="D425" s="23" t="n">
        <x:v>548.9886726252735</x:v>
      </x:c>
      <x:c r="E425" s="23" t="n">
        <x:v>151.70548278372735</x:v>
      </x:c>
      <x:c r="F425" s="23" t="n">
        <x:v>19.241786773782223</x:v>
      </x:c>
      <x:c r="G425" s="23" t="n">
        <x:v>0.8164826712757349</x:v>
      </x:c>
      <x:c r="H425" s="23" t="n">
        <x:v>45</x:v>
      </x:c>
      <x:c r="I425" s="23" t="n">
        <x:v>25</x:v>
      </x:c>
      <x:c r="J425" s="23" t="n">
        <x:f>(IF(A425='Hybrid Calculator'!$B$6,0,1))^2+((B425-'Hybrid Calculator'!$B$7)/1500)^2+((C425-'Hybrid Calculator'!$B$8)/1300)^2+((D425-'Hybrid Calculator'!$B$9)/800)^2+((E425-'Hybrid Calculator'!$B$10)/350)^2+((F425-'Hybrid Calculator'!$B$11)/30)^2+(G425-'Hybrid Calculator'!$B$12)^2+((H425-'Hybrid Calculator'!$E$14)/IF(A425="Lightning",100,30000))^2+((I425-'Hybrid Calculator'!$E$17)/IF(A425="Lightning",100,30000))^2</x:f>
        <x:v>0.019071047547285863</x:v>
      </x:c>
      <x:c r="K425" s="23" t="n">
        <x:f>RANK(J425,$J$2:$J$1401,1)</x:f>
        <x:v>6</x:v>
      </x:c>
      <x:c r="L425" s="23" t="n">
        <x:f>IF(K425&lt;=7,1,0)</x:f>
        <x:v>1</x:v>
      </x:c>
      <x:c r="M425" s="23" t="n">
        <x:f>IF(L425=1,1/(J425+0.000001),0)</x:f>
        <x:v>52.43275518901009</x:v>
      </x:c>
      <x:c r="N425" s="23" t="n">
        <x:v>0.009116685166346228</x:v>
      </x:c>
      <x:c r="O425" s="23" t="n">
        <x:f>M425</x:f>
        <x:v>52.43275518901009</x:v>
      </x:c>
      <x:c r="P425" s="23" t="n">
        <x:v>0.9169774132967632</x:v>
      </x:c>
      <x:c r="Q425" s="23" t="n">
        <x:v>-7.459777362506657</x:v>
      </x:c>
    </x:row>
    <x:row r="426">
      <x:c r="A426" s="23" t="str">
        <x:v>Lightning</x:v>
      </x:c>
      <x:c r="B426" s="23" t="n">
        <x:v>1397.0324866008013</x:v>
      </x:c>
      <x:c r="C426" s="23" t="n">
        <x:v>1185.7340440968983</x:v>
      </x:c>
      <x:c r="D426" s="23" t="n">
        <x:v>542.7351212128997</x:v>
      </x:c>
      <x:c r="E426" s="23" t="n">
        <x:v>156.290056866128</x:v>
      </x:c>
      <x:c r="F426" s="23" t="n">
        <x:v>9.401143472641706</x:v>
      </x:c>
      <x:c r="G426" s="23" t="n">
        <x:v>0.7948754819878378</x:v>
      </x:c>
      <x:c r="H426" s="23" t="n">
        <x:v>40</x:v>
      </x:c>
      <x:c r="I426" s="23" t="n">
        <x:v>25</x:v>
      </x:c>
      <x:c r="J426" s="23" t="n">
        <x:f>(IF(A426='Hybrid Calculator'!$B$6,0,1))^2+((B426-'Hybrid Calculator'!$B$7)/1500)^2+((C426-'Hybrid Calculator'!$B$8)/1300)^2+((D426-'Hybrid Calculator'!$B$9)/800)^2+((E426-'Hybrid Calculator'!$B$10)/350)^2+((F426-'Hybrid Calculator'!$B$11)/30)^2+(G426-'Hybrid Calculator'!$B$12)^2+((H426-'Hybrid Calculator'!$E$14)/IF(A426="Lightning",100,30000))^2+((I426-'Hybrid Calculator'!$E$17)/IF(A426="Lightning",100,30000))^2</x:f>
        <x:v>0.1728400797310883</x:v>
      </x:c>
      <x:c r="K426" s="23" t="n">
        <x:f>RANK(J426,$J$2:$J$1401,1)</x:f>
        <x:v>390</x:v>
      </x:c>
      <x:c r="L426" s="23" t="n">
        <x:f>IF(K426&lt;=7,1,0)</x:f>
        <x:v>0</x:v>
      </x:c>
      <x:c r="M426" s="23" t="n">
        <x:f>IF(L426=1,1/(J426+0.000001),0)</x:f>
        <x:v>0</x:v>
      </x:c>
      <x:c r="N426" s="23" t="n">
        <x:v>0.02479367774260499</x:v>
      </x:c>
      <x:c r="O426" s="23" t="n">
        <x:f>M426</x:f>
        <x:v>0</x:v>
      </x:c>
      <x:c r="P426" s="23" t="n">
        <x:v>1.7989505391524716</x:v>
      </x:c>
      <x:c r="Q426" s="23" t="n">
        <x:v>5.011709869468632</x:v>
      </x:c>
    </x:row>
    <x:row r="427">
      <x:c r="A427" s="23" t="str">
        <x:v>Lightning</x:v>
      </x:c>
      <x:c r="B427" s="23" t="n">
        <x:v>1350.0409565982409</x:v>
      </x:c>
      <x:c r="C427" s="23" t="n">
        <x:v>1070.9981589345261</x:v>
      </x:c>
      <x:c r="D427" s="23" t="n">
        <x:v>727.812107373029</x:v>
      </x:c>
      <x:c r="E427" s="23" t="n">
        <x:v>200.282675139606</x:v>
      </x:c>
      <x:c r="F427" s="23" t="n">
        <x:v>14.93912963801995</x:v>
      </x:c>
      <x:c r="G427" s="23" t="n">
        <x:v>0.8153088835952804</x:v>
      </x:c>
      <x:c r="H427" s="23" t="n">
        <x:v>35</x:v>
      </x:c>
      <x:c r="I427" s="23" t="n">
        <x:v>25</x:v>
      </x:c>
      <x:c r="J427" s="23" t="n">
        <x:f>(IF(A427='Hybrid Calculator'!$B$6,0,1))^2+((B427-'Hybrid Calculator'!$B$7)/1500)^2+((C427-'Hybrid Calculator'!$B$8)/1300)^2+((D427-'Hybrid Calculator'!$B$9)/800)^2+((E427-'Hybrid Calculator'!$B$10)/350)^2+((F427-'Hybrid Calculator'!$B$11)/30)^2+(G427-'Hybrid Calculator'!$B$12)^2+((H427-'Hybrid Calculator'!$E$14)/IF(A427="Lightning",100,30000))^2+((I427-'Hybrid Calculator'!$E$17)/IF(A427="Lightning",100,30000))^2</x:f>
        <x:v>0.16973821195531244</x:v>
      </x:c>
      <x:c r="K427" s="23" t="n">
        <x:f>RANK(J427,$J$2:$J$1401,1)</x:f>
        <x:v>380</x:v>
      </x:c>
      <x:c r="L427" s="23" t="n">
        <x:f>IF(K427&lt;=7,1,0)</x:f>
        <x:v>0</x:v>
      </x:c>
      <x:c r="M427" s="23" t="n">
        <x:f>IF(L427=1,1/(J427+0.000001),0)</x:f>
        <x:v>0</x:v>
      </x:c>
      <x:c r="N427" s="23" t="n">
        <x:v>0.009700203813374664</x:v>
      </x:c>
      <x:c r="O427" s="23" t="n">
        <x:f>M427</x:f>
        <x:v>0</x:v>
      </x:c>
      <x:c r="P427" s="23" t="n">
        <x:v>1.4224369129751082</x:v>
      </x:c>
      <x:c r="Q427" s="23" t="n">
        <x:v>3.1353775421641785</x:v>
      </x:c>
    </x:row>
    <x:row r="428">
      <x:c r="A428" s="23" t="str">
        <x:v>Lightning</x:v>
      </x:c>
      <x:c r="B428" s="23" t="n">
        <x:v>1406.3192252302542</x:v>
      </x:c>
      <x:c r="C428" s="23" t="n">
        <x:v>789.7418676991947</x:v>
      </x:c>
      <x:c r="D428" s="23" t="n">
        <x:v>618.1699596345425</x:v>
      </x:c>
      <x:c r="E428" s="23" t="n">
        <x:v>140.3049224591814</x:v>
      </x:c>
      <x:c r="F428" s="23" t="n">
        <x:v>17.686455867253244</x:v>
      </x:c>
      <x:c r="G428" s="23" t="n">
        <x:v>0.8381916117086076</x:v>
      </x:c>
      <x:c r="H428" s="23" t="n">
        <x:v>50</x:v>
      </x:c>
      <x:c r="I428" s="23" t="n">
        <x:v>25</x:v>
      </x:c>
      <x:c r="J428" s="23" t="n">
        <x:f>(IF(A428='Hybrid Calculator'!$B$6,0,1))^2+((B428-'Hybrid Calculator'!$B$7)/1500)^2+((C428-'Hybrid Calculator'!$B$8)/1300)^2+((D428-'Hybrid Calculator'!$B$9)/800)^2+((E428-'Hybrid Calculator'!$B$10)/350)^2+((F428-'Hybrid Calculator'!$B$11)/30)^2+(G428-'Hybrid Calculator'!$B$12)^2+((H428-'Hybrid Calculator'!$E$14)/IF(A428="Lightning",100,30000))^2+((I428-'Hybrid Calculator'!$E$17)/IF(A428="Lightning",100,30000))^2</x:f>
        <x:v>0.025956242394676345</x:v>
      </x:c>
      <x:c r="K428" s="23" t="n">
        <x:f>RANK(J428,$J$2:$J$1401,1)</x:f>
        <x:v>17</x:v>
      </x:c>
      <x:c r="L428" s="23" t="n">
        <x:f>IF(K428&lt;=7,1,0)</x:f>
        <x:v>0</x:v>
      </x:c>
      <x:c r="M428" s="23" t="n">
        <x:f>IF(L428=1,1/(J428+0.000001),0)</x:f>
        <x:v>0</x:v>
      </x:c>
      <x:c r="N428" s="23" t="n">
        <x:v>-0.009457592043590202</x:v>
      </x:c>
      <x:c r="O428" s="23" t="n">
        <x:f>M428</x:f>
        <x:v>0</x:v>
      </x:c>
      <x:c r="P428" s="23" t="n">
        <x:v>-0.5773538323939533</x:v>
      </x:c>
      <x:c r="Q428" s="23" t="n">
        <x:v>12.55744606275266</x:v>
      </x:c>
    </x:row>
    <x:row r="429">
      <x:c r="A429" s="23" t="str">
        <x:v>Lightning</x:v>
      </x:c>
      <x:c r="B429" s="23" t="n">
        <x:v>1491.755335580092</x:v>
      </x:c>
      <x:c r="C429" s="23" t="n">
        <x:v>969.9221432209015</x:v>
      </x:c>
      <x:c r="D429" s="23" t="n">
        <x:v>632.3932020924985</x:v>
      </x:c>
      <x:c r="E429" s="23" t="n">
        <x:v>229.4626282947138</x:v>
      </x:c>
      <x:c r="F429" s="23" t="n">
        <x:v>15.953374148812145</x:v>
      </x:c>
      <x:c r="G429" s="23" t="n">
        <x:v>0.8132226493488998</x:v>
      </x:c>
      <x:c r="H429" s="23" t="n">
        <x:v>35</x:v>
      </x:c>
      <x:c r="I429" s="23" t="n">
        <x:v>25</x:v>
      </x:c>
      <x:c r="J429" s="23" t="n">
        <x:f>(IF(A429='Hybrid Calculator'!$B$6,0,1))^2+((B429-'Hybrid Calculator'!$B$7)/1500)^2+((C429-'Hybrid Calculator'!$B$8)/1300)^2+((D429-'Hybrid Calculator'!$B$9)/800)^2+((E429-'Hybrid Calculator'!$B$10)/350)^2+((F429-'Hybrid Calculator'!$B$11)/30)^2+(G429-'Hybrid Calculator'!$B$12)^2+((H429-'Hybrid Calculator'!$E$14)/IF(A429="Lightning",100,30000))^2+((I429-'Hybrid Calculator'!$E$17)/IF(A429="Lightning",100,30000))^2</x:f>
        <x:v>0.11917486804955668</x:v>
      </x:c>
      <x:c r="K429" s="23" t="n">
        <x:f>RANK(J429,$J$2:$J$1401,1)</x:f>
        <x:v>248</x:v>
      </x:c>
      <x:c r="L429" s="23" t="n">
        <x:f>IF(K429&lt;=7,1,0)</x:f>
        <x:v>0</x:v>
      </x:c>
      <x:c r="M429" s="23" t="n">
        <x:f>IF(L429=1,1/(J429+0.000001),0)</x:f>
        <x:v>0</x:v>
      </x:c>
      <x:c r="N429" s="23" t="n">
        <x:v>0.0199407309294779</x:v>
      </x:c>
      <x:c r="O429" s="23" t="n">
        <x:f>M429</x:f>
        <x:v>0</x:v>
      </x:c>
      <x:c r="P429" s="23" t="n">
        <x:v>-0.7273160889323336</x:v>
      </x:c>
      <x:c r="Q429" s="23" t="n">
        <x:v>3.0746995569395494</x:v>
      </x:c>
    </x:row>
    <x:row r="430">
      <x:c r="A430" s="23" t="str">
        <x:v>Lightning</x:v>
      </x:c>
      <x:c r="B430" s="23" t="n">
        <x:v>1461.1516146920621</x:v>
      </x:c>
      <x:c r="C430" s="23" t="n">
        <x:v>716.3738361909054</x:v>
      </x:c>
      <x:c r="D430" s="23" t="n">
        <x:v>450.3875995054841</x:v>
      </x:c>
      <x:c r="E430" s="23" t="n">
        <x:v>182.18378441641107</x:v>
      </x:c>
      <x:c r="F430" s="23" t="n">
        <x:v>10.003999346867204</x:v>
      </x:c>
      <x:c r="G430" s="23" t="n">
        <x:v>0.8097474439744838</x:v>
      </x:c>
      <x:c r="H430" s="23" t="n">
        <x:v>50</x:v>
      </x:c>
      <x:c r="I430" s="23" t="n">
        <x:v>25</x:v>
      </x:c>
      <x:c r="J430" s="23" t="n">
        <x:f>(IF(A430='Hybrid Calculator'!$B$6,0,1))^2+((B430-'Hybrid Calculator'!$B$7)/1500)^2+((C430-'Hybrid Calculator'!$B$8)/1300)^2+((D430-'Hybrid Calculator'!$B$9)/800)^2+((E430-'Hybrid Calculator'!$B$10)/350)^2+((F430-'Hybrid Calculator'!$B$11)/30)^2+(G430-'Hybrid Calculator'!$B$12)^2+((H430-'Hybrid Calculator'!$E$14)/IF(A430="Lightning",100,30000))^2+((I430-'Hybrid Calculator'!$E$17)/IF(A430="Lightning",100,30000))^2</x:f>
        <x:v>0.10375528068873771</x:v>
      </x:c>
      <x:c r="K430" s="23" t="n">
        <x:f>RANK(J430,$J$2:$J$1401,1)</x:f>
        <x:v>211</x:v>
      </x:c>
      <x:c r="L430" s="23" t="n">
        <x:f>IF(K430&lt;=7,1,0)</x:f>
        <x:v>0</x:v>
      </x:c>
      <x:c r="M430" s="23" t="n">
        <x:f>IF(L430=1,1/(J430+0.000001),0)</x:f>
        <x:v>0</x:v>
      </x:c>
      <x:c r="N430" s="23" t="n">
        <x:v>-0.005325232225033449</x:v>
      </x:c>
      <x:c r="O430" s="23" t="n">
        <x:f>M430</x:f>
        <x:v>0</x:v>
      </x:c>
      <x:c r="P430" s="23" t="n">
        <x:v>0.39228482399028763</x:v>
      </x:c>
      <x:c r="Q430" s="23" t="n">
        <x:v>15.02896879100308</x:v>
      </x:c>
    </x:row>
    <x:row r="431">
      <x:c r="A431" s="23" t="str">
        <x:v>Lightning</x:v>
      </x:c>
      <x:c r="B431" s="23" t="n">
        <x:v>1390.9992226981558</x:v>
      </x:c>
      <x:c r="C431" s="23" t="n">
        <x:v>1105.1446560071781</x:v>
      </x:c>
      <x:c r="D431" s="23" t="n">
        <x:v>572.7597110904753</x:v>
      </x:c>
      <x:c r="E431" s="23" t="n">
        <x:v>81.58128910697997</x:v>
      </x:c>
      <x:c r="F431" s="23" t="n">
        <x:v>21.575565435457975</x:v>
      </x:c>
      <x:c r="G431" s="23" t="n">
        <x:v>0.8321589352795855</x:v>
      </x:c>
      <x:c r="H431" s="23" t="n">
        <x:v>40</x:v>
      </x:c>
      <x:c r="I431" s="23" t="n">
        <x:v>25</x:v>
      </x:c>
      <x:c r="J431" s="23" t="n">
        <x:f>(IF(A431='Hybrid Calculator'!$B$6,0,1))^2+((B431-'Hybrid Calculator'!$B$7)/1500)^2+((C431-'Hybrid Calculator'!$B$8)/1300)^2+((D431-'Hybrid Calculator'!$B$9)/800)^2+((E431-'Hybrid Calculator'!$B$10)/350)^2+((F431-'Hybrid Calculator'!$B$11)/30)^2+(G431-'Hybrid Calculator'!$B$12)^2+((H431-'Hybrid Calculator'!$E$14)/IF(A431="Lightning",100,30000))^2+((I431-'Hybrid Calculator'!$E$17)/IF(A431="Lightning",100,30000))^2</x:f>
        <x:v>0.10617681377322186</x:v>
      </x:c>
      <x:c r="K431" s="23" t="n">
        <x:f>RANK(J431,$J$2:$J$1401,1)</x:f>
        <x:v>220</x:v>
      </x:c>
      <x:c r="L431" s="23" t="n">
        <x:f>IF(K431&lt;=7,1,0)</x:f>
        <x:v>0</x:v>
      </x:c>
      <x:c r="M431" s="23" t="n">
        <x:f>IF(L431=1,1/(J431+0.000001),0)</x:f>
        <x:v>0</x:v>
      </x:c>
      <x:c r="N431" s="23" t="n">
        <x:v>0.00256657052818432</x:v>
      </x:c>
      <x:c r="O431" s="23" t="n">
        <x:f>M431</x:f>
        <x:v>0</x:v>
      </x:c>
      <x:c r="P431" s="23" t="n">
        <x:v>1.313635782368749</x:v>
      </x:c>
      <x:c r="Q431" s="23" t="n">
        <x:v>-9.839629021744486</x:v>
      </x:c>
    </x:row>
    <x:row r="432">
      <x:c r="A432" s="23" t="str">
        <x:v>Lightning</x:v>
      </x:c>
      <x:c r="B432" s="23" t="n">
        <x:v>1388.8158194487914</x:v>
      </x:c>
      <x:c r="C432" s="23" t="n">
        <x:v>1194.8721805238165</x:v>
      </x:c>
      <x:c r="D432" s="23" t="n">
        <x:v>546.7572849243879</x:v>
      </x:c>
      <x:c r="E432" s="23" t="n">
        <x:v>276.32247247500345</x:v>
      </x:c>
      <x:c r="F432" s="23" t="n">
        <x:v>27.58118345309049</x:v>
      </x:c>
      <x:c r="G432" s="23" t="n">
        <x:v>0.7918478436092846</x:v>
      </x:c>
      <x:c r="H432" s="23" t="n">
        <x:v>35</x:v>
      </x:c>
      <x:c r="I432" s="23" t="n">
        <x:v>25</x:v>
      </x:c>
      <x:c r="J432" s="23" t="n">
        <x:f>(IF(A432='Hybrid Calculator'!$B$6,0,1))^2+((B432-'Hybrid Calculator'!$B$7)/1500)^2+((C432-'Hybrid Calculator'!$B$8)/1300)^2+((D432-'Hybrid Calculator'!$B$9)/800)^2+((E432-'Hybrid Calculator'!$B$10)/350)^2+((F432-'Hybrid Calculator'!$B$11)/30)^2+(G432-'Hybrid Calculator'!$B$12)^2+((H432-'Hybrid Calculator'!$E$14)/IF(A432="Lightning",100,30000))^2+((I432-'Hybrid Calculator'!$E$17)/IF(A432="Lightning",100,30000))^2</x:f>
        <x:v>0.3195624885900151</x:v>
      </x:c>
      <x:c r="K432" s="23" t="n">
        <x:f>RANK(J432,$J$2:$J$1401,1)</x:f>
        <x:v>624</x:v>
      </x:c>
      <x:c r="L432" s="23" t="n">
        <x:f>IF(K432&lt;=7,1,0)</x:f>
        <x:v>0</x:v>
      </x:c>
      <x:c r="M432" s="23" t="n">
        <x:f>IF(L432=1,1/(J432+0.000001),0)</x:f>
        <x:v>0</x:v>
      </x:c>
      <x:c r="N432" s="23" t="n">
        <x:v>0.015600960157925892</x:v>
      </x:c>
      <x:c r="O432" s="23" t="n">
        <x:f>M432</x:f>
        <x:v>0</x:v>
      </x:c>
      <x:c r="P432" s="23" t="n">
        <x:v>-0.06753768230632318</x:v>
      </x:c>
      <x:c r="Q432" s="23" t="n">
        <x:v>-29.87702510330223</x:v>
      </x:c>
    </x:row>
    <x:row r="433">
      <x:c r="A433" s="23" t="str">
        <x:v>Lightning</x:v>
      </x:c>
      <x:c r="B433" s="23" t="n">
        <x:v>1381.7239704891108</x:v>
      </x:c>
      <x:c r="C433" s="23" t="n">
        <x:v>1152.0171933341771</x:v>
      </x:c>
      <x:c r="D433" s="23" t="n">
        <x:v>394.41769449040294</x:v>
      </x:c>
      <x:c r="E433" s="23" t="n">
        <x:v>115.84301692899317</x:v>
      </x:c>
      <x:c r="F433" s="23" t="n">
        <x:v>21.795823849271983</x:v>
      </x:c>
      <x:c r="G433" s="23" t="n">
        <x:v>0.8182742881588638</x:v>
      </x:c>
      <x:c r="H433" s="23" t="n">
        <x:v>45</x:v>
      </x:c>
      <x:c r="I433" s="23" t="n">
        <x:v>25</x:v>
      </x:c>
      <x:c r="J433" s="23" t="n">
        <x:f>(IF(A433='Hybrid Calculator'!$B$6,0,1))^2+((B433-'Hybrid Calculator'!$B$7)/1500)^2+((C433-'Hybrid Calculator'!$B$8)/1300)^2+((D433-'Hybrid Calculator'!$B$9)/800)^2+((E433-'Hybrid Calculator'!$B$10)/350)^2+((F433-'Hybrid Calculator'!$B$11)/30)^2+(G433-'Hybrid Calculator'!$B$12)^2+((H433-'Hybrid Calculator'!$E$14)/IF(A433="Lightning",100,30000))^2+((I433-'Hybrid Calculator'!$E$17)/IF(A433="Lightning",100,30000))^2</x:f>
        <x:v>0.09631998217049881</x:v>
      </x:c>
      <x:c r="K433" s="23" t="n">
        <x:f>RANK(J433,$J$2:$J$1401,1)</x:f>
        <x:v>193</x:v>
      </x:c>
      <x:c r="L433" s="23" t="n">
        <x:f>IF(K433&lt;=7,1,0)</x:f>
        <x:v>0</x:v>
      </x:c>
      <x:c r="M433" s="23" t="n">
        <x:f>IF(L433=1,1/(J433+0.000001),0)</x:f>
        <x:v>0</x:v>
      </x:c>
      <x:c r="N433" s="23" t="n">
        <x:v>-0.0008669247444557104</x:v>
      </x:c>
      <x:c r="O433" s="23" t="n">
        <x:f>M433</x:f>
        <x:v>0</x:v>
      </x:c>
      <x:c r="P433" s="23" t="n">
        <x:v>-0.24012902491143961</x:v>
      </x:c>
      <x:c r="Q433" s="23" t="n">
        <x:v>-3.1555900910893797</x:v>
      </x:c>
    </x:row>
    <x:row r="434">
      <x:c r="A434" s="23" t="str">
        <x:v>Lightning</x:v>
      </x:c>
      <x:c r="B434" s="23" t="n">
        <x:v>1447.7503357920796</x:v>
      </x:c>
      <x:c r="C434" s="23" t="n">
        <x:v>873.4095310675912</x:v>
      </x:c>
      <x:c r="D434" s="23" t="n">
        <x:v>536.5504397079349</x:v>
      </x:c>
      <x:c r="E434" s="23" t="n">
        <x:v>308.1762746279128</x:v>
      </x:c>
      <x:c r="F434" s="23" t="n">
        <x:v>23.18369773775339</x:v>
      </x:c>
      <x:c r="G434" s="23" t="n">
        <x:v>0.8080422752560117</x:v>
      </x:c>
      <x:c r="H434" s="23" t="n">
        <x:v>40</x:v>
      </x:c>
      <x:c r="I434" s="23" t="n">
        <x:v>25</x:v>
      </x:c>
      <x:c r="J434" s="23" t="n">
        <x:f>(IF(A434='Hybrid Calculator'!$B$6,0,1))^2+((B434-'Hybrid Calculator'!$B$7)/1500)^2+((C434-'Hybrid Calculator'!$B$8)/1300)^2+((D434-'Hybrid Calculator'!$B$9)/800)^2+((E434-'Hybrid Calculator'!$B$10)/350)^2+((F434-'Hybrid Calculator'!$B$11)/30)^2+(G434-'Hybrid Calculator'!$B$12)^2+((H434-'Hybrid Calculator'!$E$14)/IF(A434="Lightning",100,30000))^2+((I434-'Hybrid Calculator'!$E$17)/IF(A434="Lightning",100,30000))^2</x:f>
        <x:v>0.24140188063323045</x:v>
      </x:c>
      <x:c r="K434" s="23" t="n">
        <x:f>RANK(J434,$J$2:$J$1401,1)</x:f>
        <x:v>521</x:v>
      </x:c>
      <x:c r="L434" s="23" t="n">
        <x:f>IF(K434&lt;=7,1,0)</x:f>
        <x:v>0</x:v>
      </x:c>
      <x:c r="M434" s="23" t="n">
        <x:f>IF(L434=1,1/(J434+0.000001),0)</x:f>
        <x:v>0</x:v>
      </x:c>
      <x:c r="N434" s="23" t="n">
        <x:v>-0.008191487520046614</x:v>
      </x:c>
      <x:c r="O434" s="23" t="n">
        <x:f>M434</x:f>
        <x:v>0</x:v>
      </x:c>
      <x:c r="P434" s="23" t="n">
        <x:v>0.9788804925294841</x:v>
      </x:c>
      <x:c r="Q434" s="23" t="n">
        <x:v>-9.915712362379736</x:v>
      </x:c>
    </x:row>
    <x:row r="435">
      <x:c r="A435" s="23" t="str">
        <x:v>Lightning</x:v>
      </x:c>
      <x:c r="B435" s="23" t="n">
        <x:v>1366.0215693642385</x:v>
      </x:c>
      <x:c r="C435" s="23" t="n">
        <x:v>1198.6768886214122</x:v>
      </x:c>
      <x:c r="D435" s="23" t="n">
        <x:v>597.062608320266</x:v>
      </x:c>
      <x:c r="E435" s="23" t="n">
        <x:v>319.0884249471128</x:v>
      </x:c>
      <x:c r="F435" s="23" t="n">
        <x:v>27.320583580527455</x:v>
      </x:c>
      <x:c r="G435" s="23" t="n">
        <x:v>0.8586568682035431</x:v>
      </x:c>
      <x:c r="H435" s="23" t="n">
        <x:v>35</x:v>
      </x:c>
      <x:c r="I435" s="23" t="n">
        <x:v>25</x:v>
      </x:c>
      <x:c r="J435" s="23" t="n">
        <x:f>(IF(A435='Hybrid Calculator'!$B$6,0,1))^2+((B435-'Hybrid Calculator'!$B$7)/1500)^2+((C435-'Hybrid Calculator'!$B$8)/1300)^2+((D435-'Hybrid Calculator'!$B$9)/800)^2+((E435-'Hybrid Calculator'!$B$10)/350)^2+((F435-'Hybrid Calculator'!$B$11)/30)^2+(G435-'Hybrid Calculator'!$B$12)^2+((H435-'Hybrid Calculator'!$E$14)/IF(A435="Lightning",100,30000))^2+((I435-'Hybrid Calculator'!$E$17)/IF(A435="Lightning",100,30000))^2</x:f>
        <x:v>0.43204159249307417</x:v>
      </x:c>
      <x:c r="K435" s="23" t="n">
        <x:f>RANK(J435,$J$2:$J$1401,1)</x:f>
        <x:v>694</x:v>
      </x:c>
      <x:c r="L435" s="23" t="n">
        <x:f>IF(K435&lt;=7,1,0)</x:f>
        <x:v>0</x:v>
      </x:c>
      <x:c r="M435" s="23" t="n">
        <x:f>IF(L435=1,1/(J435+0.000001),0)</x:f>
        <x:v>0</x:v>
      </x:c>
      <x:c r="N435" s="23" t="n">
        <x:v>-0.007123714867810715</x:v>
      </x:c>
      <x:c r="O435" s="23" t="n">
        <x:f>M435</x:f>
        <x:v>0</x:v>
      </x:c>
      <x:c r="P435" s="23" t="n">
        <x:v>1.2765336094707607</x:v>
      </x:c>
      <x:c r="Q435" s="23" t="n">
        <x:v>-27.42880454939882</x:v>
      </x:c>
    </x:row>
    <x:row r="436">
      <x:c r="A436" s="23" t="str">
        <x:v>Lightning</x:v>
      </x:c>
      <x:c r="B436" s="23" t="n">
        <x:v>1448.0611538048834</x:v>
      </x:c>
      <x:c r="C436" s="23" t="n">
        <x:v>935.6048340792768</x:v>
      </x:c>
      <x:c r="D436" s="23" t="n">
        <x:v>620.7015326246619</x:v>
      </x:c>
      <x:c r="E436" s="23" t="n">
        <x:v>306.887034077663</x:v>
      </x:c>
      <x:c r="F436" s="23" t="n">
        <x:v>25.548530135303736</x:v>
      </x:c>
      <x:c r="G436" s="23" t="n">
        <x:v>0.7910085149877705</x:v>
      </x:c>
      <x:c r="H436" s="23" t="n">
        <x:v>35</x:v>
      </x:c>
      <x:c r="I436" s="23" t="n">
        <x:v>25</x:v>
      </x:c>
      <x:c r="J436" s="23" t="n">
        <x:f>(IF(A436='Hybrid Calculator'!$B$6,0,1))^2+((B436-'Hybrid Calculator'!$B$7)/1500)^2+((C436-'Hybrid Calculator'!$B$8)/1300)^2+((D436-'Hybrid Calculator'!$B$9)/800)^2+((E436-'Hybrid Calculator'!$B$10)/350)^2+((F436-'Hybrid Calculator'!$B$11)/30)^2+(G436-'Hybrid Calculator'!$B$12)^2+((H436-'Hybrid Calculator'!$E$14)/IF(A436="Lightning",100,30000))^2+((I436-'Hybrid Calculator'!$E$17)/IF(A436="Lightning",100,30000))^2</x:f>
        <x:v>0.30680576223382805</x:v>
      </x:c>
      <x:c r="K436" s="23" t="n">
        <x:f>RANK(J436,$J$2:$J$1401,1)</x:f>
        <x:v>604</x:v>
      </x:c>
      <x:c r="L436" s="23" t="n">
        <x:f>IF(K436&lt;=7,1,0)</x:f>
        <x:v>0</x:v>
      </x:c>
      <x:c r="M436" s="23" t="n">
        <x:f>IF(L436=1,1/(J436+0.000001),0)</x:f>
        <x:v>0</x:v>
      </x:c>
      <x:c r="N436" s="23" t="n">
        <x:v>0.004622693791295207</x:v>
      </x:c>
      <x:c r="O436" s="23" t="n">
        <x:f>M436</x:f>
        <x:v>0</x:v>
      </x:c>
      <x:c r="P436" s="23" t="n">
        <x:v>-0.8190216679472471</x:v>
      </x:c>
      <x:c r="Q436" s="23" t="n">
        <x:v>-8.69821658958017</x:v>
      </x:c>
    </x:row>
    <x:row r="437">
      <x:c r="A437" s="23" t="str">
        <x:v>Lightning</x:v>
      </x:c>
      <x:c r="B437" s="23" t="n">
        <x:v>1361.2630648654886</x:v>
      </x:c>
      <x:c r="C437" s="23" t="n">
        <x:v>983.3068341715261</x:v>
      </x:c>
      <x:c r="D437" s="23" t="n">
        <x:v>480.2114103920758</x:v>
      </x:c>
      <x:c r="E437" s="23" t="n">
        <x:v>231.44378691911697</x:v>
      </x:c>
      <x:c r="F437" s="23" t="n">
        <x:v>10.502591202501208</x:v>
      </x:c>
      <x:c r="G437" s="23" t="n">
        <x:v>0.8498653959436343</x:v>
      </x:c>
      <x:c r="H437" s="23" t="n">
        <x:v>45</x:v>
      </x:c>
      <x:c r="I437" s="23" t="n">
        <x:v>25</x:v>
      </x:c>
      <x:c r="J437" s="23" t="n">
        <x:f>(IF(A437='Hybrid Calculator'!$B$6,0,1))^2+((B437-'Hybrid Calculator'!$B$7)/1500)^2+((C437-'Hybrid Calculator'!$B$8)/1300)^2+((D437-'Hybrid Calculator'!$B$9)/800)^2+((E437-'Hybrid Calculator'!$B$10)/350)^2+((F437-'Hybrid Calculator'!$B$11)/30)^2+(G437-'Hybrid Calculator'!$B$12)^2+((H437-'Hybrid Calculator'!$E$14)/IF(A437="Lightning",100,30000))^2+((I437-'Hybrid Calculator'!$E$17)/IF(A437="Lightning",100,30000))^2</x:f>
        <x:v>0.14153725222702468</x:v>
      </x:c>
      <x:c r="K437" s="23" t="n">
        <x:f>RANK(J437,$J$2:$J$1401,1)</x:f>
        <x:v>307</x:v>
      </x:c>
      <x:c r="L437" s="23" t="n">
        <x:f>IF(K437&lt;=7,1,0)</x:f>
        <x:v>0</x:v>
      </x:c>
      <x:c r="M437" s="23" t="n">
        <x:f>IF(L437=1,1/(J437+0.000001),0)</x:f>
        <x:v>0</x:v>
      </x:c>
      <x:c r="N437" s="23" t="n">
        <x:v>0.0010832622014094184</x:v>
      </x:c>
      <x:c r="O437" s="23" t="n">
        <x:f>M437</x:f>
        <x:v>0</x:v>
      </x:c>
      <x:c r="P437" s="23" t="n">
        <x:v>0.9215931524981045</x:v>
      </x:c>
      <x:c r="Q437" s="23" t="n">
        <x:v>12.537273135718806</x:v>
      </x:c>
    </x:row>
    <x:row r="438">
      <x:c r="A438" s="23" t="str">
        <x:v>Lightning</x:v>
      </x:c>
      <x:c r="B438" s="23" t="n">
        <x:v>1381.179633946158</x:v>
      </x:c>
      <x:c r="C438" s="23" t="n">
        <x:v>884.2858397518285</x:v>
      </x:c>
      <x:c r="D438" s="23" t="n">
        <x:v>590.5274428427219</x:v>
      </x:c>
      <x:c r="E438" s="23" t="n">
        <x:v>102.6406067959033</x:v>
      </x:c>
      <x:c r="F438" s="23" t="n">
        <x:v>22.523867084644735</x:v>
      </x:c>
      <x:c r="G438" s="23" t="n">
        <x:v>0.8124399753450416</x:v>
      </x:c>
      <x:c r="H438" s="23" t="n">
        <x:v>45</x:v>
      </x:c>
      <x:c r="I438" s="23" t="n">
        <x:v>25</x:v>
      </x:c>
      <x:c r="J438" s="23" t="n">
        <x:f>(IF(A438='Hybrid Calculator'!$B$6,0,1))^2+((B438-'Hybrid Calculator'!$B$7)/1500)^2+((C438-'Hybrid Calculator'!$B$8)/1300)^2+((D438-'Hybrid Calculator'!$B$9)/800)^2+((E438-'Hybrid Calculator'!$B$10)/350)^2+((F438-'Hybrid Calculator'!$B$11)/30)^2+(G438-'Hybrid Calculator'!$B$12)^2+((H438-'Hybrid Calculator'!$E$14)/IF(A438="Lightning",100,30000))^2+((I438-'Hybrid Calculator'!$E$17)/IF(A438="Lightning",100,30000))^2</x:f>
        <x:v>0.053211237619068555</x:v>
      </x:c>
      <x:c r="K438" s="23" t="n">
        <x:f>RANK(J438,$J$2:$J$1401,1)</x:f>
        <x:v>62</x:v>
      </x:c>
      <x:c r="L438" s="23" t="n">
        <x:f>IF(K438&lt;=7,1,0)</x:f>
        <x:v>0</x:v>
      </x:c>
      <x:c r="M438" s="23" t="n">
        <x:f>IF(L438=1,1/(J438+0.000001),0)</x:f>
        <x:v>0</x:v>
      </x:c>
      <x:c r="N438" s="23" t="n">
        <x:v>0.0036450765620112957</x:v>
      </x:c>
      <x:c r="O438" s="23" t="n">
        <x:f>M438</x:f>
        <x:v>0</x:v>
      </x:c>
      <x:c r="P438" s="23" t="n">
        <x:v>0.8949375590936341</x:v>
      </x:c>
      <x:c r="Q438" s="23" t="n">
        <x:v>1.816634198338761</x:v>
      </x:c>
    </x:row>
    <x:row r="439">
      <x:c r="A439" s="23" t="str">
        <x:v>Lightning</x:v>
      </x:c>
      <x:c r="B439" s="23" t="n">
        <x:v>1445.6673856708221</x:v>
      </x:c>
      <x:c r="C439" s="23" t="n">
        <x:v>775.6903247907758</x:v>
      </x:c>
      <x:c r="D439" s="23" t="n">
        <x:v>498.5024913214147</x:v>
      </x:c>
      <x:c r="E439" s="23" t="n">
        <x:v>207.3712293477729</x:v>
      </x:c>
      <x:c r="F439" s="23" t="n">
        <x:v>21.600144350435585</x:v>
      </x:c>
      <x:c r="G439" s="23" t="n">
        <x:v>0.8073994678910822</x:v>
      </x:c>
      <x:c r="H439" s="23" t="n">
        <x:v>50</x:v>
      </x:c>
      <x:c r="I439" s="23" t="n">
        <x:v>25</x:v>
      </x:c>
      <x:c r="J439" s="23" t="n">
        <x:f>(IF(A439='Hybrid Calculator'!$B$6,0,1))^2+((B439-'Hybrid Calculator'!$B$7)/1500)^2+((C439-'Hybrid Calculator'!$B$8)/1300)^2+((D439-'Hybrid Calculator'!$B$9)/800)^2+((E439-'Hybrid Calculator'!$B$10)/350)^2+((F439-'Hybrid Calculator'!$B$11)/30)^2+(G439-'Hybrid Calculator'!$B$12)^2+((H439-'Hybrid Calculator'!$E$14)/IF(A439="Lightning",100,30000))^2+((I439-'Hybrid Calculator'!$E$17)/IF(A439="Lightning",100,30000))^2</x:f>
        <x:v>0.041167347413093636</x:v>
      </x:c>
      <x:c r="K439" s="23" t="n">
        <x:f>RANK(J439,$J$2:$J$1401,1)</x:f>
        <x:v>35</x:v>
      </x:c>
      <x:c r="L439" s="23" t="n">
        <x:f>IF(K439&lt;=7,1,0)</x:f>
        <x:v>0</x:v>
      </x:c>
      <x:c r="M439" s="23" t="n">
        <x:f>IF(L439=1,1/(J439+0.000001),0)</x:f>
        <x:v>0</x:v>
      </x:c>
      <x:c r="N439" s="23" t="n">
        <x:v>0.005333755798329953</x:v>
      </x:c>
      <x:c r="O439" s="23" t="n">
        <x:f>M439</x:f>
        <x:v>0</x:v>
      </x:c>
      <x:c r="P439" s="23" t="n">
        <x:v>-1.347237426111576</x:v>
      </x:c>
      <x:c r="Q439" s="23" t="n">
        <x:v>-6.076861801074529</x:v>
      </x:c>
    </x:row>
    <x:row r="440">
      <x:c r="A440" s="23" t="str">
        <x:v>Lightning</x:v>
      </x:c>
      <x:c r="B440" s="23" t="n">
        <x:v>1391.3644057698548</x:v>
      </x:c>
      <x:c r="C440" s="23" t="n">
        <x:v>699.3384749977849</x:v>
      </x:c>
      <x:c r="D440" s="23" t="n">
        <x:v>736.7937663570046</x:v>
      </x:c>
      <x:c r="E440" s="23" t="n">
        <x:v>322.732863931451</x:v>
      </x:c>
      <x:c r="F440" s="23" t="n">
        <x:v>28.18301926739514</x:v>
      </x:c>
      <x:c r="G440" s="23" t="n">
        <x:v>0.794262224577833</x:v>
      </x:c>
      <x:c r="H440" s="23" t="n">
        <x:v>40</x:v>
      </x:c>
      <x:c r="I440" s="23" t="n">
        <x:v>25</x:v>
      </x:c>
      <x:c r="J440" s="23" t="n">
        <x:f>(IF(A440='Hybrid Calculator'!$B$6,0,1))^2+((B440-'Hybrid Calculator'!$B$7)/1500)^2+((C440-'Hybrid Calculator'!$B$8)/1300)^2+((D440-'Hybrid Calculator'!$B$9)/800)^2+((E440-'Hybrid Calculator'!$B$10)/350)^2+((F440-'Hybrid Calculator'!$B$11)/30)^2+(G440-'Hybrid Calculator'!$B$12)^2+((H440-'Hybrid Calculator'!$E$14)/IF(A440="Lightning",100,30000))^2+((I440-'Hybrid Calculator'!$E$17)/IF(A440="Lightning",100,30000))^2</x:f>
        <x:v>0.45995110527245026</x:v>
      </x:c>
      <x:c r="K440" s="23" t="n">
        <x:f>RANK(J440,$J$2:$J$1401,1)</x:f>
        <x:v>697</x:v>
      </x:c>
      <x:c r="L440" s="23" t="n">
        <x:f>IF(K440&lt;=7,1,0)</x:f>
        <x:v>0</x:v>
      </x:c>
      <x:c r="M440" s="23" t="n">
        <x:f>IF(L440=1,1/(J440+0.000001),0)</x:f>
        <x:v>0</x:v>
      </x:c>
      <x:c r="N440" s="23" t="n">
        <x:v>-0.005236431980709666</x:v>
      </x:c>
      <x:c r="O440" s="23" t="n">
        <x:f>M440</x:f>
        <x:v>0</x:v>
      </x:c>
      <x:c r="P440" s="23" t="n">
        <x:v>0.28142464229762254</x:v>
      </x:c>
      <x:c r="Q440" s="23" t="n">
        <x:v>-22.723681729941063</x:v>
      </x:c>
    </x:row>
    <x:row r="441">
      <x:c r="A441" s="23" t="str">
        <x:v>Lightning</x:v>
      </x:c>
      <x:c r="B441" s="23" t="n">
        <x:v>1359.156578744296</x:v>
      </x:c>
      <x:c r="C441" s="23" t="n">
        <x:v>771.793029201217</x:v>
      </x:c>
      <x:c r="D441" s="23" t="n">
        <x:v>408.69251573458314</x:v>
      </x:c>
      <x:c r="E441" s="23" t="n">
        <x:v>113.8626850862056</x:v>
      </x:c>
      <x:c r="F441" s="23" t="n">
        <x:v>16.352089643944055</x:v>
      </x:c>
      <x:c r="G441" s="23" t="n">
        <x:v>0.8065711680287495</x:v>
      </x:c>
      <x:c r="H441" s="23" t="n">
        <x:v>60</x:v>
      </x:c>
      <x:c r="I441" s="23" t="n">
        <x:v>25</x:v>
      </x:c>
      <x:c r="J441" s="23" t="n">
        <x:f>(IF(A441='Hybrid Calculator'!$B$6,0,1))^2+((B441-'Hybrid Calculator'!$B$7)/1500)^2+((C441-'Hybrid Calculator'!$B$8)/1300)^2+((D441-'Hybrid Calculator'!$B$9)/800)^2+((E441-'Hybrid Calculator'!$B$10)/350)^2+((F441-'Hybrid Calculator'!$B$11)/30)^2+(G441-'Hybrid Calculator'!$B$12)^2+((H441-'Hybrid Calculator'!$E$14)/IF(A441="Lightning",100,30000))^2+((I441-'Hybrid Calculator'!$E$17)/IF(A441="Lightning",100,30000))^2</x:f>
        <x:v>0.044539525290530436</x:v>
      </x:c>
      <x:c r="K441" s="23" t="n">
        <x:f>RANK(J441,$J$2:$J$1401,1)</x:f>
        <x:v>40</x:v>
      </x:c>
      <x:c r="L441" s="23" t="n">
        <x:f>IF(K441&lt;=7,1,0)</x:f>
        <x:v>0</x:v>
      </x:c>
      <x:c r="M441" s="23" t="n">
        <x:f>IF(L441=1,1/(J441+0.000001),0)</x:f>
        <x:v>0</x:v>
      </x:c>
      <x:c r="N441" s="23" t="n">
        <x:v>0.003954709748924312</x:v>
      </x:c>
      <x:c r="O441" s="23" t="n">
        <x:f>M441</x:f>
        <x:v>0</x:v>
      </x:c>
      <x:c r="P441" s="23" t="n">
        <x:v>-1.1381258088483435</x:v>
      </x:c>
      <x:c r="Q441" s="23" t="n">
        <x:v>20.04950774449526</x:v>
      </x:c>
    </x:row>
    <x:row r="442">
      <x:c r="A442" s="23" t="str">
        <x:v>Lightning</x:v>
      </x:c>
      <x:c r="B442" s="23" t="n">
        <x:v>1450.4957308759913</x:v>
      </x:c>
      <x:c r="C442" s="23" t="n">
        <x:v>998.0017397203483</x:v>
      </x:c>
      <x:c r="D442" s="23" t="n">
        <x:v>411.0782738775015</x:v>
      </x:c>
      <x:c r="E442" s="23" t="n">
        <x:v>85.15821081353351</x:v>
      </x:c>
      <x:c r="F442" s="23" t="n">
        <x:v>10.628682327456772</x:v>
      </x:c>
      <x:c r="G442" s="23" t="n">
        <x:v>0.8556873807753437</x:v>
      </x:c>
      <x:c r="H442" s="23" t="n">
        <x:v>50</x:v>
      </x:c>
      <x:c r="I442" s="23" t="n">
        <x:v>25</x:v>
      </x:c>
      <x:c r="J442" s="23" t="n">
        <x:f>(IF(A442='Hybrid Calculator'!$B$6,0,1))^2+((B442-'Hybrid Calculator'!$B$7)/1500)^2+((C442-'Hybrid Calculator'!$B$8)/1300)^2+((D442-'Hybrid Calculator'!$B$9)/800)^2+((E442-'Hybrid Calculator'!$B$10)/350)^2+((F442-'Hybrid Calculator'!$B$11)/30)^2+(G442-'Hybrid Calculator'!$B$12)^2+((H442-'Hybrid Calculator'!$E$14)/IF(A442="Lightning",100,30000))^2+((I442-'Hybrid Calculator'!$E$17)/IF(A442="Lightning",100,30000))^2</x:f>
        <x:v>0.13004247339069036</x:v>
      </x:c>
      <x:c r="K442" s="23" t="n">
        <x:f>RANK(J442,$J$2:$J$1401,1)</x:f>
        <x:v>276</x:v>
      </x:c>
      <x:c r="L442" s="23" t="n">
        <x:f>IF(K442&lt;=7,1,0)</x:f>
        <x:v>0</x:v>
      </x:c>
      <x:c r="M442" s="23" t="n">
        <x:f>IF(L442=1,1/(J442+0.000001),0)</x:f>
        <x:v>0</x:v>
      </x:c>
      <x:c r="N442" s="23" t="n">
        <x:v>0.009969768230042586</x:v>
      </x:c>
      <x:c r="O442" s="23" t="n">
        <x:f>M442</x:f>
        <x:v>0</x:v>
      </x:c>
      <x:c r="P442" s="23" t="n">
        <x:v>-0.1887625359155507</x:v>
      </x:c>
      <x:c r="Q442" s="23" t="n">
        <x:v>14.754644990432325</x:v>
      </x:c>
    </x:row>
    <x:row r="443">
      <x:c r="A443" s="23" t="str">
        <x:v>Lightning</x:v>
      </x:c>
      <x:c r="B443" s="23" t="n">
        <x:v>1484.1766217141412</x:v>
      </x:c>
      <x:c r="C443" s="23" t="n">
        <x:v>1148.8986829761416</x:v>
      </x:c>
      <x:c r="D443" s="23" t="n">
        <x:v>432.2923350147903</x:v>
      </x:c>
      <x:c r="E443" s="23" t="n">
        <x:v>169.60480184759945</x:v>
      </x:c>
      <x:c r="F443" s="23" t="n">
        <x:v>29.279488443862647</x:v>
      </x:c>
      <x:c r="G443" s="23" t="n">
        <x:v>0.8017584596015513</x:v>
      </x:c>
      <x:c r="H443" s="23" t="n">
        <x:v>35</x:v>
      </x:c>
      <x:c r="I443" s="23" t="n">
        <x:v>25</x:v>
      </x:c>
      <x:c r="J443" s="23" t="n">
        <x:f>(IF(A443='Hybrid Calculator'!$B$6,0,1))^2+((B443-'Hybrid Calculator'!$B$7)/1500)^2+((C443-'Hybrid Calculator'!$B$8)/1300)^2+((D443-'Hybrid Calculator'!$B$9)/800)^2+((E443-'Hybrid Calculator'!$B$10)/350)^2+((F443-'Hybrid Calculator'!$B$11)/30)^2+(G443-'Hybrid Calculator'!$B$12)^2+((H443-'Hybrid Calculator'!$E$14)/IF(A443="Lightning",100,30000))^2+((I443-'Hybrid Calculator'!$E$17)/IF(A443="Lightning",100,30000))^2</x:f>
        <x:v>0.21666203627771072</x:v>
      </x:c>
      <x:c r="K443" s="23" t="n">
        <x:f>RANK(J443,$J$2:$J$1401,1)</x:f>
        <x:v>480</x:v>
      </x:c>
      <x:c r="L443" s="23" t="n">
        <x:f>IF(K443&lt;=7,1,0)</x:f>
        <x:v>0</x:v>
      </x:c>
      <x:c r="M443" s="23" t="n">
        <x:f>IF(L443=1,1/(J443+0.000001),0)</x:f>
        <x:v>0</x:v>
      </x:c>
      <x:c r="N443" s="23" t="n">
        <x:v>0.0055787972975509525</x:v>
      </x:c>
      <x:c r="O443" s="23" t="n">
        <x:f>M443</x:f>
        <x:v>0</x:v>
      </x:c>
      <x:c r="P443" s="23" t="n">
        <x:v>1.6732073298798866</x:v>
      </x:c>
      <x:c r="Q443" s="23" t="n">
        <x:v>-18.28449107080246</x:v>
      </x:c>
    </x:row>
    <x:row r="444">
      <x:c r="A444" s="23" t="str">
        <x:v>Lightning</x:v>
      </x:c>
      <x:c r="B444" s="23" t="n">
        <x:v>1458.169160457328</x:v>
      </x:c>
      <x:c r="C444" s="23" t="n">
        <x:v>847.9551955941133</x:v>
      </x:c>
      <x:c r="D444" s="23" t="n">
        <x:v>673.3172146603465</x:v>
      </x:c>
      <x:c r="E444" s="23" t="n">
        <x:v>130.72481400566176</x:v>
      </x:c>
      <x:c r="F444" s="23" t="n">
        <x:v>10.644379526376724</x:v>
      </x:c>
      <x:c r="G444" s="23" t="n">
        <x:v>0.8314420287893154</x:v>
      </x:c>
      <x:c r="H444" s="23" t="n">
        <x:v>45</x:v>
      </x:c>
      <x:c r="I444" s="23" t="n">
        <x:v>25</x:v>
      </x:c>
      <x:c r="J444" s="23" t="n">
        <x:f>(IF(A444='Hybrid Calculator'!$B$6,0,1))^2+((B444-'Hybrid Calculator'!$B$7)/1500)^2+((C444-'Hybrid Calculator'!$B$8)/1300)^2+((D444-'Hybrid Calculator'!$B$9)/800)^2+((E444-'Hybrid Calculator'!$B$10)/350)^2+((F444-'Hybrid Calculator'!$B$11)/30)^2+(G444-'Hybrid Calculator'!$B$12)^2+((H444-'Hybrid Calculator'!$E$14)/IF(A444="Lightning",100,30000))^2+((I444-'Hybrid Calculator'!$E$17)/IF(A444="Lightning",100,30000))^2</x:f>
        <x:v>0.1216585291414606</x:v>
      </x:c>
      <x:c r="K444" s="23" t="n">
        <x:f>RANK(J444,$J$2:$J$1401,1)</x:f>
        <x:v>258</x:v>
      </x:c>
      <x:c r="L444" s="23" t="n">
        <x:f>IF(K444&lt;=7,1,0)</x:f>
        <x:v>0</x:v>
      </x:c>
      <x:c r="M444" s="23" t="n">
        <x:f>IF(L444=1,1/(J444+0.000001),0)</x:f>
        <x:v>0</x:v>
      </x:c>
      <x:c r="N444" s="23" t="n">
        <x:v>0.0016736962784604792</x:v>
      </x:c>
      <x:c r="O444" s="23" t="n">
        <x:f>M444</x:f>
        <x:v>0</x:v>
      </x:c>
      <x:c r="P444" s="23" t="n">
        <x:v>-0.31633689880002436</x:v>
      </x:c>
      <x:c r="Q444" s="23" t="n">
        <x:v>2.3558615835747787</x:v>
      </x:c>
    </x:row>
    <x:row r="445">
      <x:c r="A445" s="23" t="str">
        <x:v>Lightning</x:v>
      </x:c>
      <x:c r="B445" s="23" t="n">
        <x:v>1411.2761356984265</x:v>
      </x:c>
      <x:c r="C445" s="23" t="n">
        <x:v>795.795683725737</x:v>
      </x:c>
      <x:c r="D445" s="23" t="n">
        <x:v>481.6293937154114</x:v>
      </x:c>
      <x:c r="E445" s="23" t="n">
        <x:v>149.37583396211267</x:v>
      </x:c>
      <x:c r="F445" s="23" t="n">
        <x:v>18.475764533970505</x:v>
      </x:c>
      <x:c r="G445" s="23" t="n">
        <x:v>0.8573094630008564</x:v>
      </x:c>
      <x:c r="H445" s="23" t="n">
        <x:v>50</x:v>
      </x:c>
      <x:c r="I445" s="23" t="n">
        <x:v>25</x:v>
      </x:c>
      <x:c r="J445" s="23" t="n">
        <x:f>(IF(A445='Hybrid Calculator'!$B$6,0,1))^2+((B445-'Hybrid Calculator'!$B$7)/1500)^2+((C445-'Hybrid Calculator'!$B$8)/1300)^2+((D445-'Hybrid Calculator'!$B$9)/800)^2+((E445-'Hybrid Calculator'!$B$10)/350)^2+((F445-'Hybrid Calculator'!$B$11)/30)^2+(G445-'Hybrid Calculator'!$B$12)^2+((H445-'Hybrid Calculator'!$E$14)/IF(A445="Lightning",100,30000))^2+((I445-'Hybrid Calculator'!$E$17)/IF(A445="Lightning",100,30000))^2</x:f>
        <x:v>0.0037453741632256297</x:v>
      </x:c>
      <x:c r="K445" s="23" t="n">
        <x:f>RANK(J445,$J$2:$J$1401,1)</x:f>
        <x:v>1</x:v>
      </x:c>
      <x:c r="L445" s="23" t="n">
        <x:f>IF(K445&lt;=7,1,0)</x:f>
        <x:v>1</x:v>
      </x:c>
      <x:c r="M445" s="23" t="n">
        <x:f>IF(L445=1,1/(J445+0.000001),0)</x:f>
        <x:v>266.92475348991826</x:v>
      </x:c>
      <x:c r="N445" s="23" t="n">
        <x:v>-0.012767763887428396</x:v>
      </x:c>
      <x:c r="O445" s="23" t="n">
        <x:f>M445</x:f>
        <x:v>266.92475348991826</x:v>
      </x:c>
      <x:c r="P445" s="23" t="n">
        <x:v>-0.3048521184764823</x:v>
      </x:c>
      <x:c r="Q445" s="23" t="n">
        <x:v>13.063034787186098</x:v>
      </x:c>
    </x:row>
    <x:row r="446">
      <x:c r="A446" s="23" t="str">
        <x:v>Lightning</x:v>
      </x:c>
      <x:c r="B446" s="23" t="n">
        <x:v>1488.3114219876006</x:v>
      </x:c>
      <x:c r="C446" s="23" t="n">
        <x:v>622.0744630438276</x:v>
      </x:c>
      <x:c r="D446" s="23" t="n">
        <x:v>626.3336673378944</x:v>
      </x:c>
      <x:c r="E446" s="23" t="n">
        <x:v>325.0329986750148</x:v>
      </x:c>
      <x:c r="F446" s="23" t="n">
        <x:v>17.78001395892352</x:v>
      </x:c>
      <x:c r="G446" s="23" t="n">
        <x:v>0.8120451400033198</x:v>
      </x:c>
      <x:c r="H446" s="23" t="n">
        <x:v>40</x:v>
      </x:c>
      <x:c r="I446" s="23" t="n">
        <x:v>25</x:v>
      </x:c>
      <x:c r="J446" s="23" t="n">
        <x:f>(IF(A446='Hybrid Calculator'!$B$6,0,1))^2+((B446-'Hybrid Calculator'!$B$7)/1500)^2+((C446-'Hybrid Calculator'!$B$8)/1300)^2+((D446-'Hybrid Calculator'!$B$9)/800)^2+((E446-'Hybrid Calculator'!$B$10)/350)^2+((F446-'Hybrid Calculator'!$B$11)/30)^2+(G446-'Hybrid Calculator'!$B$12)^2+((H446-'Hybrid Calculator'!$E$14)/IF(A446="Lightning",100,30000))^2+((I446-'Hybrid Calculator'!$E$17)/IF(A446="Lightning",100,30000))^2</x:f>
        <x:v>0.3181925112808383</x:v>
      </x:c>
      <x:c r="K446" s="23" t="n">
        <x:f>RANK(J446,$J$2:$J$1401,1)</x:f>
        <x:v>621</x:v>
      </x:c>
      <x:c r="L446" s="23" t="n">
        <x:f>IF(K446&lt;=7,1,0)</x:f>
        <x:v>0</x:v>
      </x:c>
      <x:c r="M446" s="23" t="n">
        <x:f>IF(L446=1,1/(J446+0.000001),0)</x:f>
        <x:v>0</x:v>
      </x:c>
      <x:c r="N446" s="23" t="n">
        <x:v>-0.010979876694787283</x:v>
      </x:c>
      <x:c r="O446" s="23" t="n">
        <x:f>M446</x:f>
        <x:v>0</x:v>
      </x:c>
      <x:c r="P446" s="23" t="n">
        <x:v>-1.5781537331302289</x:v>
      </x:c>
      <x:c r="Q446" s="23" t="n">
        <x:v>-2.922988345922022</x:v>
      </x:c>
    </x:row>
    <x:row r="447">
      <x:c r="A447" s="23" t="str">
        <x:v>Lightning</x:v>
      </x:c>
      <x:c r="B447" s="23" t="n">
        <x:v>1372.9174776817672</x:v>
      </x:c>
      <x:c r="C447" s="23" t="n">
        <x:v>1033.1099043600261</x:v>
      </x:c>
      <x:c r="D447" s="23" t="n">
        <x:v>514.3071106635034</x:v>
      </x:c>
      <x:c r="E447" s="23" t="n">
        <x:v>197.37772321794182</x:v>
      </x:c>
      <x:c r="F447" s="23" t="n">
        <x:v>26.810557728167623</x:v>
      </x:c>
      <x:c r="G447" s="23" t="n">
        <x:v>0.8116235524136574</x:v>
      </x:c>
      <x:c r="H447" s="23" t="n">
        <x:v>40</x:v>
      </x:c>
      <x:c r="I447" s="23" t="n">
        <x:v>25</x:v>
      </x:c>
      <x:c r="J447" s="23" t="n">
        <x:f>(IF(A447='Hybrid Calculator'!$B$6,0,1))^2+((B447-'Hybrid Calculator'!$B$7)/1500)^2+((C447-'Hybrid Calculator'!$B$8)/1300)^2+((D447-'Hybrid Calculator'!$B$9)/800)^2+((E447-'Hybrid Calculator'!$B$10)/350)^2+((F447-'Hybrid Calculator'!$B$11)/30)^2+(G447-'Hybrid Calculator'!$B$12)^2+((H447-'Hybrid Calculator'!$E$14)/IF(A447="Lightning",100,30000))^2+((I447-'Hybrid Calculator'!$E$17)/IF(A447="Lightning",100,30000))^2</x:f>
        <x:v>0.12649834099110135</x:v>
      </x:c>
      <x:c r="K447" s="23" t="n">
        <x:f>RANK(J447,$J$2:$J$1401,1)</x:f>
        <x:v>267</x:v>
      </x:c>
      <x:c r="L447" s="23" t="n">
        <x:f>IF(K447&lt;=7,1,0)</x:f>
        <x:v>0</x:v>
      </x:c>
      <x:c r="M447" s="23" t="n">
        <x:f>IF(L447=1,1/(J447+0.000001),0)</x:f>
        <x:v>0</x:v>
      </x:c>
      <x:c r="N447" s="23" t="n">
        <x:v>-0.011041924584046292</x:v>
      </x:c>
      <x:c r="O447" s="23" t="n">
        <x:f>M447</x:f>
        <x:v>0</x:v>
      </x:c>
      <x:c r="P447" s="23" t="n">
        <x:v>0.3434088093483112</x:v>
      </x:c>
      <x:c r="Q447" s="23" t="n">
        <x:v>-16.40723880740643</x:v>
      </x:c>
    </x:row>
    <x:row r="448">
      <x:c r="A448" s="23" t="str">
        <x:v>Lightning</x:v>
      </x:c>
      <x:c r="B448" s="23" t="n">
        <x:v>1489.6956894546747</x:v>
      </x:c>
      <x:c r="C448" s="23" t="n">
        <x:v>612.5655329204164</x:v>
      </x:c>
      <x:c r="D448" s="23" t="n">
        <x:v>409.77140832692385</x:v>
      </x:c>
      <x:c r="E448" s="23" t="n">
        <x:v>266.17035128409043</x:v>
      </x:c>
      <x:c r="F448" s="23" t="n">
        <x:v>9.142956657335162</x:v>
      </x:c>
      <x:c r="G448" s="23" t="n">
        <x:v>0.831756737951655</x:v>
      </x:c>
      <x:c r="H448" s="23" t="n">
        <x:v>60</x:v>
      </x:c>
      <x:c r="I448" s="23" t="n">
        <x:v>25</x:v>
      </x:c>
      <x:c r="J448" s="23" t="n">
        <x:f>(IF(A448='Hybrid Calculator'!$B$6,0,1))^2+((B448-'Hybrid Calculator'!$B$7)/1500)^2+((C448-'Hybrid Calculator'!$B$8)/1300)^2+((D448-'Hybrid Calculator'!$B$9)/800)^2+((E448-'Hybrid Calculator'!$B$10)/350)^2+((F448-'Hybrid Calculator'!$B$11)/30)^2+(G448-'Hybrid Calculator'!$B$12)^2+((H448-'Hybrid Calculator'!$E$14)/IF(A448="Lightning",100,30000))^2+((I448-'Hybrid Calculator'!$E$17)/IF(A448="Lightning",100,30000))^2</x:f>
        <x:v>0.2655274138727336</x:v>
      </x:c>
      <x:c r="K448" s="23" t="n">
        <x:f>RANK(J448,$J$2:$J$1401,1)</x:f>
        <x:v>565</x:v>
      </x:c>
      <x:c r="L448" s="23" t="n">
        <x:f>IF(K448&lt;=7,1,0)</x:f>
        <x:v>0</x:v>
      </x:c>
      <x:c r="M448" s="23" t="n">
        <x:f>IF(L448=1,1/(J448+0.000001),0)</x:f>
        <x:v>0</x:v>
      </x:c>
      <x:c r="N448" s="23" t="n">
        <x:v>0.004103397100111428</x:v>
      </x:c>
      <x:c r="O448" s="23" t="n">
        <x:f>M448</x:f>
        <x:v>0</x:v>
      </x:c>
      <x:c r="P448" s="23" t="n">
        <x:v>-0.7237243964775999</x:v>
      </x:c>
      <x:c r="Q448" s="23" t="n">
        <x:v>11.5096792724828</x:v>
      </x:c>
    </x:row>
    <x:row r="449">
      <x:c r="A449" s="23" t="str">
        <x:v>Lightning</x:v>
      </x:c>
      <x:c r="B449" s="23" t="n">
        <x:v>1383.3264986635186</x:v>
      </x:c>
      <x:c r="C449" s="23" t="n">
        <x:v>1144.2583864787593</x:v>
      </x:c>
      <x:c r="D449" s="23" t="n">
        <x:v>469.5063010789454</x:v>
      </x:c>
      <x:c r="E449" s="23" t="n">
        <x:v>155.14413795433939</x:v>
      </x:c>
      <x:c r="F449" s="23" t="n">
        <x:v>17.261598717886955</x:v>
      </x:c>
      <x:c r="G449" s="23" t="n">
        <x:v>0.8529980469541625</x:v>
      </x:c>
      <x:c r="H449" s="23" t="n">
        <x:v>40</x:v>
      </x:c>
      <x:c r="I449" s="23" t="n">
        <x:v>25</x:v>
      </x:c>
      <x:c r="J449" s="23" t="n">
        <x:f>(IF(A449='Hybrid Calculator'!$B$6,0,1))^2+((B449-'Hybrid Calculator'!$B$7)/1500)^2+((C449-'Hybrid Calculator'!$B$8)/1300)^2+((D449-'Hybrid Calculator'!$B$9)/800)^2+((E449-'Hybrid Calculator'!$B$10)/350)^2+((F449-'Hybrid Calculator'!$B$11)/30)^2+(G449-'Hybrid Calculator'!$B$12)^2+((H449-'Hybrid Calculator'!$E$14)/IF(A449="Lightning",100,30000))^2+((I449-'Hybrid Calculator'!$E$17)/IF(A449="Lightning",100,30000))^2</x:f>
        <x:v>0.06646920561868791</x:v>
      </x:c>
      <x:c r="K449" s="23" t="n">
        <x:f>RANK(J449,$J$2:$J$1401,1)</x:f>
        <x:v>98</x:v>
      </x:c>
      <x:c r="L449" s="23" t="n">
        <x:f>IF(K449&lt;=7,1,0)</x:f>
        <x:v>0</x:v>
      </x:c>
      <x:c r="M449" s="23" t="n">
        <x:f>IF(L449=1,1/(J449+0.000001),0)</x:f>
        <x:v>0</x:v>
      </x:c>
      <x:c r="N449" s="23" t="n">
        <x:v>0.0006987371204287829</x:v>
      </x:c>
      <x:c r="O449" s="23" t="n">
        <x:f>M449</x:f>
        <x:v>0</x:v>
      </x:c>
      <x:c r="P449" s="23" t="n">
        <x:v>0.6973901952475074</x:v>
      </x:c>
      <x:c r="Q449" s="23" t="n">
        <x:v>5.226661355631904</x:v>
      </x:c>
    </x:row>
    <x:row r="450">
      <x:c r="A450" s="23" t="str">
        <x:v>Lightning</x:v>
      </x:c>
      <x:c r="B450" s="23" t="n">
        <x:v>1492.3484022729099</x:v>
      </x:c>
      <x:c r="C450" s="23" t="n">
        <x:v>1075.3818820579909</x:v>
      </x:c>
      <x:c r="D450" s="23" t="n">
        <x:v>676.5703136101365</x:v>
      </x:c>
      <x:c r="E450" s="23" t="n">
        <x:v>171.05568850645795</x:v>
      </x:c>
      <x:c r="F450" s="23" t="n">
        <x:v>10.545682052150369</x:v>
      </x:c>
      <x:c r="G450" s="23" t="n">
        <x:v>0.7983088440750726</x:v>
      </x:c>
      <x:c r="H450" s="23" t="n">
        <x:v>35</x:v>
      </x:c>
      <x:c r="I450" s="23" t="n">
        <x:v>25</x:v>
      </x:c>
      <x:c r="J450" s="23" t="n">
        <x:f>(IF(A450='Hybrid Calculator'!$B$6,0,1))^2+((B450-'Hybrid Calculator'!$B$7)/1500)^2+((C450-'Hybrid Calculator'!$B$8)/1300)^2+((D450-'Hybrid Calculator'!$B$9)/800)^2+((E450-'Hybrid Calculator'!$B$10)/350)^2+((F450-'Hybrid Calculator'!$B$11)/30)^2+(G450-'Hybrid Calculator'!$B$12)^2+((H450-'Hybrid Calculator'!$E$14)/IF(A450="Lightning",100,30000))^2+((I450-'Hybrid Calculator'!$E$17)/IF(A450="Lightning",100,30000))^2</x:f>
        <x:v>0.17767841644203713</x:v>
      </x:c>
      <x:c r="K450" s="23" t="n">
        <x:f>RANK(J450,$J$2:$J$1401,1)</x:f>
        <x:v>397</x:v>
      </x:c>
      <x:c r="L450" s="23" t="n">
        <x:f>IF(K450&lt;=7,1,0)</x:f>
        <x:v>0</x:v>
      </x:c>
      <x:c r="M450" s="23" t="n">
        <x:f>IF(L450=1,1/(J450+0.000001),0)</x:f>
        <x:v>0</x:v>
      </x:c>
      <x:c r="N450" s="23" t="n">
        <x:v>0.01730423431799788</x:v>
      </x:c>
      <x:c r="O450" s="23" t="n">
        <x:f>M450</x:f>
        <x:v>0</x:v>
      </x:c>
      <x:c r="P450" s="23" t="n">
        <x:v>0.46297000516462816</x:v>
      </x:c>
      <x:c r="Q450" s="23" t="n">
        <x:v>-8.20316488197659</x:v>
      </x:c>
    </x:row>
    <x:row r="451">
      <x:c r="A451" s="23" t="str">
        <x:v>Lightning</x:v>
      </x:c>
      <x:c r="B451" s="23" t="n">
        <x:v>1491.8536891811527</x:v>
      </x:c>
      <x:c r="C451" s="23" t="n">
        <x:v>1238.7093014316633</x:v>
      </x:c>
      <x:c r="D451" s="23" t="n">
        <x:v>721.3290595449507</x:v>
      </x:c>
      <x:c r="E451" s="23" t="n">
        <x:v>203.29140515066683</x:v>
      </x:c>
      <x:c r="F451" s="23" t="n">
        <x:v>24.295435809064656</x:v>
      </x:c>
      <x:c r="G451" s="23" t="n">
        <x:v>0.8329022960225121</x:v>
      </x:c>
      <x:c r="H451" s="23" t="n">
        <x:v>30</x:v>
      </x:c>
      <x:c r="I451" s="23" t="n">
        <x:v>25</x:v>
      </x:c>
      <x:c r="J451" s="23" t="n">
        <x:f>(IF(A451='Hybrid Calculator'!$B$6,0,1))^2+((B451-'Hybrid Calculator'!$B$7)/1500)^2+((C451-'Hybrid Calculator'!$B$8)/1300)^2+((D451-'Hybrid Calculator'!$B$9)/800)^2+((E451-'Hybrid Calculator'!$B$10)/350)^2+((F451-'Hybrid Calculator'!$B$11)/30)^2+(G451-'Hybrid Calculator'!$B$12)^2+((H451-'Hybrid Calculator'!$E$14)/IF(A451="Lightning",100,30000))^2+((I451-'Hybrid Calculator'!$E$17)/IF(A451="Lightning",100,30000))^2</x:f>
        <x:v>0.2686020770716029</x:v>
      </x:c>
      <x:c r="K451" s="23" t="n">
        <x:f>RANK(J451,$J$2:$J$1401,1)</x:f>
        <x:v>571</x:v>
      </x:c>
      <x:c r="L451" s="23" t="n">
        <x:f>IF(K451&lt;=7,1,0)</x:f>
        <x:v>0</x:v>
      </x:c>
      <x:c r="M451" s="23" t="n">
        <x:f>IF(L451=1,1/(J451+0.000001),0)</x:f>
        <x:v>0</x:v>
      </x:c>
      <x:c r="N451" s="23" t="n">
        <x:v>0.016490474602197436</x:v>
      </x:c>
      <x:c r="O451" s="23" t="n">
        <x:f>M451</x:f>
        <x:v>0</x:v>
      </x:c>
      <x:c r="P451" s="23" t="n">
        <x:v>1.1341627009385462</x:v>
      </x:c>
      <x:c r="Q451" s="23" t="n">
        <x:v>-26.764223522456405</x:v>
      </x:c>
    </x:row>
    <x:row r="452">
      <x:c r="A452" s="23" t="str">
        <x:v>Lightning</x:v>
      </x:c>
      <x:c r="B452" s="23" t="n">
        <x:v>1355.7422388112172</x:v>
      </x:c>
      <x:c r="C452" s="23" t="n">
        <x:v>1187.02556170756</x:v>
      </x:c>
      <x:c r="D452" s="23" t="n">
        <x:v>674.0279745310545</x:v>
      </x:c>
      <x:c r="E452" s="23" t="n">
        <x:v>304.20843289000914</x:v>
      </x:c>
      <x:c r="F452" s="23" t="n">
        <x:v>16.868044738657773</x:v>
      </x:c>
      <x:c r="G452" s="23" t="n">
        <x:v>0.8261521673272364</x:v>
      </x:c>
      <x:c r="H452" s="23" t="n">
        <x:v>35</x:v>
      </x:c>
      <x:c r="I452" s="23" t="n">
        <x:v>25</x:v>
      </x:c>
      <x:c r="J452" s="23" t="n">
        <x:f>(IF(A452='Hybrid Calculator'!$B$6,0,1))^2+((B452-'Hybrid Calculator'!$B$7)/1500)^2+((C452-'Hybrid Calculator'!$B$8)/1300)^2+((D452-'Hybrid Calculator'!$B$9)/800)^2+((E452-'Hybrid Calculator'!$B$10)/350)^2+((F452-'Hybrid Calculator'!$B$11)/30)^2+(G452-'Hybrid Calculator'!$B$12)^2+((H452-'Hybrid Calculator'!$E$14)/IF(A452="Lightning",100,30000))^2+((I452-'Hybrid Calculator'!$E$17)/IF(A452="Lightning",100,30000))^2</x:f>
        <x:v>0.3362855491889737</x:v>
      </x:c>
      <x:c r="K452" s="23" t="n">
        <x:f>RANK(J452,$J$2:$J$1401,1)</x:f>
        <x:v>638</x:v>
      </x:c>
      <x:c r="L452" s="23" t="n">
        <x:f>IF(K452&lt;=7,1,0)</x:f>
        <x:v>0</x:v>
      </x:c>
      <x:c r="M452" s="23" t="n">
        <x:f>IF(L452=1,1/(J452+0.000001),0)</x:f>
        <x:v>0</x:v>
      </x:c>
      <x:c r="N452" s="23" t="n">
        <x:v>0.0024897335189530967</x:v>
      </x:c>
      <x:c r="O452" s="23" t="n">
        <x:f>M452</x:f>
        <x:v>0</x:v>
      </x:c>
      <x:c r="P452" s="23" t="n">
        <x:v>0.263087526400021</x:v>
      </x:c>
      <x:c r="Q452" s="23" t="n">
        <x:v>-5.876750879815972</x:v>
      </x:c>
    </x:row>
    <x:row r="453">
      <x:c r="A453" s="23" t="str">
        <x:v>Lightning</x:v>
      </x:c>
      <x:c r="B453" s="23" t="n">
        <x:v>1490.2062549605034</x:v>
      </x:c>
      <x:c r="C453" s="23" t="n">
        <x:v>1041.7760875541717</x:v>
      </x:c>
      <x:c r="D453" s="23" t="n">
        <x:v>685.741716902703</x:v>
      </x:c>
      <x:c r="E453" s="23" t="n">
        <x:v>189.84666307922453</x:v>
      </x:c>
      <x:c r="F453" s="23" t="n">
        <x:v>14.677346668671817</x:v>
      </x:c>
      <x:c r="G453" s="23" t="n">
        <x:v>0.8461818929575384</x:v>
      </x:c>
      <x:c r="H453" s="23" t="n">
        <x:v>40</x:v>
      </x:c>
      <x:c r="I453" s="23" t="n">
        <x:v>25</x:v>
      </x:c>
      <x:c r="J453" s="23" t="n">
        <x:f>(IF(A453='Hybrid Calculator'!$B$6,0,1))^2+((B453-'Hybrid Calculator'!$B$7)/1500)^2+((C453-'Hybrid Calculator'!$B$8)/1300)^2+((D453-'Hybrid Calculator'!$B$9)/800)^2+((E453-'Hybrid Calculator'!$B$10)/350)^2+((F453-'Hybrid Calculator'!$B$11)/30)^2+(G453-'Hybrid Calculator'!$B$12)^2+((H453-'Hybrid Calculator'!$E$14)/IF(A453="Lightning",100,30000))^2+((I453-'Hybrid Calculator'!$E$17)/IF(A453="Lightning",100,30000))^2</x:f>
        <x:v>0.11744119007611928</x:v>
      </x:c>
      <x:c r="K453" s="23" t="n">
        <x:f>RANK(J453,$J$2:$J$1401,1)</x:f>
        <x:v>245</x:v>
      </x:c>
      <x:c r="L453" s="23" t="n">
        <x:f>IF(K453&lt;=7,1,0)</x:f>
        <x:v>0</x:v>
      </x:c>
      <x:c r="M453" s="23" t="n">
        <x:f>IF(L453=1,1/(J453+0.000001),0)</x:f>
        <x:v>0</x:v>
      </x:c>
      <x:c r="N453" s="23" t="n">
        <x:v>0.010380921235735086</x:v>
      </x:c>
      <x:c r="O453" s="23" t="n">
        <x:f>M453</x:f>
        <x:v>0</x:v>
      </x:c>
      <x:c r="P453" s="23" t="n">
        <x:v>1.024963323854358</x:v>
      </x:c>
      <x:c r="Q453" s="23" t="n">
        <x:v>-3.083047273552893</x:v>
      </x:c>
    </x:row>
    <x:row r="454">
      <x:c r="A454" s="23" t="str">
        <x:v>Lightning</x:v>
      </x:c>
      <x:c r="B454" s="23" t="n">
        <x:v>1494.525625789538</x:v>
      </x:c>
      <x:c r="C454" s="23" t="n">
        <x:v>611.6026157396846</x:v>
      </x:c>
      <x:c r="D454" s="23" t="n">
        <x:v>471.48201894015074</x:v>
      </x:c>
      <x:c r="E454" s="23" t="n">
        <x:v>300.0022147153504</x:v>
      </x:c>
      <x:c r="F454" s="23" t="n">
        <x:v>29.60101344436407</x:v>
      </x:c>
      <x:c r="G454" s="23" t="n">
        <x:v>0.8475812857062557</x:v>
      </x:c>
      <x:c r="H454" s="23" t="n">
        <x:v>50</x:v>
      </x:c>
      <x:c r="I454" s="23" t="n">
        <x:v>25</x:v>
      </x:c>
      <x:c r="J454" s="23" t="n">
        <x:f>(IF(A454='Hybrid Calculator'!$B$6,0,1))^2+((B454-'Hybrid Calculator'!$B$7)/1500)^2+((C454-'Hybrid Calculator'!$B$8)/1300)^2+((D454-'Hybrid Calculator'!$B$9)/800)^2+((E454-'Hybrid Calculator'!$B$10)/350)^2+((F454-'Hybrid Calculator'!$B$11)/30)^2+(G454-'Hybrid Calculator'!$B$12)^2+((H454-'Hybrid Calculator'!$E$14)/IF(A454="Lightning",100,30000))^2+((I454-'Hybrid Calculator'!$E$17)/IF(A454="Lightning",100,30000))^2</x:f>
        <x:v>0.3584129029042086</x:v>
      </x:c>
      <x:c r="K454" s="23" t="n">
        <x:f>RANK(J454,$J$2:$J$1401,1)</x:f>
        <x:v>655</x:v>
      </x:c>
      <x:c r="L454" s="23" t="n">
        <x:f>IF(K454&lt;=7,1,0)</x:f>
        <x:v>0</x:v>
      </x:c>
      <x:c r="M454" s="23" t="n">
        <x:f>IF(L454=1,1/(J454+0.000001),0)</x:f>
        <x:v>0</x:v>
      </x:c>
      <x:c r="N454" s="23" t="n">
        <x:v>-0.010861558238228763</x:v>
      </x:c>
      <x:c r="O454" s="23" t="n">
        <x:f>M454</x:f>
        <x:v>0</x:v>
      </x:c>
      <x:c r="P454" s="23" t="n">
        <x:v>-1.023692449552506</x:v>
      </x:c>
      <x:c r="Q454" s="23" t="n">
        <x:v>-2.7567745229137017</x:v>
      </x:c>
    </x:row>
    <x:row r="455">
      <x:c r="A455" s="23" t="str">
        <x:v>Lightning</x:v>
      </x:c>
      <x:c r="B455" s="23" t="n">
        <x:v>1409.053206362296</x:v>
      </x:c>
      <x:c r="C455" s="23" t="n">
        <x:v>1136.1650515114889</x:v>
      </x:c>
      <x:c r="D455" s="23" t="n">
        <x:v>679.7300574369729</x:v>
      </x:c>
      <x:c r="E455" s="23" t="n">
        <x:v>91.42654148861766</x:v>
      </x:c>
      <x:c r="F455" s="23" t="n">
        <x:v>14.42297343770042</x:v>
      </x:c>
      <x:c r="G455" s="23" t="n">
        <x:v>0.8506291753938422</x:v>
      </x:c>
      <x:c r="H455" s="23" t="n">
        <x:v>40</x:v>
      </x:c>
      <x:c r="I455" s="23" t="n">
        <x:v>25</x:v>
      </x:c>
      <x:c r="J455" s="23" t="n">
        <x:f>(IF(A455='Hybrid Calculator'!$B$6,0,1))^2+((B455-'Hybrid Calculator'!$B$7)/1500)^2+((C455-'Hybrid Calculator'!$B$8)/1300)^2+((D455-'Hybrid Calculator'!$B$9)/800)^2+((E455-'Hybrid Calculator'!$B$10)/350)^2+((F455-'Hybrid Calculator'!$B$11)/30)^2+(G455-'Hybrid Calculator'!$B$12)^2+((H455-'Hybrid Calculator'!$E$14)/IF(A455="Lightning",100,30000))^2+((I455-'Hybrid Calculator'!$E$17)/IF(A455="Lightning",100,30000))^2</x:f>
        <x:v>0.15645630935614302</x:v>
      </x:c>
      <x:c r="K455" s="23" t="n">
        <x:f>RANK(J455,$J$2:$J$1401,1)</x:f>
        <x:v>345</x:v>
      </x:c>
      <x:c r="L455" s="23" t="n">
        <x:f>IF(K455&lt;=7,1,0)</x:f>
        <x:v>0</x:v>
      </x:c>
      <x:c r="M455" s="23" t="n">
        <x:f>IF(L455=1,1/(J455+0.000001),0)</x:f>
        <x:v>0</x:v>
      </x:c>
      <x:c r="N455" s="23" t="n">
        <x:v>0.0006445134216164217</x:v>
      </x:c>
      <x:c r="O455" s="23" t="n">
        <x:f>M455</x:f>
        <x:v>0</x:v>
      </x:c>
      <x:c r="P455" s="23" t="n">
        <x:v>0.5240902779991927</x:v>
      </x:c>
      <x:c r="Q455" s="23" t="n">
        <x:v>3.4050530189558685</x:v>
      </x:c>
    </x:row>
    <x:row r="456">
      <x:c r="A456" s="23" t="str">
        <x:v>Lightning</x:v>
      </x:c>
      <x:c r="B456" s="23" t="n">
        <x:v>1496.846768190153</x:v>
      </x:c>
      <x:c r="C456" s="23" t="n">
        <x:v>826.3382777688093</x:v>
      </x:c>
      <x:c r="D456" s="23" t="n">
        <x:v>365.5368059873581</x:v>
      </x:c>
      <x:c r="E456" s="23" t="n">
        <x:v>265.2583102299832</x:v>
      </x:c>
      <x:c r="F456" s="23" t="n">
        <x:v>21.01102492492646</x:v>
      </x:c>
      <x:c r="G456" s="23" t="n">
        <x:v>0.8137257319665514</x:v>
      </x:c>
      <x:c r="H456" s="23" t="n">
        <x:v>45</x:v>
      </x:c>
      <x:c r="I456" s="23" t="n">
        <x:v>25</x:v>
      </x:c>
      <x:c r="J456" s="23" t="n">
        <x:f>(IF(A456='Hybrid Calculator'!$B$6,0,1))^2+((B456-'Hybrid Calculator'!$B$7)/1500)^2+((C456-'Hybrid Calculator'!$B$8)/1300)^2+((D456-'Hybrid Calculator'!$B$9)/800)^2+((E456-'Hybrid Calculator'!$B$10)/350)^2+((F456-'Hybrid Calculator'!$B$11)/30)^2+(G456-'Hybrid Calculator'!$B$12)^2+((H456-'Hybrid Calculator'!$E$14)/IF(A456="Lightning",100,30000))^2+((I456-'Hybrid Calculator'!$E$17)/IF(A456="Lightning",100,30000))^2</x:f>
        <x:v>0.14886595406670922</x:v>
      </x:c>
      <x:c r="K456" s="23" t="n">
        <x:f>RANK(J456,$J$2:$J$1401,1)</x:f>
        <x:v>323</x:v>
      </x:c>
      <x:c r="L456" s="23" t="n">
        <x:f>IF(K456&lt;=7,1,0)</x:f>
        <x:v>0</x:v>
      </x:c>
      <x:c r="M456" s="23" t="n">
        <x:f>IF(L456=1,1/(J456+0.000001),0)</x:f>
        <x:v>0</x:v>
      </x:c>
      <x:c r="N456" s="23" t="n">
        <x:v>-0.0001934229764639639</x:v>
      </x:c>
      <x:c r="O456" s="23" t="n">
        <x:f>M456</x:f>
        <x:v>0</x:v>
      </x:c>
      <x:c r="P456" s="23" t="n">
        <x:v>-0.2796306881990489</x:v>
      </x:c>
      <x:c r="Q456" s="23" t="n">
        <x:v>4.951061518927418</x:v>
      </x:c>
    </x:row>
    <x:row r="457">
      <x:c r="A457" s="23" t="str">
        <x:v>Lightning</x:v>
      </x:c>
      <x:c r="B457" s="23" t="n">
        <x:v>1434.653954661917</x:v>
      </x:c>
      <x:c r="C457" s="23" t="n">
        <x:v>640.2732339687645</x:v>
      </x:c>
      <x:c r="D457" s="23" t="n">
        <x:v>447.36371701583266</x:v>
      </x:c>
      <x:c r="E457" s="23" t="n">
        <x:v>102.18310500029474</x:v>
      </x:c>
      <x:c r="F457" s="23" t="n">
        <x:v>20.484349576290697</x:v>
      </x:c>
      <x:c r="G457" s="23" t="n">
        <x:v>0.8573653612378985</x:v>
      </x:c>
      <x:c r="H457" s="23" t="n">
        <x:v>65</x:v>
      </x:c>
      <x:c r="I457" s="23" t="n">
        <x:v>25</x:v>
      </x:c>
      <x:c r="J457" s="23" t="n">
        <x:f>(IF(A457='Hybrid Calculator'!$B$6,0,1))^2+((B457-'Hybrid Calculator'!$B$7)/1500)^2+((C457-'Hybrid Calculator'!$B$8)/1300)^2+((D457-'Hybrid Calculator'!$B$9)/800)^2+((E457-'Hybrid Calculator'!$B$10)/350)^2+((F457-'Hybrid Calculator'!$B$11)/30)^2+(G457-'Hybrid Calculator'!$B$12)^2+((H457-'Hybrid Calculator'!$E$14)/IF(A457="Lightning",100,30000))^2+((I457-'Hybrid Calculator'!$E$17)/IF(A457="Lightning",100,30000))^2</x:f>
        <x:v>0.0773335365162107</x:v>
      </x:c>
      <x:c r="K457" s="23" t="n">
        <x:f>RANK(J457,$J$2:$J$1401,1)</x:f>
        <x:v>128</x:v>
      </x:c>
      <x:c r="L457" s="23" t="n">
        <x:f>IF(K457&lt;=7,1,0)</x:f>
        <x:v>0</x:v>
      </x:c>
      <x:c r="M457" s="23" t="n">
        <x:f>IF(L457=1,1/(J457+0.000001),0)</x:f>
        <x:v>0</x:v>
      </x:c>
      <x:c r="N457" s="23" t="n">
        <x:v>-0.014872185908777258</x:v>
      </x:c>
      <x:c r="O457" s="23" t="n">
        <x:f>M457</x:f>
        <x:v>0</x:v>
      </x:c>
      <x:c r="P457" s="23" t="n">
        <x:v>0.24846339364929548</x:v>
      </x:c>
      <x:c r="Q457" s="23" t="n">
        <x:v>8.831162424170088</x:v>
      </x:c>
    </x:row>
    <x:row r="458">
      <x:c r="A458" s="23" t="str">
        <x:v>Lightning</x:v>
      </x:c>
      <x:c r="B458" s="23" t="n">
        <x:v>1359.4092713668942</x:v>
      </x:c>
      <x:c r="C458" s="23" t="n">
        <x:v>828.9394274703227</x:v>
      </x:c>
      <x:c r="D458" s="23" t="n">
        <x:v>383.20259768515825</x:v>
      </x:c>
      <x:c r="E458" s="23" t="n">
        <x:v>235.21192323649302</x:v>
      </x:c>
      <x:c r="F458" s="23" t="n">
        <x:v>24.327715074643493</x:v>
      </x:c>
      <x:c r="G458" s="23" t="n">
        <x:v>0.8508621884253807</x:v>
      </x:c>
      <x:c r="H458" s="23" t="n">
        <x:v>55</x:v>
      </x:c>
      <x:c r="I458" s="23" t="n">
        <x:v>25</x:v>
      </x:c>
      <x:c r="J458" s="23" t="n">
        <x:f>(IF(A458='Hybrid Calculator'!$B$6,0,1))^2+((B458-'Hybrid Calculator'!$B$7)/1500)^2+((C458-'Hybrid Calculator'!$B$8)/1300)^2+((D458-'Hybrid Calculator'!$B$9)/800)^2+((E458-'Hybrid Calculator'!$B$10)/350)^2+((F458-'Hybrid Calculator'!$B$11)/30)^2+(G458-'Hybrid Calculator'!$B$12)^2+((H458-'Hybrid Calculator'!$E$14)/IF(A458="Lightning",100,30000))^2+((I458-'Hybrid Calculator'!$E$17)/IF(A458="Lightning",100,30000))^2</x:f>
        <x:v>0.12395194843979998</x:v>
      </x:c>
      <x:c r="K458" s="23" t="n">
        <x:f>RANK(J458,$J$2:$J$1401,1)</x:f>
        <x:v>264</x:v>
      </x:c>
      <x:c r="L458" s="23" t="n">
        <x:f>IF(K458&lt;=7,1,0)</x:f>
        <x:v>0</x:v>
      </x:c>
      <x:c r="M458" s="23" t="n">
        <x:f>IF(L458=1,1/(J458+0.000001),0)</x:f>
        <x:v>0</x:v>
      </x:c>
      <x:c r="N458" s="23" t="n">
        <x:v>0.0005711247769588645</x:v>
      </x:c>
      <x:c r="O458" s="23" t="n">
        <x:f>M458</x:f>
        <x:v>0</x:v>
      </x:c>
      <x:c r="P458" s="23" t="n">
        <x:v>-0.0395653195874246</x:v>
      </x:c>
      <x:c r="Q458" s="23" t="n">
        <x:v>5.2115136373552104</x:v>
      </x:c>
    </x:row>
    <x:row r="459">
      <x:c r="A459" s="23" t="str">
        <x:v>Lightning</x:v>
      </x:c>
      <x:c r="B459" s="23" t="n">
        <x:v>1416.8757349834777</x:v>
      </x:c>
      <x:c r="C459" s="23" t="n">
        <x:v>678.7954665953293</x:v>
      </x:c>
      <x:c r="D459" s="23" t="n">
        <x:v>459.21770641580224</x:v>
      </x:c>
      <x:c r="E459" s="23" t="n">
        <x:v>140.74934522621334</x:v>
      </x:c>
      <x:c r="F459" s="23" t="n">
        <x:v>17.933409724850208</x:v>
      </x:c>
      <x:c r="G459" s="23" t="n">
        <x:v>0.8091410281183199</x:v>
      </x:c>
      <x:c r="H459" s="23" t="n">
        <x:v>60</x:v>
      </x:c>
      <x:c r="I459" s="23" t="n">
        <x:v>25</x:v>
      </x:c>
      <x:c r="J459" s="23" t="n">
        <x:f>(IF(A459='Hybrid Calculator'!$B$6,0,1))^2+((B459-'Hybrid Calculator'!$B$7)/1500)^2+((C459-'Hybrid Calculator'!$B$8)/1300)^2+((D459-'Hybrid Calculator'!$B$9)/800)^2+((E459-'Hybrid Calculator'!$B$10)/350)^2+((F459-'Hybrid Calculator'!$B$11)/30)^2+(G459-'Hybrid Calculator'!$B$12)^2+((H459-'Hybrid Calculator'!$E$14)/IF(A459="Lightning",100,30000))^2+((I459-'Hybrid Calculator'!$E$17)/IF(A459="Lightning",100,30000))^2</x:f>
        <x:v>0.03114503977202956</x:v>
      </x:c>
      <x:c r="K459" s="23" t="n">
        <x:f>RANK(J459,$J$2:$J$1401,1)</x:f>
        <x:v>25</x:v>
      </x:c>
      <x:c r="L459" s="23" t="n">
        <x:f>IF(K459&lt;=7,1,0)</x:f>
        <x:v>0</x:v>
      </x:c>
      <x:c r="M459" s="23" t="n">
        <x:f>IF(L459=1,1/(J459+0.000001),0)</x:f>
        <x:v>0</x:v>
      </x:c>
      <x:c r="N459" s="23" t="n">
        <x:v>-0.009901007019883057</x:v>
      </x:c>
      <x:c r="O459" s="23" t="n">
        <x:f>M459</x:f>
        <x:v>0</x:v>
      </x:c>
      <x:c r="P459" s="23" t="n">
        <x:v>0.4222552507540698</x:v>
      </x:c>
      <x:c r="Q459" s="23" t="n">
        <x:v>6.9005977845820325</x:v>
      </x:c>
    </x:row>
    <x:row r="460">
      <x:c r="A460" s="23" t="str">
        <x:v>Lightning</x:v>
      </x:c>
      <x:c r="B460" s="23" t="n">
        <x:v>1481.8648221669719</x:v>
      </x:c>
      <x:c r="C460" s="23" t="n">
        <x:v>723.6199239850976</x:v>
      </x:c>
      <x:c r="D460" s="23" t="n">
        <x:v>385.33260114490986</x:v>
      </x:c>
      <x:c r="E460" s="23" t="n">
        <x:v>137.7174501377158</x:v>
      </x:c>
      <x:c r="F460" s="23" t="n">
        <x:v>25.398257763125002</x:v>
      </x:c>
      <x:c r="G460" s="23" t="n">
        <x:v>0.8160802851500921</x:v>
      </x:c>
      <x:c r="H460" s="23" t="n">
        <x:v>55</x:v>
      </x:c>
      <x:c r="I460" s="23" t="n">
        <x:v>25</x:v>
      </x:c>
      <x:c r="J460" s="23" t="n">
        <x:f>(IF(A460='Hybrid Calculator'!$B$6,0,1))^2+((B460-'Hybrid Calculator'!$B$7)/1500)^2+((C460-'Hybrid Calculator'!$B$8)/1300)^2+((D460-'Hybrid Calculator'!$B$9)/800)^2+((E460-'Hybrid Calculator'!$B$10)/350)^2+((F460-'Hybrid Calculator'!$B$11)/30)^2+(G460-'Hybrid Calculator'!$B$12)^2+((H460-'Hybrid Calculator'!$E$14)/IF(A460="Lightning",100,30000))^2+((I460-'Hybrid Calculator'!$E$17)/IF(A460="Lightning",100,30000))^2</x:f>
        <x:v>0.08805288015861218</x:v>
      </x:c>
      <x:c r="K460" s="23" t="n">
        <x:f>RANK(J460,$J$2:$J$1401,1)</x:f>
        <x:v>165</x:v>
      </x:c>
      <x:c r="L460" s="23" t="n">
        <x:f>IF(K460&lt;=7,1,0)</x:f>
        <x:v>0</x:v>
      </x:c>
      <x:c r="M460" s="23" t="n">
        <x:f>IF(L460=1,1/(J460+0.000001),0)</x:f>
        <x:v>0</x:v>
      </x:c>
      <x:c r="N460" s="23" t="n">
        <x:v>-0.014364721314408024</x:v>
      </x:c>
      <x:c r="O460" s="23" t="n">
        <x:f>M460</x:f>
        <x:v>0</x:v>
      </x:c>
      <x:c r="P460" s="23" t="n">
        <x:v>0.0516686141277134</x:v>
      </x:c>
      <x:c r="Q460" s="23" t="n">
        <x:v>-1.278312324043327</x:v>
      </x:c>
    </x:row>
    <x:row r="461">
      <x:c r="A461" s="23" t="str">
        <x:v>Lightning</x:v>
      </x:c>
      <x:c r="B461" s="23" t="n">
        <x:v>1421.9057606882416</x:v>
      </x:c>
      <x:c r="C461" s="23" t="n">
        <x:v>910.7857619877905</x:v>
      </x:c>
      <x:c r="D461" s="23" t="n">
        <x:v>672.4104057066143</x:v>
      </x:c>
      <x:c r="E461" s="23" t="n">
        <x:v>251.86624452006072</x:v>
      </x:c>
      <x:c r="F461" s="23" t="n">
        <x:v>27.331553760450333</x:v>
      </x:c>
      <x:c r="G461" s="23" t="n">
        <x:v>0.8590983013436199</x:v>
      </x:c>
      <x:c r="H461" s="23" t="n">
        <x:v>40</x:v>
      </x:c>
      <x:c r="I461" s="23" t="n">
        <x:v>25</x:v>
      </x:c>
      <x:c r="J461" s="23" t="n">
        <x:f>(IF(A461='Hybrid Calculator'!$B$6,0,1))^2+((B461-'Hybrid Calculator'!$B$7)/1500)^2+((C461-'Hybrid Calculator'!$B$8)/1300)^2+((D461-'Hybrid Calculator'!$B$9)/800)^2+((E461-'Hybrid Calculator'!$B$10)/350)^2+((F461-'Hybrid Calculator'!$B$11)/30)^2+(G461-'Hybrid Calculator'!$B$12)^2+((H461-'Hybrid Calculator'!$E$14)/IF(A461="Lightning",100,30000))^2+((I461-'Hybrid Calculator'!$E$17)/IF(A461="Lightning",100,30000))^2</x:f>
        <x:v>0.23153574176408703</x:v>
      </x:c>
      <x:c r="K461" s="23" t="n">
        <x:f>RANK(J461,$J$2:$J$1401,1)</x:f>
        <x:v>506</x:v>
      </x:c>
      <x:c r="L461" s="23" t="n">
        <x:f>IF(K461&lt;=7,1,0)</x:f>
        <x:v>0</x:v>
      </x:c>
      <x:c r="M461" s="23" t="n">
        <x:f>IF(L461=1,1/(J461+0.000001),0)</x:f>
        <x:v>0</x:v>
      </x:c>
      <x:c r="N461" s="23" t="n">
        <x:v>0.007604104674088452</x:v>
      </x:c>
      <x:c r="O461" s="23" t="n">
        <x:f>M461</x:f>
        <x:v>0</x:v>
      </x:c>
      <x:c r="P461" s="23" t="n">
        <x:v>-0.12899774876018455</x:v>
      </x:c>
      <x:c r="Q461" s="23" t="n">
        <x:v>-12.875387112843782</x:v>
      </x:c>
    </x:row>
    <x:row r="462">
      <x:c r="A462" s="23" t="str">
        <x:v>Lightning</x:v>
      </x:c>
      <x:c r="B462" s="23" t="n">
        <x:v>1445.4153121914715</x:v>
      </x:c>
      <x:c r="C462" s="23" t="n">
        <x:v>634.3880548025481</x:v>
      </x:c>
      <x:c r="D462" s="23" t="n">
        <x:v>522.5319346413016</x:v>
      </x:c>
      <x:c r="E462" s="23" t="n">
        <x:v>213.0850010854192</x:v>
      </x:c>
      <x:c r="F462" s="23" t="n">
        <x:v>18.599485654383898</x:v>
      </x:c>
      <x:c r="G462" s="23" t="n">
        <x:v>0.8410756869637408</x:v>
      </x:c>
      <x:c r="H462" s="23" t="n">
        <x:v>55</x:v>
      </x:c>
      <x:c r="I462" s="23" t="n">
        <x:v>25</x:v>
      </x:c>
      <x:c r="J462" s="23" t="n">
        <x:f>(IF(A462='Hybrid Calculator'!$B$6,0,1))^2+((B462-'Hybrid Calculator'!$B$7)/1500)^2+((C462-'Hybrid Calculator'!$B$8)/1300)^2+((D462-'Hybrid Calculator'!$B$9)/800)^2+((E462-'Hybrid Calculator'!$B$10)/350)^2+((F462-'Hybrid Calculator'!$B$11)/30)^2+(G462-'Hybrid Calculator'!$B$12)^2+((H462-'Hybrid Calculator'!$E$14)/IF(A462="Lightning",100,30000))^2+((I462-'Hybrid Calculator'!$E$17)/IF(A462="Lightning",100,30000))^2</x:f>
        <x:v>0.06392916536658205</x:v>
      </x:c>
      <x:c r="K462" s="23" t="n">
        <x:f>RANK(J462,$J$2:$J$1401,1)</x:f>
        <x:v>91</x:v>
      </x:c>
      <x:c r="L462" s="23" t="n">
        <x:f>IF(K462&lt;=7,1,0)</x:f>
        <x:v>0</x:v>
      </x:c>
      <x:c r="M462" s="23" t="n">
        <x:f>IF(L462=1,1/(J462+0.000001),0)</x:f>
        <x:v>0</x:v>
      </x:c>
      <x:c r="N462" s="23" t="n">
        <x:v>-0.009257259531864959</x:v>
      </x:c>
      <x:c r="O462" s="23" t="n">
        <x:f>M462</x:f>
        <x:v>0</x:v>
      </x:c>
      <x:c r="P462" s="23" t="n">
        <x:v>-1.6979808387098458</x:v>
      </x:c>
      <x:c r="Q462" s="23" t="n">
        <x:v>10.781568704065194</x:v>
      </x:c>
    </x:row>
    <x:row r="463">
      <x:c r="A463" s="23" t="str">
        <x:v>Lightning</x:v>
      </x:c>
      <x:c r="B463" s="23" t="n">
        <x:v>1350.267180253286</x:v>
      </x:c>
      <x:c r="C463" s="23" t="n">
        <x:v>659.0256188763306</x:v>
      </x:c>
      <x:c r="D463" s="23" t="n">
        <x:v>547.9718809016049</x:v>
      </x:c>
      <x:c r="E463" s="23" t="n">
        <x:v>104.67808313667774</x:v>
      </x:c>
      <x:c r="F463" s="23" t="n">
        <x:v>16.390806312207133</x:v>
      </x:c>
      <x:c r="G463" s="23" t="n">
        <x:v>0.8284055699361489</x:v>
      </x:c>
      <x:c r="H463" s="23" t="n">
        <x:v>60</x:v>
      </x:c>
      <x:c r="I463" s="23" t="n">
        <x:v>25</x:v>
      </x:c>
      <x:c r="J463" s="23" t="n">
        <x:f>(IF(A463='Hybrid Calculator'!$B$6,0,1))^2+((B463-'Hybrid Calculator'!$B$7)/1500)^2+((C463-'Hybrid Calculator'!$B$8)/1300)^2+((D463-'Hybrid Calculator'!$B$9)/800)^2+((E463-'Hybrid Calculator'!$B$10)/350)^2+((F463-'Hybrid Calculator'!$B$11)/30)^2+(G463-'Hybrid Calculator'!$B$12)^2+((H463-'Hybrid Calculator'!$E$14)/IF(A463="Lightning",100,30000))^2+((I463-'Hybrid Calculator'!$E$17)/IF(A463="Lightning",100,30000))^2</x:f>
        <x:v>0.05944022318011331</x:v>
      </x:c>
      <x:c r="K463" s="23" t="n">
        <x:f>RANK(J463,$J$2:$J$1401,1)</x:f>
        <x:v>79</x:v>
      </x:c>
      <x:c r="L463" s="23" t="n">
        <x:f>IF(K463&lt;=7,1,0)</x:f>
        <x:v>0</x:v>
      </x:c>
      <x:c r="M463" s="23" t="n">
        <x:f>IF(L463=1,1/(J463+0.000001),0)</x:f>
        <x:v>0</x:v>
      </x:c>
      <x:c r="N463" s="23" t="n">
        <x:v>-0.0036227782553890364</x:v>
      </x:c>
      <x:c r="O463" s="23" t="n">
        <x:f>M463</x:f>
        <x:v>0</x:v>
      </x:c>
      <x:c r="P463" s="23" t="n">
        <x:v>-1.416345443972041</x:v>
      </x:c>
      <x:c r="Q463" s="23" t="n">
        <x:v>17.85154387019361</x:v>
      </x:c>
    </x:row>
    <x:row r="464">
      <x:c r="A464" s="23" t="str">
        <x:v>Lightning</x:v>
      </x:c>
      <x:c r="B464" s="23" t="n">
        <x:v>1403.6268301773816</x:v>
      </x:c>
      <x:c r="C464" s="23" t="n">
        <x:v>751.2818757328205</x:v>
      </x:c>
      <x:c r="D464" s="23" t="n">
        <x:v>360.86052637547255</x:v>
      </x:c>
      <x:c r="E464" s="23" t="n">
        <x:v>150.0577016104944</x:v>
      </x:c>
      <x:c r="F464" s="23" t="n">
        <x:v>17.221537724137306</x:v>
      </x:c>
      <x:c r="G464" s="23" t="n">
        <x:v>0.8513256160751916</x:v>
      </x:c>
      <x:c r="H464" s="23" t="n">
        <x:v>60</x:v>
      </x:c>
      <x:c r="I464" s="23" t="n">
        <x:v>25</x:v>
      </x:c>
      <x:c r="J464" s="23" t="n">
        <x:f>(IF(A464='Hybrid Calculator'!$B$6,0,1))^2+((B464-'Hybrid Calculator'!$B$7)/1500)^2+((C464-'Hybrid Calculator'!$B$8)/1300)^2+((D464-'Hybrid Calculator'!$B$9)/800)^2+((E464-'Hybrid Calculator'!$B$10)/350)^2+((F464-'Hybrid Calculator'!$B$11)/30)^2+(G464-'Hybrid Calculator'!$B$12)^2+((H464-'Hybrid Calculator'!$E$14)/IF(A464="Lightning",100,30000))^2+((I464-'Hybrid Calculator'!$E$17)/IF(A464="Lightning",100,30000))^2</x:f>
        <x:v>0.04901652978573619</x:v>
      </x:c>
      <x:c r="K464" s="23" t="n">
        <x:f>RANK(J464,$J$2:$J$1401,1)</x:f>
        <x:v>50</x:v>
      </x:c>
      <x:c r="L464" s="23" t="n">
        <x:f>IF(K464&lt;=7,1,0)</x:f>
        <x:v>0</x:v>
      </x:c>
      <x:c r="M464" s="23" t="n">
        <x:f>IF(L464=1,1/(J464+0.000001),0)</x:f>
        <x:v>0</x:v>
      </x:c>
      <x:c r="N464" s="23" t="n">
        <x:v>-0.001953323905721227</x:v>
      </x:c>
      <x:c r="O464" s="23" t="n">
        <x:f>M464</x:f>
        <x:v>0</x:v>
      </x:c>
      <x:c r="P464" s="23" t="n">
        <x:v>0.47090334452885685</x:v>
      </x:c>
      <x:c r="Q464" s="23" t="n">
        <x:v>8.375837209519887</x:v>
      </x:c>
    </x:row>
    <x:row r="465">
      <x:c r="A465" s="23" t="str">
        <x:v>Lightning</x:v>
      </x:c>
      <x:c r="B465" s="23" t="n">
        <x:v>1479.051115096081</x:v>
      </x:c>
      <x:c r="C465" s="23" t="n">
        <x:v>1218.6505010118708</x:v>
      </x:c>
      <x:c r="D465" s="23" t="n">
        <x:v>429.1636717505753</x:v>
      </x:c>
      <x:c r="E465" s="23" t="n">
        <x:v>83.2173846848309</x:v>
      </x:c>
      <x:c r="F465" s="23" t="n">
        <x:v>27.910837000701576</x:v>
      </x:c>
      <x:c r="G465" s="23" t="n">
        <x:v>0.8382111897086725</x:v>
      </x:c>
      <x:c r="H465" s="23" t="n">
        <x:v>40</x:v>
      </x:c>
      <x:c r="I465" s="23" t="n">
        <x:v>25</x:v>
      </x:c>
      <x:c r="J465" s="23" t="n">
        <x:f>(IF(A465='Hybrid Calculator'!$B$6,0,1))^2+((B465-'Hybrid Calculator'!$B$7)/1500)^2+((C465-'Hybrid Calculator'!$B$8)/1300)^2+((D465-'Hybrid Calculator'!$B$9)/800)^2+((E465-'Hybrid Calculator'!$B$10)/350)^2+((F465-'Hybrid Calculator'!$B$11)/30)^2+(G465-'Hybrid Calculator'!$B$12)^2+((H465-'Hybrid Calculator'!$E$14)/IF(A465="Lightning",100,30000))^2+((I465-'Hybrid Calculator'!$E$17)/IF(A465="Lightning",100,30000))^2</x:f>
        <x:v>0.23469825435065456</x:v>
      </x:c>
      <x:c r="K465" s="23" t="n">
        <x:f>RANK(J465,$J$2:$J$1401,1)</x:f>
        <x:v>514</x:v>
      </x:c>
      <x:c r="L465" s="23" t="n">
        <x:f>IF(K465&lt;=7,1,0)</x:f>
        <x:v>0</x:v>
      </x:c>
      <x:c r="M465" s="23" t="n">
        <x:f>IF(L465=1,1/(J465+0.000001),0)</x:f>
        <x:v>0</x:v>
      </x:c>
      <x:c r="N465" s="23" t="n">
        <x:v>0.001653932783371559</x:v>
      </x:c>
      <x:c r="O465" s="23" t="n">
        <x:f>M465</x:f>
        <x:v>0</x:v>
      </x:c>
      <x:c r="P465" s="23" t="n">
        <x:v>0.6941934034000852</x:v>
      </x:c>
      <x:c r="Q465" s="23" t="n">
        <x:v>-14.570014415964579</x:v>
      </x:c>
    </x:row>
    <x:row r="466">
      <x:c r="A466" s="23" t="str">
        <x:v>Lightning</x:v>
      </x:c>
      <x:c r="B466" s="23" t="n">
        <x:v>1428.2156405271962</x:v>
      </x:c>
      <x:c r="C466" s="23" t="n">
        <x:v>705.9878179919906</x:v>
      </x:c>
      <x:c r="D466" s="23" t="n">
        <x:v>612.2691079974174</x:v>
      </x:c>
      <x:c r="E466" s="23" t="n">
        <x:v>318.3853690116666</x:v>
      </x:c>
      <x:c r="F466" s="23" t="n">
        <x:v>26.95266010891646</x:v>
      </x:c>
      <x:c r="G466" s="23" t="n">
        <x:v>0.846513194104191</x:v>
      </x:c>
      <x:c r="H466" s="23" t="n">
        <x:v>45</x:v>
      </x:c>
      <x:c r="I466" s="23" t="n">
        <x:v>25</x:v>
      </x:c>
      <x:c r="J466" s="23" t="n">
        <x:f>(IF(A466='Hybrid Calculator'!$B$6,0,1))^2+((B466-'Hybrid Calculator'!$B$7)/1500)^2+((C466-'Hybrid Calculator'!$B$8)/1300)^2+((D466-'Hybrid Calculator'!$B$9)/800)^2+((E466-'Hybrid Calculator'!$B$10)/350)^2+((F466-'Hybrid Calculator'!$B$11)/30)^2+(G466-'Hybrid Calculator'!$B$12)^2+((H466-'Hybrid Calculator'!$E$14)/IF(A466="Lightning",100,30000))^2+((I466-'Hybrid Calculator'!$E$17)/IF(A466="Lightning",100,30000))^2</x:f>
        <x:v>0.34601803905872525</x:v>
      </x:c>
      <x:c r="K466" s="23" t="n">
        <x:f>RANK(J466,$J$2:$J$1401,1)</x:f>
        <x:v>645</x:v>
      </x:c>
      <x:c r="L466" s="23" t="n">
        <x:f>IF(K466&lt;=7,1,0)</x:f>
        <x:v>0</x:v>
      </x:c>
      <x:c r="M466" s="23" t="n">
        <x:f>IF(L466=1,1/(J466+0.000001),0)</x:f>
        <x:v>0</x:v>
      </x:c>
      <x:c r="N466" s="23" t="n">
        <x:v>-0.006363278251024118</x:v>
      </x:c>
      <x:c r="O466" s="23" t="n">
        <x:f>M466</x:f>
        <x:v>0</x:v>
      </x:c>
      <x:c r="P466" s="23" t="n">
        <x:v>0.4340471860459587</x:v>
      </x:c>
      <x:c r="Q466" s="23" t="n">
        <x:v>-16.760396011621424</x:v>
      </x:c>
    </x:row>
    <x:row r="467">
      <x:c r="A467" s="23" t="str">
        <x:v>Lightning</x:v>
      </x:c>
      <x:c r="B467" s="23" t="n">
        <x:v>1426.6716296668164</x:v>
      </x:c>
      <x:c r="C467" s="23" t="n">
        <x:v>945.7191987894475</x:v>
      </x:c>
      <x:c r="D467" s="23" t="n">
        <x:v>597.8825769387186</x:v>
      </x:c>
      <x:c r="E467" s="23" t="n">
        <x:v>105.50381852779537</x:v>
      </x:c>
      <x:c r="F467" s="23" t="n">
        <x:v>12.624573518987745</x:v>
      </x:c>
      <x:c r="G467" s="23" t="n">
        <x:v>0.826368781523779</x:v>
      </x:c>
      <x:c r="H467" s="23" t="n">
        <x:v>45</x:v>
      </x:c>
      <x:c r="I467" s="23" t="n">
        <x:v>25</x:v>
      </x:c>
      <x:c r="J467" s="23" t="n">
        <x:f>(IF(A467='Hybrid Calculator'!$B$6,0,1))^2+((B467-'Hybrid Calculator'!$B$7)/1500)^2+((C467-'Hybrid Calculator'!$B$8)/1300)^2+((D467-'Hybrid Calculator'!$B$9)/800)^2+((E467-'Hybrid Calculator'!$B$10)/350)^2+((F467-'Hybrid Calculator'!$B$11)/30)^2+(G467-'Hybrid Calculator'!$B$12)^2+((H467-'Hybrid Calculator'!$E$14)/IF(A467="Lightning",100,30000))^2+((I467-'Hybrid Calculator'!$E$17)/IF(A467="Lightning",100,30000))^2</x:f>
        <x:v>0.0774523080165565</x:v>
      </x:c>
      <x:c r="K467" s="23" t="n">
        <x:f>RANK(J467,$J$2:$J$1401,1)</x:f>
        <x:v>129</x:v>
      </x:c>
      <x:c r="L467" s="23" t="n">
        <x:f>IF(K467&lt;=7,1,0)</x:f>
        <x:v>0</x:v>
      </x:c>
      <x:c r="M467" s="23" t="n">
        <x:f>IF(L467=1,1/(J467+0.000001),0)</x:f>
        <x:v>0</x:v>
      </x:c>
      <x:c r="N467" s="23" t="n">
        <x:v>0.016281250109524636</x:v>
      </x:c>
      <x:c r="O467" s="23" t="n">
        <x:f>M467</x:f>
        <x:v>0</x:v>
      </x:c>
      <x:c r="P467" s="23" t="n">
        <x:v>-0.37747023176559935</x:v>
      </x:c>
      <x:c r="Q467" s="23" t="n">
        <x:v>5.305059591568806</x:v>
      </x:c>
    </x:row>
    <x:row r="468">
      <x:c r="A468" s="23" t="str">
        <x:v>Lightning</x:v>
      </x:c>
      <x:c r="B468" s="23" t="n">
        <x:v>1402.282440662384</x:v>
      </x:c>
      <x:c r="C468" s="23" t="n">
        <x:v>1098.1329197413288</x:v>
      </x:c>
      <x:c r="D468" s="23" t="n">
        <x:v>689.4933031871915</x:v>
      </x:c>
      <x:c r="E468" s="23" t="n">
        <x:v>320.5717806541361</x:v>
      </x:c>
      <x:c r="F468" s="23" t="n">
        <x:v>12.59450807981193</x:v>
      </x:c>
      <x:c r="G468" s="23" t="n">
        <x:v>0.843311504770536</x:v>
      </x:c>
      <x:c r="H468" s="23" t="n">
        <x:v>35</x:v>
      </x:c>
      <x:c r="I468" s="23" t="n">
        <x:v>25</x:v>
      </x:c>
      <x:c r="J468" s="23" t="n">
        <x:f>(IF(A468='Hybrid Calculator'!$B$6,0,1))^2+((B468-'Hybrid Calculator'!$B$7)/1500)^2+((C468-'Hybrid Calculator'!$B$8)/1300)^2+((D468-'Hybrid Calculator'!$B$9)/800)^2+((E468-'Hybrid Calculator'!$B$10)/350)^2+((F468-'Hybrid Calculator'!$B$11)/30)^2+(G468-'Hybrid Calculator'!$B$12)^2+((H468-'Hybrid Calculator'!$E$14)/IF(A468="Lightning",100,30000))^2+((I468-'Hybrid Calculator'!$E$17)/IF(A468="Lightning",100,30000))^2</x:f>
        <x:v>0.39206835472573387</x:v>
      </x:c>
      <x:c r="K468" s="23" t="n">
        <x:f>RANK(J468,$J$2:$J$1401,1)</x:f>
        <x:v>681</x:v>
      </x:c>
      <x:c r="L468" s="23" t="n">
        <x:f>IF(K468&lt;=7,1,0)</x:f>
        <x:v>0</x:v>
      </x:c>
      <x:c r="M468" s="23" t="n">
        <x:f>IF(L468=1,1/(J468+0.000001),0)</x:f>
        <x:v>0</x:v>
      </x:c>
      <x:c r="N468" s="23" t="n">
        <x:v>0.021354060698022703</x:v>
      </x:c>
      <x:c r="O468" s="23" t="n">
        <x:f>M468</x:f>
        <x:v>0</x:v>
      </x:c>
      <x:c r="P468" s="23" t="n">
        <x:v>0.560872625140739</x:v>
      </x:c>
      <x:c r="Q468" s="23" t="n">
        <x:v>-12.594226292452504</x:v>
      </x:c>
    </x:row>
    <x:row r="469">
      <x:c r="A469" s="23" t="str">
        <x:v>Lightning</x:v>
      </x:c>
      <x:c r="B469" s="23" t="n">
        <x:v>1498.760273179505</x:v>
      </x:c>
      <x:c r="C469" s="23" t="n">
        <x:v>726.2053499231115</x:v>
      </x:c>
      <x:c r="D469" s="23" t="n">
        <x:v>696.7845843173563</x:v>
      </x:c>
      <x:c r="E469" s="23" t="n">
        <x:v>145.39877294562757</x:v>
      </x:c>
      <x:c r="F469" s="23" t="n">
        <x:v>25.736779626924545</x:v>
      </x:c>
      <x:c r="G469" s="23" t="n">
        <x:v>0.7909609153913334</x:v>
      </x:c>
      <x:c r="H469" s="23" t="n">
        <x:v>40</x:v>
      </x:c>
      <x:c r="I469" s="23" t="n">
        <x:v>25</x:v>
      </x:c>
      <x:c r="J469" s="23" t="n">
        <x:f>(IF(A469='Hybrid Calculator'!$B$6,0,1))^2+((B469-'Hybrid Calculator'!$B$7)/1500)^2+((C469-'Hybrid Calculator'!$B$8)/1300)^2+((D469-'Hybrid Calculator'!$B$9)/800)^2+((E469-'Hybrid Calculator'!$B$10)/350)^2+((F469-'Hybrid Calculator'!$B$11)/30)^2+(G469-'Hybrid Calculator'!$B$12)^2+((H469-'Hybrid Calculator'!$E$14)/IF(A469="Lightning",100,30000))^2+((I469-'Hybrid Calculator'!$E$17)/IF(A469="Lightning",100,30000))^2</x:f>
        <x:v>0.1411987423341638</x:v>
      </x:c>
      <x:c r="K469" s="23" t="n">
        <x:f>RANK(J469,$J$2:$J$1401,1)</x:f>
        <x:v>306</x:v>
      </x:c>
      <x:c r="L469" s="23" t="n">
        <x:f>IF(K469&lt;=7,1,0)</x:f>
        <x:v>0</x:v>
      </x:c>
      <x:c r="M469" s="23" t="n">
        <x:f>IF(L469=1,1/(J469+0.000001),0)</x:f>
        <x:v>0</x:v>
      </x:c>
      <x:c r="N469" s="23" t="n">
        <x:v>0.0005793799297428848</x:v>
      </x:c>
      <x:c r="O469" s="23" t="n">
        <x:f>M469</x:f>
        <x:v>0</x:v>
      </x:c>
      <x:c r="P469" s="23" t="n">
        <x:v>0.47591364959474447</x:v>
      </x:c>
      <x:c r="Q469" s="23" t="n">
        <x:v>-14.481126661566577</x:v>
      </x:c>
    </x:row>
    <x:row r="470">
      <x:c r="A470" s="23" t="str">
        <x:v>Lightning</x:v>
      </x:c>
      <x:c r="B470" s="23" t="n">
        <x:v>1472.4869549972937</x:v>
      </x:c>
      <x:c r="C470" s="23" t="n">
        <x:v>964.7672866121866</x:v>
      </x:c>
      <x:c r="D470" s="23" t="n">
        <x:v>393.8106659799814</x:v>
      </x:c>
      <x:c r="E470" s="23" t="n">
        <x:v>107.01094857184216</x:v>
      </x:c>
      <x:c r="F470" s="23" t="n">
        <x:v>26.32059141341597</x:v>
      </x:c>
      <x:c r="G470" s="23" t="n">
        <x:v>0.8142324460553937</x:v>
      </x:c>
      <x:c r="H470" s="23" t="n">
        <x:v>45</x:v>
      </x:c>
      <x:c r="I470" s="23" t="n">
        <x:v>25</x:v>
      </x:c>
      <x:c r="J470" s="23" t="n">
        <x:f>(IF(A470='Hybrid Calculator'!$B$6,0,1))^2+((B470-'Hybrid Calculator'!$B$7)/1500)^2+((C470-'Hybrid Calculator'!$B$8)/1300)^2+((D470-'Hybrid Calculator'!$B$9)/800)^2+((E470-'Hybrid Calculator'!$B$10)/350)^2+((F470-'Hybrid Calculator'!$B$11)/30)^2+(G470-'Hybrid Calculator'!$B$12)^2+((H470-'Hybrid Calculator'!$E$14)/IF(A470="Lightning",100,30000))^2+((I470-'Hybrid Calculator'!$E$17)/IF(A470="Lightning",100,30000))^2</x:f>
        <x:v>0.11199190056335807</x:v>
      </x:c>
      <x:c r="K470" s="23" t="n">
        <x:f>RANK(J470,$J$2:$J$1401,1)</x:f>
        <x:v>233</x:v>
      </x:c>
      <x:c r="L470" s="23" t="n">
        <x:f>IF(K470&lt;=7,1,0)</x:f>
        <x:v>0</x:v>
      </x:c>
      <x:c r="M470" s="23" t="n">
        <x:f>IF(L470=1,1/(J470+0.000001),0)</x:f>
        <x:v>0</x:v>
      </x:c>
      <x:c r="N470" s="23" t="n">
        <x:v>-0.0006008786796734</x:v>
      </x:c>
      <x:c r="O470" s="23" t="n">
        <x:f>M470</x:f>
        <x:v>0</x:v>
      </x:c>
      <x:c r="P470" s="23" t="n">
        <x:v>-0.8967851725206444</x:v>
      </x:c>
      <x:c r="Q470" s="23" t="n">
        <x:v>-1.7298398636362435</x:v>
      </x:c>
    </x:row>
    <x:row r="471">
      <x:c r="A471" s="23" t="str">
        <x:v>Lightning</x:v>
      </x:c>
      <x:c r="B471" s="23" t="n">
        <x:v>1378.3918284229003</x:v>
      </x:c>
      <x:c r="C471" s="23" t="n">
        <x:v>1005.6685707997531</x:v>
      </x:c>
      <x:c r="D471" s="23" t="n">
        <x:v>523.079779278487</x:v>
      </x:c>
      <x:c r="E471" s="23" t="n">
        <x:v>151.26919541042298</x:v>
      </x:c>
      <x:c r="F471" s="23" t="n">
        <x:v>22.65266242204234</x:v>
      </x:c>
      <x:c r="G471" s="23" t="n">
        <x:v>0.7903549172729254</x:v>
      </x:c>
      <x:c r="H471" s="23" t="n">
        <x:v>45</x:v>
      </x:c>
      <x:c r="I471" s="23" t="n">
        <x:v>25</x:v>
      </x:c>
      <x:c r="J471" s="23" t="n">
        <x:f>(IF(A471='Hybrid Calculator'!$B$6,0,1))^2+((B471-'Hybrid Calculator'!$B$7)/1500)^2+((C471-'Hybrid Calculator'!$B$8)/1300)^2+((D471-'Hybrid Calculator'!$B$9)/800)^2+((E471-'Hybrid Calculator'!$B$10)/350)^2+((F471-'Hybrid Calculator'!$B$11)/30)^2+(G471-'Hybrid Calculator'!$B$12)^2+((H471-'Hybrid Calculator'!$E$14)/IF(A471="Lightning",100,30000))^2+((I471-'Hybrid Calculator'!$E$17)/IF(A471="Lightning",100,30000))^2</x:f>
        <x:v>0.038689314158635794</x:v>
      </x:c>
      <x:c r="K471" s="23" t="n">
        <x:f>RANK(J471,$J$2:$J$1401,1)</x:f>
        <x:v>34</x:v>
      </x:c>
      <x:c r="L471" s="23" t="n">
        <x:f>IF(K471&lt;=7,1,0)</x:f>
        <x:v>0</x:v>
      </x:c>
      <x:c r="M471" s="23" t="n">
        <x:f>IF(L471=1,1/(J471+0.000001),0)</x:f>
        <x:v>0</x:v>
      </x:c>
      <x:c r="N471" s="23" t="n">
        <x:v>0.005708906274332959</x:v>
      </x:c>
      <x:c r="O471" s="23" t="n">
        <x:f>M471</x:f>
        <x:v>0</x:v>
      </x:c>
      <x:c r="P471" s="23" t="n">
        <x:v>0.9770841245677673</x:v>
      </x:c>
      <x:c r="Q471" s="23" t="n">
        <x:v>-4.227004456491841</x:v>
      </x:c>
    </x:row>
    <x:row r="472">
      <x:c r="A472" s="23" t="str">
        <x:v>Lightning</x:v>
      </x:c>
      <x:c r="B472" s="23" t="n">
        <x:v>1378.3237501513213</x:v>
      </x:c>
      <x:c r="C472" s="23" t="n">
        <x:v>711.0669040004723</x:v>
      </x:c>
      <x:c r="D472" s="23" t="n">
        <x:v>437.2772729024291</x:v>
      </x:c>
      <x:c r="E472" s="23" t="n">
        <x:v>140.6906905886717</x:v>
      </x:c>
      <x:c r="F472" s="23" t="n">
        <x:v>28.30768097564578</x:v>
      </x:c>
      <x:c r="G472" s="23" t="n">
        <x:v>0.859584716076497</x:v>
      </x:c>
      <x:c r="H472" s="23" t="n">
        <x:v>55</x:v>
      </x:c>
      <x:c r="I472" s="23" t="n">
        <x:v>25</x:v>
      </x:c>
      <x:c r="J472" s="23" t="n">
        <x:f>(IF(A472='Hybrid Calculator'!$B$6,0,1))^2+((B472-'Hybrid Calculator'!$B$7)/1500)^2+((C472-'Hybrid Calculator'!$B$8)/1300)^2+((D472-'Hybrid Calculator'!$B$9)/800)^2+((E472-'Hybrid Calculator'!$B$10)/350)^2+((F472-'Hybrid Calculator'!$B$11)/30)^2+(G472-'Hybrid Calculator'!$B$12)^2+((H472-'Hybrid Calculator'!$E$14)/IF(A472="Lightning",100,30000))^2+((I472-'Hybrid Calculator'!$E$17)/IF(A472="Lightning",100,30000))^2</x:f>
        <x:v>0.1301897908656495</x:v>
      </x:c>
      <x:c r="K472" s="23" t="n">
        <x:f>RANK(J472,$J$2:$J$1401,1)</x:f>
        <x:v>277</x:v>
      </x:c>
      <x:c r="L472" s="23" t="n">
        <x:f>IF(K472&lt;=7,1,0)</x:f>
        <x:v>0</x:v>
      </x:c>
      <x:c r="M472" s="23" t="n">
        <x:f>IF(L472=1,1/(J472+0.000001),0)</x:f>
        <x:v>0</x:v>
      </x:c>
      <x:c r="N472" s="23" t="n">
        <x:v>-0.02027574346444605</x:v>
      </x:c>
      <x:c r="O472" s="23" t="n">
        <x:f>M472</x:f>
        <x:v>0</x:v>
      </x:c>
      <x:c r="P472" s="23" t="n">
        <x:v>-0.8531281173335046</x:v>
      </x:c>
      <x:c r="Q472" s="23" t="n">
        <x:v>-9.13975144072424</x:v>
      </x:c>
    </x:row>
    <x:row r="473">
      <x:c r="A473" s="23" t="str">
        <x:v>Lightning</x:v>
      </x:c>
      <x:c r="B473" s="23" t="n">
        <x:v>1401.0396048543043</x:v>
      </x:c>
      <x:c r="C473" s="23" t="n">
        <x:v>745.9479964105412</x:v>
      </x:c>
      <x:c r="D473" s="23" t="n">
        <x:v>745.1811929233372</x:v>
      </x:c>
      <x:c r="E473" s="23" t="n">
        <x:v>248.48619189113379</x:v>
      </x:c>
      <x:c r="F473" s="23" t="n">
        <x:v>11.30656327540055</x:v>
      </x:c>
      <x:c r="G473" s="23" t="n">
        <x:v>0.8295483502326534</x:v>
      </x:c>
      <x:c r="H473" s="23" t="n">
        <x:v>45</x:v>
      </x:c>
      <x:c r="I473" s="23" t="n">
        <x:v>25</x:v>
      </x:c>
      <x:c r="J473" s="23" t="n">
        <x:f>(IF(A473='Hybrid Calculator'!$B$6,0,1))^2+((B473-'Hybrid Calculator'!$B$7)/1500)^2+((C473-'Hybrid Calculator'!$B$8)/1300)^2+((D473-'Hybrid Calculator'!$B$9)/800)^2+((E473-'Hybrid Calculator'!$B$10)/350)^2+((F473-'Hybrid Calculator'!$B$11)/30)^2+(G473-'Hybrid Calculator'!$B$12)^2+((H473-'Hybrid Calculator'!$E$14)/IF(A473="Lightning",100,30000))^2+((I473-'Hybrid Calculator'!$E$17)/IF(A473="Lightning",100,30000))^2</x:f>
        <x:v>0.23985544059369782</x:v>
      </x:c>
      <x:c r="K473" s="23" t="n">
        <x:f>RANK(J473,$J$2:$J$1401,1)</x:f>
        <x:v>519</x:v>
      </x:c>
      <x:c r="L473" s="23" t="n">
        <x:f>IF(K473&lt;=7,1,0)</x:f>
        <x:v>0</x:v>
      </x:c>
      <x:c r="M473" s="23" t="n">
        <x:f>IF(L473=1,1/(J473+0.000001),0)</x:f>
        <x:v>0</x:v>
      </x:c>
      <x:c r="N473" s="23" t="n">
        <x:v>0.01253476971693579</x:v>
      </x:c>
      <x:c r="O473" s="23" t="n">
        <x:f>M473</x:f>
        <x:v>0</x:v>
      </x:c>
      <x:c r="P473" s="23" t="n">
        <x:v>-1.1136748886008547</x:v>
      </x:c>
      <x:c r="Q473" s="23" t="n">
        <x:v>6.384444046561384</x:v>
      </x:c>
    </x:row>
    <x:row r="474">
      <x:c r="A474" s="23" t="str">
        <x:v>Lightning</x:v>
      </x:c>
      <x:c r="B474" s="23" t="n">
        <x:v>1421.9040151918307</x:v>
      </x:c>
      <x:c r="C474" s="23" t="n">
        <x:v>670.6219709594734</x:v>
      </x:c>
      <x:c r="D474" s="23" t="n">
        <x:v>559.0187691152096</x:v>
      </x:c>
      <x:c r="E474" s="23" t="n">
        <x:v>243.1804271019064</x:v>
      </x:c>
      <x:c r="F474" s="23" t="n">
        <x:v>26.430613867007196</x:v>
      </x:c>
      <x:c r="G474" s="23" t="n">
        <x:v>0.8369015131308698</x:v>
      </x:c>
      <x:c r="H474" s="23" t="n">
        <x:v>50</x:v>
      </x:c>
      <x:c r="I474" s="23" t="n">
        <x:v>25</x:v>
      </x:c>
      <x:c r="J474" s="23" t="n">
        <x:f>(IF(A474='Hybrid Calculator'!$B$6,0,1))^2+((B474-'Hybrid Calculator'!$B$7)/1500)^2+((C474-'Hybrid Calculator'!$B$8)/1300)^2+((D474-'Hybrid Calculator'!$B$9)/800)^2+((E474-'Hybrid Calculator'!$B$10)/350)^2+((F474-'Hybrid Calculator'!$B$11)/30)^2+(G474-'Hybrid Calculator'!$B$12)^2+((H474-'Hybrid Calculator'!$E$14)/IF(A474="Lightning",100,30000))^2+((I474-'Hybrid Calculator'!$E$17)/IF(A474="Lightning",100,30000))^2</x:f>
        <x:v>0.16553301171805226</x:v>
      </x:c>
      <x:c r="K474" s="23" t="n">
        <x:f>RANK(J474,$J$2:$J$1401,1)</x:f>
        <x:v>368</x:v>
      </x:c>
      <x:c r="L474" s="23" t="n">
        <x:f>IF(K474&lt;=7,1,0)</x:f>
        <x:v>0</x:v>
      </x:c>
      <x:c r="M474" s="23" t="n">
        <x:f>IF(L474=1,1/(J474+0.000001),0)</x:f>
        <x:v>0</x:v>
      </x:c>
      <x:c r="N474" s="23" t="n">
        <x:v>0.0027137260093026416</x:v>
      </x:c>
      <x:c r="O474" s="23" t="n">
        <x:f>M474</x:f>
        <x:v>0</x:v>
      </x:c>
      <x:c r="P474" s="23" t="n">
        <x:v>-0.31953066677527175</x:v>
      </x:c>
      <x:c r="Q474" s="23" t="n">
        <x:v>-7.728566968020459</x:v>
      </x:c>
    </x:row>
    <x:row r="475">
      <x:c r="A475" s="23" t="str">
        <x:v>Lightning</x:v>
      </x:c>
      <x:c r="B475" s="23" t="n">
        <x:v>1434.3673659372143</x:v>
      </x:c>
      <x:c r="C475" s="23" t="n">
        <x:v>1142.5196297466755</x:v>
      </x:c>
      <x:c r="D475" s="23" t="n">
        <x:v>620.8604722283781</x:v>
      </x:c>
      <x:c r="E475" s="23" t="n">
        <x:v>156.2269563274458</x:v>
      </x:c>
      <x:c r="F475" s="23" t="n">
        <x:v>28.547818274702877</x:v>
      </x:c>
      <x:c r="G475" s="23" t="n">
        <x:v>0.8485683483909816</x:v>
      </x:c>
      <x:c r="H475" s="23" t="n">
        <x:v>35</x:v>
      </x:c>
      <x:c r="I475" s="23" t="n">
        <x:v>25</x:v>
      </x:c>
      <x:c r="J475" s="23" t="n">
        <x:f>(IF(A475='Hybrid Calculator'!$B$6,0,1))^2+((B475-'Hybrid Calculator'!$B$7)/1500)^2+((C475-'Hybrid Calculator'!$B$8)/1300)^2+((D475-'Hybrid Calculator'!$B$9)/800)^2+((E475-'Hybrid Calculator'!$B$10)/350)^2+((F475-'Hybrid Calculator'!$B$11)/30)^2+(G475-'Hybrid Calculator'!$B$12)^2+((H475-'Hybrid Calculator'!$E$14)/IF(A475="Lightning",100,30000))^2+((I475-'Hybrid Calculator'!$E$17)/IF(A475="Lightning",100,30000))^2</x:f>
        <x:v>0.20930358914006686</x:v>
      </x:c>
      <x:c r="K475" s="23" t="n">
        <x:f>RANK(J475,$J$2:$J$1401,1)</x:f>
        <x:v>463</x:v>
      </x:c>
      <x:c r="L475" s="23" t="n">
        <x:f>IF(K475&lt;=7,1,0)</x:f>
        <x:v>0</x:v>
      </x:c>
      <x:c r="M475" s="23" t="n">
        <x:f>IF(L475=1,1/(J475+0.000001),0)</x:f>
        <x:v>0</x:v>
      </x:c>
      <x:c r="N475" s="23" t="n">
        <x:v>0.009422614640213878</x:v>
      </x:c>
      <x:c r="O475" s="23" t="n">
        <x:f>M475</x:f>
        <x:v>0</x:v>
      </x:c>
      <x:c r="P475" s="23" t="n">
        <x:v>-0.32782867418004</x:v>
      </x:c>
      <x:c r="Q475" s="23" t="n">
        <x:v>-28.98120913645903</x:v>
      </x:c>
    </x:row>
    <x:row r="476">
      <x:c r="A476" s="23" t="str">
        <x:v>Lightning</x:v>
      </x:c>
      <x:c r="B476" s="23" t="n">
        <x:v>1395.811530109495</x:v>
      </x:c>
      <x:c r="C476" s="23" t="n">
        <x:v>697.7847128524445</x:v>
      </x:c>
      <x:c r="D476" s="23" t="n">
        <x:v>382.3722446337342</x:v>
      </x:c>
      <x:c r="E476" s="23" t="n">
        <x:v>145.5788472504355</x:v>
      </x:c>
      <x:c r="F476" s="23" t="n">
        <x:v>24.696814144030213</x:v>
      </x:c>
      <x:c r="G476" s="23" t="n">
        <x:v>0.8592255050246604</x:v>
      </x:c>
      <x:c r="H476" s="23" t="n">
        <x:v>60</x:v>
      </x:c>
      <x:c r="I476" s="23" t="n">
        <x:v>25</x:v>
      </x:c>
      <x:c r="J476" s="23" t="n">
        <x:f>(IF(A476='Hybrid Calculator'!$B$6,0,1))^2+((B476-'Hybrid Calculator'!$B$7)/1500)^2+((C476-'Hybrid Calculator'!$B$8)/1300)^2+((D476-'Hybrid Calculator'!$B$9)/800)^2+((E476-'Hybrid Calculator'!$B$10)/350)^2+((F476-'Hybrid Calculator'!$B$11)/30)^2+(G476-'Hybrid Calculator'!$B$12)^2+((H476-'Hybrid Calculator'!$E$14)/IF(A476="Lightning",100,30000))^2+((I476-'Hybrid Calculator'!$E$17)/IF(A476="Lightning",100,30000))^2</x:f>
        <x:v>0.09007304538245622</x:v>
      </x:c>
      <x:c r="K476" s="23" t="n">
        <x:f>RANK(J476,$J$2:$J$1401,1)</x:f>
        <x:v>174</x:v>
      </x:c>
      <x:c r="L476" s="23" t="n">
        <x:f>IF(K476&lt;=7,1,0)</x:f>
        <x:v>0</x:v>
      </x:c>
      <x:c r="M476" s="23" t="n">
        <x:f>IF(L476=1,1/(J476+0.000001),0)</x:f>
        <x:v>0</x:v>
      </x:c>
      <x:c r="N476" s="23" t="n">
        <x:v>-0.011881286902462485</x:v>
      </x:c>
      <x:c r="O476" s="23" t="n">
        <x:f>M476</x:f>
        <x:v>0</x:v>
      </x:c>
      <x:c r="P476" s="23" t="n">
        <x:v>-0.052200965534836996</x:v>
      </x:c>
      <x:c r="Q476" s="23" t="n">
        <x:v>4.088968982928691</x:v>
      </x:c>
    </x:row>
    <x:row r="477">
      <x:c r="A477" s="23" t="str">
        <x:v>Lightning</x:v>
      </x:c>
      <x:c r="B477" s="23" t="n">
        <x:v>1467.5511331879534</x:v>
      </x:c>
      <x:c r="C477" s="23" t="n">
        <x:v>969.9794541345909</x:v>
      </x:c>
      <x:c r="D477" s="23" t="n">
        <x:v>537.2846537269652</x:v>
      </x:c>
      <x:c r="E477" s="23" t="n">
        <x:v>131.67004116810858</x:v>
      </x:c>
      <x:c r="F477" s="23" t="n">
        <x:v>19.817725845146924</x:v>
      </x:c>
      <x:c r="G477" s="23" t="n">
        <x:v>0.7941551000485197</x:v>
      </x:c>
      <x:c r="H477" s="23" t="n">
        <x:v>40</x:v>
      </x:c>
      <x:c r="I477" s="23" t="n">
        <x:v>25</x:v>
      </x:c>
      <x:c r="J477" s="23" t="n">
        <x:f>(IF(A477='Hybrid Calculator'!$B$6,0,1))^2+((B477-'Hybrid Calculator'!$B$7)/1500)^2+((C477-'Hybrid Calculator'!$B$8)/1300)^2+((D477-'Hybrid Calculator'!$B$9)/800)^2+((E477-'Hybrid Calculator'!$B$10)/350)^2+((F477-'Hybrid Calculator'!$B$11)/30)^2+(G477-'Hybrid Calculator'!$B$12)^2+((H477-'Hybrid Calculator'!$E$14)/IF(A477="Lightning",100,30000))^2+((I477-'Hybrid Calculator'!$E$17)/IF(A477="Lightning",100,30000))^2</x:f>
        <x:v>0.026834653340113986</x:v>
      </x:c>
      <x:c r="K477" s="23" t="n">
        <x:f>RANK(J477,$J$2:$J$1401,1)</x:f>
        <x:v>19</x:v>
      </x:c>
      <x:c r="L477" s="23" t="n">
        <x:f>IF(K477&lt;=7,1,0)</x:f>
        <x:v>0</x:v>
      </x:c>
      <x:c r="M477" s="23" t="n">
        <x:f>IF(L477=1,1/(J477+0.000001),0)</x:f>
        <x:v>0</x:v>
      </x:c>
      <x:c r="N477" s="23" t="n">
        <x:v>-0.010880619679919601</x:v>
      </x:c>
      <x:c r="O477" s="23" t="n">
        <x:f>M477</x:f>
        <x:v>0</x:v>
      </x:c>
      <x:c r="P477" s="23" t="n">
        <x:v>0.6550065899310269</x:v>
      </x:c>
      <x:c r="Q477" s="23" t="n">
        <x:v>-6.803602226977091</x:v>
      </x:c>
    </x:row>
    <x:row r="478">
      <x:c r="A478" s="23" t="str">
        <x:v>Lightning</x:v>
      </x:c>
      <x:c r="B478" s="23" t="n">
        <x:v>1496.799541823566</x:v>
      </x:c>
      <x:c r="C478" s="23" t="n">
        <x:v>785.3109572432004</x:v>
      </x:c>
      <x:c r="D478" s="23" t="n">
        <x:v>734.3381049111485</x:v>
      </x:c>
      <x:c r="E478" s="23" t="n">
        <x:v>129.06526167178527</x:v>
      </x:c>
      <x:c r="F478" s="23" t="n">
        <x:v>22.40570749901235</x:v>
      </x:c>
      <x:c r="G478" s="23" t="n">
        <x:v>0.8137627375242301</x:v>
      </x:c>
      <x:c r="H478" s="23" t="n">
        <x:v>40</x:v>
      </x:c>
      <x:c r="I478" s="23" t="n">
        <x:v>25</x:v>
      </x:c>
      <x:c r="J478" s="23" t="n">
        <x:f>(IF(A478='Hybrid Calculator'!$B$6,0,1))^2+((B478-'Hybrid Calculator'!$B$7)/1500)^2+((C478-'Hybrid Calculator'!$B$8)/1300)^2+((D478-'Hybrid Calculator'!$B$9)/800)^2+((E478-'Hybrid Calculator'!$B$10)/350)^2+((F478-'Hybrid Calculator'!$B$11)/30)^2+(G478-'Hybrid Calculator'!$B$12)^2+((H478-'Hybrid Calculator'!$E$14)/IF(A478="Lightning",100,30000))^2+((I478-'Hybrid Calculator'!$E$17)/IF(A478="Lightning",100,30000))^2</x:f>
        <x:v>0.12113705776447986</x:v>
      </x:c>
      <x:c r="K478" s="23" t="n">
        <x:f>RANK(J478,$J$2:$J$1401,1)</x:f>
        <x:v>254</x:v>
      </x:c>
      <x:c r="L478" s="23" t="n">
        <x:f>IF(K478&lt;=7,1,0)</x:f>
        <x:v>0</x:v>
      </x:c>
      <x:c r="M478" s="23" t="n">
        <x:f>IF(L478=1,1/(J478+0.000001),0)</x:f>
        <x:v>0</x:v>
      </x:c>
      <x:c r="N478" s="23" t="n">
        <x:v>0.002257016813120627</x:v>
      </x:c>
      <x:c r="O478" s="23" t="n">
        <x:f>M478</x:f>
        <x:v>0</x:v>
      </x:c>
      <x:c r="P478" s="23" t="n">
        <x:v>0.3697308715684784</x:v>
      </x:c>
      <x:c r="Q478" s="23" t="n">
        <x:v>-1.1058636022380597</x:v>
      </x:c>
    </x:row>
    <x:row r="479">
      <x:c r="A479" s="23" t="str">
        <x:v>Lightning</x:v>
      </x:c>
      <x:c r="B479" s="23" t="n">
        <x:v>1444.4670212105848</x:v>
      </x:c>
      <x:c r="C479" s="23" t="n">
        <x:v>616.8598931515589</x:v>
      </x:c>
      <x:c r="D479" s="23" t="n">
        <x:v>422.0567882992327</x:v>
      </x:c>
      <x:c r="E479" s="23" t="n">
        <x:v>92.48185592703521</x:v>
      </x:c>
      <x:c r="F479" s="23" t="n">
        <x:v>22.98234685184434</x:v>
      </x:c>
      <x:c r="G479" s="23" t="n">
        <x:v>0.7902770141931251</x:v>
      </x:c>
      <x:c r="H479" s="23" t="n">
        <x:v>60</x:v>
      </x:c>
      <x:c r="I479" s="23" t="n">
        <x:v>25</x:v>
      </x:c>
      <x:c r="J479" s="23" t="n">
        <x:f>(IF(A479='Hybrid Calculator'!$B$6,0,1))^2+((B479-'Hybrid Calculator'!$B$7)/1500)^2+((C479-'Hybrid Calculator'!$B$8)/1300)^2+((D479-'Hybrid Calculator'!$B$9)/800)^2+((E479-'Hybrid Calculator'!$B$10)/350)^2+((F479-'Hybrid Calculator'!$B$11)/30)^2+(G479-'Hybrid Calculator'!$B$12)^2+((H479-'Hybrid Calculator'!$E$14)/IF(A479="Lightning",100,30000))^2+((I479-'Hybrid Calculator'!$E$17)/IF(A479="Lightning",100,30000))^2</x:f>
        <x:v>0.10203725748950454</x:v>
      </x:c>
      <x:c r="K479" s="23" t="n">
        <x:f>RANK(J479,$J$2:$J$1401,1)</x:f>
        <x:v>209</x:v>
      </x:c>
      <x:c r="L479" s="23" t="n">
        <x:f>IF(K479&lt;=7,1,0)</x:f>
        <x:v>0</x:v>
      </x:c>
      <x:c r="M479" s="23" t="n">
        <x:f>IF(L479=1,1/(J479+0.000001),0)</x:f>
        <x:v>0</x:v>
      </x:c>
      <x:c r="N479" s="23" t="n">
        <x:v>-0.018417065685896183</x:v>
      </x:c>
      <x:c r="O479" s="23" t="n">
        <x:f>M479</x:f>
        <x:v>0</x:v>
      </x:c>
      <x:c r="P479" s="23" t="n">
        <x:v>-1.2835038778153702</x:v>
      </x:c>
      <x:c r="Q479" s="23" t="n">
        <x:v>7.327322424857812</x:v>
      </x:c>
    </x:row>
    <x:row r="480">
      <x:c r="A480" s="23" t="str">
        <x:v>Lightning</x:v>
      </x:c>
      <x:c r="B480" s="23" t="n">
        <x:v>1443.5756324557588</x:v>
      </x:c>
      <x:c r="C480" s="23" t="n">
        <x:v>881.7690102965571</x:v>
      </x:c>
      <x:c r="D480" s="23" t="n">
        <x:v>544.0357286483049</x:v>
      </x:c>
      <x:c r="E480" s="23" t="n">
        <x:v>214.78469307301566</x:v>
      </x:c>
      <x:c r="F480" s="23" t="n">
        <x:v>12.422383205033839</x:v>
      </x:c>
      <x:c r="G480" s="23" t="n">
        <x:v>0.842811354759615</x:v>
      </x:c>
      <x:c r="H480" s="23" t="n">
        <x:v>45</x:v>
      </x:c>
      <x:c r="I480" s="23" t="n">
        <x:v>25</x:v>
      </x:c>
      <x:c r="J480" s="23" t="n">
        <x:f>(IF(A480='Hybrid Calculator'!$B$6,0,1))^2+((B480-'Hybrid Calculator'!$B$7)/1500)^2+((C480-'Hybrid Calculator'!$B$8)/1300)^2+((D480-'Hybrid Calculator'!$B$9)/800)^2+((E480-'Hybrid Calculator'!$B$10)/350)^2+((F480-'Hybrid Calculator'!$B$11)/30)^2+(G480-'Hybrid Calculator'!$B$12)^2+((H480-'Hybrid Calculator'!$E$14)/IF(A480="Lightning",100,30000))^2+((I480-'Hybrid Calculator'!$E$17)/IF(A480="Lightning",100,30000))^2</x:f>
        <x:v>0.08210410086952624</x:v>
      </x:c>
      <x:c r="K480" s="23" t="n">
        <x:f>RANK(J480,$J$2:$J$1401,1)</x:f>
        <x:v>145</x:v>
      </x:c>
      <x:c r="L480" s="23" t="n">
        <x:f>IF(K480&lt;=7,1,0)</x:f>
        <x:v>0</x:v>
      </x:c>
      <x:c r="M480" s="23" t="n">
        <x:f>IF(L480=1,1/(J480+0.000001),0)</x:f>
        <x:v>0</x:v>
      </x:c>
      <x:c r="N480" s="23" t="n">
        <x:v>0.010525633879181484</x:v>
      </x:c>
      <x:c r="O480" s="23" t="n">
        <x:f>M480</x:f>
        <x:v>0</x:v>
      </x:c>
      <x:c r="P480" s="23" t="n">
        <x:v>0.8557910670963622</x:v>
      </x:c>
      <x:c r="Q480" s="23" t="n">
        <x:v>1.5731676773627896</x:v>
      </x:c>
    </x:row>
    <x:row r="481">
      <x:c r="A481" s="23" t="str">
        <x:v>Lightning</x:v>
      </x:c>
      <x:c r="B481" s="23" t="n">
        <x:v>1456.2279342091642</x:v>
      </x:c>
      <x:c r="C481" s="23" t="n">
        <x:v>1196.2653884198517</x:v>
      </x:c>
      <x:c r="D481" s="23" t="n">
        <x:v>441.75614519044757</x:v>
      </x:c>
      <x:c r="E481" s="23" t="n">
        <x:v>137.50019929837435</x:v>
      </x:c>
      <x:c r="F481" s="23" t="n">
        <x:v>14.88636254100129</x:v>
      </x:c>
      <x:c r="G481" s="23" t="n">
        <x:v>0.8593701768293978</x:v>
      </x:c>
      <x:c r="H481" s="23" t="n">
        <x:v>40</x:v>
      </x:c>
      <x:c r="I481" s="23" t="n">
        <x:v>25</x:v>
      </x:c>
      <x:c r="J481" s="23" t="n">
        <x:f>(IF(A481='Hybrid Calculator'!$B$6,0,1))^2+((B481-'Hybrid Calculator'!$B$7)/1500)^2+((C481-'Hybrid Calculator'!$B$8)/1300)^2+((D481-'Hybrid Calculator'!$B$9)/800)^2+((E481-'Hybrid Calculator'!$B$10)/350)^2+((F481-'Hybrid Calculator'!$B$11)/30)^2+(G481-'Hybrid Calculator'!$B$12)^2+((H481-'Hybrid Calculator'!$E$14)/IF(A481="Lightning",100,30000))^2+((I481-'Hybrid Calculator'!$E$17)/IF(A481="Lightning",100,30000))^2</x:f>
        <x:v>0.10401532274436912</x:v>
      </x:c>
      <x:c r="K481" s="23" t="n">
        <x:f>RANK(J481,$J$2:$J$1401,1)</x:f>
        <x:v>214</x:v>
      </x:c>
      <x:c r="L481" s="23" t="n">
        <x:f>IF(K481&lt;=7,1,0)</x:f>
        <x:v>0</x:v>
      </x:c>
      <x:c r="M481" s="23" t="n">
        <x:f>IF(L481=1,1/(J481+0.000001),0)</x:f>
        <x:v>0</x:v>
      </x:c>
      <x:c r="N481" s="23" t="n">
        <x:v>0.013499407923861062</x:v>
      </x:c>
      <x:c r="O481" s="23" t="n">
        <x:f>M481</x:f>
        <x:v>0</x:v>
      </x:c>
      <x:c r="P481" s="23" t="n">
        <x:v>-0.2699279201465501</x:v>
      </x:c>
      <x:c r="Q481" s="23" t="n">
        <x:v>8.91969213659172</x:v>
      </x:c>
    </x:row>
    <x:row r="482">
      <x:c r="A482" s="23" t="str">
        <x:v>Lightning</x:v>
      </x:c>
      <x:c r="B482" s="23" t="n">
        <x:v>1433.0999282654375</x:v>
      </x:c>
      <x:c r="C482" s="23" t="n">
        <x:v>788.5269674356095</x:v>
      </x:c>
      <x:c r="D482" s="23" t="n">
        <x:v>567.7938094362617</x:v>
      </x:c>
      <x:c r="E482" s="23" t="n">
        <x:v>164.42442660452798</x:v>
      </x:c>
      <x:c r="F482" s="23" t="n">
        <x:v>19.238558772951365</x:v>
      </x:c>
      <x:c r="G482" s="23" t="n">
        <x:v>0.8002933163219131</x:v>
      </x:c>
      <x:c r="H482" s="23" t="n">
        <x:v>50</x:v>
      </x:c>
      <x:c r="I482" s="23" t="n">
        <x:v>25</x:v>
      </x:c>
      <x:c r="J482" s="23" t="n">
        <x:f>(IF(A482='Hybrid Calculator'!$B$6,0,1))^2+((B482-'Hybrid Calculator'!$B$7)/1500)^2+((C482-'Hybrid Calculator'!$B$8)/1300)^2+((D482-'Hybrid Calculator'!$B$9)/800)^2+((E482-'Hybrid Calculator'!$B$10)/350)^2+((F482-'Hybrid Calculator'!$B$11)/30)^2+(G482-'Hybrid Calculator'!$B$12)^2+((H482-'Hybrid Calculator'!$E$14)/IF(A482="Lightning",100,30000))^2+((I482-'Hybrid Calculator'!$E$17)/IF(A482="Lightning",100,30000))^2</x:f>
        <x:v>0.01213937830610077</x:v>
      </x:c>
      <x:c r="K482" s="23" t="n">
        <x:f>RANK(J482,$J$2:$J$1401,1)</x:f>
        <x:v>4</x:v>
      </x:c>
      <x:c r="L482" s="23" t="n">
        <x:f>IF(K482&lt;=7,1,0)</x:f>
        <x:v>1</x:v>
      </x:c>
      <x:c r="M482" s="23" t="n">
        <x:f>IF(L482=1,1/(J482+0.000001),0)</x:f>
        <x:v>82.36975609709634</x:v>
      </x:c>
      <x:c r="N482" s="23" t="n">
        <x:v>-0.00817680034154411</x:v>
      </x:c>
      <x:c r="O482" s="23" t="n">
        <x:f>M482</x:f>
        <x:v>82.36975609709634</x:v>
      </x:c>
      <x:c r="P482" s="23" t="n">
        <x:v>-1.01422581249237</x:v>
      </x:c>
      <x:c r="Q482" s="23" t="n">
        <x:v>9.958373304365296</x:v>
      </x:c>
    </x:row>
    <x:row r="483">
      <x:c r="A483" s="23" t="str">
        <x:v>Lightning</x:v>
      </x:c>
      <x:c r="B483" s="23" t="n">
        <x:v>1441.355026338715</x:v>
      </x:c>
      <x:c r="C483" s="23" t="n">
        <x:v>1079.3821313185617</x:v>
      </x:c>
      <x:c r="D483" s="23" t="n">
        <x:v>624.2013608105481</x:v>
      </x:c>
      <x:c r="E483" s="23" t="n">
        <x:v>276.58147916197777</x:v>
      </x:c>
      <x:c r="F483" s="23" t="n">
        <x:v>16.41447941446677</x:v>
      </x:c>
      <x:c r="G483" s="23" t="n">
        <x:v>0.8362663749558852</x:v>
      </x:c>
      <x:c r="H483" s="23" t="n">
        <x:v>35</x:v>
      </x:c>
      <x:c r="I483" s="23" t="n">
        <x:v>25</x:v>
      </x:c>
      <x:c r="J483" s="23" t="n">
        <x:f>(IF(A483='Hybrid Calculator'!$B$6,0,1))^2+((B483-'Hybrid Calculator'!$B$7)/1500)^2+((C483-'Hybrid Calculator'!$B$8)/1300)^2+((D483-'Hybrid Calculator'!$B$9)/800)^2+((E483-'Hybrid Calculator'!$B$10)/350)^2+((F483-'Hybrid Calculator'!$B$11)/30)^2+(G483-'Hybrid Calculator'!$B$12)^2+((H483-'Hybrid Calculator'!$E$14)/IF(A483="Lightning",100,30000))^2+((I483-'Hybrid Calculator'!$E$17)/IF(A483="Lightning",100,30000))^2</x:f>
        <x:v>0.21375200064970343</x:v>
      </x:c>
      <x:c r="K483" s="23" t="n">
        <x:f>RANK(J483,$J$2:$J$1401,1)</x:f>
        <x:v>476</x:v>
      </x:c>
      <x:c r="L483" s="23" t="n">
        <x:f>IF(K483&lt;=7,1,0)</x:f>
        <x:v>0</x:v>
      </x:c>
      <x:c r="M483" s="23" t="n">
        <x:f>IF(L483=1,1/(J483+0.000001),0)</x:f>
        <x:v>0</x:v>
      </x:c>
      <x:c r="N483" s="23" t="n">
        <x:v>0.00031970971812889104</x:v>
      </x:c>
      <x:c r="O483" s="23" t="n">
        <x:f>M483</x:f>
        <x:v>0</x:v>
      </x:c>
      <x:c r="P483" s="23" t="n">
        <x:v>1.3455339467715817</x:v>
      </x:c>
      <x:c r="Q483" s="23" t="n">
        <x:v>-3.730395902981172</x:v>
      </x:c>
    </x:row>
    <x:row r="484">
      <x:c r="A484" s="23" t="str">
        <x:v>Lightning</x:v>
      </x:c>
      <x:c r="B484" s="23" t="n">
        <x:v>1350.6717706331983</x:v>
      </x:c>
      <x:c r="C484" s="23" t="n">
        <x:v>1095.834821567405</x:v>
      </x:c>
      <x:c r="D484" s="23" t="n">
        <x:v>694.5007182657719</x:v>
      </x:c>
      <x:c r="E484" s="23" t="n">
        <x:v>175.31157690798864</x:v>
      </x:c>
      <x:c r="F484" s="23" t="n">
        <x:v>13.418139143846929</x:v>
      </x:c>
      <x:c r="G484" s="23" t="n">
        <x:v>0.8512560684024357</x:v>
      </x:c>
      <x:c r="H484" s="23" t="n">
        <x:v>45</x:v>
      </x:c>
      <x:c r="I484" s="23" t="n">
        <x:v>25</x:v>
      </x:c>
      <x:c r="J484" s="23" t="n">
        <x:f>(IF(A484='Hybrid Calculator'!$B$6,0,1))^2+((B484-'Hybrid Calculator'!$B$7)/1500)^2+((C484-'Hybrid Calculator'!$B$8)/1300)^2+((D484-'Hybrid Calculator'!$B$9)/800)^2+((E484-'Hybrid Calculator'!$B$10)/350)^2+((F484-'Hybrid Calculator'!$B$11)/30)^2+(G484-'Hybrid Calculator'!$B$12)^2+((H484-'Hybrid Calculator'!$E$14)/IF(A484="Lightning",100,30000))^2+((I484-'Hybrid Calculator'!$E$17)/IF(A484="Lightning",100,30000))^2</x:f>
        <x:v>0.13472756876514744</x:v>
      </x:c>
      <x:c r="K484" s="23" t="n">
        <x:f>RANK(J484,$J$2:$J$1401,1)</x:f>
        <x:v>290</x:v>
      </x:c>
      <x:c r="L484" s="23" t="n">
        <x:f>IF(K484&lt;=7,1,0)</x:f>
        <x:v>0</x:v>
      </x:c>
      <x:c r="M484" s="23" t="n">
        <x:f>IF(L484=1,1/(J484+0.000001),0)</x:f>
        <x:v>0</x:v>
      </x:c>
      <x:c r="N484" s="23" t="n">
        <x:v>0.023630079450785546</x:v>
      </x:c>
      <x:c r="O484" s="23" t="n">
        <x:f>M484</x:f>
        <x:v>0</x:v>
      </x:c>
      <x:c r="P484" s="23" t="n">
        <x:v>0.5689464600285135</x:v>
      </x:c>
      <x:c r="Q484" s="23" t="n">
        <x:v>-3.899154739898904</x:v>
      </x:c>
    </x:row>
    <x:row r="485">
      <x:c r="A485" s="23" t="str">
        <x:v>Lightning</x:v>
      </x:c>
      <x:c r="B485" s="23" t="n">
        <x:v>1365.8251065644436</x:v>
      </x:c>
      <x:c r="C485" s="23" t="n">
        <x:v>1123.962297476828</x:v>
      </x:c>
      <x:c r="D485" s="23" t="n">
        <x:v>717.1703382395208</x:v>
      </x:c>
      <x:c r="E485" s="23" t="n">
        <x:v>268.5533296735957</x:v>
      </x:c>
      <x:c r="F485" s="23" t="n">
        <x:v>11.528090292122215</x:v>
      </x:c>
      <x:c r="G485" s="23" t="n">
        <x:v>0.8144586049672217</x:v>
      </x:c>
      <x:c r="H485" s="23" t="n">
        <x:v>35</x:v>
      </x:c>
      <x:c r="I485" s="23" t="n">
        <x:v>25</x:v>
      </x:c>
      <x:c r="J485" s="23" t="n">
        <x:f>(IF(A485='Hybrid Calculator'!$B$6,0,1))^2+((B485-'Hybrid Calculator'!$B$7)/1500)^2+((C485-'Hybrid Calculator'!$B$8)/1300)^2+((D485-'Hybrid Calculator'!$B$9)/800)^2+((E485-'Hybrid Calculator'!$B$10)/350)^2+((F485-'Hybrid Calculator'!$B$11)/30)^2+(G485-'Hybrid Calculator'!$B$12)^2+((H485-'Hybrid Calculator'!$E$14)/IF(A485="Lightning",100,30000))^2+((I485-'Hybrid Calculator'!$E$17)/IF(A485="Lightning",100,30000))^2</x:f>
        <x:v>0.31093273959280987</x:v>
      </x:c>
      <x:c r="K485" s="23" t="n">
        <x:f>RANK(J485,$J$2:$J$1401,1)</x:f>
        <x:v>607</x:v>
      </x:c>
      <x:c r="L485" s="23" t="n">
        <x:f>IF(K485&lt;=7,1,0)</x:f>
        <x:v>0</x:v>
      </x:c>
      <x:c r="M485" s="23" t="n">
        <x:f>IF(L485=1,1/(J485+0.000001),0)</x:f>
        <x:v>0</x:v>
      </x:c>
      <x:c r="N485" s="23" t="n">
        <x:v>0.020743087790768167</x:v>
      </x:c>
      <x:c r="O485" s="23" t="n">
        <x:f>M485</x:f>
        <x:v>0</x:v>
      </x:c>
      <x:c r="P485" s="23" t="n">
        <x:v>-0.47113419738126083</x:v>
      </x:c>
      <x:c r="Q485" s="23" t="n">
        <x:v>-4.545260238706987</x:v>
      </x:c>
    </x:row>
    <x:row r="486">
      <x:c r="A486" s="23" t="str">
        <x:v>Lightning</x:v>
      </x:c>
      <x:c r="B486" s="23" t="n">
        <x:v>1435.7281004078686</x:v>
      </x:c>
      <x:c r="C486" s="23" t="n">
        <x:v>1040.8802816062234</x:v>
      </x:c>
      <x:c r="D486" s="23" t="n">
        <x:v>691.0367885604501</x:v>
      </x:c>
      <x:c r="E486" s="23" t="n">
        <x:v>301.81610768893734</x:v>
      </x:c>
      <x:c r="F486" s="23" t="n">
        <x:v>9.378777103498578</x:v>
      </x:c>
      <x:c r="G486" s="23" t="n">
        <x:v>0.8477553975512274</x:v>
      </x:c>
      <x:c r="H486" s="23" t="n">
        <x:v>35</x:v>
      </x:c>
      <x:c r="I486" s="23" t="n">
        <x:v>25</x:v>
      </x:c>
      <x:c r="J486" s="23" t="n">
        <x:f>(IF(A486='Hybrid Calculator'!$B$6,0,1))^2+((B486-'Hybrid Calculator'!$B$7)/1500)^2+((C486-'Hybrid Calculator'!$B$8)/1300)^2+((D486-'Hybrid Calculator'!$B$9)/800)^2+((E486-'Hybrid Calculator'!$B$10)/350)^2+((F486-'Hybrid Calculator'!$B$11)/30)^2+(G486-'Hybrid Calculator'!$B$12)^2+((H486-'Hybrid Calculator'!$E$14)/IF(A486="Lightning",100,30000))^2+((I486-'Hybrid Calculator'!$E$17)/IF(A486="Lightning",100,30000))^2</x:f>
        <x:v>0.38249316556575674</x:v>
      </x:c>
      <x:c r="K486" s="23" t="n">
        <x:f>RANK(J486,$J$2:$J$1401,1)</x:f>
        <x:v>676</x:v>
      </x:c>
      <x:c r="L486" s="23" t="n">
        <x:f>IF(K486&lt;=7,1,0)</x:f>
        <x:v>0</x:v>
      </x:c>
      <x:c r="M486" s="23" t="n">
        <x:f>IF(L486=1,1/(J486+0.000001),0)</x:f>
        <x:v>0</x:v>
      </x:c>
      <x:c r="N486" s="23" t="n">
        <x:v>0.021141676769794948</x:v>
      </x:c>
      <x:c r="O486" s="23" t="n">
        <x:f>M486</x:f>
        <x:v>0</x:v>
      </x:c>
      <x:c r="P486" s="23" t="n">
        <x:v>1.034574487114412</x:v>
      </x:c>
      <x:c r="Q486" s="23" t="n">
        <x:v>-9.843015469454713</x:v>
      </x:c>
    </x:row>
    <x:row r="487">
      <x:c r="A487" s="23" t="str">
        <x:v>Lightning</x:v>
      </x:c>
      <x:c r="B487" s="23" t="n">
        <x:v>1412.619032675866</x:v>
      </x:c>
      <x:c r="C487" s="23" t="n">
        <x:v>733.3582979859784</x:v>
      </x:c>
      <x:c r="D487" s="23" t="n">
        <x:v>426.55341112986207</x:v>
      </x:c>
      <x:c r="E487" s="23" t="n">
        <x:v>305.68007674999535</x:v>
      </x:c>
      <x:c r="F487" s="23" t="n">
        <x:v>24.61169657157734</x:v>
      </x:c>
      <x:c r="G487" s="23" t="n">
        <x:v>0.8581841369206086</x:v>
      </x:c>
      <x:c r="H487" s="23" t="n">
        <x:v>50</x:v>
      </x:c>
      <x:c r="I487" s="23" t="n">
        <x:v>25</x:v>
      </x:c>
      <x:c r="J487" s="23" t="n">
        <x:f>(IF(A487='Hybrid Calculator'!$B$6,0,1))^2+((B487-'Hybrid Calculator'!$B$7)/1500)^2+((C487-'Hybrid Calculator'!$B$8)/1300)^2+((D487-'Hybrid Calculator'!$B$9)/800)^2+((E487-'Hybrid Calculator'!$B$10)/350)^2+((F487-'Hybrid Calculator'!$B$11)/30)^2+(G487-'Hybrid Calculator'!$B$12)^2+((H487-'Hybrid Calculator'!$E$14)/IF(A487="Lightning",100,30000))^2+((I487-'Hybrid Calculator'!$E$17)/IF(A487="Lightning",100,30000))^2</x:f>
        <x:v>0.2573557592126657</x:v>
      </x:c>
      <x:c r="K487" s="23" t="n">
        <x:f>RANK(J487,$J$2:$J$1401,1)</x:f>
        <x:v>554</x:v>
      </x:c>
      <x:c r="L487" s="23" t="n">
        <x:f>IF(K487&lt;=7,1,0)</x:f>
        <x:v>0</x:v>
      </x:c>
      <x:c r="M487" s="23" t="n">
        <x:f>IF(L487=1,1/(J487+0.000001),0)</x:f>
        <x:v>0</x:v>
      </x:c>
      <x:c r="N487" s="23" t="n">
        <x:v>0.0031094606528196955</x:v>
      </x:c>
      <x:c r="O487" s="23" t="n">
        <x:f>M487</x:f>
        <x:v>0</x:v>
      </x:c>
      <x:c r="P487" s="23" t="n">
        <x:v>-1.3822021781749783</x:v>
      </x:c>
      <x:c r="Q487" s="23" t="n">
        <x:v>-8.451601574827691</x:v>
      </x:c>
    </x:row>
    <x:row r="488">
      <x:c r="A488" s="23" t="str">
        <x:v>Lightning</x:v>
      </x:c>
      <x:c r="B488" s="23" t="n">
        <x:v>1401.1110169580206</x:v>
      </x:c>
      <x:c r="C488" s="23" t="n">
        <x:v>1037.286395917181</x:v>
      </x:c>
      <x:c r="D488" s="23" t="n">
        <x:v>590.9896787256002</x:v>
      </x:c>
      <x:c r="E488" s="23" t="n">
        <x:v>229.62994930101559</x:v>
      </x:c>
      <x:c r="F488" s="23" t="n">
        <x:v>16.833199423737824</x:v>
      </x:c>
      <x:c r="G488" s="23" t="n">
        <x:v>0.7978409310127609</x:v>
      </x:c>
      <x:c r="H488" s="23" t="n">
        <x:v>40</x:v>
      </x:c>
      <x:c r="I488" s="23" t="n">
        <x:v>25</x:v>
      </x:c>
      <x:c r="J488" s="23" t="n">
        <x:f>(IF(A488='Hybrid Calculator'!$B$6,0,1))^2+((B488-'Hybrid Calculator'!$B$7)/1500)^2+((C488-'Hybrid Calculator'!$B$8)/1300)^2+((D488-'Hybrid Calculator'!$B$9)/800)^2+((E488-'Hybrid Calculator'!$B$10)/350)^2+((F488-'Hybrid Calculator'!$B$11)/30)^2+(G488-'Hybrid Calculator'!$B$12)^2+((H488-'Hybrid Calculator'!$E$14)/IF(A488="Lightning",100,30000))^2+((I488-'Hybrid Calculator'!$E$17)/IF(A488="Lightning",100,30000))^2</x:f>
        <x:v>0.09928553346938088</x:v>
      </x:c>
      <x:c r="K488" s="23" t="n">
        <x:f>RANK(J488,$J$2:$J$1401,1)</x:f>
        <x:v>202</x:v>
      </x:c>
      <x:c r="L488" s="23" t="n">
        <x:f>IF(K488&lt;=7,1,0)</x:f>
        <x:v>0</x:v>
      </x:c>
      <x:c r="M488" s="23" t="n">
        <x:f>IF(L488=1,1/(J488+0.000001),0)</x:f>
        <x:v>0</x:v>
      </x:c>
      <x:c r="N488" s="23" t="n">
        <x:v>0.00018969634408527725</x:v>
      </x:c>
      <x:c r="O488" s="23" t="n">
        <x:f>M488</x:f>
        <x:v>0</x:v>
      </x:c>
      <x:c r="P488" s="23" t="n">
        <x:v>0.5656790054285281</x:v>
      </x:c>
      <x:c r="Q488" s="23" t="n">
        <x:v>-5.831505188552228</x:v>
      </x:c>
    </x:row>
    <x:row r="489">
      <x:c r="A489" s="23" t="str">
        <x:v>Lightning</x:v>
      </x:c>
      <x:c r="B489" s="23" t="n">
        <x:v>1388.5689975111745</x:v>
      </x:c>
      <x:c r="C489" s="23" t="n">
        <x:v>1232.6340960804373</x:v>
      </x:c>
      <x:c r="D489" s="23" t="n">
        <x:v>548.2907521538436</x:v>
      </x:c>
      <x:c r="E489" s="23" t="n">
        <x:v>85.41004107799381</x:v>
      </x:c>
      <x:c r="F489" s="23" t="n">
        <x:v>26.27252599550411</x:v>
      </x:c>
      <x:c r="G489" s="23" t="n">
        <x:v>0.8394014241732657</x:v>
      </x:c>
      <x:c r="H489" s="23" t="n">
        <x:v>35</x:v>
      </x:c>
      <x:c r="I489" s="23" t="n">
        <x:v>25</x:v>
      </x:c>
      <x:c r="J489" s="23" t="n">
        <x:f>(IF(A489='Hybrid Calculator'!$B$6,0,1))^2+((B489-'Hybrid Calculator'!$B$7)/1500)^2+((C489-'Hybrid Calculator'!$B$8)/1300)^2+((D489-'Hybrid Calculator'!$B$9)/800)^2+((E489-'Hybrid Calculator'!$B$10)/350)^2+((F489-'Hybrid Calculator'!$B$11)/30)^2+(G489-'Hybrid Calculator'!$B$12)^2+((H489-'Hybrid Calculator'!$E$14)/IF(A489="Lightning",100,30000))^2+((I489-'Hybrid Calculator'!$E$17)/IF(A489="Lightning",100,30000))^2</x:f>
        <x:v>0.21492313672827792</x:v>
      </x:c>
      <x:c r="K489" s="23" t="n">
        <x:f>RANK(J489,$J$2:$J$1401,1)</x:f>
        <x:v>479</x:v>
      </x:c>
      <x:c r="L489" s="23" t="n">
        <x:f>IF(K489&lt;=7,1,0)</x:f>
        <x:v>0</x:v>
      </x:c>
      <x:c r="M489" s="23" t="n">
        <x:f>IF(L489=1,1/(J489+0.000001),0)</x:f>
        <x:v>0</x:v>
      </x:c>
      <x:c r="N489" s="23" t="n">
        <x:v>-0.007312665659696238</x:v>
      </x:c>
      <x:c r="O489" s="23" t="n">
        <x:f>M489</x:f>
        <x:v>0</x:v>
      </x:c>
      <x:c r="P489" s="23" t="n">
        <x:v>0.3827317797223557</x:v>
      </x:c>
      <x:c r="Q489" s="23" t="n">
        <x:v>-15.088515776235226</x:v>
      </x:c>
    </x:row>
    <x:row r="490">
      <x:c r="A490" s="23" t="str">
        <x:v>Lightning</x:v>
      </x:c>
      <x:c r="B490" s="23" t="n">
        <x:v>1412.203959049657</x:v>
      </x:c>
      <x:c r="C490" s="23" t="n">
        <x:v>731.5050803008489</x:v>
      </x:c>
      <x:c r="D490" s="23" t="n">
        <x:v>532.9119710251689</x:v>
      </x:c>
      <x:c r="E490" s="23" t="n">
        <x:v>106.87366149621084</x:v>
      </x:c>
      <x:c r="F490" s="23" t="n">
        <x:v>24.756869673728943</x:v>
      </x:c>
      <x:c r="G490" s="23" t="n">
        <x:v>0.8462773243174888</x:v>
      </x:c>
      <x:c r="H490" s="23" t="n">
        <x:v>55</x:v>
      </x:c>
      <x:c r="I490" s="23" t="n">
        <x:v>25</x:v>
      </x:c>
      <x:c r="J490" s="23" t="n">
        <x:f>(IF(A490='Hybrid Calculator'!$B$6,0,1))^2+((B490-'Hybrid Calculator'!$B$7)/1500)^2+((C490-'Hybrid Calculator'!$B$8)/1300)^2+((D490-'Hybrid Calculator'!$B$9)/800)^2+((E490-'Hybrid Calculator'!$B$10)/350)^2+((F490-'Hybrid Calculator'!$B$11)/30)^2+(G490-'Hybrid Calculator'!$B$12)^2+((H490-'Hybrid Calculator'!$E$14)/IF(A490="Lightning",100,30000))^2+((I490-'Hybrid Calculator'!$E$17)/IF(A490="Lightning",100,30000))^2</x:f>
        <x:v>0.07194502335569834</x:v>
      </x:c>
      <x:c r="K490" s="23" t="n">
        <x:f>RANK(J490,$J$2:$J$1401,1)</x:f>
        <x:v>115</x:v>
      </x:c>
      <x:c r="L490" s="23" t="n">
        <x:f>IF(K490&lt;=7,1,0)</x:f>
        <x:v>0</x:v>
      </x:c>
      <x:c r="M490" s="23" t="n">
        <x:f>IF(L490=1,1/(J490+0.000001),0)</x:f>
        <x:v>0</x:v>
      </x:c>
      <x:c r="N490" s="23" t="n">
        <x:v>-0.005398421464105629</x:v>
      </x:c>
      <x:c r="O490" s="23" t="n">
        <x:f>M490</x:f>
        <x:v>0</x:v>
      </x:c>
      <x:c r="P490" s="23" t="n">
        <x:v>-1.175889731380778</x:v>
      </x:c>
      <x:c r="Q490" s="23" t="n">
        <x:v>3.7176715619220886</x:v>
      </x:c>
    </x:row>
    <x:row r="491">
      <x:c r="A491" s="23" t="str">
        <x:v>Lightning</x:v>
      </x:c>
      <x:c r="B491" s="23" t="n">
        <x:v>1466.7977036093362</x:v>
      </x:c>
      <x:c r="C491" s="23" t="n">
        <x:v>1176.3789469143376</x:v>
      </x:c>
      <x:c r="D491" s="23" t="n">
        <x:v>700.8041662164032</x:v>
      </x:c>
      <x:c r="E491" s="23" t="n">
        <x:v>329.49909234419465</x:v>
      </x:c>
      <x:c r="F491" s="23" t="n">
        <x:v>11.141706815455109</x:v>
      </x:c>
      <x:c r="G491" s="23" t="n">
        <x:v>0.8241424707835541</x:v>
      </x:c>
      <x:c r="H491" s="23" t="n">
        <x:v>35</x:v>
      </x:c>
      <x:c r="I491" s="23" t="n">
        <x:v>25</x:v>
      </x:c>
      <x:c r="J491" s="23" t="n">
        <x:f>(IF(A491='Hybrid Calculator'!$B$6,0,1))^2+((B491-'Hybrid Calculator'!$B$7)/1500)^2+((C491-'Hybrid Calculator'!$B$8)/1300)^2+((D491-'Hybrid Calculator'!$B$9)/800)^2+((E491-'Hybrid Calculator'!$B$10)/350)^2+((F491-'Hybrid Calculator'!$B$11)/30)^2+(G491-'Hybrid Calculator'!$B$12)^2+((H491-'Hybrid Calculator'!$E$14)/IF(A491="Lightning",100,30000))^2+((I491-'Hybrid Calculator'!$E$17)/IF(A491="Lightning",100,30000))^2</x:f>
        <x:v>0.4725090502898971</x:v>
      </x:c>
      <x:c r="K491" s="23" t="n">
        <x:f>RANK(J491,$J$2:$J$1401,1)</x:f>
        <x:v>698</x:v>
      </x:c>
      <x:c r="L491" s="23" t="n">
        <x:f>IF(K491&lt;=7,1,0)</x:f>
        <x:v>0</x:v>
      </x:c>
      <x:c r="M491" s="23" t="n">
        <x:f>IF(L491=1,1/(J491+0.000001),0)</x:f>
        <x:v>0</x:v>
      </x:c>
      <x:c r="N491" s="23" t="n">
        <x:v>0.021102455277444587</x:v>
      </x:c>
      <x:c r="O491" s="23" t="n">
        <x:f>M491</x:f>
        <x:v>0</x:v>
      </x:c>
      <x:c r="P491" s="23" t="n">
        <x:v>0.25167336886723746</x:v>
      </x:c>
      <x:c r="Q491" s="23" t="n">
        <x:v>-9.748090632349658</x:v>
      </x:c>
    </x:row>
    <x:row r="492">
      <x:c r="A492" s="23" t="str">
        <x:v>Lightning</x:v>
      </x:c>
      <x:c r="B492" s="23" t="n">
        <x:v>1372.835124609992</x:v>
      </x:c>
      <x:c r="C492" s="23" t="n">
        <x:v>1125.2071183989756</x:v>
      </x:c>
      <x:c r="D492" s="23" t="n">
        <x:v>615.9675305709243</x:v>
      </x:c>
      <x:c r="E492" s="23" t="n">
        <x:v>141.40672304900363</x:v>
      </x:c>
      <x:c r="F492" s="23" t="n">
        <x:v>15.453611966222525</x:v>
      </x:c>
      <x:c r="G492" s="23" t="n">
        <x:v>0.8048004562058486</x:v>
      </x:c>
      <x:c r="H492" s="23" t="n">
        <x:v>40</x:v>
      </x:c>
      <x:c r="I492" s="23" t="n">
        <x:v>25</x:v>
      </x:c>
      <x:c r="J492" s="23" t="n">
        <x:f>(IF(A492='Hybrid Calculator'!$B$6,0,1))^2+((B492-'Hybrid Calculator'!$B$7)/1500)^2+((C492-'Hybrid Calculator'!$B$8)/1300)^2+((D492-'Hybrid Calculator'!$B$9)/800)^2+((E492-'Hybrid Calculator'!$B$10)/350)^2+((F492-'Hybrid Calculator'!$B$11)/30)^2+(G492-'Hybrid Calculator'!$B$12)^2+((H492-'Hybrid Calculator'!$E$14)/IF(A492="Lightning",100,30000))^2+((I492-'Hybrid Calculator'!$E$17)/IF(A492="Lightning",100,30000))^2</x:f>
        <x:v>0.08818407586950411</x:v>
      </x:c>
      <x:c r="K492" s="23" t="n">
        <x:f>RANK(J492,$J$2:$J$1401,1)</x:f>
        <x:v>166</x:v>
      </x:c>
      <x:c r="L492" s="23" t="n">
        <x:f>IF(K492&lt;=7,1,0)</x:f>
        <x:v>0</x:v>
      </x:c>
      <x:c r="M492" s="23" t="n">
        <x:f>IF(L492=1,1/(J492+0.000001),0)</x:f>
        <x:v>0</x:v>
      </x:c>
      <x:c r="N492" s="23" t="n">
        <x:v>0.0032885959103789997</x:v>
      </x:c>
      <x:c r="O492" s="23" t="n">
        <x:f>M492</x:f>
        <x:v>0</x:v>
      </x:c>
      <x:c r="P492" s="23" t="n">
        <x:v>0.3547151734789935</x:v>
      </x:c>
      <x:c r="Q492" s="23" t="n">
        <x:v>2.5354418617473584</x:v>
      </x:c>
    </x:row>
    <x:row r="493">
      <x:c r="A493" s="23" t="str">
        <x:v>Lightning</x:v>
      </x:c>
      <x:c r="B493" s="23" t="n">
        <x:v>1489.3248643842526</x:v>
      </x:c>
      <x:c r="C493" s="23" t="n">
        <x:v>622.9640404460952</x:v>
      </x:c>
      <x:c r="D493" s="23" t="n">
        <x:v>640.9955193288624</x:v>
      </x:c>
      <x:c r="E493" s="23" t="n">
        <x:v>212.02378991991282</x:v>
      </x:c>
      <x:c r="F493" s="23" t="n">
        <x:v>26.298142375890166</x:v>
      </x:c>
      <x:c r="G493" s="23" t="n">
        <x:v>0.8492827581195161</x:v>
      </x:c>
      <x:c r="H493" s="23" t="n">
        <x:v>50</x:v>
      </x:c>
      <x:c r="I493" s="23" t="n">
        <x:v>25</x:v>
      </x:c>
      <x:c r="J493" s="23" t="n">
        <x:f>(IF(A493='Hybrid Calculator'!$B$6,0,1))^2+((B493-'Hybrid Calculator'!$B$7)/1500)^2+((C493-'Hybrid Calculator'!$B$8)/1300)^2+((D493-'Hybrid Calculator'!$B$9)/800)^2+((E493-'Hybrid Calculator'!$B$10)/350)^2+((F493-'Hybrid Calculator'!$B$11)/30)^2+(G493-'Hybrid Calculator'!$B$12)^2+((H493-'Hybrid Calculator'!$E$14)/IF(A493="Lightning",100,30000))^2+((I493-'Hybrid Calculator'!$E$17)/IF(A493="Lightning",100,30000))^2</x:f>
        <x:v>0.1632302168305067</x:v>
      </x:c>
      <x:c r="K493" s="23" t="n">
        <x:f>RANK(J493,$J$2:$J$1401,1)</x:f>
        <x:v>362</x:v>
      </x:c>
      <x:c r="L493" s="23" t="n">
        <x:f>IF(K493&lt;=7,1,0)</x:f>
        <x:v>0</x:v>
      </x:c>
      <x:c r="M493" s="23" t="n">
        <x:f>IF(L493=1,1/(J493+0.000001),0)</x:f>
        <x:v>0</x:v>
      </x:c>
      <x:c r="N493" s="23" t="n">
        <x:v>-0.0036608042383181605</x:v>
      </x:c>
      <x:c r="O493" s="23" t="n">
        <x:f>M493</x:f>
        <x:v>0</x:v>
      </x:c>
      <x:c r="P493" s="23" t="n">
        <x:v>-1.1228062128726393</x:v>
      </x:c>
      <x:c r="Q493" s="23" t="n">
        <x:v>-3.366378763153307</x:v>
      </x:c>
    </x:row>
    <x:row r="494">
      <x:c r="A494" s="23" t="str">
        <x:v>Lightning</x:v>
      </x:c>
      <x:c r="B494" s="23" t="n">
        <x:v>1426.129787438549</x:v>
      </x:c>
      <x:c r="C494" s="23" t="n">
        <x:v>1119.3341697682627</x:v>
      </x:c>
      <x:c r="D494" s="23" t="n">
        <x:v>419.15550753474236</x:v>
      </x:c>
      <x:c r="E494" s="23" t="n">
        <x:v>308.50403509801254</x:v>
      </x:c>
      <x:c r="F494" s="23" t="n">
        <x:v>28.94738910254091</x:v>
      </x:c>
      <x:c r="G494" s="23" t="n">
        <x:v>0.8219435528083705</x:v>
      </x:c>
      <x:c r="H494" s="23" t="n">
        <x:v>35</x:v>
      </x:c>
      <x:c r="I494" s="23" t="n">
        <x:v>25</x:v>
      </x:c>
      <x:c r="J494" s="23" t="n">
        <x:f>(IF(A494='Hybrid Calculator'!$B$6,0,1))^2+((B494-'Hybrid Calculator'!$B$7)/1500)^2+((C494-'Hybrid Calculator'!$B$8)/1300)^2+((D494-'Hybrid Calculator'!$B$9)/800)^2+((E494-'Hybrid Calculator'!$B$10)/350)^2+((F494-'Hybrid Calculator'!$B$11)/30)^2+(G494-'Hybrid Calculator'!$B$12)^2+((H494-'Hybrid Calculator'!$E$14)/IF(A494="Lightning",100,30000))^2+((I494-'Hybrid Calculator'!$E$17)/IF(A494="Lightning",100,30000))^2</x:f>
        <x:v>0.4020057103068475</x:v>
      </x:c>
      <x:c r="K494" s="23" t="n">
        <x:f>RANK(J494,$J$2:$J$1401,1)</x:f>
        <x:v>688</x:v>
      </x:c>
      <x:c r="L494" s="23" t="n">
        <x:f>IF(K494&lt;=7,1,0)</x:f>
        <x:v>0</x:v>
      </x:c>
      <x:c r="M494" s="23" t="n">
        <x:f>IF(L494=1,1/(J494+0.000001),0)</x:f>
        <x:v>0</x:v>
      </x:c>
      <x:c r="N494" s="23" t="n">
        <x:v>0.005053289737551703</x:v>
      </x:c>
      <x:c r="O494" s="23" t="n">
        <x:f>M494</x:f>
        <x:v>0</x:v>
      </x:c>
      <x:c r="P494" s="23" t="n">
        <x:v>1.1655367670286978</x:v>
      </x:c>
      <x:c r="Q494" s="23" t="n">
        <x:v>-23.539302630583506</x:v>
      </x:c>
    </x:row>
    <x:row r="495">
      <x:c r="A495" s="23" t="str">
        <x:v>Lightning</x:v>
      </x:c>
      <x:c r="B495" s="23" t="n">
        <x:v>1465.423771168571</x:v>
      </x:c>
      <x:c r="C495" s="23" t="n">
        <x:v>981.8297665566206</x:v>
      </x:c>
      <x:c r="D495" s="23" t="n">
        <x:v>685.7672869227827</x:v>
      </x:c>
      <x:c r="E495" s="23" t="n">
        <x:v>291.05770871508867</x:v>
      </x:c>
      <x:c r="F495" s="23" t="n">
        <x:v>20.462205903138965</x:v>
      </x:c>
      <x:c r="G495" s="23" t="n">
        <x:v>0.8296913293283433</x:v>
      </x:c>
      <x:c r="H495" s="23" t="n">
        <x:v>35</x:v>
      </x:c>
      <x:c r="I495" s="23" t="n">
        <x:v>25</x:v>
      </x:c>
      <x:c r="J495" s="23" t="n">
        <x:f>(IF(A495='Hybrid Calculator'!$B$6,0,1))^2+((B495-'Hybrid Calculator'!$B$7)/1500)^2+((C495-'Hybrid Calculator'!$B$8)/1300)^2+((D495-'Hybrid Calculator'!$B$9)/800)^2+((E495-'Hybrid Calculator'!$B$10)/350)^2+((F495-'Hybrid Calculator'!$B$11)/30)^2+(G495-'Hybrid Calculator'!$B$12)^2+((H495-'Hybrid Calculator'!$E$14)/IF(A495="Lightning",100,30000))^2+((I495-'Hybrid Calculator'!$E$17)/IF(A495="Lightning",100,30000))^2</x:f>
        <x:v>0.25422954432922223</x:v>
      </x:c>
      <x:c r="K495" s="23" t="n">
        <x:f>RANK(J495,$J$2:$J$1401,1)</x:f>
        <x:v>550</x:v>
      </x:c>
      <x:c r="L495" s="23" t="n">
        <x:f>IF(K495&lt;=7,1,0)</x:f>
        <x:v>0</x:v>
      </x:c>
      <x:c r="M495" s="23" t="n">
        <x:f>IF(L495=1,1/(J495+0.000001),0)</x:f>
        <x:v>0</x:v>
      </x:c>
      <x:c r="N495" s="23" t="n">
        <x:v>0.007425619126339766</x:v>
      </x:c>
      <x:c r="O495" s="23" t="n">
        <x:f>M495</x:f>
        <x:v>0</x:v>
      </x:c>
      <x:c r="P495" s="23" t="n">
        <x:v>-0.6528936956712812</x:v>
      </x:c>
      <x:c r="Q495" s="23" t="n">
        <x:v>-2.7757733114590337</x:v>
      </x:c>
    </x:row>
    <x:row r="496">
      <x:c r="A496" s="23" t="str">
        <x:v>Lightning</x:v>
      </x:c>
      <x:c r="B496" s="23" t="n">
        <x:v>1465.0407540611923</x:v>
      </x:c>
      <x:c r="C496" s="23" t="n">
        <x:v>801.7769086523913</x:v>
      </x:c>
      <x:c r="D496" s="23" t="n">
        <x:v>388.35003320127726</x:v>
      </x:c>
      <x:c r="E496" s="23" t="n">
        <x:v>257.1509657264687</x:v>
      </x:c>
      <x:c r="F496" s="23" t="n">
        <x:v>9.781370231881738</x:v>
      </x:c>
      <x:c r="G496" s="23" t="n">
        <x:v>0.7978868311201223</x:v>
      </x:c>
      <x:c r="H496" s="23" t="n">
        <x:v>50</x:v>
      </x:c>
      <x:c r="I496" s="23" t="n">
        <x:v>25</x:v>
      </x:c>
      <x:c r="J496" s="23" t="n">
        <x:f>(IF(A496='Hybrid Calculator'!$B$6,0,1))^2+((B496-'Hybrid Calculator'!$B$7)/1500)^2+((C496-'Hybrid Calculator'!$B$8)/1300)^2+((D496-'Hybrid Calculator'!$B$9)/800)^2+((E496-'Hybrid Calculator'!$B$10)/350)^2+((F496-'Hybrid Calculator'!$B$11)/30)^2+(G496-'Hybrid Calculator'!$B$12)^2+((H496-'Hybrid Calculator'!$E$14)/IF(A496="Lightning",100,30000))^2+((I496-'Hybrid Calculator'!$E$17)/IF(A496="Lightning",100,30000))^2</x:f>
        <x:v>0.2002409482118401</x:v>
      </x:c>
      <x:c r="K496" s="23" t="n">
        <x:f>RANK(J496,$J$2:$J$1401,1)</x:f>
        <x:v>447</x:v>
      </x:c>
      <x:c r="L496" s="23" t="n">
        <x:f>IF(K496&lt;=7,1,0)</x:f>
        <x:v>0</x:v>
      </x:c>
      <x:c r="M496" s="23" t="n">
        <x:f>IF(L496=1,1/(J496+0.000001),0)</x:f>
        <x:v>0</x:v>
      </x:c>
      <x:c r="N496" s="23" t="n">
        <x:v>0.0053716208168255175</x:v>
      </x:c>
      <x:c r="O496" s="23" t="n">
        <x:f>M496</x:f>
        <x:v>0</x:v>
      </x:c>
      <x:c r="P496" s="23" t="n">
        <x:v>-0.040524312449306876</x:v>
      </x:c>
      <x:c r="Q496" s="23" t="n">
        <x:v>7.629746118048615</x:v>
      </x:c>
    </x:row>
    <x:row r="497">
      <x:c r="A497" s="23" t="str">
        <x:v>Lightning</x:v>
      </x:c>
      <x:c r="B497" s="23" t="n">
        <x:v>1445.1118183904327</x:v>
      </x:c>
      <x:c r="C497" s="23" t="n">
        <x:v>751.3049676315859</x:v>
      </x:c>
      <x:c r="D497" s="23" t="n">
        <x:v>414.4253217615187</x:v>
      </x:c>
      <x:c r="E497" s="23" t="n">
        <x:v>113.20767567493021</x:v>
      </x:c>
      <x:c r="F497" s="23" t="n">
        <x:v>13.752542965579778</x:v>
      </x:c>
      <x:c r="G497" s="23" t="n">
        <x:v>0.8560967907169834</x:v>
      </x:c>
      <x:c r="H497" s="23" t="n">
        <x:v>60</x:v>
      </x:c>
      <x:c r="I497" s="23" t="n">
        <x:v>25</x:v>
      </x:c>
      <x:c r="J497" s="23" t="n">
        <x:f>(IF(A497='Hybrid Calculator'!$B$6,0,1))^2+((B497-'Hybrid Calculator'!$B$7)/1500)^2+((C497-'Hybrid Calculator'!$B$8)/1300)^2+((D497-'Hybrid Calculator'!$B$9)/800)^2+((E497-'Hybrid Calculator'!$B$10)/350)^2+((F497-'Hybrid Calculator'!$B$11)/30)^2+(G497-'Hybrid Calculator'!$B$12)^2+((H497-'Hybrid Calculator'!$E$14)/IF(A497="Lightning",100,30000))^2+((I497-'Hybrid Calculator'!$E$17)/IF(A497="Lightning",100,30000))^2</x:f>
        <x:v>0.06478172876270538</x:v>
      </x:c>
      <x:c r="K497" s="23" t="n">
        <x:f>RANK(J497,$J$2:$J$1401,1)</x:f>
        <x:v>92</x:v>
      </x:c>
      <x:c r="L497" s="23" t="n">
        <x:f>IF(K497&lt;=7,1,0)</x:f>
        <x:v>0</x:v>
      </x:c>
      <x:c r="M497" s="23" t="n">
        <x:f>IF(L497=1,1/(J497+0.000001),0)</x:f>
        <x:v>0</x:v>
      </x:c>
      <x:c r="N497" s="23" t="n">
        <x:v>-0.01318294168386358</x:v>
      </x:c>
      <x:c r="O497" s="23" t="n">
        <x:f>M497</x:f>
        <x:v>0</x:v>
      </x:c>
      <x:c r="P497" s="23" t="n">
        <x:v>0.3988744294232518</x:v>
      </x:c>
      <x:c r="Q497" s="23" t="n">
        <x:v>10.188926930410844</x:v>
      </x:c>
    </x:row>
    <x:row r="498">
      <x:c r="A498" s="23" t="str">
        <x:v>Lightning</x:v>
      </x:c>
      <x:c r="B498" s="23" t="n">
        <x:v>1384.1563205933198</x:v>
      </x:c>
      <x:c r="C498" s="23" t="n">
        <x:v>751.4317636960186</x:v>
      </x:c>
      <x:c r="D498" s="23" t="n">
        <x:v>694.5601832121611</x:v>
      </x:c>
      <x:c r="E498" s="23" t="n">
        <x:v>288.3677572081797</x:v>
      </x:c>
      <x:c r="F498" s="23" t="n">
        <x:v>21.20738658774644</x:v>
      </x:c>
      <x:c r="G498" s="23" t="n">
        <x:v>0.7974882946978323</x:v>
      </x:c>
      <x:c r="H498" s="23" t="n">
        <x:v>40</x:v>
      </x:c>
      <x:c r="I498" s="23" t="n">
        <x:v>25</x:v>
      </x:c>
      <x:c r="J498" s="23" t="n">
        <x:f>(IF(A498='Hybrid Calculator'!$B$6,0,1))^2+((B498-'Hybrid Calculator'!$B$7)/1500)^2+((C498-'Hybrid Calculator'!$B$8)/1300)^2+((D498-'Hybrid Calculator'!$B$9)/800)^2+((E498-'Hybrid Calculator'!$B$10)/350)^2+((F498-'Hybrid Calculator'!$B$11)/30)^2+(G498-'Hybrid Calculator'!$B$12)^2+((H498-'Hybrid Calculator'!$E$14)/IF(A498="Lightning",100,30000))^2+((I498-'Hybrid Calculator'!$E$17)/IF(A498="Lightning",100,30000))^2</x:f>
        <x:v>0.24057877467223635</x:v>
      </x:c>
      <x:c r="K498" s="23" t="n">
        <x:f>RANK(J498,$J$2:$J$1401,1)</x:f>
        <x:v>520</x:v>
      </x:c>
      <x:c r="L498" s="23" t="n">
        <x:f>IF(K498&lt;=7,1,0)</x:f>
        <x:v>0</x:v>
      </x:c>
      <x:c r="M498" s="23" t="n">
        <x:f>IF(L498=1,1/(J498+0.000001),0)</x:f>
        <x:v>0</x:v>
      </x:c>
      <x:c r="N498" s="23" t="n">
        <x:v>0.010135776990872536</x:v>
      </x:c>
      <x:c r="O498" s="23" t="n">
        <x:f>M498</x:f>
        <x:v>0</x:v>
      </x:c>
      <x:c r="P498" s="23" t="n">
        <x:v>-1.004851263747419</x:v>
      </x:c>
      <x:c r="Q498" s="23" t="n">
        <x:v>-0.7576815263284971</x:v>
      </x:c>
    </x:row>
    <x:row r="499">
      <x:c r="A499" s="23" t="str">
        <x:v>Lightning</x:v>
      </x:c>
      <x:c r="B499" s="23" t="n">
        <x:v>1387.5915564014576</x:v>
      </x:c>
      <x:c r="C499" s="23" t="n">
        <x:v>906.9271062035114</x:v>
      </x:c>
      <x:c r="D499" s="23" t="n">
        <x:v>562.244665902108</x:v>
      </x:c>
      <x:c r="E499" s="23" t="n">
        <x:v>234.33618461247534</x:v>
      </x:c>
      <x:c r="F499" s="23" t="n">
        <x:v>29.710398487281054</x:v>
      </x:c>
      <x:c r="G499" s="23" t="n">
        <x:v>0.8543857992254198</x:v>
      </x:c>
      <x:c r="H499" s="23" t="n">
        <x:v>40</x:v>
      </x:c>
      <x:c r="I499" s="23" t="n">
        <x:v>25</x:v>
      </x:c>
      <x:c r="J499" s="23" t="n">
        <x:f>(IF(A499='Hybrid Calculator'!$B$6,0,1))^2+((B499-'Hybrid Calculator'!$B$7)/1500)^2+((C499-'Hybrid Calculator'!$B$8)/1300)^2+((D499-'Hybrid Calculator'!$B$9)/800)^2+((E499-'Hybrid Calculator'!$B$10)/350)^2+((F499-'Hybrid Calculator'!$B$11)/30)^2+(G499-'Hybrid Calculator'!$B$12)^2+((H499-'Hybrid Calculator'!$E$14)/IF(A499="Lightning",100,30000))^2+((I499-'Hybrid Calculator'!$E$17)/IF(A499="Lightning",100,30000))^2</x:f>
        <x:v>0.2174743343517242</x:v>
      </x:c>
      <x:c r="K499" s="23" t="n">
        <x:f>RANK(J499,$J$2:$J$1401,1)</x:f>
        <x:v>485</x:v>
      </x:c>
      <x:c r="L499" s="23" t="n">
        <x:f>IF(K499&lt;=7,1,0)</x:f>
        <x:v>0</x:v>
      </x:c>
      <x:c r="M499" s="23" t="n">
        <x:f>IF(L499=1,1/(J499+0.000001),0)</x:f>
        <x:v>0</x:v>
      </x:c>
      <x:c r="N499" s="23" t="n">
        <x:v>-0.0017649703970041841</x:v>
      </x:c>
      <x:c r="O499" s="23" t="n">
        <x:f>M499</x:f>
        <x:v>0</x:v>
      </x:c>
      <x:c r="P499" s="23" t="n">
        <x:v>0.1745162764270276</x:v>
      </x:c>
      <x:c r="Q499" s="23" t="n">
        <x:v>-22.68351825309469</x:v>
      </x:c>
    </x:row>
    <x:row r="500">
      <x:c r="A500" s="23" t="str">
        <x:v>Lightning</x:v>
      </x:c>
      <x:c r="B500" s="23" t="n">
        <x:v>1405.8311896864325</x:v>
      </x:c>
      <x:c r="C500" s="23" t="n">
        <x:v>1017.8330214577727</x:v>
      </x:c>
      <x:c r="D500" s="23" t="n">
        <x:v>450.60688089579344</x:v>
      </x:c>
      <x:c r="E500" s="23" t="n">
        <x:v>306.78141231881455</x:v>
      </x:c>
      <x:c r="F500" s="23" t="n">
        <x:v>20.263413183391094</x:v>
      </x:c>
      <x:c r="G500" s="23" t="n">
        <x:v>0.8505263892025687</x:v>
      </x:c>
      <x:c r="H500" s="23" t="n">
        <x:v>40</x:v>
      </x:c>
      <x:c r="I500" s="23" t="n">
        <x:v>25</x:v>
      </x:c>
      <x:c r="J500" s="23" t="n">
        <x:f>(IF(A500='Hybrid Calculator'!$B$6,0,1))^2+((B500-'Hybrid Calculator'!$B$7)/1500)^2+((C500-'Hybrid Calculator'!$B$8)/1300)^2+((D500-'Hybrid Calculator'!$B$9)/800)^2+((E500-'Hybrid Calculator'!$B$10)/350)^2+((F500-'Hybrid Calculator'!$B$11)/30)^2+(G500-'Hybrid Calculator'!$B$12)^2+((H500-'Hybrid Calculator'!$E$14)/IF(A500="Lightning",100,30000))^2+((I500-'Hybrid Calculator'!$E$17)/IF(A500="Lightning",100,30000))^2</x:f>
        <x:v>0.2356861374333068</x:v>
      </x:c>
      <x:c r="K500" s="23" t="n">
        <x:f>RANK(J500,$J$2:$J$1401,1)</x:f>
        <x:v>515</x:v>
      </x:c>
      <x:c r="L500" s="23" t="n">
        <x:f>IF(K500&lt;=7,1,0)</x:f>
        <x:v>0</x:v>
      </x:c>
      <x:c r="M500" s="23" t="n">
        <x:f>IF(L500=1,1/(J500+0.000001),0)</x:f>
        <x:v>0</x:v>
      </x:c>
      <x:c r="N500" s="23" t="n">
        <x:v>0.013553134694041624</x:v>
      </x:c>
      <x:c r="O500" s="23" t="n">
        <x:f>M500</x:f>
        <x:v>0</x:v>
      </x:c>
      <x:c r="P500" s="23" t="n">
        <x:v>0.036685884717911676</x:v>
      </x:c>
      <x:c r="Q500" s="23" t="n">
        <x:v>-3.653164722800284</x:v>
      </x:c>
    </x:row>
    <x:row r="501">
      <x:c r="A501" s="23" t="str">
        <x:v>Lightning</x:v>
      </x:c>
      <x:c r="B501" s="23" t="n">
        <x:v>1479.3629727442749</x:v>
      </x:c>
      <x:c r="C501" s="23" t="n">
        <x:v>979.6752270078287</x:v>
      </x:c>
      <x:c r="D501" s="23" t="n">
        <x:v>541.1873158998787</x:v>
      </x:c>
      <x:c r="E501" s="23" t="n">
        <x:v>180.8908967487514</x:v>
      </x:c>
      <x:c r="F501" s="23" t="n">
        <x:v>28.145638360176235</x:v>
      </x:c>
      <x:c r="G501" s="23" t="n">
        <x:v>0.8469067155709491</x:v>
      </x:c>
      <x:c r="H501" s="23" t="n">
        <x:v>40</x:v>
      </x:c>
      <x:c r="I501" s="23" t="n">
        <x:v>25</x:v>
      </x:c>
      <x:c r="J501" s="23" t="n">
        <x:f>(IF(A501='Hybrid Calculator'!$B$6,0,1))^2+((B501-'Hybrid Calculator'!$B$7)/1500)^2+((C501-'Hybrid Calculator'!$B$8)/1300)^2+((D501-'Hybrid Calculator'!$B$9)/800)^2+((E501-'Hybrid Calculator'!$B$10)/350)^2+((F501-'Hybrid Calculator'!$B$11)/30)^2+(G501-'Hybrid Calculator'!$B$12)^2+((H501-'Hybrid Calculator'!$E$14)/IF(A501="Lightning",100,30000))^2+((I501-'Hybrid Calculator'!$E$17)/IF(A501="Lightning",100,30000))^2</x:f>
        <x:v>0.13580387526552565</x:v>
      </x:c>
      <x:c r="K501" s="23" t="n">
        <x:f>RANK(J501,$J$2:$J$1401,1)</x:f>
        <x:v>295</x:v>
      </x:c>
      <x:c r="L501" s="23" t="n">
        <x:f>IF(K501&lt;=7,1,0)</x:f>
        <x:v>0</x:v>
      </x:c>
      <x:c r="M501" s="23" t="n">
        <x:f>IF(L501=1,1/(J501+0.000001),0)</x:f>
        <x:v>0</x:v>
      </x:c>
      <x:c r="N501" s="23" t="n">
        <x:v>0.008121226798896375</x:v>
      </x:c>
      <x:c r="O501" s="23" t="n">
        <x:f>M501</x:f>
        <x:v>0</x:v>
      </x:c>
      <x:c r="P501" s="23" t="n">
        <x:v>0.5981504534564124</x:v>
      </x:c>
      <x:c r="Q501" s="23" t="n">
        <x:v>-21.708744995311463</x:v>
      </x:c>
    </x:row>
    <x:row r="502">
      <x:c r="A502" s="23" t="str">
        <x:v>Lightning</x:v>
      </x:c>
      <x:c r="B502" s="23" t="n">
        <x:v>1488.2708630757406</x:v>
      </x:c>
      <x:c r="C502" s="23" t="n">
        <x:v>1223.0091534671374</x:v>
      </x:c>
      <x:c r="D502" s="23" t="n">
        <x:v>697.4578887224197</x:v>
      </x:c>
      <x:c r="E502" s="23" t="n">
        <x:v>102.90804678341374</x:v>
      </x:c>
      <x:c r="F502" s="23" t="n">
        <x:v>14.65184563677758</x:v>
      </x:c>
      <x:c r="G502" s="23" t="n">
        <x:v>0.8172110764659011</x:v>
      </x:c>
      <x:c r="H502" s="23" t="n">
        <x:v>35</x:v>
      </x:c>
      <x:c r="I502" s="23" t="n">
        <x:v>25</x:v>
      </x:c>
      <x:c r="J502" s="23" t="n">
        <x:f>(IF(A502='Hybrid Calculator'!$B$6,0,1))^2+((B502-'Hybrid Calculator'!$B$7)/1500)^2+((C502-'Hybrid Calculator'!$B$8)/1300)^2+((D502-'Hybrid Calculator'!$B$9)/800)^2+((E502-'Hybrid Calculator'!$B$10)/350)^2+((F502-'Hybrid Calculator'!$B$11)/30)^2+(G502-'Hybrid Calculator'!$B$12)^2+((H502-'Hybrid Calculator'!$E$14)/IF(A502="Lightning",100,30000))^2+((I502-'Hybrid Calculator'!$E$17)/IF(A502="Lightning",100,30000))^2</x:f>
        <x:v>0.2020940894064902</x:v>
      </x:c>
      <x:c r="K502" s="23" t="n">
        <x:f>RANK(J502,$J$2:$J$1401,1)</x:f>
        <x:v>449</x:v>
      </x:c>
      <x:c r="L502" s="23" t="n">
        <x:f>IF(K502&lt;=7,1,0)</x:f>
        <x:v>0</x:v>
      </x:c>
      <x:c r="M502" s="23" t="n">
        <x:f>IF(L502=1,1/(J502+0.000001),0)</x:f>
        <x:v>0</x:v>
      </x:c>
      <x:c r="N502" s="23" t="n">
        <x:v>0.01308460104930953</x:v>
      </x:c>
      <x:c r="O502" s="23" t="n">
        <x:f>M502</x:f>
        <x:v>0</x:v>
      </x:c>
      <x:c r="P502" s="23" t="n">
        <x:v>1.3011051014787967</x:v>
      </x:c>
      <x:c r="Q502" s="23" t="n">
        <x:v>-13.83081306404165</x:v>
      </x:c>
    </x:row>
    <x:row r="503">
      <x:c r="A503" s="23" t="str">
        <x:v>Lightning</x:v>
      </x:c>
      <x:c r="B503" s="23" t="n">
        <x:v>1353.6485982011072</x:v>
      </x:c>
      <x:c r="C503" s="23" t="n">
        <x:v>679.4338737614453</x:v>
      </x:c>
      <x:c r="D503" s="23" t="n">
        <x:v>394.4104320369661</x:v>
      </x:c>
      <x:c r="E503" s="23" t="n">
        <x:v>310.50845006946474</x:v>
      </x:c>
      <x:c r="F503" s="23" t="n">
        <x:v>20.044460473116487</x:v>
      </x:c>
      <x:c r="G503" s="23" t="n">
        <x:v>0.849698894256726</x:v>
      </x:c>
      <x:c r="H503" s="23" t="n">
        <x:v>60</x:v>
      </x:c>
      <x:c r="I503" s="23" t="n">
        <x:v>25</x:v>
      </x:c>
      <x:c r="J503" s="23" t="n">
        <x:f>(IF(A503='Hybrid Calculator'!$B$6,0,1))^2+((B503-'Hybrid Calculator'!$B$7)/1500)^2+((C503-'Hybrid Calculator'!$B$8)/1300)^2+((D503-'Hybrid Calculator'!$B$9)/800)^2+((E503-'Hybrid Calculator'!$B$10)/350)^2+((F503-'Hybrid Calculator'!$B$11)/30)^2+(G503-'Hybrid Calculator'!$B$12)^2+((H503-'Hybrid Calculator'!$E$14)/IF(A503="Lightning",100,30000))^2+((I503-'Hybrid Calculator'!$E$17)/IF(A503="Lightning",100,30000))^2</x:f>
        <x:v>0.26074023144539826</x:v>
      </x:c>
      <x:c r="K503" s="23" t="n">
        <x:f>RANK(J503,$J$2:$J$1401,1)</x:f>
        <x:v>558</x:v>
      </x:c>
      <x:c r="L503" s="23" t="n">
        <x:f>IF(K503&lt;=7,1,0)</x:f>
        <x:v>0</x:v>
      </x:c>
      <x:c r="M503" s="23" t="n">
        <x:f>IF(L503=1,1/(J503+0.000001),0)</x:f>
        <x:v>0</x:v>
      </x:c>
      <x:c r="N503" s="23" t="n">
        <x:v>0.005396572416212608</x:v>
      </x:c>
      <x:c r="O503" s="23" t="n">
        <x:f>M503</x:f>
        <x:v>0</x:v>
      </x:c>
      <x:c r="P503" s="23" t="n">
        <x:v>-1.5572598618166893</x:v>
      </x:c>
      <x:c r="Q503" s="23" t="n">
        <x:v>-0.0618595960067978</x:v>
      </x:c>
    </x:row>
    <x:row r="504">
      <x:c r="A504" s="23" t="str">
        <x:v>Lightning</x:v>
      </x:c>
      <x:c r="B504" s="23" t="n">
        <x:v>1407.5837770476937</x:v>
      </x:c>
      <x:c r="C504" s="23" t="n">
        <x:v>1128.2355361036025</x:v>
      </x:c>
      <x:c r="D504" s="23" t="n">
        <x:v>694.1089423373342</x:v>
      </x:c>
      <x:c r="E504" s="23" t="n">
        <x:v>99.79452517116442</x:v>
      </x:c>
      <x:c r="F504" s="23" t="n">
        <x:v>11.610422259196639</x:v>
      </x:c>
      <x:c r="G504" s="23" t="n">
        <x:v>0.8323324512806721</x:v>
      </x:c>
      <x:c r="H504" s="23" t="n">
        <x:v>40</x:v>
      </x:c>
      <x:c r="I504" s="23" t="n">
        <x:v>25</x:v>
      </x:c>
      <x:c r="J504" s="23" t="n">
        <x:f>(IF(A504='Hybrid Calculator'!$B$6,0,1))^2+((B504-'Hybrid Calculator'!$B$7)/1500)^2+((C504-'Hybrid Calculator'!$B$8)/1300)^2+((D504-'Hybrid Calculator'!$B$9)/800)^2+((E504-'Hybrid Calculator'!$B$10)/350)^2+((F504-'Hybrid Calculator'!$B$11)/30)^2+(G504-'Hybrid Calculator'!$B$12)^2+((H504-'Hybrid Calculator'!$E$14)/IF(A504="Lightning",100,30000))^2+((I504-'Hybrid Calculator'!$E$17)/IF(A504="Lightning",100,30000))^2</x:f>
        <x:v>0.18828347073910415</x:v>
      </x:c>
      <x:c r="K504" s="23" t="n">
        <x:f>RANK(J504,$J$2:$J$1401,1)</x:f>
        <x:v>421</x:v>
      </x:c>
      <x:c r="L504" s="23" t="n">
        <x:f>IF(K504&lt;=7,1,0)</x:f>
        <x:v>0</x:v>
      </x:c>
      <x:c r="M504" s="23" t="n">
        <x:f>IF(L504=1,1/(J504+0.000001),0)</x:f>
        <x:v>0</x:v>
      </x:c>
      <x:c r="N504" s="23" t="n">
        <x:v>0.01513383849655825</x:v>
      </x:c>
      <x:c r="O504" s="23" t="n">
        <x:f>M504</x:f>
        <x:v>0</x:v>
      </x:c>
      <x:c r="P504" s="23" t="n">
        <x:v>0.0272790273584107</x:v>
      </x:c>
      <x:c r="Q504" s="23" t="n">
        <x:v>-0.5799067820425989</x:v>
      </x:c>
    </x:row>
    <x:row r="505">
      <x:c r="A505" s="23" t="str">
        <x:v>Lightning</x:v>
      </x:c>
      <x:c r="B505" s="23" t="n">
        <x:v>1350.1834504888393</x:v>
      </x:c>
      <x:c r="C505" s="23" t="n">
        <x:v>1221.1189016932622</x:v>
      </x:c>
      <x:c r="D505" s="23" t="n">
        <x:v>468.94471356645226</x:v>
      </x:c>
      <x:c r="E505" s="23" t="n">
        <x:v>169.86024255864322</x:v>
      </x:c>
      <x:c r="F505" s="23" t="n">
        <x:v>23.77504885615781</x:v>
      </x:c>
      <x:c r="G505" s="23" t="n">
        <x:v>0.7912434274377301</x:v>
      </x:c>
      <x:c r="H505" s="23" t="n">
        <x:v>40</x:v>
      </x:c>
      <x:c r="I505" s="23" t="n">
        <x:v>25</x:v>
      </x:c>
      <x:c r="J505" s="23" t="n">
        <x:f>(IF(A505='Hybrid Calculator'!$B$6,0,1))^2+((B505-'Hybrid Calculator'!$B$7)/1500)^2+((C505-'Hybrid Calculator'!$B$8)/1300)^2+((D505-'Hybrid Calculator'!$B$9)/800)^2+((E505-'Hybrid Calculator'!$B$10)/350)^2+((F505-'Hybrid Calculator'!$B$11)/30)^2+(G505-'Hybrid Calculator'!$B$12)^2+((H505-'Hybrid Calculator'!$E$14)/IF(A505="Lightning",100,30000))^2+((I505-'Hybrid Calculator'!$E$17)/IF(A505="Lightning",100,30000))^2</x:f>
        <x:v>0.1304560040806615</x:v>
      </x:c>
      <x:c r="K505" s="23" t="n">
        <x:f>RANK(J505,$J$2:$J$1401,1)</x:f>
        <x:v>278</x:v>
      </x:c>
      <x:c r="L505" s="23" t="n">
        <x:f>IF(K505&lt;=7,1,0)</x:f>
        <x:v>0</x:v>
      </x:c>
      <x:c r="M505" s="23" t="n">
        <x:f>IF(L505=1,1/(J505+0.000001),0)</x:f>
        <x:v>0</x:v>
      </x:c>
      <x:c r="N505" s="23" t="n">
        <x:v>0.004709337809752245</x:v>
      </x:c>
      <x:c r="O505" s="23" t="n">
        <x:f>M505</x:f>
        <x:v>0</x:v>
      </x:c>
      <x:c r="P505" s="23" t="n">
        <x:v>1.880579259581367</x:v>
      </x:c>
      <x:c r="Q505" s="23" t="n">
        <x:v>-15.31699605228414</x:v>
      </x:c>
    </x:row>
    <x:row r="506">
      <x:c r="A506" s="23" t="str">
        <x:v>Lightning</x:v>
      </x:c>
      <x:c r="B506" s="23" t="n">
        <x:v>1368.7523902393878</x:v>
      </x:c>
      <x:c r="C506" s="23" t="n">
        <x:v>850.3514555632137</x:v>
      </x:c>
      <x:c r="D506" s="23" t="n">
        <x:v>417.70187113434076</x:v>
      </x:c>
      <x:c r="E506" s="23" t="n">
        <x:v>299.67317356029525</x:v>
      </x:c>
      <x:c r="F506" s="23" t="n">
        <x:v>12.244895042851567</x:v>
      </x:c>
      <x:c r="G506" s="23" t="n">
        <x:v>0.8571831297059543</x:v>
      </x:c>
      <x:c r="H506" s="23" t="n">
        <x:v>55</x:v>
      </x:c>
      <x:c r="I506" s="23" t="n">
        <x:v>25</x:v>
      </x:c>
      <x:c r="J506" s="23" t="n">
        <x:f>(IF(A506='Hybrid Calculator'!$B$6,0,1))^2+((B506-'Hybrid Calculator'!$B$7)/1500)^2+((C506-'Hybrid Calculator'!$B$8)/1300)^2+((D506-'Hybrid Calculator'!$B$9)/800)^2+((E506-'Hybrid Calculator'!$B$10)/350)^2+((F506-'Hybrid Calculator'!$B$11)/30)^2+(G506-'Hybrid Calculator'!$B$12)^2+((H506-'Hybrid Calculator'!$E$14)/IF(A506="Lightning",100,30000))^2+((I506-'Hybrid Calculator'!$E$17)/IF(A506="Lightning",100,30000))^2</x:f>
        <x:v>0.2422192320996548</x:v>
      </x:c>
      <x:c r="K506" s="23" t="n">
        <x:f>RANK(J506,$J$2:$J$1401,1)</x:f>
        <x:v>524</x:v>
      </x:c>
      <x:c r="L506" s="23" t="n">
        <x:f>IF(K506&lt;=7,1,0)</x:f>
        <x:v>0</x:v>
      </x:c>
      <x:c r="M506" s="23" t="n">
        <x:f>IF(L506=1,1/(J506+0.000001),0)</x:f>
        <x:v>0</x:v>
      </x:c>
      <x:c r="N506" s="23" t="n">
        <x:v>-0.006016173710976513</x:v>
      </x:c>
      <x:c r="O506" s="23" t="n">
        <x:f>M506</x:f>
        <x:v>0</x:v>
      </x:c>
      <x:c r="P506" s="23" t="n">
        <x:v>-0.9234877056321338</x:v>
      </x:c>
      <x:c r="Q506" s="23" t="n">
        <x:v>4.97896176684003</x:v>
      </x:c>
    </x:row>
    <x:row r="507">
      <x:c r="A507" s="23" t="str">
        <x:v>Lightning</x:v>
      </x:c>
      <x:c r="B507" s="23" t="n">
        <x:v>1439.4763592281379</x:v>
      </x:c>
      <x:c r="C507" s="23" t="n">
        <x:v>913.1024525733665</x:v>
      </x:c>
      <x:c r="D507" s="23" t="n">
        <x:v>512.0393016375601</x:v>
      </x:c>
      <x:c r="E507" s="23" t="n">
        <x:v>181.8659055698663</x:v>
      </x:c>
      <x:c r="F507" s="23" t="n">
        <x:v>21.682739392388612</x:v>
      </x:c>
      <x:c r="G507" s="23" t="n">
        <x:v>0.818574671545066</x:v>
      </x:c>
      <x:c r="H507" s="23" t="n">
        <x:v>45</x:v>
      </x:c>
      <x:c r="I507" s="23" t="n">
        <x:v>25</x:v>
      </x:c>
      <x:c r="J507" s="23" t="n">
        <x:f>(IF(A507='Hybrid Calculator'!$B$6,0,1))^2+((B507-'Hybrid Calculator'!$B$7)/1500)^2+((C507-'Hybrid Calculator'!$B$8)/1300)^2+((D507-'Hybrid Calculator'!$B$9)/800)^2+((E507-'Hybrid Calculator'!$B$10)/350)^2+((F507-'Hybrid Calculator'!$B$11)/30)^2+(G507-'Hybrid Calculator'!$B$12)^2+((H507-'Hybrid Calculator'!$E$14)/IF(A507="Lightning",100,30000))^2+((I507-'Hybrid Calculator'!$E$17)/IF(A507="Lightning",100,30000))^2</x:f>
        <x:v>0.024722452845033605</x:v>
      </x:c>
      <x:c r="K507" s="23" t="n">
        <x:f>RANK(J507,$J$2:$J$1401,1)</x:f>
        <x:v>15</x:v>
      </x:c>
      <x:c r="L507" s="23" t="n">
        <x:f>IF(K507&lt;=7,1,0)</x:f>
        <x:v>0</x:v>
      </x:c>
      <x:c r="M507" s="23" t="n">
        <x:f>IF(L507=1,1/(J507+0.000001),0)</x:f>
        <x:v>0</x:v>
      </x:c>
      <x:c r="N507" s="23" t="n">
        <x:v>-0.007306620953757559</x:v>
      </x:c>
      <x:c r="O507" s="23" t="n">
        <x:f>M507</x:f>
        <x:v>0</x:v>
      </x:c>
      <x:c r="P507" s="23" t="n">
        <x:v>-0.6301441735171451</x:v>
      </x:c>
      <x:c r="Q507" s="23" t="n">
        <x:v>-7.998887059503659</x:v>
      </x:c>
    </x:row>
    <x:row r="508">
      <x:c r="A508" s="23" t="str">
        <x:v>Lightning</x:v>
      </x:c>
      <x:c r="B508" s="23" t="n">
        <x:v>1461.8996599456295</x:v>
      </x:c>
      <x:c r="C508" s="23" t="n">
        <x:v>673.1518447049893</x:v>
      </x:c>
      <x:c r="D508" s="23" t="n">
        <x:v>367.07800291478634</x:v>
      </x:c>
      <x:c r="E508" s="23" t="n">
        <x:v>115.76807741774246</x:v>
      </x:c>
      <x:c r="F508" s="23" t="n">
        <x:v>22.79110696632415</x:v>
      </x:c>
      <x:c r="G508" s="23" t="n">
        <x:v>0.8425528694386595</x:v>
      </x:c>
      <x:c r="H508" s="23" t="n">
        <x:v>65</x:v>
      </x:c>
      <x:c r="I508" s="23" t="n">
        <x:v>25</x:v>
      </x:c>
      <x:c r="J508" s="23" t="n">
        <x:f>(IF(A508='Hybrid Calculator'!$B$6,0,1))^2+((B508-'Hybrid Calculator'!$B$7)/1500)^2+((C508-'Hybrid Calculator'!$B$8)/1300)^2+((D508-'Hybrid Calculator'!$B$9)/800)^2+((E508-'Hybrid Calculator'!$B$10)/350)^2+((F508-'Hybrid Calculator'!$B$11)/30)^2+(G508-'Hybrid Calculator'!$B$12)^2+((H508-'Hybrid Calculator'!$E$14)/IF(A508="Lightning",100,30000))^2+((I508-'Hybrid Calculator'!$E$17)/IF(A508="Lightning",100,30000))^2</x:f>
        <x:v>0.09975197867274013</x:v>
      </x:c>
      <x:c r="K508" s="23" t="n">
        <x:f>RANK(J508,$J$2:$J$1401,1)</x:f>
        <x:v>205</x:v>
      </x:c>
      <x:c r="L508" s="23" t="n">
        <x:f>IF(K508&lt;=7,1,0)</x:f>
        <x:v>0</x:v>
      </x:c>
      <x:c r="M508" s="23" t="n">
        <x:f>IF(L508=1,1/(J508+0.000001),0)</x:f>
        <x:v>0</x:v>
      </x:c>
      <x:c r="N508" s="23" t="n">
        <x:v>-0.02214524079217428</x:v>
      </x:c>
      <x:c r="O508" s="23" t="n">
        <x:f>M508</x:f>
        <x:v>0</x:v>
      </x:c>
      <x:c r="P508" s="23" t="n">
        <x:v>-0.9525080937022992</x:v>
      </x:c>
      <x:c r="Q508" s="23" t="n">
        <x:v>17.072355622775376</x:v>
      </x:c>
    </x:row>
    <x:row r="509">
      <x:c r="A509" s="23" t="str">
        <x:v>Lightning</x:v>
      </x:c>
      <x:c r="B509" s="23" t="n">
        <x:v>1432.2191429673694</x:v>
      </x:c>
      <x:c r="C509" s="23" t="n">
        <x:v>835.5511447880417</x:v>
      </x:c>
      <x:c r="D509" s="23" t="n">
        <x:v>517.8292292170227</x:v>
      </x:c>
      <x:c r="E509" s="23" t="n">
        <x:v>106.36853361036628</x:v>
      </x:c>
      <x:c r="F509" s="23" t="n">
        <x:v>20.53338135732338</x:v>
      </x:c>
      <x:c r="G509" s="23" t="n">
        <x:v>0.8402641175873578</x:v>
      </x:c>
      <x:c r="H509" s="23" t="n">
        <x:v>50</x:v>
      </x:c>
      <x:c r="I509" s="23" t="n">
        <x:v>25</x:v>
      </x:c>
      <x:c r="J509" s="23" t="n">
        <x:f>(IF(A509='Hybrid Calculator'!$B$6,0,1))^2+((B509-'Hybrid Calculator'!$B$7)/1500)^2+((C509-'Hybrid Calculator'!$B$8)/1300)^2+((D509-'Hybrid Calculator'!$B$9)/800)^2+((E509-'Hybrid Calculator'!$B$10)/350)^2+((F509-'Hybrid Calculator'!$B$11)/30)^2+(G509-'Hybrid Calculator'!$B$12)^2+((H509-'Hybrid Calculator'!$E$14)/IF(A509="Lightning",100,30000))^2+((I509-'Hybrid Calculator'!$E$17)/IF(A509="Lightning",100,30000))^2</x:f>
        <x:v>0.021188511040382906</x:v>
      </x:c>
      <x:c r="K509" s="23" t="n">
        <x:f>RANK(J509,$J$2:$J$1401,1)</x:f>
        <x:v>9</x:v>
      </x:c>
      <x:c r="L509" s="23" t="n">
        <x:f>IF(K509&lt;=7,1,0)</x:f>
        <x:v>0</x:v>
      </x:c>
      <x:c r="M509" s="23" t="n">
        <x:f>IF(L509=1,1/(J509+0.000001),0)</x:f>
        <x:v>0</x:v>
      </x:c>
      <x:c r="N509" s="23" t="n">
        <x:v>-0.015273679472924684</x:v>
      </x:c>
      <x:c r="O509" s="23" t="n">
        <x:f>M509</x:f>
        <x:v>0</x:v>
      </x:c>
      <x:c r="P509" s="23" t="n">
        <x:v>-1.276573886377733</x:v>
      </x:c>
      <x:c r="Q509" s="23" t="n">
        <x:v>10.390848283255991</x:v>
      </x:c>
    </x:row>
    <x:row r="510">
      <x:c r="A510" s="23" t="str">
        <x:v>Lightning</x:v>
      </x:c>
      <x:c r="B510" s="23" t="n">
        <x:v>1454.255771683529</x:v>
      </x:c>
      <x:c r="C510" s="23" t="n">
        <x:v>703.0107956263237</x:v>
      </x:c>
      <x:c r="D510" s="23" t="n">
        <x:v>379.55943923443556</x:v>
      </x:c>
      <x:c r="E510" s="23" t="n">
        <x:v>155.01180499093607</x:v>
      </x:c>
      <x:c r="F510" s="23" t="n">
        <x:v>15.367318734526634</x:v>
      </x:c>
      <x:c r="G510" s="23" t="n">
        <x:v>0.8072139015630819</x:v>
      </x:c>
      <x:c r="H510" s="23" t="n">
        <x:v>55</x:v>
      </x:c>
      <x:c r="I510" s="23" t="n">
        <x:v>25</x:v>
      </x:c>
      <x:c r="J510" s="23" t="n">
        <x:f>(IF(A510='Hybrid Calculator'!$B$6,0,1))^2+((B510-'Hybrid Calculator'!$B$7)/1500)^2+((C510-'Hybrid Calculator'!$B$8)/1300)^2+((D510-'Hybrid Calculator'!$B$9)/800)^2+((E510-'Hybrid Calculator'!$B$10)/350)^2+((F510-'Hybrid Calculator'!$B$11)/30)^2+(G510-'Hybrid Calculator'!$B$12)^2+((H510-'Hybrid Calculator'!$E$14)/IF(A510="Lightning",100,30000))^2+((I510-'Hybrid Calculator'!$E$17)/IF(A510="Lightning",100,30000))^2</x:f>
        <x:v>0.04960305906263282</x:v>
      </x:c>
      <x:c r="K510" s="23" t="n">
        <x:f>RANK(J510,$J$2:$J$1401,1)</x:f>
        <x:v>52</x:v>
      </x:c>
      <x:c r="L510" s="23" t="n">
        <x:f>IF(K510&lt;=7,1,0)</x:f>
        <x:v>0</x:v>
      </x:c>
      <x:c r="M510" s="23" t="n">
        <x:f>IF(L510=1,1/(J510+0.000001),0)</x:f>
        <x:v>0</x:v>
      </x:c>
      <x:c r="N510" s="23" t="n">
        <x:v>-0.00848285140407623</x:v>
      </x:c>
      <x:c r="O510" s="23" t="n">
        <x:f>M510</x:f>
        <x:v>0</x:v>
      </x:c>
      <x:c r="P510" s="23" t="n">
        <x:v>-1.2058020649949555</x:v>
      </x:c>
      <x:c r="Q510" s="23" t="n">
        <x:v>17.836974018937553</x:v>
      </x:c>
    </x:row>
    <x:row r="511">
      <x:c r="A511" s="23" t="str">
        <x:v>Lightning</x:v>
      </x:c>
      <x:c r="B511" s="23" t="n">
        <x:v>1472.5322586600669</x:v>
      </x:c>
      <x:c r="C511" s="23" t="n">
        <x:v>787.4441561987624</x:v>
      </x:c>
      <x:c r="D511" s="23" t="n">
        <x:v>619.2559552378953</x:v>
      </x:c>
      <x:c r="E511" s="23" t="n">
        <x:v>182.0747167058289</x:v>
      </x:c>
      <x:c r="F511" s="23" t="n">
        <x:v>27.962075150106102</x:v>
      </x:c>
      <x:c r="G511" s="23" t="n">
        <x:v>0.816513218334876</x:v>
      </x:c>
      <x:c r="H511" s="23" t="n">
        <x:v>40</x:v>
      </x:c>
      <x:c r="I511" s="23" t="n">
        <x:v>25</x:v>
      </x:c>
      <x:c r="J511" s="23" t="n">
        <x:f>(IF(A511='Hybrid Calculator'!$B$6,0,1))^2+((B511-'Hybrid Calculator'!$B$7)/1500)^2+((C511-'Hybrid Calculator'!$B$8)/1300)^2+((D511-'Hybrid Calculator'!$B$9)/800)^2+((E511-'Hybrid Calculator'!$B$10)/350)^2+((F511-'Hybrid Calculator'!$B$11)/30)^2+(G511-'Hybrid Calculator'!$B$12)^2+((H511-'Hybrid Calculator'!$E$14)/IF(A511="Lightning",100,30000))^2+((I511-'Hybrid Calculator'!$E$17)/IF(A511="Lightning",100,30000))^2</x:f>
        <x:v>0.14343067404858173</x:v>
      </x:c>
      <x:c r="K511" s="23" t="n">
        <x:f>RANK(J511,$J$2:$J$1401,1)</x:f>
        <x:v>310</x:v>
      </x:c>
      <x:c r="L511" s="23" t="n">
        <x:f>IF(K511&lt;=7,1,0)</x:f>
        <x:v>0</x:v>
      </x:c>
      <x:c r="M511" s="23" t="n">
        <x:f>IF(L511=1,1/(J511+0.000001),0)</x:f>
        <x:v>0</x:v>
      </x:c>
      <x:c r="N511" s="23" t="n">
        <x:v>-0.014754206920076118</x:v>
      </x:c>
      <x:c r="O511" s="23" t="n">
        <x:f>M511</x:f>
        <x:v>0</x:v>
      </x:c>
      <x:c r="P511" s="23" t="n">
        <x:v>0.3129103084610776</x:v>
      </x:c>
      <x:c r="Q511" s="23" t="n">
        <x:v>-9.966937214147265</x:v>
      </x:c>
    </x:row>
    <x:row r="512">
      <x:c r="A512" s="23" t="str">
        <x:v>Lightning</x:v>
      </x:c>
      <x:c r="B512" s="23" t="n">
        <x:v>1474.4427730562165</x:v>
      </x:c>
      <x:c r="C512" s="23" t="n">
        <x:v>1216.3369106245227</x:v>
      </x:c>
      <x:c r="D512" s="23" t="n">
        <x:v>565.1393637061119</x:v>
      </x:c>
      <x:c r="E512" s="23" t="n">
        <x:v>169.87506566336378</x:v>
      </x:c>
      <x:c r="F512" s="23" t="n">
        <x:v>17.036746735684574</x:v>
      </x:c>
      <x:c r="G512" s="23" t="n">
        <x:v>0.8283527160785161</x:v>
      </x:c>
      <x:c r="H512" s="23" t="n">
        <x:v>35</x:v>
      </x:c>
      <x:c r="I512" s="23" t="n">
        <x:v>25</x:v>
      </x:c>
      <x:c r="J512" s="23" t="n">
        <x:f>(IF(A512='Hybrid Calculator'!$B$6,0,1))^2+((B512-'Hybrid Calculator'!$B$7)/1500)^2+((C512-'Hybrid Calculator'!$B$8)/1300)^2+((D512-'Hybrid Calculator'!$B$9)/800)^2+((E512-'Hybrid Calculator'!$B$10)/350)^2+((F512-'Hybrid Calculator'!$B$11)/30)^2+(G512-'Hybrid Calculator'!$B$12)^2+((H512-'Hybrid Calculator'!$E$14)/IF(A512="Lightning",100,30000))^2+((I512-'Hybrid Calculator'!$E$17)/IF(A512="Lightning",100,30000))^2</x:f>
        <x:v>0.11529970297204015</x:v>
      </x:c>
      <x:c r="K512" s="23" t="n">
        <x:f>RANK(J512,$J$2:$J$1401,1)</x:f>
        <x:v>240</x:v>
      </x:c>
      <x:c r="L512" s="23" t="n">
        <x:f>IF(K512&lt;=7,1,0)</x:f>
        <x:v>0</x:v>
      </x:c>
      <x:c r="M512" s="23" t="n">
        <x:f>IF(L512=1,1/(J512+0.000001),0)</x:f>
        <x:v>0</x:v>
      </x:c>
      <x:c r="N512" s="23" t="n">
        <x:v>0.015936248961329724</x:v>
      </x:c>
      <x:c r="O512" s="23" t="n">
        <x:f>M512</x:f>
        <x:v>0</x:v>
      </x:c>
      <x:c r="P512" s="23" t="n">
        <x:v>0.8830340282039515</x:v>
      </x:c>
      <x:c r="Q512" s="23" t="n">
        <x:v>2.706631789267476</x:v>
      </x:c>
    </x:row>
    <x:row r="513">
      <x:c r="A513" s="23" t="str">
        <x:v>Lightning</x:v>
      </x:c>
      <x:c r="B513" s="23" t="n">
        <x:v>1470.7446175510995</x:v>
      </x:c>
      <x:c r="C513" s="23" t="n">
        <x:v>686.4042392931879</x:v>
      </x:c>
      <x:c r="D513" s="23" t="n">
        <x:v>700.6791851483285</x:v>
      </x:c>
      <x:c r="E513" s="23" t="n">
        <x:v>308.17888169083744</x:v>
      </x:c>
      <x:c r="F513" s="23" t="n">
        <x:v>9.061582227703184</x:v>
      </x:c>
      <x:c r="G513" s="23" t="n">
        <x:v>0.8452079278696328</x:v>
      </x:c>
      <x:c r="H513" s="23" t="n">
        <x:v>45</x:v>
      </x:c>
      <x:c r="I513" s="23" t="n">
        <x:v>25</x:v>
      </x:c>
      <x:c r="J513" s="23" t="n">
        <x:f>(IF(A513='Hybrid Calculator'!$B$6,0,1))^2+((B513-'Hybrid Calculator'!$B$7)/1500)^2+((C513-'Hybrid Calculator'!$B$8)/1300)^2+((D513-'Hybrid Calculator'!$B$9)/800)^2+((E513-'Hybrid Calculator'!$B$10)/350)^2+((F513-'Hybrid Calculator'!$B$11)/30)^2+(G513-'Hybrid Calculator'!$B$12)^2+((H513-'Hybrid Calculator'!$E$14)/IF(A513="Lightning",100,30000))^2+((I513-'Hybrid Calculator'!$E$17)/IF(A513="Lightning",100,30000))^2</x:f>
        <x:v>0.38605849625906835</x:v>
      </x:c>
      <x:c r="K513" s="23" t="n">
        <x:f>RANK(J513,$J$2:$J$1401,1)</x:f>
        <x:v>677</x:v>
      </x:c>
      <x:c r="L513" s="23" t="n">
        <x:f>IF(K513&lt;=7,1,0)</x:f>
        <x:v>0</x:v>
      </x:c>
      <x:c r="M513" s="23" t="n">
        <x:f>IF(L513=1,1/(J513+0.000001),0)</x:f>
        <x:v>0</x:v>
      </x:c>
      <x:c r="N513" s="23" t="n">
        <x:v>0.011160015546632929</x:v>
      </x:c>
      <x:c r="O513" s="23" t="n">
        <x:f>M513</x:f>
        <x:v>0</x:v>
      </x:c>
      <x:c r="P513" s="23" t="n">
        <x:v>0.3263315497279322</x:v>
      </x:c>
      <x:c r="Q513" s="23" t="n">
        <x:v>10.254426835161667</x:v>
      </x:c>
    </x:row>
    <x:row r="514">
      <x:c r="A514" s="23" t="str">
        <x:v>Lightning</x:v>
      </x:c>
      <x:c r="B514" s="23" t="n">
        <x:v>1399.3254594504833</x:v>
      </x:c>
      <x:c r="C514" s="23" t="n">
        <x:v>1015.1420506066643</x:v>
      </x:c>
      <x:c r="D514" s="23" t="n">
        <x:v>427.0647631958127</x:v>
      </x:c>
      <x:c r="E514" s="23" t="n">
        <x:v>279.61606204742566</x:v>
      </x:c>
      <x:c r="F514" s="23" t="n">
        <x:v>28.653290627524257</x:v>
      </x:c>
      <x:c r="G514" s="23" t="n">
        <x:v>0.8529213302326389</x:v>
      </x:c>
      <x:c r="H514" s="23" t="n">
        <x:v>40</x:v>
      </x:c>
      <x:c r="I514" s="23" t="n">
        <x:v>25</x:v>
      </x:c>
      <x:c r="J514" s="23" t="n">
        <x:f>(IF(A514='Hybrid Calculator'!$B$6,0,1))^2+((B514-'Hybrid Calculator'!$B$7)/1500)^2+((C514-'Hybrid Calculator'!$B$8)/1300)^2+((D514-'Hybrid Calculator'!$B$9)/800)^2+((E514-'Hybrid Calculator'!$B$10)/350)^2+((F514-'Hybrid Calculator'!$B$11)/30)^2+(G514-'Hybrid Calculator'!$B$12)^2+((H514-'Hybrid Calculator'!$E$14)/IF(A514="Lightning",100,30000))^2+((I514-'Hybrid Calculator'!$E$17)/IF(A514="Lightning",100,30000))^2</x:f>
        <x:v>0.2875149725129242</x:v>
      </x:c>
      <x:c r="K514" s="23" t="n">
        <x:f>RANK(J514,$J$2:$J$1401,1)</x:f>
        <x:v>592</x:v>
      </x:c>
      <x:c r="L514" s="23" t="n">
        <x:f>IF(K514&lt;=7,1,0)</x:f>
        <x:v>0</x:v>
      </x:c>
      <x:c r="M514" s="23" t="n">
        <x:f>IF(L514=1,1/(J514+0.000001),0)</x:f>
        <x:v>0</x:v>
      </x:c>
      <x:c r="N514" s="23" t="n">
        <x:v>-0.014054466802160492</x:v>
      </x:c>
      <x:c r="O514" s="23" t="n">
        <x:f>M514</x:f>
        <x:v>0</x:v>
      </x:c>
      <x:c r="P514" s="23" t="n">
        <x:v>0.04767499544551157</x:v>
      </x:c>
      <x:c r="Q514" s="23" t="n">
        <x:v>-20.708719486935934</x:v>
      </x:c>
    </x:row>
    <x:row r="515">
      <x:c r="A515" s="23" t="str">
        <x:v>Lightning</x:v>
      </x:c>
      <x:c r="B515" s="23" t="n">
        <x:v>1455.1806195289828</x:v>
      </x:c>
      <x:c r="C515" s="23" t="n">
        <x:v>626.5705960104242</x:v>
      </x:c>
      <x:c r="D515" s="23" t="n">
        <x:v>519.0882668830454</x:v>
      </x:c>
      <x:c r="E515" s="23" t="n">
        <x:v>168.66293146274984</x:v>
      </x:c>
      <x:c r="F515" s="23" t="n">
        <x:v>27.800882366020232</x:v>
      </x:c>
      <x:c r="G515" s="23" t="n">
        <x:v>0.8247257120953874</x:v>
      </x:c>
      <x:c r="H515" s="23" t="n">
        <x:v>55</x:v>
      </x:c>
      <x:c r="I515" s="23" t="n">
        <x:v>25</x:v>
      </x:c>
      <x:c r="J515" s="23" t="n">
        <x:f>(IF(A515='Hybrid Calculator'!$B$6,0,1))^2+((B515-'Hybrid Calculator'!$B$7)/1500)^2+((C515-'Hybrid Calculator'!$B$8)/1300)^2+((D515-'Hybrid Calculator'!$B$9)/800)^2+((E515-'Hybrid Calculator'!$B$10)/350)^2+((F515-'Hybrid Calculator'!$B$11)/30)^2+(G515-'Hybrid Calculator'!$B$12)^2+((H515-'Hybrid Calculator'!$E$14)/IF(A515="Lightning",100,30000))^2+((I515-'Hybrid Calculator'!$E$17)/IF(A515="Lightning",100,30000))^2</x:f>
        <x:v>0.13199689642633025</x:v>
      </x:c>
      <x:c r="K515" s="23" t="n">
        <x:f>RANK(J515,$J$2:$J$1401,1)</x:f>
        <x:v>280</x:v>
      </x:c>
      <x:c r="L515" s="23" t="n">
        <x:f>IF(K515&lt;=7,1,0)</x:f>
        <x:v>0</x:v>
      </x:c>
      <x:c r="M515" s="23" t="n">
        <x:f>IF(L515=1,1/(J515+0.000001),0)</x:f>
        <x:v>0</x:v>
      </x:c>
      <x:c r="N515" s="23" t="n">
        <x:v>-0.01385555290115259</x:v>
      </x:c>
      <x:c r="O515" s="23" t="n">
        <x:f>M515</x:f>
        <x:v>0</x:v>
      </x:c>
      <x:c r="P515" s="23" t="n">
        <x:v>-0.967252812601032</x:v>
      </x:c>
      <x:c r="Q515" s="23" t="n">
        <x:v>-10.837750766251247</x:v>
      </x:c>
    </x:row>
    <x:row r="516">
      <x:c r="A516" s="23" t="str">
        <x:v>Lightning</x:v>
      </x:c>
      <x:c r="B516" s="23" t="n">
        <x:v>1374.2280297679827</x:v>
      </x:c>
      <x:c r="C516" s="23" t="n">
        <x:v>1018.8589048222639</x:v>
      </x:c>
      <x:c r="D516" s="23" t="n">
        <x:v>486.6113606840372</x:v>
      </x:c>
      <x:c r="E516" s="23" t="n">
        <x:v>279.7311163577251</x:v>
      </x:c>
      <x:c r="F516" s="23" t="n">
        <x:v>29.601565533317626</x:v>
      </x:c>
      <x:c r="G516" s="23" t="n">
        <x:v>0.8315635847556405</x:v>
      </x:c>
      <x:c r="H516" s="23" t="n">
        <x:v>40</x:v>
      </x:c>
      <x:c r="I516" s="23" t="n">
        <x:v>25</x:v>
      </x:c>
      <x:c r="J516" s="23" t="n">
        <x:f>(IF(A516='Hybrid Calculator'!$B$6,0,1))^2+((B516-'Hybrid Calculator'!$B$7)/1500)^2+((C516-'Hybrid Calculator'!$B$8)/1300)^2+((D516-'Hybrid Calculator'!$B$9)/800)^2+((E516-'Hybrid Calculator'!$B$10)/350)^2+((F516-'Hybrid Calculator'!$B$11)/30)^2+(G516-'Hybrid Calculator'!$B$12)^2+((H516-'Hybrid Calculator'!$E$14)/IF(A516="Lightning",100,30000))^2+((I516-'Hybrid Calculator'!$E$17)/IF(A516="Lightning",100,30000))^2</x:f>
        <x:v>0.3027589832343568</x:v>
      </x:c>
      <x:c r="K516" s="23" t="n">
        <x:f>RANK(J516,$J$2:$J$1401,1)</x:f>
        <x:v>599</x:v>
      </x:c>
      <x:c r="L516" s="23" t="n">
        <x:f>IF(K516&lt;=7,1,0)</x:f>
        <x:v>0</x:v>
      </x:c>
      <x:c r="M516" s="23" t="n">
        <x:f>IF(L516=1,1/(J516+0.000001),0)</x:f>
        <x:v>0</x:v>
      </x:c>
      <x:c r="N516" s="23" t="n">
        <x:v>0.005029046798849857</x:v>
      </x:c>
      <x:c r="O516" s="23" t="n">
        <x:f>M516</x:f>
        <x:v>0</x:v>
      </x:c>
      <x:c r="P516" s="23" t="n">
        <x:v>0.5308672842493039</x:v>
      </x:c>
      <x:c r="Q516" s="23" t="n">
        <x:v>-19.56868745596944</x:v>
      </x:c>
    </x:row>
    <x:row r="517">
      <x:c r="A517" s="23" t="str">
        <x:v>Lightning</x:v>
      </x:c>
      <x:c r="B517" s="23" t="n">
        <x:v>1418.9824149361812</x:v>
      </x:c>
      <x:c r="C517" s="23" t="n">
        <x:v>988.4046524297446</x:v>
      </x:c>
      <x:c r="D517" s="23" t="n">
        <x:v>693.0952633731067</x:v>
      </x:c>
      <x:c r="E517" s="23" t="n">
        <x:v>291.0583184985444</x:v>
      </x:c>
      <x:c r="F517" s="23" t="n">
        <x:v>21.78218888817355</x:v>
      </x:c>
      <x:c r="G517" s="23" t="n">
        <x:v>0.8445763988047839</x:v>
      </x:c>
      <x:c r="H517" s="23" t="n">
        <x:v>35</x:v>
      </x:c>
      <x:c r="I517" s="23" t="n">
        <x:v>25</x:v>
      </x:c>
      <x:c r="J517" s="23" t="n">
        <x:f>(IF(A517='Hybrid Calculator'!$B$6,0,1))^2+((B517-'Hybrid Calculator'!$B$7)/1500)^2+((C517-'Hybrid Calculator'!$B$8)/1300)^2+((D517-'Hybrid Calculator'!$B$9)/800)^2+((E517-'Hybrid Calculator'!$B$10)/350)^2+((F517-'Hybrid Calculator'!$B$11)/30)^2+(G517-'Hybrid Calculator'!$B$12)^2+((H517-'Hybrid Calculator'!$E$14)/IF(A517="Lightning",100,30000))^2+((I517-'Hybrid Calculator'!$E$17)/IF(A517="Lightning",100,30000))^2</x:f>
        <x:v>0.2671118414389777</x:v>
      </x:c>
      <x:c r="K517" s="23" t="n">
        <x:f>RANK(J517,$J$2:$J$1401,1)</x:f>
        <x:v>568</x:v>
      </x:c>
      <x:c r="L517" s="23" t="n">
        <x:f>IF(K517&lt;=7,1,0)</x:f>
        <x:v>0</x:v>
      </x:c>
      <x:c r="M517" s="23" t="n">
        <x:f>IF(L517=1,1/(J517+0.000001),0)</x:f>
        <x:v>0</x:v>
      </x:c>
      <x:c r="N517" s="23" t="n">
        <x:v>0.006573520531957477</x:v>
      </x:c>
      <x:c r="O517" s="23" t="n">
        <x:f>M517</x:f>
        <x:v>0</x:v>
      </x:c>
      <x:c r="P517" s="23" t="n">
        <x:v>1.0885807812683552</x:v>
      </x:c>
      <x:c r="Q517" s="23" t="n">
        <x:v>-6.82473751828411</x:v>
      </x:c>
    </x:row>
    <x:row r="518">
      <x:c r="A518" s="23" t="str">
        <x:v>Lightning</x:v>
      </x:c>
      <x:c r="B518" s="23" t="n">
        <x:v>1467.897293670103</x:v>
      </x:c>
      <x:c r="C518" s="23" t="n">
        <x:v>1155.3445041994564</x:v>
      </x:c>
      <x:c r="D518" s="23" t="n">
        <x:v>635.7210969552398</x:v>
      </x:c>
      <x:c r="E518" s="23" t="n">
        <x:v>82.08538101287559</x:v>
      </x:c>
      <x:c r="F518" s="23" t="n">
        <x:v>28.050575595349073</x:v>
      </x:c>
      <x:c r="G518" s="23" t="n">
        <x:v>0.8139792757877149</x:v>
      </x:c>
      <x:c r="H518" s="23" t="n">
        <x:v>35</x:v>
      </x:c>
      <x:c r="I518" s="23" t="n">
        <x:v>25</x:v>
      </x:c>
      <x:c r="J518" s="23" t="n">
        <x:f>(IF(A518='Hybrid Calculator'!$B$6,0,1))^2+((B518-'Hybrid Calculator'!$B$7)/1500)^2+((C518-'Hybrid Calculator'!$B$8)/1300)^2+((D518-'Hybrid Calculator'!$B$9)/800)^2+((E518-'Hybrid Calculator'!$B$10)/350)^2+((F518-'Hybrid Calculator'!$B$11)/30)^2+(G518-'Hybrid Calculator'!$B$12)^2+((H518-'Hybrid Calculator'!$E$14)/IF(A518="Lightning",100,30000))^2+((I518-'Hybrid Calculator'!$E$17)/IF(A518="Lightning",100,30000))^2</x:f>
        <x:v>0.24630502509219268</x:v>
      </x:c>
      <x:c r="K518" s="23" t="n">
        <x:f>RANK(J518,$J$2:$J$1401,1)</x:f>
        <x:v>531</x:v>
      </x:c>
      <x:c r="L518" s="23" t="n">
        <x:f>IF(K518&lt;=7,1,0)</x:f>
        <x:v>0</x:v>
      </x:c>
      <x:c r="M518" s="23" t="n">
        <x:f>IF(L518=1,1/(J518+0.000001),0)</x:f>
        <x:v>0</x:v>
      </x:c>
      <x:c r="N518" s="23" t="n">
        <x:v>0.006247468430039094</x:v>
      </x:c>
      <x:c r="O518" s="23" t="n">
        <x:f>M518</x:f>
        <x:v>0</x:v>
      </x:c>
      <x:c r="P518" s="23" t="n">
        <x:v>0.006010282981506521</x:v>
      </x:c>
      <x:c r="Q518" s="23" t="n">
        <x:v>-21.853158110562617</x:v>
      </x:c>
    </x:row>
    <x:row r="519">
      <x:c r="A519" s="23" t="str">
        <x:v>Lightning</x:v>
      </x:c>
      <x:c r="B519" s="23" t="n">
        <x:v>1437.6558907446451</x:v>
      </x:c>
      <x:c r="C519" s="23" t="n">
        <x:v>630.1250143675134</x:v>
      </x:c>
      <x:c r="D519" s="23" t="n">
        <x:v>591.8364723213017</x:v>
      </x:c>
      <x:c r="E519" s="23" t="n">
        <x:v>172.8236274048686</x:v>
      </x:c>
      <x:c r="F519" s="23" t="n">
        <x:v>13.053231226745993</x:v>
      </x:c>
      <x:c r="G519" s="23" t="n">
        <x:v>0.850140165197663</x:v>
      </x:c>
      <x:c r="H519" s="23" t="n">
        <x:v>55</x:v>
      </x:c>
      <x:c r="I519" s="23" t="n">
        <x:v>25</x:v>
      </x:c>
      <x:c r="J519" s="23" t="n">
        <x:f>(IF(A519='Hybrid Calculator'!$B$6,0,1))^2+((B519-'Hybrid Calculator'!$B$7)/1500)^2+((C519-'Hybrid Calculator'!$B$8)/1300)^2+((D519-'Hybrid Calculator'!$B$9)/800)^2+((E519-'Hybrid Calculator'!$B$10)/350)^2+((F519-'Hybrid Calculator'!$B$11)/30)^2+(G519-'Hybrid Calculator'!$B$12)^2+((H519-'Hybrid Calculator'!$E$14)/IF(A519="Lightning",100,30000))^2+((I519-'Hybrid Calculator'!$E$17)/IF(A519="Lightning",100,30000))^2</x:f>
        <x:v>0.08248020608863472</x:v>
      </x:c>
      <x:c r="K519" s="23" t="n">
        <x:f>RANK(J519,$J$2:$J$1401,1)</x:f>
        <x:v>148</x:v>
      </x:c>
      <x:c r="L519" s="23" t="n">
        <x:f>IF(K519&lt;=7,1,0)</x:f>
        <x:v>0</x:v>
      </x:c>
      <x:c r="M519" s="23" t="n">
        <x:f>IF(L519=1,1/(J519+0.000001),0)</x:f>
        <x:v>0</x:v>
      </x:c>
      <x:c r="N519" s="23" t="n">
        <x:v>0.010519519695503243</x:v>
      </x:c>
      <x:c r="O519" s="23" t="n">
        <x:f>M519</x:f>
        <x:v>0</x:v>
      </x:c>
      <x:c r="P519" s="23" t="n">
        <x:v>-1.657775820477191</x:v>
      </x:c>
      <x:c r="Q519" s="23" t="n">
        <x:v>13.104059645756479</x:v>
      </x:c>
    </x:row>
    <x:row r="520">
      <x:c r="A520" s="23" t="str">
        <x:v>Lightning</x:v>
      </x:c>
      <x:c r="B520" s="23" t="n">
        <x:v>1436.0719128046185</x:v>
      </x:c>
      <x:c r="C520" s="23" t="n">
        <x:v>1189.6423151600175</x:v>
      </x:c>
      <x:c r="D520" s="23" t="n">
        <x:v>674.9759448692203</x:v>
      </x:c>
      <x:c r="E520" s="23" t="n">
        <x:v>254.41289249109104</x:v>
      </x:c>
      <x:c r="F520" s="23" t="n">
        <x:v>23.742383934557438</x:v>
      </x:c>
      <x:c r="G520" s="23" t="n">
        <x:v>0.8307659783423879</x:v>
      </x:c>
      <x:c r="H520" s="23" t="n">
        <x:v>35</x:v>
      </x:c>
      <x:c r="I520" s="23" t="n">
        <x:v>25</x:v>
      </x:c>
      <x:c r="J520" s="23" t="n">
        <x:f>(IF(A520='Hybrid Calculator'!$B$6,0,1))^2+((B520-'Hybrid Calculator'!$B$7)/1500)^2+((C520-'Hybrid Calculator'!$B$8)/1300)^2+((D520-'Hybrid Calculator'!$B$9)/800)^2+((E520-'Hybrid Calculator'!$B$10)/350)^2+((F520-'Hybrid Calculator'!$B$11)/30)^2+(G520-'Hybrid Calculator'!$B$12)^2+((H520-'Hybrid Calculator'!$E$14)/IF(A520="Lightning",100,30000))^2+((I520-'Hybrid Calculator'!$E$17)/IF(A520="Lightning",100,30000))^2</x:f>
        <x:v>0.2582998739834611</x:v>
      </x:c>
      <x:c r="K520" s="23" t="n">
        <x:f>RANK(J520,$J$2:$J$1401,1)</x:f>
        <x:v>556</x:v>
      </x:c>
      <x:c r="L520" s="23" t="n">
        <x:f>IF(K520&lt;=7,1,0)</x:f>
        <x:v>0</x:v>
      </x:c>
      <x:c r="M520" s="23" t="n">
        <x:f>IF(L520=1,1/(J520+0.000001),0)</x:f>
        <x:v>0</x:v>
      </x:c>
      <x:c r="N520" s="23" t="n">
        <x:v>0.007552725683959816</x:v>
      </x:c>
      <x:c r="O520" s="23" t="n">
        <x:f>M520</x:f>
        <x:v>0</x:v>
      </x:c>
      <x:c r="P520" s="23" t="n">
        <x:v>0.46009218972452715</x:v>
      </x:c>
      <x:c r="Q520" s="23" t="n">
        <x:v>-16.272873812682747</x:v>
      </x:c>
    </x:row>
    <x:row r="521">
      <x:c r="A521" s="23" t="str">
        <x:v>Lightning</x:v>
      </x:c>
      <x:c r="B521" s="23" t="n">
        <x:v>1477.6738169719465</x:v>
      </x:c>
      <x:c r="C521" s="23" t="n">
        <x:v>797.6235091453418</x:v>
      </x:c>
      <x:c r="D521" s="23" t="n">
        <x:v>365.3872814960778</x:v>
      </x:c>
      <x:c r="E521" s="23" t="n">
        <x:v>210.72465499863029</x:v>
      </x:c>
      <x:c r="F521" s="23" t="n">
        <x:v>9.353315769229084</x:v>
      </x:c>
      <x:c r="G521" s="23" t="n">
        <x:v>0.8190317727765069</x:v>
      </x:c>
      <x:c r="H521" s="23" t="n">
        <x:v>50</x:v>
      </x:c>
      <x:c r="I521" s="23" t="n">
        <x:v>25</x:v>
      </x:c>
      <x:c r="J521" s="23" t="n">
        <x:f>(IF(A521='Hybrid Calculator'!$B$6,0,1))^2+((B521-'Hybrid Calculator'!$B$7)/1500)^2+((C521-'Hybrid Calculator'!$B$8)/1300)^2+((D521-'Hybrid Calculator'!$B$9)/800)^2+((E521-'Hybrid Calculator'!$B$10)/350)^2+((F521-'Hybrid Calculator'!$B$11)/30)^2+(G521-'Hybrid Calculator'!$B$12)^2+((H521-'Hybrid Calculator'!$E$14)/IF(A521="Lightning",100,30000))^2+((I521-'Hybrid Calculator'!$E$17)/IF(A521="Lightning",100,30000))^2</x:f>
        <x:v>0.15423022689647417</x:v>
      </x:c>
      <x:c r="K521" s="23" t="n">
        <x:f>RANK(J521,$J$2:$J$1401,1)</x:f>
        <x:v>338</x:v>
      </x:c>
      <x:c r="L521" s="23" t="n">
        <x:f>IF(K521&lt;=7,1,0)</x:f>
        <x:v>0</x:v>
      </x:c>
      <x:c r="M521" s="23" t="n">
        <x:f>IF(L521=1,1/(J521+0.000001),0)</x:f>
        <x:v>0</x:v>
      </x:c>
      <x:c r="N521" s="23" t="n">
        <x:v>0.005056411394583016</x:v>
      </x:c>
      <x:c r="O521" s="23" t="n">
        <x:f>M521</x:f>
        <x:v>0</x:v>
      </x:c>
      <x:c r="P521" s="23" t="n">
        <x:v>-0.8902134081319346</x:v>
      </x:c>
      <x:c r="Q521" s="23" t="n">
        <x:v>16.923855097249316</x:v>
      </x:c>
    </x:row>
    <x:row r="522">
      <x:c r="A522" s="23" t="str">
        <x:v>Lightning</x:v>
      </x:c>
      <x:c r="B522" s="23" t="n">
        <x:v>1438.7666600989178</x:v>
      </x:c>
      <x:c r="C522" s="23" t="n">
        <x:v>644.6825038758107</x:v>
      </x:c>
      <x:c r="D522" s="23" t="n">
        <x:v>564.2818868160248</x:v>
      </x:c>
      <x:c r="E522" s="23" t="n">
        <x:v>112.54977049073204</x:v>
      </x:c>
      <x:c r="F522" s="23" t="n">
        <x:v>26.985390949063003</x:v>
      </x:c>
      <x:c r="G522" s="23" t="n">
        <x:v>0.8061094961292111</x:v>
      </x:c>
      <x:c r="H522" s="23" t="n">
        <x:v>55</x:v>
      </x:c>
      <x:c r="I522" s="23" t="n">
        <x:v>25</x:v>
      </x:c>
      <x:c r="J522" s="23" t="n">
        <x:f>(IF(A522='Hybrid Calculator'!$B$6,0,1))^2+((B522-'Hybrid Calculator'!$B$7)/1500)^2+((C522-'Hybrid Calculator'!$B$8)/1300)^2+((D522-'Hybrid Calculator'!$B$9)/800)^2+((E522-'Hybrid Calculator'!$B$10)/350)^2+((F522-'Hybrid Calculator'!$B$11)/30)^2+(G522-'Hybrid Calculator'!$B$12)^2+((H522-'Hybrid Calculator'!$E$14)/IF(A522="Lightning",100,30000))^2+((I522-'Hybrid Calculator'!$E$17)/IF(A522="Lightning",100,30000))^2</x:f>
        <x:v>0.12562883488655444</x:v>
      </x:c>
      <x:c r="K522" s="23" t="n">
        <x:f>RANK(J522,$J$2:$J$1401,1)</x:f>
        <x:v>265</x:v>
      </x:c>
      <x:c r="L522" s="23" t="n">
        <x:f>IF(K522&lt;=7,1,0)</x:f>
        <x:v>0</x:v>
      </x:c>
      <x:c r="M522" s="23" t="n">
        <x:f>IF(L522=1,1/(J522+0.000001),0)</x:f>
        <x:v>0</x:v>
      </x:c>
      <x:c r="N522" s="23" t="n">
        <x:v>-0.005321668300485971</x:v>
      </x:c>
      <x:c r="O522" s="23" t="n">
        <x:f>M522</x:f>
        <x:v>0</x:v>
      </x:c>
      <x:c r="P522" s="23" t="n">
        <x:v>-1.62488496726138</x:v>
      </x:c>
      <x:c r="Q522" s="23" t="n">
        <x:v>-6.435490484426282</x:v>
      </x:c>
    </x:row>
    <x:row r="523">
      <x:c r="A523" s="23" t="str">
        <x:v>Lightning</x:v>
      </x:c>
      <x:c r="B523" s="23" t="n">
        <x:v>1487.6279079238884</x:v>
      </x:c>
      <x:c r="C523" s="23" t="n">
        <x:v>725.0045605935156</x:v>
      </x:c>
      <x:c r="D523" s="23" t="n">
        <x:v>700.5637562833726</x:v>
      </x:c>
      <x:c r="E523" s="23" t="n">
        <x:v>224.28423123899847</x:v>
      </x:c>
      <x:c r="F523" s="23" t="n">
        <x:v>9.67376766866073</x:v>
      </x:c>
      <x:c r="G523" s="23" t="n">
        <x:v>0.8514796410594136</x:v>
      </x:c>
      <x:c r="H523" s="23" t="n">
        <x:v>45</x:v>
      </x:c>
      <x:c r="I523" s="23" t="n">
        <x:v>25</x:v>
      </x:c>
      <x:c r="J523" s="23" t="n">
        <x:f>(IF(A523='Hybrid Calculator'!$B$6,0,1))^2+((B523-'Hybrid Calculator'!$B$7)/1500)^2+((C523-'Hybrid Calculator'!$B$8)/1300)^2+((D523-'Hybrid Calculator'!$B$9)/800)^2+((E523-'Hybrid Calculator'!$B$10)/350)^2+((F523-'Hybrid Calculator'!$B$11)/30)^2+(G523-'Hybrid Calculator'!$B$12)^2+((H523-'Hybrid Calculator'!$E$14)/IF(A523="Lightning",100,30000))^2+((I523-'Hybrid Calculator'!$E$17)/IF(A523="Lightning",100,30000))^2</x:f>
        <x:v>0.20893621884961128</x:v>
      </x:c>
      <x:c r="K523" s="23" t="n">
        <x:f>RANK(J523,$J$2:$J$1401,1)</x:f>
        <x:v>461</x:v>
      </x:c>
      <x:c r="L523" s="23" t="n">
        <x:f>IF(K523&lt;=7,1,0)</x:f>
        <x:v>0</x:v>
      </x:c>
      <x:c r="M523" s="23" t="n">
        <x:f>IF(L523=1,1/(J523+0.000001),0)</x:f>
        <x:v>0</x:v>
      </x:c>
      <x:c r="N523" s="23" t="n">
        <x:v>0.0005100150436370132</x:v>
      </x:c>
      <x:c r="O523" s="23" t="n">
        <x:f>M523</x:f>
        <x:v>0</x:v>
      </x:c>
      <x:c r="P523" s="23" t="n">
        <x:v>-0.9259590229882306</x:v>
      </x:c>
      <x:c r="Q523" s="23" t="n">
        <x:v>15.091403254023817</x:v>
      </x:c>
    </x:row>
    <x:row r="524">
      <x:c r="A524" s="23" t="str">
        <x:v>Lightning</x:v>
      </x:c>
      <x:c r="B524" s="23" t="n">
        <x:v>1437.4101703986526</x:v>
      </x:c>
      <x:c r="C524" s="23" t="n">
        <x:v>813.603056629654</x:v>
      </x:c>
      <x:c r="D524" s="23" t="n">
        <x:v>584.6342505887151</x:v>
      </x:c>
      <x:c r="E524" s="23" t="n">
        <x:v>248.9927313127555</x:v>
      </x:c>
      <x:c r="F524" s="23" t="n">
        <x:v>24.289271464571357</x:v>
      </x:c>
      <x:c r="G524" s="23" t="n">
        <x:v>0.805202921491582</x:v>
      </x:c>
      <x:c r="H524" s="23" t="n">
        <x:v>45</x:v>
      </x:c>
      <x:c r="I524" s="23" t="n">
        <x:v>25</x:v>
      </x:c>
      <x:c r="J524" s="23" t="n">
        <x:f>(IF(A524='Hybrid Calculator'!$B$6,0,1))^2+((B524-'Hybrid Calculator'!$B$7)/1500)^2+((C524-'Hybrid Calculator'!$B$8)/1300)^2+((D524-'Hybrid Calculator'!$B$9)/800)^2+((E524-'Hybrid Calculator'!$B$10)/350)^2+((F524-'Hybrid Calculator'!$B$11)/30)^2+(G524-'Hybrid Calculator'!$B$12)^2+((H524-'Hybrid Calculator'!$E$14)/IF(A524="Lightning",100,30000))^2+((I524-'Hybrid Calculator'!$E$17)/IF(A524="Lightning",100,30000))^2</x:f>
        <x:v>0.13199943301600972</x:v>
      </x:c>
      <x:c r="K524" s="23" t="n">
        <x:f>RANK(J524,$J$2:$J$1401,1)</x:f>
        <x:v>281</x:v>
      </x:c>
      <x:c r="L524" s="23" t="n">
        <x:f>IF(K524&lt;=7,1,0)</x:f>
        <x:v>0</x:v>
      </x:c>
      <x:c r="M524" s="23" t="n">
        <x:f>IF(L524=1,1/(J524+0.000001),0)</x:f>
        <x:v>0</x:v>
      </x:c>
      <x:c r="N524" s="23" t="n">
        <x:v>-0.0055045653739058675</x:v>
      </x:c>
      <x:c r="O524" s="23" t="n">
        <x:f>M524</x:f>
        <x:v>0</x:v>
      </x:c>
      <x:c r="P524" s="23" t="n">
        <x:v>-1.335967502932192</x:v>
      </x:c>
      <x:c r="Q524" s="23" t="n">
        <x:v>-11.828995260638521</x:v>
      </x:c>
    </x:row>
    <x:row r="525">
      <x:c r="A525" s="23" t="str">
        <x:v>Lightning</x:v>
      </x:c>
      <x:c r="B525" s="23" t="n">
        <x:v>1432.7249739901163</x:v>
      </x:c>
      <x:c r="C525" s="23" t="n">
        <x:v>915.211408236064</x:v>
      </x:c>
      <x:c r="D525" s="23" t="n">
        <x:v>363.99281034246087</x:v>
      </x:c>
      <x:c r="E525" s="23" t="n">
        <x:v>253.16404613666236</x:v>
      </x:c>
      <x:c r="F525" s="23" t="n">
        <x:v>24.976310659665614</x:v>
      </x:c>
      <x:c r="G525" s="23" t="n">
        <x:v>0.84311814871151</x:v>
      </x:c>
      <x:c r="H525" s="23" t="n">
        <x:v>45</x:v>
      </x:c>
      <x:c r="I525" s="23" t="n">
        <x:v>25</x:v>
      </x:c>
      <x:c r="J525" s="23" t="n">
        <x:f>(IF(A525='Hybrid Calculator'!$B$6,0,1))^2+((B525-'Hybrid Calculator'!$B$7)/1500)^2+((C525-'Hybrid Calculator'!$B$8)/1300)^2+((D525-'Hybrid Calculator'!$B$9)/800)^2+((E525-'Hybrid Calculator'!$B$10)/350)^2+((F525-'Hybrid Calculator'!$B$11)/30)^2+(G525-'Hybrid Calculator'!$B$12)^2+((H525-'Hybrid Calculator'!$E$14)/IF(A525="Lightning",100,30000))^2+((I525-'Hybrid Calculator'!$E$17)/IF(A525="Lightning",100,30000))^2</x:f>
        <x:v>0.16796337070248035</x:v>
      </x:c>
      <x:c r="K525" s="23" t="n">
        <x:f>RANK(J525,$J$2:$J$1401,1)</x:f>
        <x:v>378</x:v>
      </x:c>
      <x:c r="L525" s="23" t="n">
        <x:f>IF(K525&lt;=7,1,0)</x:f>
        <x:v>0</x:v>
      </x:c>
      <x:c r="M525" s="23" t="n">
        <x:f>IF(L525=1,1/(J525+0.000001),0)</x:f>
        <x:v>0</x:v>
      </x:c>
      <x:c r="N525" s="23" t="n">
        <x:v>0.003153246648569974</x:v>
      </x:c>
      <x:c r="O525" s="23" t="n">
        <x:f>M525</x:f>
        <x:v>0</x:v>
      </x:c>
      <x:c r="P525" s="23" t="n">
        <x:v>0.2999400065931539</x:v>
      </x:c>
      <x:c r="Q525" s="23" t="n">
        <x:v>-0.5554121191489685</x:v>
      </x:c>
    </x:row>
    <x:row r="526">
      <x:c r="A526" s="23" t="str">
        <x:v>Lightning</x:v>
      </x:c>
      <x:c r="B526" s="23" t="n">
        <x:v>1423.0102172819898</x:v>
      </x:c>
      <x:c r="C526" s="23" t="n">
        <x:v>891.7698329896666</x:v>
      </x:c>
      <x:c r="D526" s="23" t="n">
        <x:v>617.5084967166185</x:v>
      </x:c>
      <x:c r="E526" s="23" t="n">
        <x:v>251.82776163099334</x:v>
      </x:c>
      <x:c r="F526" s="23" t="n">
        <x:v>22.427232370711863</x:v>
      </x:c>
      <x:c r="G526" s="23" t="n">
        <x:v>0.8541306736203842</x:v>
      </x:c>
      <x:c r="H526" s="23" t="n">
        <x:v>40</x:v>
      </x:c>
      <x:c r="I526" s="23" t="n">
        <x:v>25</x:v>
      </x:c>
      <x:c r="J526" s="23" t="n">
        <x:f>(IF(A526='Hybrid Calculator'!$B$6,0,1))^2+((B526-'Hybrid Calculator'!$B$7)/1500)^2+((C526-'Hybrid Calculator'!$B$8)/1300)^2+((D526-'Hybrid Calculator'!$B$9)/800)^2+((E526-'Hybrid Calculator'!$B$10)/350)^2+((F526-'Hybrid Calculator'!$B$11)/30)^2+(G526-'Hybrid Calculator'!$B$12)^2+((H526-'Hybrid Calculator'!$E$14)/IF(A526="Lightning",100,30000))^2+((I526-'Hybrid Calculator'!$E$17)/IF(A526="Lightning",100,30000))^2</x:f>
        <x:v>0.1355552889316618</x:v>
      </x:c>
      <x:c r="K526" s="23" t="n">
        <x:f>RANK(J526,$J$2:$J$1401,1)</x:f>
        <x:v>293</x:v>
      </x:c>
      <x:c r="L526" s="23" t="n">
        <x:f>IF(K526&lt;=7,1,0)</x:f>
        <x:v>0</x:v>
      </x:c>
      <x:c r="M526" s="23" t="n">
        <x:f>IF(L526=1,1/(J526+0.000001),0)</x:f>
        <x:v>0</x:v>
      </x:c>
      <x:c r="N526" s="23" t="n">
        <x:v>0.011784809103104088</x:v>
      </x:c>
      <x:c r="O526" s="23" t="n">
        <x:f>M526</x:f>
        <x:v>0</x:v>
      </x:c>
      <x:c r="P526" s="23" t="n">
        <x:v>0.5503415115364731</x:v>
      </x:c>
      <x:c r="Q526" s="23" t="n">
        <x:v>-12.258140901340994</x:v>
      </x:c>
    </x:row>
    <x:row r="527">
      <x:c r="A527" s="23" t="str">
        <x:v>Lightning</x:v>
      </x:c>
      <x:c r="B527" s="23" t="n">
        <x:v>1470.4251548624597</x:v>
      </x:c>
      <x:c r="C527" s="23" t="n">
        <x:v>670.6664042081684</x:v>
      </x:c>
      <x:c r="D527" s="23" t="n">
        <x:v>473.0207900516689</x:v>
      </x:c>
      <x:c r="E527" s="23" t="n">
        <x:v>126.86746455263346</x:v>
      </x:c>
      <x:c r="F527" s="23" t="n">
        <x:v>19.039728957694024</x:v>
      </x:c>
      <x:c r="G527" s="23" t="n">
        <x:v>0.8346625487878919</x:v>
      </x:c>
      <x:c r="H527" s="23" t="n">
        <x:v>60</x:v>
      </x:c>
      <x:c r="I527" s="23" t="n">
        <x:v>25</x:v>
      </x:c>
      <x:c r="J527" s="23" t="n">
        <x:f>(IF(A527='Hybrid Calculator'!$B$6,0,1))^2+((B527-'Hybrid Calculator'!$B$7)/1500)^2+((C527-'Hybrid Calculator'!$B$8)/1300)^2+((D527-'Hybrid Calculator'!$B$9)/800)^2+((E527-'Hybrid Calculator'!$B$10)/350)^2+((F527-'Hybrid Calculator'!$B$11)/30)^2+(G527-'Hybrid Calculator'!$B$12)^2+((H527-'Hybrid Calculator'!$E$14)/IF(A527="Lightning",100,30000))^2+((I527-'Hybrid Calculator'!$E$17)/IF(A527="Lightning",100,30000))^2</x:f>
        <x:v>0.0359912443511844</x:v>
      </x:c>
      <x:c r="K527" s="23" t="n">
        <x:f>RANK(J527,$J$2:$J$1401,1)</x:f>
        <x:v>30</x:v>
      </x:c>
      <x:c r="L527" s="23" t="n">
        <x:f>IF(K527&lt;=7,1,0)</x:f>
        <x:v>0</x:v>
      </x:c>
      <x:c r="M527" s="23" t="n">
        <x:f>IF(L527=1,1/(J527+0.000001),0)</x:f>
        <x:v>0</x:v>
      </x:c>
      <x:c r="N527" s="23" t="n">
        <x:v>-0.0007491490567963499</x:v>
      </x:c>
      <x:c r="O527" s="23" t="n">
        <x:f>M527</x:f>
        <x:v>0</x:v>
      </x:c>
      <x:c r="P527" s="23" t="n">
        <x:v>0.03887540194640593</x:v>
      </x:c>
      <x:c r="Q527" s="23" t="n">
        <x:v>11.01763387327128</x:v>
      </x:c>
    </x:row>
    <x:row r="528">
      <x:c r="A528" s="23" t="str">
        <x:v>Lightning</x:v>
      </x:c>
      <x:c r="B528" s="23" t="n">
        <x:v>1373.3814319130033</x:v>
      </x:c>
      <x:c r="C528" s="23" t="n">
        <x:v>657.9158137436025</x:v>
      </x:c>
      <x:c r="D528" s="23" t="n">
        <x:v>548.9635398611426</x:v>
      </x:c>
      <x:c r="E528" s="23" t="n">
        <x:v>255.38409848930314</x:v>
      </x:c>
      <x:c r="F528" s="23" t="n">
        <x:v>10.248831246048212</x:v>
      </x:c>
      <x:c r="G528" s="23" t="n">
        <x:v>0.8123469393723645</x:v>
      </x:c>
      <x:c r="H528" s="23" t="n">
        <x:v>55</x:v>
      </x:c>
      <x:c r="I528" s="23" t="n">
        <x:v>25</x:v>
      </x:c>
      <x:c r="J528" s="23" t="n">
        <x:f>(IF(A528='Hybrid Calculator'!$B$6,0,1))^2+((B528-'Hybrid Calculator'!$B$7)/1500)^2+((C528-'Hybrid Calculator'!$B$8)/1300)^2+((D528-'Hybrid Calculator'!$B$9)/800)^2+((E528-'Hybrid Calculator'!$B$10)/350)^2+((F528-'Hybrid Calculator'!$B$11)/30)^2+(G528-'Hybrid Calculator'!$B$12)^2+((H528-'Hybrid Calculator'!$E$14)/IF(A528="Lightning",100,30000))^2+((I528-'Hybrid Calculator'!$E$17)/IF(A528="Lightning",100,30000))^2</x:f>
        <x:v>0.19562700098810157</x:v>
      </x:c>
      <x:c r="K528" s="23" t="n">
        <x:f>RANK(J528,$J$2:$J$1401,1)</x:f>
        <x:v>436</x:v>
      </x:c>
      <x:c r="L528" s="23" t="n">
        <x:f>IF(K528&lt;=7,1,0)</x:f>
        <x:v>0</x:v>
      </x:c>
      <x:c r="M528" s="23" t="n">
        <x:f>IF(L528=1,1/(J528+0.000001),0)</x:f>
        <x:v>0</x:v>
      </x:c>
      <x:c r="N528" s="23" t="n">
        <x:v>0.002726552431078444</x:v>
      </x:c>
      <x:c r="O528" s="23" t="n">
        <x:f>M528</x:f>
        <x:v>0</x:v>
      </x:c>
      <x:c r="P528" s="23" t="n">
        <x:v>-0.5211477442970107</x:v>
      </x:c>
      <x:c r="Q528" s="23" t="n">
        <x:v>6.598899802665983</x:v>
      </x:c>
    </x:row>
    <x:row r="529">
      <x:c r="A529" s="23" t="str">
        <x:v>Lightning</x:v>
      </x:c>
      <x:c r="B529" s="23" t="n">
        <x:v>1384.347340289969</x:v>
      </x:c>
      <x:c r="C529" s="23" t="n">
        <x:v>1215.3608784778044</x:v>
      </x:c>
      <x:c r="D529" s="23" t="n">
        <x:v>392.8876613266766</x:v>
      </x:c>
      <x:c r="E529" s="23" t="n">
        <x:v>129.3106096982956</x:v>
      </x:c>
      <x:c r="F529" s="23" t="n">
        <x:v>12.543004284147173</x:v>
      </x:c>
      <x:c r="G529" s="23" t="n">
        <x:v>0.8580895265145227</x:v>
      </x:c>
      <x:c r="H529" s="23" t="n">
        <x:v>45</x:v>
      </x:c>
      <x:c r="I529" s="23" t="n">
        <x:v>25</x:v>
      </x:c>
      <x:c r="J529" s="23" t="n">
        <x:f>(IF(A529='Hybrid Calculator'!$B$6,0,1))^2+((B529-'Hybrid Calculator'!$B$7)/1500)^2+((C529-'Hybrid Calculator'!$B$8)/1300)^2+((D529-'Hybrid Calculator'!$B$9)/800)^2+((E529-'Hybrid Calculator'!$B$10)/350)^2+((F529-'Hybrid Calculator'!$B$11)/30)^2+(G529-'Hybrid Calculator'!$B$12)^2+((H529-'Hybrid Calculator'!$E$14)/IF(A529="Lightning",100,30000))^2+((I529-'Hybrid Calculator'!$E$17)/IF(A529="Lightning",100,30000))^2</x:f>
        <x:v>0.1445222412507955</x:v>
      </x:c>
      <x:c r="K529" s="23" t="n">
        <x:f>RANK(J529,$J$2:$J$1401,1)</x:f>
        <x:v>314</x:v>
      </x:c>
      <x:c r="L529" s="23" t="n">
        <x:f>IF(K529&lt;=7,1,0)</x:f>
        <x:v>0</x:v>
      </x:c>
      <x:c r="M529" s="23" t="n">
        <x:f>IF(L529=1,1/(J529+0.000001),0)</x:f>
        <x:v>0</x:v>
      </x:c>
      <x:c r="N529" s="23" t="n">
        <x:v>0.001788171038273445</x:v>
      </x:c>
      <x:c r="O529" s="23" t="n">
        <x:f>M529</x:f>
        <x:v>0</x:v>
      </x:c>
      <x:c r="P529" s="23" t="n">
        <x:v>0.8558880437075942</x:v>
      </x:c>
      <x:c r="Q529" s="23" t="n">
        <x:v>1.1899871925129446</x:v>
      </x:c>
    </x:row>
    <x:row r="530">
      <x:c r="A530" s="23" t="str">
        <x:v>Lightning</x:v>
      </x:c>
      <x:c r="B530" s="23" t="n">
        <x:v>1361.5440266439691</x:v>
      </x:c>
      <x:c r="C530" s="23" t="n">
        <x:v>844.225577369798</x:v>
      </x:c>
      <x:c r="D530" s="23" t="n">
        <x:v>739.301935583353</x:v>
      </x:c>
      <x:c r="E530" s="23" t="n">
        <x:v>141.7212936631404</x:v>
      </x:c>
      <x:c r="F530" s="23" t="n">
        <x:v>25.190943612717092</x:v>
      </x:c>
      <x:c r="G530" s="23" t="n">
        <x:v>0.855578715109732</x:v>
      </x:c>
      <x:c r="H530" s="23" t="n">
        <x:v>45</x:v>
      </x:c>
      <x:c r="I530" s="23" t="n">
        <x:v>25</x:v>
      </x:c>
      <x:c r="J530" s="23" t="n">
        <x:f>(IF(A530='Hybrid Calculator'!$B$6,0,1))^2+((B530-'Hybrid Calculator'!$B$7)/1500)^2+((C530-'Hybrid Calculator'!$B$8)/1300)^2+((D530-'Hybrid Calculator'!$B$9)/800)^2+((E530-'Hybrid Calculator'!$B$10)/350)^2+((F530-'Hybrid Calculator'!$B$11)/30)^2+(G530-'Hybrid Calculator'!$B$12)^2+((H530-'Hybrid Calculator'!$E$14)/IF(A530="Lightning",100,30000))^2+((I530-'Hybrid Calculator'!$E$17)/IF(A530="Lightning",100,30000))^2</x:f>
        <x:v>0.14535493002293437</x:v>
      </x:c>
      <x:c r="K530" s="23" t="n">
        <x:f>RANK(J530,$J$2:$J$1401,1)</x:f>
        <x:v>315</x:v>
      </x:c>
      <x:c r="L530" s="23" t="n">
        <x:f>IF(K530&lt;=7,1,0)</x:f>
        <x:v>0</x:v>
      </x:c>
      <x:c r="M530" s="23" t="n">
        <x:f>IF(L530=1,1/(J530+0.000001),0)</x:f>
        <x:v>0</x:v>
      </x:c>
      <x:c r="N530" s="23" t="n">
        <x:v>0.005923448389578256</x:v>
      </x:c>
      <x:c r="O530" s="23" t="n">
        <x:f>M530</x:f>
        <x:v>0</x:v>
      </x:c>
      <x:c r="P530" s="23" t="n">
        <x:v>-0.655960292663643</x:v>
      </x:c>
      <x:c r="Q530" s="23" t="n">
        <x:v>-13.399883323082577</x:v>
      </x:c>
    </x:row>
    <x:row r="531">
      <x:c r="A531" s="23" t="str">
        <x:v>Lightning</x:v>
      </x:c>
      <x:c r="B531" s="23" t="n">
        <x:v>1396.354798588436</x:v>
      </x:c>
      <x:c r="C531" s="23" t="n">
        <x:v>1061.6326542571187</x:v>
      </x:c>
      <x:c r="D531" s="23" t="n">
        <x:v>625.2440079115331</x:v>
      </x:c>
      <x:c r="E531" s="23" t="n">
        <x:v>221.68508362490684</x:v>
      </x:c>
      <x:c r="F531" s="23" t="n">
        <x:v>23.20972123136744</x:v>
      </x:c>
      <x:c r="G531" s="23" t="n">
        <x:v>0.8040831641014665</x:v>
      </x:c>
      <x:c r="H531" s="23" t="n">
        <x:v>35</x:v>
      </x:c>
      <x:c r="I531" s="23" t="n">
        <x:v>25</x:v>
      </x:c>
      <x:c r="J531" s="23" t="n">
        <x:f>(IF(A531='Hybrid Calculator'!$B$6,0,1))^2+((B531-'Hybrid Calculator'!$B$7)/1500)^2+((C531-'Hybrid Calculator'!$B$8)/1300)^2+((D531-'Hybrid Calculator'!$B$9)/800)^2+((E531-'Hybrid Calculator'!$B$10)/350)^2+((F531-'Hybrid Calculator'!$B$11)/30)^2+(G531-'Hybrid Calculator'!$B$12)^2+((H531-'Hybrid Calculator'!$E$14)/IF(A531="Lightning",100,30000))^2+((I531-'Hybrid Calculator'!$E$17)/IF(A531="Lightning",100,30000))^2</x:f>
        <x:v>0.14072457661110666</x:v>
      </x:c>
      <x:c r="K531" s="23" t="n">
        <x:f>RANK(J531,$J$2:$J$1401,1)</x:f>
        <x:v>305</x:v>
      </x:c>
      <x:c r="L531" s="23" t="n">
        <x:f>IF(K531&lt;=7,1,0)</x:f>
        <x:v>0</x:v>
      </x:c>
      <x:c r="M531" s="23" t="n">
        <x:f>IF(L531=1,1/(J531+0.000001),0)</x:f>
        <x:v>0</x:v>
      </x:c>
      <x:c r="N531" s="23" t="n">
        <x:v>0.010703564975365287</x:v>
      </x:c>
      <x:c r="O531" s="23" t="n">
        <x:f>M531</x:f>
        <x:v>0</x:v>
      </x:c>
      <x:c r="P531" s="23" t="n">
        <x:v>1.3480690591954811</x:v>
      </x:c>
      <x:c r="Q531" s="23" t="n">
        <x:v>-13.815040455987855</x:v>
      </x:c>
    </x:row>
    <x:row r="532">
      <x:c r="A532" s="23" t="str">
        <x:v>Lightning</x:v>
      </x:c>
      <x:c r="B532" s="23" t="n">
        <x:v>1390.7025662250817</x:v>
      </x:c>
      <x:c r="C532" s="23" t="n">
        <x:v>1139.3093333928846</x:v>
      </x:c>
      <x:c r="D532" s="23" t="n">
        <x:v>640.2215221896768</x:v>
      </x:c>
      <x:c r="E532" s="23" t="n">
        <x:v>251.03122553089634</x:v>
      </x:c>
      <x:c r="F532" s="23" t="n">
        <x:v>13.253055142238736</x:v>
      </x:c>
      <x:c r="G532" s="23" t="n">
        <x:v>0.8307404147018679</x:v>
      </x:c>
      <x:c r="H532" s="23" t="n">
        <x:v>35</x:v>
      </x:c>
      <x:c r="I532" s="23" t="n">
        <x:v>25</x:v>
      </x:c>
      <x:c r="J532" s="23" t="n">
        <x:f>(IF(A532='Hybrid Calculator'!$B$6,0,1))^2+((B532-'Hybrid Calculator'!$B$7)/1500)^2+((C532-'Hybrid Calculator'!$B$8)/1300)^2+((D532-'Hybrid Calculator'!$B$9)/800)^2+((E532-'Hybrid Calculator'!$B$10)/350)^2+((F532-'Hybrid Calculator'!$B$11)/30)^2+(G532-'Hybrid Calculator'!$B$12)^2+((H532-'Hybrid Calculator'!$E$14)/IF(A532="Lightning",100,30000))^2+((I532-'Hybrid Calculator'!$E$17)/IF(A532="Lightning",100,30000))^2</x:f>
        <x:v>0.21730105236228164</x:v>
      </x:c>
      <x:c r="K532" s="23" t="n">
        <x:f>RANK(J532,$J$2:$J$1401,1)</x:f>
        <x:v>483</x:v>
      </x:c>
      <x:c r="L532" s="23" t="n">
        <x:f>IF(K532&lt;=7,1,0)</x:f>
        <x:v>0</x:v>
      </x:c>
      <x:c r="M532" s="23" t="n">
        <x:f>IF(L532=1,1/(J532+0.000001),0)</x:f>
        <x:v>0</x:v>
      </x:c>
      <x:c r="N532" s="23" t="n">
        <x:v>0.018359004071195617</x:v>
      </x:c>
      <x:c r="O532" s="23" t="n">
        <x:f>M532</x:f>
        <x:v>0</x:v>
      </x:c>
      <x:c r="P532" s="23" t="n">
        <x:v>0.6698314673194474</x:v>
      </x:c>
      <x:c r="Q532" s="23" t="n">
        <x:v>0.5147472441412901</x:v>
      </x:c>
    </x:row>
    <x:row r="533">
      <x:c r="A533" s="23" t="str">
        <x:v>Lightning</x:v>
      </x:c>
      <x:c r="B533" s="23" t="n">
        <x:v>1452.184353733901</x:v>
      </x:c>
      <x:c r="C533" s="23" t="n">
        <x:v>1236.1728419782594</x:v>
      </x:c>
      <x:c r="D533" s="23" t="n">
        <x:v>567.3772581852973</x:v>
      </x:c>
      <x:c r="E533" s="23" t="n">
        <x:v>314.44254440255463</x:v>
      </x:c>
      <x:c r="F533" s="23" t="n">
        <x:v>11.10100168036297</x:v>
      </x:c>
      <x:c r="G533" s="23" t="n">
        <x:v>0.8409584141010419</x:v>
      </x:c>
      <x:c r="H533" s="23" t="n">
        <x:v>35</x:v>
      </x:c>
      <x:c r="I533" s="23" t="n">
        <x:v>25</x:v>
      </x:c>
      <x:c r="J533" s="23" t="n">
        <x:f>(IF(A533='Hybrid Calculator'!$B$6,0,1))^2+((B533-'Hybrid Calculator'!$B$7)/1500)^2+((C533-'Hybrid Calculator'!$B$8)/1300)^2+((D533-'Hybrid Calculator'!$B$9)/800)^2+((E533-'Hybrid Calculator'!$B$10)/350)^2+((F533-'Hybrid Calculator'!$B$11)/30)^2+(G533-'Hybrid Calculator'!$B$12)^2+((H533-'Hybrid Calculator'!$E$14)/IF(A533="Lightning",100,30000))^2+((I533-'Hybrid Calculator'!$E$17)/IF(A533="Lightning",100,30000))^2</x:f>
        <x:v>0.40017694546159477</x:v>
      </x:c>
      <x:c r="K533" s="23" t="n">
        <x:f>RANK(J533,$J$2:$J$1401,1)</x:f>
        <x:v>686</x:v>
      </x:c>
      <x:c r="L533" s="23" t="n">
        <x:f>IF(K533&lt;=7,1,0)</x:f>
        <x:v>0</x:v>
      </x:c>
      <x:c r="M533" s="23" t="n">
        <x:f>IF(L533=1,1/(J533+0.000001),0)</x:f>
        <x:v>0</x:v>
      </x:c>
      <x:c r="N533" s="23" t="n">
        <x:v>0.02271912185443581</x:v>
      </x:c>
      <x:c r="O533" s="23" t="n">
        <x:f>M533</x:f>
        <x:v>0</x:v>
      </x:c>
      <x:c r="P533" s="23" t="n">
        <x:v>0.9188844400153684</x:v>
      </x:c>
      <x:c r="Q533" s="23" t="n">
        <x:v>-2.14370393105969</x:v>
      </x:c>
    </x:row>
    <x:row r="534">
      <x:c r="A534" s="23" t="str">
        <x:v>Lightning</x:v>
      </x:c>
      <x:c r="B534" s="23" t="n">
        <x:v>1350.0781137496233</x:v>
      </x:c>
      <x:c r="C534" s="23" t="n">
        <x:v>633.3635798073374</x:v>
      </x:c>
      <x:c r="D534" s="23" t="n">
        <x:v>729.1526095941663</x:v>
      </x:c>
      <x:c r="E534" s="23" t="n">
        <x:v>262.44494922691956</x:v>
      </x:c>
      <x:c r="F534" s="23" t="n">
        <x:v>28.955345971509814</x:v>
      </x:c>
      <x:c r="G534" s="23" t="n">
        <x:v>0.8232395724696108</x:v>
      </x:c>
      <x:c r="H534" s="23" t="n">
        <x:v>45</x:v>
      </x:c>
      <x:c r="I534" s="23" t="n">
        <x:v>25</x:v>
      </x:c>
      <x:c r="J534" s="23" t="n">
        <x:f>(IF(A534='Hybrid Calculator'!$B$6,0,1))^2+((B534-'Hybrid Calculator'!$B$7)/1500)^2+((C534-'Hybrid Calculator'!$B$8)/1300)^2+((D534-'Hybrid Calculator'!$B$9)/800)^2+((E534-'Hybrid Calculator'!$B$10)/350)^2+((F534-'Hybrid Calculator'!$B$11)/30)^2+(G534-'Hybrid Calculator'!$B$12)^2+((H534-'Hybrid Calculator'!$E$14)/IF(A534="Lightning",100,30000))^2+((I534-'Hybrid Calculator'!$E$17)/IF(A534="Lightning",100,30000))^2</x:f>
        <x:v>0.33949914871195547</x:v>
      </x:c>
      <x:c r="K534" s="23" t="n">
        <x:f>RANK(J534,$J$2:$J$1401,1)</x:f>
        <x:v>639</x:v>
      </x:c>
      <x:c r="L534" s="23" t="n">
        <x:f>IF(K534&lt;=7,1,0)</x:f>
        <x:v>0</x:v>
      </x:c>
      <x:c r="M534" s="23" t="n">
        <x:f>IF(L534=1,1/(J534+0.000001),0)</x:f>
        <x:v>0</x:v>
      </x:c>
      <x:c r="N534" s="23" t="n">
        <x:v>-0.0014306156689476435</x:v>
      </x:c>
      <x:c r="O534" s="23" t="n">
        <x:f>M534</x:f>
        <x:v>0</x:v>
      </x:c>
      <x:c r="P534" s="23" t="n">
        <x:v>-1.7575087615314828</x:v>
      </x:c>
      <x:c r="Q534" s="23" t="n">
        <x:v>-20.916441285101428</x:v>
      </x:c>
    </x:row>
    <x:row r="535">
      <x:c r="A535" s="23" t="str">
        <x:v>Lightning</x:v>
      </x:c>
      <x:c r="B535" s="23" t="n">
        <x:v>1368.5670937062241</x:v>
      </x:c>
      <x:c r="C535" s="23" t="n">
        <x:v>717.2667106846347</x:v>
      </x:c>
      <x:c r="D535" s="23" t="n">
        <x:v>642.3363224603236</x:v>
      </x:c>
      <x:c r="E535" s="23" t="n">
        <x:v>87.23153701983392</x:v>
      </x:c>
      <x:c r="F535" s="23" t="n">
        <x:v>19.71939403982833</x:v>
      </x:c>
      <x:c r="G535" s="23" t="n">
        <x:v>0.8076834020810202</x:v>
      </x:c>
      <x:c r="H535" s="23" t="n">
        <x:v>50</x:v>
      </x:c>
      <x:c r="I535" s="23" t="n">
        <x:v>25</x:v>
      </x:c>
      <x:c r="J535" s="23" t="n">
        <x:f>(IF(A535='Hybrid Calculator'!$B$6,0,1))^2+((B535-'Hybrid Calculator'!$B$7)/1500)^2+((C535-'Hybrid Calculator'!$B$8)/1300)^2+((D535-'Hybrid Calculator'!$B$9)/800)^2+((E535-'Hybrid Calculator'!$B$10)/350)^2+((F535-'Hybrid Calculator'!$B$11)/30)^2+(G535-'Hybrid Calculator'!$B$12)^2+((H535-'Hybrid Calculator'!$E$14)/IF(A535="Lightning",100,30000))^2+((I535-'Hybrid Calculator'!$E$17)/IF(A535="Lightning",100,30000))^2</x:f>
        <x:v>0.07746212590503901</x:v>
      </x:c>
      <x:c r="K535" s="23" t="n">
        <x:f>RANK(J535,$J$2:$J$1401,1)</x:f>
        <x:v>130</x:v>
      </x:c>
      <x:c r="L535" s="23" t="n">
        <x:f>IF(K535&lt;=7,1,0)</x:f>
        <x:v>0</x:v>
      </x:c>
      <x:c r="M535" s="23" t="n">
        <x:f>IF(L535=1,1/(J535+0.000001),0)</x:f>
        <x:v>0</x:v>
      </x:c>
      <x:c r="N535" s="23" t="n">
        <x:v>-0.0024673498440184183</x:v>
      </x:c>
      <x:c r="O535" s="23" t="n">
        <x:f>M535</x:f>
        <x:v>0</x:v>
      </x:c>
      <x:c r="P535" s="23" t="n">
        <x:v>0.031657954915033315</x:v>
      </x:c>
      <x:c r="Q535" s="23" t="n">
        <x:v>5.866418821107118</x:v>
      </x:c>
    </x:row>
    <x:row r="536">
      <x:c r="A536" s="23" t="str">
        <x:v>Lightning</x:v>
      </x:c>
      <x:c r="B536" s="23" t="n">
        <x:v>1490.4753495706245</x:v>
      </x:c>
      <x:c r="C536" s="23" t="n">
        <x:v>1105.501705466304</x:v>
      </x:c>
      <x:c r="D536" s="23" t="n">
        <x:v>706.7602965980768</x:v>
      </x:c>
      <x:c r="E536" s="23" t="n">
        <x:v>159.4513143482618</x:v>
      </x:c>
      <x:c r="F536" s="23" t="n">
        <x:v>8.70686296466738</x:v>
      </x:c>
      <x:c r="G536" s="23" t="n">
        <x:v>0.8354037766414695</x:v>
      </x:c>
      <x:c r="H536" s="23" t="n">
        <x:v>40</x:v>
      </x:c>
      <x:c r="I536" s="23" t="n">
        <x:v>25</x:v>
      </x:c>
      <x:c r="J536" s="23" t="n">
        <x:f>(IF(A536='Hybrid Calculator'!$B$6,0,1))^2+((B536-'Hybrid Calculator'!$B$7)/1500)^2+((C536-'Hybrid Calculator'!$B$8)/1300)^2+((D536-'Hybrid Calculator'!$B$9)/800)^2+((E536-'Hybrid Calculator'!$B$10)/350)^2+((F536-'Hybrid Calculator'!$B$11)/30)^2+(G536-'Hybrid Calculator'!$B$12)^2+((H536-'Hybrid Calculator'!$E$14)/IF(A536="Lightning",100,30000))^2+((I536-'Hybrid Calculator'!$E$17)/IF(A536="Lightning",100,30000))^2</x:f>
        <x:v>0.22485800198617867</x:v>
      </x:c>
      <x:c r="K536" s="23" t="n">
        <x:f>RANK(J536,$J$2:$J$1401,1)</x:f>
        <x:v>495</x:v>
      </x:c>
      <x:c r="L536" s="23" t="n">
        <x:f>IF(K536&lt;=7,1,0)</x:f>
        <x:v>0</x:v>
      </x:c>
      <x:c r="M536" s="23" t="n">
        <x:f>IF(L536=1,1/(J536+0.000001),0)</x:f>
        <x:v>0</x:v>
      </x:c>
      <x:c r="N536" s="23" t="n">
        <x:v>0.01215043909070257</x:v>
      </x:c>
      <x:c r="O536" s="23" t="n">
        <x:f>M536</x:f>
        <x:v>0</x:v>
      </x:c>
      <x:c r="P536" s="23" t="n">
        <x:v>0.4382857889406324</x:v>
      </x:c>
      <x:c r="Q536" s="23" t="n">
        <x:v>-0.8656032490641792</x:v>
      </x:c>
    </x:row>
    <x:row r="537">
      <x:c r="A537" s="23" t="str">
        <x:v>Lightning</x:v>
      </x:c>
      <x:c r="B537" s="23" t="n">
        <x:v>1457.1942206821404</x:v>
      </x:c>
      <x:c r="C537" s="23" t="n">
        <x:v>1014.2282548826188</x:v>
      </x:c>
      <x:c r="D537" s="23" t="n">
        <x:v>405.01702977344394</x:v>
      </x:c>
      <x:c r="E537" s="23" t="n">
        <x:v>152.44426931720227</x:v>
      </x:c>
      <x:c r="F537" s="23" t="n">
        <x:v>17.363394420128316</x:v>
      </x:c>
      <x:c r="G537" s="23" t="n">
        <x:v>0.8450157347321511</x:v>
      </x:c>
      <x:c r="H537" s="23" t="n">
        <x:v>45</x:v>
      </x:c>
      <x:c r="I537" s="23" t="n">
        <x:v>25</x:v>
      </x:c>
      <x:c r="J537" s="23" t="n">
        <x:f>(IF(A537='Hybrid Calculator'!$B$6,0,1))^2+((B537-'Hybrid Calculator'!$B$7)/1500)^2+((C537-'Hybrid Calculator'!$B$8)/1300)^2+((D537-'Hybrid Calculator'!$B$9)/800)^2+((E537-'Hybrid Calculator'!$B$10)/350)^2+((F537-'Hybrid Calculator'!$B$11)/30)^2+(G537-'Hybrid Calculator'!$B$12)^2+((H537-'Hybrid Calculator'!$E$14)/IF(A537="Lightning",100,30000))^2+((I537-'Hybrid Calculator'!$E$17)/IF(A537="Lightning",100,30000))^2</x:f>
        <x:v>0.03512625532838306</x:v>
      </x:c>
      <x:c r="K537" s="23" t="n">
        <x:f>RANK(J537,$J$2:$J$1401,1)</x:f>
        <x:v>28</x:v>
      </x:c>
      <x:c r="L537" s="23" t="n">
        <x:f>IF(K537&lt;=7,1,0)</x:f>
        <x:v>0</x:v>
      </x:c>
      <x:c r="M537" s="23" t="n">
        <x:f>IF(L537=1,1/(J537+0.000001),0)</x:f>
        <x:v>0</x:v>
      </x:c>
      <x:c r="N537" s="23" t="n">
        <x:v>-0.00019236336128680698</x:v>
      </x:c>
      <x:c r="O537" s="23" t="n">
        <x:f>M537</x:f>
        <x:v>0</x:v>
      </x:c>
      <x:c r="P537" s="23" t="n">
        <x:v>1.3974803885478906</x:v>
      </x:c>
      <x:c r="Q537" s="23" t="n">
        <x:v>5.304403702458103</x:v>
      </x:c>
    </x:row>
    <x:row r="538">
      <x:c r="A538" s="23" t="str">
        <x:v>Lightning</x:v>
      </x:c>
      <x:c r="B538" s="23" t="n">
        <x:v>1357.8889194410294</x:v>
      </x:c>
      <x:c r="C538" s="23" t="n">
        <x:v>769.1853602300398</x:v>
      </x:c>
      <x:c r="D538" s="23" t="n">
        <x:v>513.1883626803756</x:v>
      </x:c>
      <x:c r="E538" s="23" t="n">
        <x:v>82.38608830841258</x:v>
      </x:c>
      <x:c r="F538" s="23" t="n">
        <x:v>9.113952722400427</x:v>
      </x:c>
      <x:c r="G538" s="23" t="n">
        <x:v>0.8006551103689709</x:v>
      </x:c>
      <x:c r="H538" s="23" t="n">
        <x:v>55</x:v>
      </x:c>
      <x:c r="I538" s="23" t="n">
        <x:v>25</x:v>
      </x:c>
      <x:c r="J538" s="23" t="n">
        <x:f>(IF(A538='Hybrid Calculator'!$B$6,0,1))^2+((B538-'Hybrid Calculator'!$B$7)/1500)^2+((C538-'Hybrid Calculator'!$B$8)/1300)^2+((D538-'Hybrid Calculator'!$B$9)/800)^2+((E538-'Hybrid Calculator'!$B$10)/350)^2+((F538-'Hybrid Calculator'!$B$11)/30)^2+(G538-'Hybrid Calculator'!$B$12)^2+((H538-'Hybrid Calculator'!$E$14)/IF(A538="Lightning",100,30000))^2+((I538-'Hybrid Calculator'!$E$17)/IF(A538="Lightning",100,30000))^2</x:f>
        <x:v>0.14421828360823083</x:v>
      </x:c>
      <x:c r="K538" s="23" t="n">
        <x:f>RANK(J538,$J$2:$J$1401,1)</x:f>
        <x:v>313</x:v>
      </x:c>
      <x:c r="L538" s="23" t="n">
        <x:f>IF(K538&lt;=7,1,0)</x:f>
        <x:v>0</x:v>
      </x:c>
      <x:c r="M538" s="23" t="n">
        <x:f>IF(L538=1,1/(J538+0.000001),0)</x:f>
        <x:v>0</x:v>
      </x:c>
      <x:c r="N538" s="23" t="n">
        <x:v>-0.003727894316433611</x:v>
      </x:c>
      <x:c r="O538" s="23" t="n">
        <x:f>M538</x:f>
        <x:v>0</x:v>
      </x:c>
      <x:c r="P538" s="23" t="n">
        <x:v>0.5118616326422227</x:v>
      </x:c>
      <x:c r="Q538" s="23" t="n">
        <x:v>18.67031584183269</x:v>
      </x:c>
    </x:row>
    <x:row r="539">
      <x:c r="A539" s="23" t="str">
        <x:v>Lightning</x:v>
      </x:c>
      <x:c r="B539" s="23" t="n">
        <x:v>1450.103728857357</x:v>
      </x:c>
      <x:c r="C539" s="23" t="n">
        <x:v>1010.3081154404208</x:v>
      </x:c>
      <x:c r="D539" s="23" t="n">
        <x:v>515.721630025655</x:v>
      </x:c>
      <x:c r="E539" s="23" t="n">
        <x:v>261.65352661162615</x:v>
      </x:c>
      <x:c r="F539" s="23" t="n">
        <x:v>20.79521849984303</x:v>
      </x:c>
      <x:c r="G539" s="23" t="n">
        <x:v>0.8163039210764692</x:v>
      </x:c>
      <x:c r="H539" s="23" t="n">
        <x:v>40</x:v>
      </x:c>
      <x:c r="I539" s="23" t="n">
        <x:v>25</x:v>
      </x:c>
      <x:c r="J539" s="23" t="n">
        <x:f>(IF(A539='Hybrid Calculator'!$B$6,0,1))^2+((B539-'Hybrid Calculator'!$B$7)/1500)^2+((C539-'Hybrid Calculator'!$B$8)/1300)^2+((D539-'Hybrid Calculator'!$B$9)/800)^2+((E539-'Hybrid Calculator'!$B$10)/350)^2+((F539-'Hybrid Calculator'!$B$11)/30)^2+(G539-'Hybrid Calculator'!$B$12)^2+((H539-'Hybrid Calculator'!$E$14)/IF(A539="Lightning",100,30000))^2+((I539-'Hybrid Calculator'!$E$17)/IF(A539="Lightning",100,30000))^2</x:f>
        <x:v>0.1335070707909926</x:v>
      </x:c>
      <x:c r="K539" s="23" t="n">
        <x:f>RANK(J539,$J$2:$J$1401,1)</x:f>
        <x:v>287</x:v>
      </x:c>
      <x:c r="L539" s="23" t="n">
        <x:f>IF(K539&lt;=7,1,0)</x:f>
        <x:v>0</x:v>
      </x:c>
      <x:c r="M539" s="23" t="n">
        <x:f>IF(L539=1,1/(J539+0.000001),0)</x:f>
        <x:v>0</x:v>
      </x:c>
      <x:c r="N539" s="23" t="n">
        <x:v>-0.002285670345732349</x:v>
      </x:c>
      <x:c r="O539" s="23" t="n">
        <x:f>M539</x:f>
        <x:v>0</x:v>
      </x:c>
      <x:c r="P539" s="23" t="n">
        <x:v>0.5743287884876764</x:v>
      </x:c>
      <x:c r="Q539" s="23" t="n">
        <x:v>-0.6344753092278097</x:v>
      </x:c>
    </x:row>
    <x:row r="540">
      <x:c r="A540" s="23" t="str">
        <x:v>Lightning</x:v>
      </x:c>
      <x:c r="B540" s="23" t="n">
        <x:v>1448.1206938857213</x:v>
      </x:c>
      <x:c r="C540" s="23" t="n">
        <x:v>744.734746508766</x:v>
      </x:c>
      <x:c r="D540" s="23" t="n">
        <x:v>385.30872985720634</x:v>
      </x:c>
      <x:c r="E540" s="23" t="n">
        <x:v>303.74547220533714</x:v>
      </x:c>
      <x:c r="F540" s="23" t="n">
        <x:v>29.220283216796815</x:v>
      </x:c>
      <x:c r="G540" s="23" t="n">
        <x:v>0.8380929722054862</x:v>
      </x:c>
      <x:c r="H540" s="23" t="n">
        <x:v>50</x:v>
      </x:c>
      <x:c r="I540" s="23" t="n">
        <x:v>25</x:v>
      </x:c>
      <x:c r="J540" s="23" t="n">
        <x:f>(IF(A540='Hybrid Calculator'!$B$6,0,1))^2+((B540-'Hybrid Calculator'!$B$7)/1500)^2+((C540-'Hybrid Calculator'!$B$8)/1300)^2+((D540-'Hybrid Calculator'!$B$9)/800)^2+((E540-'Hybrid Calculator'!$B$10)/350)^2+((F540-'Hybrid Calculator'!$B$11)/30)^2+(G540-'Hybrid Calculator'!$B$12)^2+((H540-'Hybrid Calculator'!$E$14)/IF(A540="Lightning",100,30000))^2+((I540-'Hybrid Calculator'!$E$17)/IF(A540="Lightning",100,30000))^2</x:f>
        <x:v>0.34832930445665966</x:v>
      </x:c>
      <x:c r="K540" s="23" t="n">
        <x:f>RANK(J540,$J$2:$J$1401,1)</x:f>
        <x:v>647</x:v>
      </x:c>
      <x:c r="L540" s="23" t="n">
        <x:f>IF(K540&lt;=7,1,0)</x:f>
        <x:v>0</x:v>
      </x:c>
      <x:c r="M540" s="23" t="n">
        <x:f>IF(L540=1,1/(J540+0.000001),0)</x:f>
        <x:v>0</x:v>
      </x:c>
      <x:c r="N540" s="23" t="n">
        <x:v>-0.007947784844115624</x:v>
      </x:c>
      <x:c r="O540" s="23" t="n">
        <x:f>M540</x:f>
        <x:v>0</x:v>
      </x:c>
      <x:c r="P540" s="23" t="n">
        <x:v>0.18101347441429994</x:v>
      </x:c>
      <x:c r="Q540" s="23" t="n">
        <x:v>-16.10896365656822</x:v>
      </x:c>
    </x:row>
    <x:row r="541">
      <x:c r="A541" s="23" t="str">
        <x:v>Lightning</x:v>
      </x:c>
      <x:c r="B541" s="23" t="n">
        <x:v>1468.71094572125</x:v>
      </x:c>
      <x:c r="C541" s="23" t="n">
        <x:v>1130.126391723752</x:v>
      </x:c>
      <x:c r="D541" s="23" t="n">
        <x:v>741.1557911895216</x:v>
      </x:c>
      <x:c r="E541" s="23" t="n">
        <x:v>259.8480796860531</x:v>
      </x:c>
      <x:c r="F541" s="23" t="n">
        <x:v>24.179365025367588</x:v>
      </x:c>
      <x:c r="G541" s="23" t="n">
        <x:v>0.8369710989575834</x:v>
      </x:c>
      <x:c r="H541" s="23" t="n">
        <x:v>30</x:v>
      </x:c>
      <x:c r="I541" s="23" t="n">
        <x:v>25</x:v>
      </x:c>
      <x:c r="J541" s="23" t="n">
        <x:f>(IF(A541='Hybrid Calculator'!$B$6,0,1))^2+((B541-'Hybrid Calculator'!$B$7)/1500)^2+((C541-'Hybrid Calculator'!$B$8)/1300)^2+((D541-'Hybrid Calculator'!$B$9)/800)^2+((E541-'Hybrid Calculator'!$B$10)/350)^2+((F541-'Hybrid Calculator'!$B$11)/30)^2+(G541-'Hybrid Calculator'!$B$12)^2+((H541-'Hybrid Calculator'!$E$14)/IF(A541="Lightning",100,30000))^2+((I541-'Hybrid Calculator'!$E$17)/IF(A541="Lightning",100,30000))^2</x:f>
        <x:v>0.3127805073821971</x:v>
      </x:c>
      <x:c r="K541" s="23" t="n">
        <x:f>RANK(J541,$J$2:$J$1401,1)</x:f>
        <x:v>613</x:v>
      </x:c>
      <x:c r="L541" s="23" t="n">
        <x:f>IF(K541&lt;=7,1,0)</x:f>
        <x:v>0</x:v>
      </x:c>
      <x:c r="M541" s="23" t="n">
        <x:f>IF(L541=1,1/(J541+0.000001),0)</x:f>
        <x:v>0</x:v>
      </x:c>
      <x:c r="N541" s="23" t="n">
        <x:v>0.01044773830163992</x:v>
      </x:c>
      <x:c r="O541" s="23" t="n">
        <x:f>M541</x:f>
        <x:v>0</x:v>
      </x:c>
      <x:c r="P541" s="23" t="n">
        <x:v>0.2545303729772286</x:v>
      </x:c>
      <x:c r="Q541" s="23" t="n">
        <x:v>-29.483443070983867</x:v>
      </x:c>
    </x:row>
    <x:row r="542">
      <x:c r="A542" s="23" t="str">
        <x:v>Lightning</x:v>
      </x:c>
      <x:c r="B542" s="23" t="n">
        <x:v>1495.890263747424</x:v>
      </x:c>
      <x:c r="C542" s="23" t="n">
        <x:v>715.5889655812643</x:v>
      </x:c>
      <x:c r="D542" s="23" t="n">
        <x:v>489.30974546819925</x:v>
      </x:c>
      <x:c r="E542" s="23" t="n">
        <x:v>235.31415218720213</x:v>
      </x:c>
      <x:c r="F542" s="23" t="n">
        <x:v>16.640402832999825</x:v>
      </x:c>
      <x:c r="G542" s="23" t="n">
        <x:v>0.795469845936168</x:v>
      </x:c>
      <x:c r="H542" s="23" t="n">
        <x:v>45</x:v>
      </x:c>
      <x:c r="I542" s="23" t="n">
        <x:v>25</x:v>
      </x:c>
      <x:c r="J542" s="23" t="n">
        <x:f>(IF(A542='Hybrid Calculator'!$B$6,0,1))^2+((B542-'Hybrid Calculator'!$B$7)/1500)^2+((C542-'Hybrid Calculator'!$B$8)/1300)^2+((D542-'Hybrid Calculator'!$B$9)/800)^2+((E542-'Hybrid Calculator'!$B$10)/350)^2+((F542-'Hybrid Calculator'!$B$11)/30)^2+(G542-'Hybrid Calculator'!$B$12)^2+((H542-'Hybrid Calculator'!$E$14)/IF(A542="Lightning",100,30000))^2+((I542-'Hybrid Calculator'!$E$17)/IF(A542="Lightning",100,30000))^2</x:f>
        <x:v>0.079462650338085</x:v>
      </x:c>
      <x:c r="K542" s="23" t="n">
        <x:f>RANK(J542,$J$2:$J$1401,1)</x:f>
        <x:v>137</x:v>
      </x:c>
      <x:c r="L542" s="23" t="n">
        <x:f>IF(K542&lt;=7,1,0)</x:f>
        <x:v>0</x:v>
      </x:c>
      <x:c r="M542" s="23" t="n">
        <x:f>IF(L542=1,1/(J542+0.000001),0)</x:f>
        <x:v>0</x:v>
      </x:c>
      <x:c r="N542" s="23" t="n">
        <x:v>-0.006582307282797295</x:v>
      </x:c>
      <x:c r="O542" s="23" t="n">
        <x:f>M542</x:f>
        <x:v>0</x:v>
      </x:c>
      <x:c r="P542" s="23" t="n">
        <x:v>-0.10920523170674556</x:v>
      </x:c>
      <x:c r="Q542" s="23" t="n">
        <x:v>6.6741953323758025</x:v>
      </x:c>
    </x:row>
    <x:row r="543">
      <x:c r="A543" s="23" t="str">
        <x:v>Lightning</x:v>
      </x:c>
      <x:c r="B543" s="23" t="n">
        <x:v>1363.1227170699276</x:v>
      </x:c>
      <x:c r="C543" s="23" t="n">
        <x:v>1146.177741070278</x:v>
      </x:c>
      <x:c r="D543" s="23" t="n">
        <x:v>508.70719188824296</x:v>
      </x:c>
      <x:c r="E543" s="23" t="n">
        <x:v>194.37810421921313</x:v>
      </x:c>
      <x:c r="F543" s="23" t="n">
        <x:v>10.018938146997243</x:v>
      </x:c>
      <x:c r="G543" s="23" t="n">
        <x:v>0.828858355418779</x:v>
      </x:c>
      <x:c r="H543" s="23" t="n">
        <x:v>40</x:v>
      </x:c>
      <x:c r="I543" s="23" t="n">
        <x:v>25</x:v>
      </x:c>
      <x:c r="J543" s="23" t="n">
        <x:f>(IF(A543='Hybrid Calculator'!$B$6,0,1))^2+((B543-'Hybrid Calculator'!$B$7)/1500)^2+((C543-'Hybrid Calculator'!$B$8)/1300)^2+((D543-'Hybrid Calculator'!$B$9)/800)^2+((E543-'Hybrid Calculator'!$B$10)/350)^2+((F543-'Hybrid Calculator'!$B$11)/30)^2+(G543-'Hybrid Calculator'!$B$12)^2+((H543-'Hybrid Calculator'!$E$14)/IF(A543="Lightning",100,30000))^2+((I543-'Hybrid Calculator'!$E$17)/IF(A543="Lightning",100,30000))^2</x:f>
        <x:v>0.15980200952378293</x:v>
      </x:c>
      <x:c r="K543" s="23" t="n">
        <x:f>RANK(J543,$J$2:$J$1401,1)</x:f>
        <x:v>355</x:v>
      </x:c>
      <x:c r="L543" s="23" t="n">
        <x:f>IF(K543&lt;=7,1,0)</x:f>
        <x:v>0</x:v>
      </x:c>
      <x:c r="M543" s="23" t="n">
        <x:f>IF(L543=1,1/(J543+0.000001),0)</x:f>
        <x:v>0</x:v>
      </x:c>
      <x:c r="N543" s="23" t="n">
        <x:v>0.0069717400849571565</x:v>
      </x:c>
      <x:c r="O543" s="23" t="n">
        <x:f>M543</x:f>
        <x:v>0</x:v>
      </x:c>
      <x:c r="P543" s="23" t="n">
        <x:v>1.322986333010249</x:v>
      </x:c>
      <x:c r="Q543" s="23" t="n">
        <x:v>-1.0729987597876516</x:v>
      </x:c>
    </x:row>
    <x:row r="544">
      <x:c r="A544" s="23" t="str">
        <x:v>Lightning</x:v>
      </x:c>
      <x:c r="B544" s="23" t="n">
        <x:v>1418.9499113475904</x:v>
      </x:c>
      <x:c r="C544" s="23" t="n">
        <x:v>1191.9161898666061</x:v>
      </x:c>
      <x:c r="D544" s="23" t="n">
        <x:v>657.3119353502989</x:v>
      </x:c>
      <x:c r="E544" s="23" t="n">
        <x:v>138.51009086472914</x:v>
      </x:c>
      <x:c r="F544" s="23" t="n">
        <x:v>13.985197369940579</x:v>
      </x:c>
      <x:c r="G544" s="23" t="n">
        <x:v>0.8340544864605182</x:v>
      </x:c>
      <x:c r="H544" s="23" t="n">
        <x:v>35</x:v>
      </x:c>
      <x:c r="I544" s="23" t="n">
        <x:v>25</x:v>
      </x:c>
      <x:c r="J544" s="23" t="n">
        <x:f>(IF(A544='Hybrid Calculator'!$B$6,0,1))^2+((B544-'Hybrid Calculator'!$B$7)/1500)^2+((C544-'Hybrid Calculator'!$B$8)/1300)^2+((D544-'Hybrid Calculator'!$B$9)/800)^2+((E544-'Hybrid Calculator'!$B$10)/350)^2+((F544-'Hybrid Calculator'!$B$11)/30)^2+(G544-'Hybrid Calculator'!$B$12)^2+((H544-'Hybrid Calculator'!$E$14)/IF(A544="Lightning",100,30000))^2+((I544-'Hybrid Calculator'!$E$17)/IF(A544="Lightning",100,30000))^2</x:f>
        <x:v>0.15428257330812223</x:v>
      </x:c>
      <x:c r="K544" s="23" t="n">
        <x:f>RANK(J544,$J$2:$J$1401,1)</x:f>
        <x:v>339</x:v>
      </x:c>
      <x:c r="L544" s="23" t="n">
        <x:f>IF(K544&lt;=7,1,0)</x:f>
        <x:v>0</x:v>
      </x:c>
      <x:c r="M544" s="23" t="n">
        <x:f>IF(L544=1,1/(J544+0.000001),0)</x:f>
        <x:v>0</x:v>
      </x:c>
      <x:c r="N544" s="23" t="n">
        <x:v>0.018982349323620973</x:v>
      </x:c>
      <x:c r="O544" s="23" t="n">
        <x:f>M544</x:f>
        <x:v>0</x:v>
      </x:c>
      <x:c r="P544" s="23" t="n">
        <x:v>1.3280586188927188</x:v>
      </x:c>
      <x:c r="Q544" s="23" t="n">
        <x:v>-2.66452520688199</x:v>
      </x:c>
    </x:row>
    <x:row r="545">
      <x:c r="A545" s="23" t="str">
        <x:v>Lightning</x:v>
      </x:c>
      <x:c r="B545" s="23" t="n">
        <x:v>1394.1494881524704</x:v>
      </x:c>
      <x:c r="C545" s="23" t="n">
        <x:v>1086.1011427361518</x:v>
      </x:c>
      <x:c r="D545" s="23" t="n">
        <x:v>662.6505079679191</x:v>
      </x:c>
      <x:c r="E545" s="23" t="n">
        <x:v>255.75155606027693</x:v>
      </x:c>
      <x:c r="F545" s="23" t="n">
        <x:v>22.772403858136386</x:v>
      </x:c>
      <x:c r="G545" s="23" t="n">
        <x:v>0.8368537359498441</x:v>
      </x:c>
      <x:c r="H545" s="23" t="n">
        <x:v>35</x:v>
      </x:c>
      <x:c r="I545" s="23" t="n">
        <x:v>25</x:v>
      </x:c>
      <x:c r="J545" s="23" t="n">
        <x:f>(IF(A545='Hybrid Calculator'!$B$6,0,1))^2+((B545-'Hybrid Calculator'!$B$7)/1500)^2+((C545-'Hybrid Calculator'!$B$8)/1300)^2+((D545-'Hybrid Calculator'!$B$9)/800)^2+((E545-'Hybrid Calculator'!$B$10)/350)^2+((F545-'Hybrid Calculator'!$B$11)/30)^2+(G545-'Hybrid Calculator'!$B$12)^2+((H545-'Hybrid Calculator'!$E$14)/IF(A545="Lightning",100,30000))^2+((I545-'Hybrid Calculator'!$E$17)/IF(A545="Lightning",100,30000))^2</x:f>
        <x:v>0.20910233516534343</x:v>
      </x:c>
      <x:c r="K545" s="23" t="n">
        <x:f>RANK(J545,$J$2:$J$1401,1)</x:f>
        <x:v>462</x:v>
      </x:c>
      <x:c r="L545" s="23" t="n">
        <x:f>IF(K545&lt;=7,1,0)</x:f>
        <x:v>0</x:v>
      </x:c>
      <x:c r="M545" s="23" t="n">
        <x:f>IF(L545=1,1/(J545+0.000001),0)</x:f>
        <x:v>0</x:v>
      </x:c>
      <x:c r="N545" s="23" t="n">
        <x:v>0.015143788237727884</x:v>
      </x:c>
      <x:c r="O545" s="23" t="n">
        <x:f>M545</x:f>
        <x:v>0</x:v>
      </x:c>
      <x:c r="P545" s="23" t="n">
        <x:v>-0.23625434206322637</x:v>
      </x:c>
      <x:c r="Q545" s="23" t="n">
        <x:v>-23.439803393207285</x:v>
      </x:c>
    </x:row>
    <x:row r="546">
      <x:c r="A546" s="23" t="str">
        <x:v>Lightning</x:v>
      </x:c>
      <x:c r="B546" s="23" t="n">
        <x:v>1496.0428128484637</x:v>
      </x:c>
      <x:c r="C546" s="23" t="n">
        <x:v>1243.356067861896</x:v>
      </x:c>
      <x:c r="D546" s="23" t="n">
        <x:v>511.4166183397174</x:v>
      </x:c>
      <x:c r="E546" s="23" t="n">
        <x:v>136.91819201456383</x:v>
      </x:c>
      <x:c r="F546" s="23" t="n">
        <x:v>13.507043085992336</x:v>
      </x:c>
      <x:c r="G546" s="23" t="n">
        <x:v>0.8157288398058155</x:v>
      </x:c>
      <x:c r="H546" s="23" t="n">
        <x:v>35</x:v>
      </x:c>
      <x:c r="I546" s="23" t="n">
        <x:v>25</x:v>
      </x:c>
      <x:c r="J546" s="23" t="n">
        <x:f>(IF(A546='Hybrid Calculator'!$B$6,0,1))^2+((B546-'Hybrid Calculator'!$B$7)/1500)^2+((C546-'Hybrid Calculator'!$B$8)/1300)^2+((D546-'Hybrid Calculator'!$B$9)/800)^2+((E546-'Hybrid Calculator'!$B$10)/350)^2+((F546-'Hybrid Calculator'!$B$11)/30)^2+(G546-'Hybrid Calculator'!$B$12)^2+((H546-'Hybrid Calculator'!$E$14)/IF(A546="Lightning",100,30000))^2+((I546-'Hybrid Calculator'!$E$17)/IF(A546="Lightning",100,30000))^2</x:f>
        <x:v>0.1456172501837153</x:v>
      </x:c>
      <x:c r="K546" s="23" t="n">
        <x:f>RANK(J546,$J$2:$J$1401,1)</x:f>
        <x:v>317</x:v>
      </x:c>
      <x:c r="L546" s="23" t="n">
        <x:f>IF(K546&lt;=7,1,0)</x:f>
        <x:v>0</x:v>
      </x:c>
      <x:c r="M546" s="23" t="n">
        <x:f>IF(L546=1,1/(J546+0.000001),0)</x:f>
        <x:v>0</x:v>
      </x:c>
      <x:c r="N546" s="23" t="n">
        <x:v>0.011259576394432758</x:v>
      </x:c>
      <x:c r="O546" s="23" t="n">
        <x:f>M546</x:f>
        <x:v>0</x:v>
      </x:c>
      <x:c r="P546" s="23" t="n">
        <x:v>0.7601484334468296</x:v>
      </x:c>
      <x:c r="Q546" s="23" t="n">
        <x:v>-7.751633701867831</x:v>
      </x:c>
    </x:row>
    <x:row r="547">
      <x:c r="A547" s="23" t="str">
        <x:v>Lightning</x:v>
      </x:c>
      <x:c r="B547" s="23" t="n">
        <x:v>1411.0166951199062</x:v>
      </x:c>
      <x:c r="C547" s="23" t="n">
        <x:v>816.0368505632505</x:v>
      </x:c>
      <x:c r="D547" s="23" t="n">
        <x:v>375.9249088354409</x:v>
      </x:c>
      <x:c r="E547" s="23" t="n">
        <x:v>300.8165633492172</x:v>
      </x:c>
      <x:c r="F547" s="23" t="n">
        <x:v>29.923074705991894</x:v>
      </x:c>
      <x:c r="G547" s="23" t="n">
        <x:v>0.7935588208725677</x:v>
      </x:c>
      <x:c r="H547" s="23" t="n">
        <x:v>45</x:v>
      </x:c>
      <x:c r="I547" s="23" t="n">
        <x:v>25</x:v>
      </x:c>
      <x:c r="J547" s="23" t="n">
        <x:f>(IF(A547='Hybrid Calculator'!$B$6,0,1))^2+((B547-'Hybrid Calculator'!$B$7)/1500)^2+((C547-'Hybrid Calculator'!$B$8)/1300)^2+((D547-'Hybrid Calculator'!$B$9)/800)^2+((E547-'Hybrid Calculator'!$B$10)/350)^2+((F547-'Hybrid Calculator'!$B$11)/30)^2+(G547-'Hybrid Calculator'!$B$12)^2+((H547-'Hybrid Calculator'!$E$14)/IF(A547="Lightning",100,30000))^2+((I547-'Hybrid Calculator'!$E$17)/IF(A547="Lightning",100,30000))^2</x:f>
        <x:v>0.3586864980446085</x:v>
      </x:c>
      <x:c r="K547" s="23" t="n">
        <x:f>RANK(J547,$J$2:$J$1401,1)</x:f>
        <x:v>657</x:v>
      </x:c>
      <x:c r="L547" s="23" t="n">
        <x:f>IF(K547&lt;=7,1,0)</x:f>
        <x:v>0</x:v>
      </x:c>
      <x:c r="M547" s="23" t="n">
        <x:f>IF(L547=1,1/(J547+0.000001),0)</x:f>
        <x:v>0</x:v>
      </x:c>
      <x:c r="N547" s="23" t="n">
        <x:v>-0.016425777830895827</x:v>
      </x:c>
      <x:c r="O547" s="23" t="n">
        <x:f>M547</x:f>
        <x:v>0</x:v>
      </x:c>
      <x:c r="P547" s="23" t="n">
        <x:v>-0.799452978985201</x:v>
      </x:c>
      <x:c r="Q547" s="23" t="n">
        <x:v>-14.212907167320736</x:v>
      </x:c>
    </x:row>
    <x:row r="548">
      <x:c r="A548" s="23" t="str">
        <x:v>Lightning</x:v>
      </x:c>
      <x:c r="B548" s="23" t="n">
        <x:v>1389.7356437053531</x:v>
      </x:c>
      <x:c r="C548" s="23" t="n">
        <x:v>633.578345074784</x:v>
      </x:c>
      <x:c r="D548" s="23" t="n">
        <x:v>718.1721767410636</x:v>
      </x:c>
      <x:c r="E548" s="23" t="n">
        <x:v>259.32319251121953</x:v>
      </x:c>
      <x:c r="F548" s="23" t="n">
        <x:v>29.650792319327593</x:v>
      </x:c>
      <x:c r="G548" s="23" t="n">
        <x:v>0.7972508041583933</x:v>
      </x:c>
      <x:c r="H548" s="23" t="n">
        <x:v>45</x:v>
      </x:c>
      <x:c r="I548" s="23" t="n">
        <x:v>25</x:v>
      </x:c>
      <x:c r="J548" s="23" t="n">
        <x:f>(IF(A548='Hybrid Calculator'!$B$6,0,1))^2+((B548-'Hybrid Calculator'!$B$7)/1500)^2+((C548-'Hybrid Calculator'!$B$8)/1300)^2+((D548-'Hybrid Calculator'!$B$9)/800)^2+((E548-'Hybrid Calculator'!$B$10)/350)^2+((F548-'Hybrid Calculator'!$B$11)/30)^2+(G548-'Hybrid Calculator'!$B$12)^2+((H548-'Hybrid Calculator'!$E$14)/IF(A548="Lightning",100,30000))^2+((I548-'Hybrid Calculator'!$E$17)/IF(A548="Lightning",100,30000))^2</x:f>
        <x:v>0.34137830959236126</x:v>
      </x:c>
      <x:c r="K548" s="23" t="n">
        <x:f>RANK(J548,$J$2:$J$1401,1)</x:f>
        <x:v>641</x:v>
      </x:c>
      <x:c r="L548" s="23" t="n">
        <x:f>IF(K548&lt;=7,1,0)</x:f>
        <x:v>0</x:v>
      </x:c>
      <x:c r="M548" s="23" t="n">
        <x:f>IF(L548=1,1/(J548+0.000001),0)</x:f>
        <x:v>0</x:v>
      </x:c>
      <x:c r="N548" s="23" t="n">
        <x:v>-0.003302180240784436</x:v>
      </x:c>
      <x:c r="O548" s="23" t="n">
        <x:f>M548</x:f>
        <x:v>0</x:v>
      </x:c>
      <x:c r="P548" s="23" t="n">
        <x:v>-0.6355005566848817</x:v>
      </x:c>
      <x:c r="Q548" s="23" t="n">
        <x:v>-18.25492339436414</x:v>
      </x:c>
    </x:row>
    <x:row r="549">
      <x:c r="A549" s="23" t="str">
        <x:v>Lightning</x:v>
      </x:c>
      <x:c r="B549" s="23" t="n">
        <x:v>1419.3938979995437</x:v>
      </x:c>
      <x:c r="C549" s="23" t="n">
        <x:v>1091.7375077260658</x:v>
      </x:c>
      <x:c r="D549" s="23" t="n">
        <x:v>521.379638183862</x:v>
      </x:c>
      <x:c r="E549" s="23" t="n">
        <x:v>196.6719887405634</x:v>
      </x:c>
      <x:c r="F549" s="23" t="n">
        <x:v>8.094633395317942</x:v>
      </x:c>
      <x:c r="G549" s="23" t="n">
        <x:v>0.8054185722721741</x:v>
      </x:c>
      <x:c r="H549" s="23" t="n">
        <x:v>45</x:v>
      </x:c>
      <x:c r="I549" s="23" t="n">
        <x:v>25</x:v>
      </x:c>
      <x:c r="J549" s="23" t="n">
        <x:f>(IF(A549='Hybrid Calculator'!$B$6,0,1))^2+((B549-'Hybrid Calculator'!$B$7)/1500)^2+((C549-'Hybrid Calculator'!$B$8)/1300)^2+((D549-'Hybrid Calculator'!$B$9)/800)^2+((E549-'Hybrid Calculator'!$B$10)/350)^2+((F549-'Hybrid Calculator'!$B$11)/30)^2+(G549-'Hybrid Calculator'!$B$12)^2+((H549-'Hybrid Calculator'!$E$14)/IF(A549="Lightning",100,30000))^2+((I549-'Hybrid Calculator'!$E$17)/IF(A549="Lightning",100,30000))^2</x:f>
        <x:v>0.1761025784587649</x:v>
      </x:c>
      <x:c r="K549" s="23" t="n">
        <x:f>RANK(J549,$J$2:$J$1401,1)</x:f>
        <x:v>394</x:v>
      </x:c>
      <x:c r="L549" s="23" t="n">
        <x:f>IF(K549&lt;=7,1,0)</x:f>
        <x:v>0</x:v>
      </x:c>
      <x:c r="M549" s="23" t="n">
        <x:f>IF(L549=1,1/(J549+0.000001),0)</x:f>
        <x:v>0</x:v>
      </x:c>
      <x:c r="N549" s="23" t="n">
        <x:v>0.007711862192645302</x:v>
      </x:c>
      <x:c r="O549" s="23" t="n">
        <x:f>M549</x:f>
        <x:v>0</x:v>
      </x:c>
      <x:c r="P549" s="23" t="n">
        <x:v>0.07489249153377386</x:v>
      </x:c>
      <x:c r="Q549" s="23" t="n">
        <x:v>1.8027991737724278</x:v>
      </x:c>
    </x:row>
    <x:row r="550">
      <x:c r="A550" s="23" t="str">
        <x:v>Lightning</x:v>
      </x:c>
      <x:c r="B550" s="23" t="n">
        <x:v>1478.087909356691</x:v>
      </x:c>
      <x:c r="C550" s="23" t="n">
        <x:v>871.8392816488631</x:v>
      </x:c>
      <x:c r="D550" s="23" t="n">
        <x:v>493.83431151509285</x:v>
      </x:c>
      <x:c r="E550" s="23" t="n">
        <x:v>268.62615566467866</x:v>
      </x:c>
      <x:c r="F550" s="23" t="n">
        <x:v>8.948177336715162</x:v>
      </x:c>
      <x:c r="G550" s="23" t="n">
        <x:v>0.8284201083867812</x:v>
      </x:c>
      <x:c r="H550" s="23" t="n">
        <x:v>45</x:v>
      </x:c>
      <x:c r="I550" s="23" t="n">
        <x:v>25</x:v>
      </x:c>
      <x:c r="J550" s="23" t="n">
        <x:f>(IF(A550='Hybrid Calculator'!$B$6,0,1))^2+((B550-'Hybrid Calculator'!$B$7)/1500)^2+((C550-'Hybrid Calculator'!$B$8)/1300)^2+((D550-'Hybrid Calculator'!$B$9)/800)^2+((E550-'Hybrid Calculator'!$B$10)/350)^2+((F550-'Hybrid Calculator'!$B$11)/30)^2+(G550-'Hybrid Calculator'!$B$12)^2+((H550-'Hybrid Calculator'!$E$14)/IF(A550="Lightning",100,30000))^2+((I550-'Hybrid Calculator'!$E$17)/IF(A550="Lightning",100,30000))^2</x:f>
        <x:v>0.2204147191244325</x:v>
      </x:c>
      <x:c r="K550" s="23" t="n">
        <x:f>RANK(J550,$J$2:$J$1401,1)</x:f>
        <x:v>488</x:v>
      </x:c>
      <x:c r="L550" s="23" t="n">
        <x:f>IF(K550&lt;=7,1,0)</x:f>
        <x:v>0</x:v>
      </x:c>
      <x:c r="M550" s="23" t="n">
        <x:f>IF(L550=1,1/(J550+0.000001),0)</x:f>
        <x:v>0</x:v>
      </x:c>
      <x:c r="N550" s="23" t="n">
        <x:v>0.0005899638688082742</x:v>
      </x:c>
      <x:c r="O550" s="23" t="n">
        <x:f>M550</x:f>
        <x:v>0</x:v>
      </x:c>
      <x:c r="P550" s="23" t="n">
        <x:v>0.3865649878603534</x:v>
      </x:c>
      <x:c r="Q550" s="23" t="n">
        <x:v>11.892802465780278</x:v>
      </x:c>
    </x:row>
    <x:row r="551">
      <x:c r="A551" s="23" t="str">
        <x:v>Lightning</x:v>
      </x:c>
      <x:c r="B551" s="23" t="n">
        <x:v>1394.021707016509</x:v>
      </x:c>
      <x:c r="C551" s="23" t="n">
        <x:v>1108.2213526591659</x:v>
      </x:c>
      <x:c r="D551" s="23" t="n">
        <x:v>504.1410340927541</x:v>
      </x:c>
      <x:c r="E551" s="23" t="n">
        <x:v>142.000269186683</x:v>
      </x:c>
      <x:c r="F551" s="23" t="n">
        <x:v>13.023476192262024</x:v>
      </x:c>
      <x:c r="G551" s="23" t="n">
        <x:v>0.8310531556513161</x:v>
      </x:c>
      <x:c r="H551" s="23" t="n">
        <x:v>45</x:v>
      </x:c>
      <x:c r="I551" s="23" t="n">
        <x:v>25</x:v>
      </x:c>
      <x:c r="J551" s="23" t="n">
        <x:f>(IF(A551='Hybrid Calculator'!$B$6,0,1))^2+((B551-'Hybrid Calculator'!$B$7)/1500)^2+((C551-'Hybrid Calculator'!$B$8)/1300)^2+((D551-'Hybrid Calculator'!$B$9)/800)^2+((E551-'Hybrid Calculator'!$B$10)/350)^2+((F551-'Hybrid Calculator'!$B$11)/30)^2+(G551-'Hybrid Calculator'!$B$12)^2+((H551-'Hybrid Calculator'!$E$14)/IF(A551="Lightning",100,30000))^2+((I551-'Hybrid Calculator'!$E$17)/IF(A551="Lightning",100,30000))^2</x:f>
        <x:v>0.07637728132835848</x:v>
      </x:c>
      <x:c r="K551" s="23" t="n">
        <x:f>RANK(J551,$J$2:$J$1401,1)</x:f>
        <x:v>125</x:v>
      </x:c>
      <x:c r="L551" s="23" t="n">
        <x:f>IF(K551&lt;=7,1,0)</x:f>
        <x:v>0</x:v>
      </x:c>
      <x:c r="M551" s="23" t="n">
        <x:f>IF(L551=1,1/(J551+0.000001),0)</x:f>
        <x:v>0</x:v>
      </x:c>
      <x:c r="N551" s="23" t="n">
        <x:v>0.003657269884834946</x:v>
      </x:c>
      <x:c r="O551" s="23" t="n">
        <x:f>M551</x:f>
        <x:v>0</x:v>
      </x:c>
      <x:c r="P551" s="23" t="n">
        <x:v>1.5227055475318991</x:v>
      </x:c>
      <x:c r="Q551" s="23" t="n">
        <x:v>-1.9403949663981166</x:v>
      </x:c>
    </x:row>
    <x:row r="552">
      <x:c r="A552" s="23" t="str">
        <x:v>Lightning</x:v>
      </x:c>
      <x:c r="B552" s="23" t="n">
        <x:v>1393.1252592243254</x:v>
      </x:c>
      <x:c r="C552" s="23" t="n">
        <x:v>632.5891201733612</x:v>
      </x:c>
      <x:c r="D552" s="23" t="n">
        <x:v>632.2773823514581</x:v>
      </x:c>
      <x:c r="E552" s="23" t="n">
        <x:v>238.92859367886558</x:v>
      </x:c>
      <x:c r="F552" s="23" t="n">
        <x:v>23.524107011035085</x:v>
      </x:c>
      <x:c r="G552" s="23" t="n">
        <x:v>0.839051031835843</x:v>
      </x:c>
      <x:c r="H552" s="23" t="n">
        <x:v>50</x:v>
      </x:c>
      <x:c r="I552" s="23" t="n">
        <x:v>25</x:v>
      </x:c>
      <x:c r="J552" s="23" t="n">
        <x:f>(IF(A552='Hybrid Calculator'!$B$6,0,1))^2+((B552-'Hybrid Calculator'!$B$7)/1500)^2+((C552-'Hybrid Calculator'!$B$8)/1300)^2+((D552-'Hybrid Calculator'!$B$9)/800)^2+((E552-'Hybrid Calculator'!$B$10)/350)^2+((F552-'Hybrid Calculator'!$B$11)/30)^2+(G552-'Hybrid Calculator'!$B$12)^2+((H552-'Hybrid Calculator'!$E$14)/IF(A552="Lightning",100,30000))^2+((I552-'Hybrid Calculator'!$E$17)/IF(A552="Lightning",100,30000))^2</x:f>
        <x:v>0.14872675433100999</x:v>
      </x:c>
      <x:c r="K552" s="23" t="n">
        <x:f>RANK(J552,$J$2:$J$1401,1)</x:f>
        <x:v>322</x:v>
      </x:c>
      <x:c r="L552" s="23" t="n">
        <x:f>IF(K552&lt;=7,1,0)</x:f>
        <x:v>0</x:v>
      </x:c>
      <x:c r="M552" s="23" t="n">
        <x:f>IF(L552=1,1/(J552+0.000001),0)</x:f>
        <x:v>0</x:v>
      </x:c>
      <x:c r="N552" s="23" t="n">
        <x:v>-0.01371299876306109</x:v>
      </x:c>
      <x:c r="O552" s="23" t="n">
        <x:f>M552</x:f>
        <x:v>0</x:v>
      </x:c>
      <x:c r="P552" s="23" t="n">
        <x:v>-1.101594040908516</x:v>
      </x:c>
      <x:c r="Q552" s="23" t="n">
        <x:v>2.1621002393021627</x:v>
      </x:c>
    </x:row>
    <x:row r="553">
      <x:c r="A553" s="23" t="str">
        <x:v>Lightning</x:v>
      </x:c>
      <x:c r="B553" s="23" t="n">
        <x:v>1489.8726548650302</x:v>
      </x:c>
      <x:c r="C553" s="23" t="n">
        <x:v>1103.7474447162822</x:v>
      </x:c>
      <x:c r="D553" s="23" t="n">
        <x:v>576.9911088980734</x:v>
      </x:c>
      <x:c r="E553" s="23" t="n">
        <x:v>123.72859676368535</x:v>
      </x:c>
      <x:c r="F553" s="23" t="n">
        <x:v>21.335965857375413</x:v>
      </x:c>
      <x:c r="G553" s="23" t="n">
        <x:v>0.8210616829479114</x:v>
      </x:c>
      <x:c r="H553" s="23" t="n">
        <x:v>35</x:v>
      </x:c>
      <x:c r="I553" s="23" t="n">
        <x:v>25</x:v>
      </x:c>
      <x:c r="J553" s="23" t="n">
        <x:f>(IF(A553='Hybrid Calculator'!$B$6,0,1))^2+((B553-'Hybrid Calculator'!$B$7)/1500)^2+((C553-'Hybrid Calculator'!$B$8)/1300)^2+((D553-'Hybrid Calculator'!$B$9)/800)^2+((E553-'Hybrid Calculator'!$B$10)/350)^2+((F553-'Hybrid Calculator'!$B$11)/30)^2+(G553-'Hybrid Calculator'!$B$12)^2+((H553-'Hybrid Calculator'!$E$14)/IF(A553="Lightning",100,30000))^2+((I553-'Hybrid Calculator'!$E$17)/IF(A553="Lightning",100,30000))^2</x:f>
        <x:v>0.08630325977726461</x:v>
      </x:c>
      <x:c r="K553" s="23" t="n">
        <x:f>RANK(J553,$J$2:$J$1401,1)</x:f>
        <x:v>157</x:v>
      </x:c>
      <x:c r="L553" s="23" t="n">
        <x:f>IF(K553&lt;=7,1,0)</x:f>
        <x:v>0</x:v>
      </x:c>
      <x:c r="M553" s="23" t="n">
        <x:f>IF(L553=1,1/(J553+0.000001),0)</x:f>
        <x:v>0</x:v>
      </x:c>
      <x:c r="N553" s="23" t="n">
        <x:v>0.009602143833643995</x:v>
      </x:c>
      <x:c r="O553" s="23" t="n">
        <x:f>M553</x:f>
        <x:v>0</x:v>
      </x:c>
      <x:c r="P553" s="23" t="n">
        <x:v>1.0852561282481972</x:v>
      </x:c>
      <x:c r="Q553" s="23" t="n">
        <x:v>-13.685188869985723</x:v>
      </x:c>
    </x:row>
    <x:row r="554">
      <x:c r="A554" s="23" t="str">
        <x:v>Lightning</x:v>
      </x:c>
      <x:c r="B554" s="23" t="n">
        <x:v>1488.2951469859108</x:v>
      </x:c>
      <x:c r="C554" s="23" t="n">
        <x:v>881.4366496750154</x:v>
      </x:c>
      <x:c r="D554" s="23" t="n">
        <x:v>499.38122294843197</x:v>
      </x:c>
      <x:c r="E554" s="23" t="n">
        <x:v>126.59714241279289</x:v>
      </x:c>
      <x:c r="F554" s="23" t="n">
        <x:v>22.739264962263405</x:v>
      </x:c>
      <x:c r="G554" s="23" t="n">
        <x:v>0.8161062037642114</x:v>
      </x:c>
      <x:c r="H554" s="23" t="n">
        <x:v>45</x:v>
      </x:c>
      <x:c r="I554" s="23" t="n">
        <x:v>25</x:v>
      </x:c>
      <x:c r="J554" s="23" t="n">
        <x:f>(IF(A554='Hybrid Calculator'!$B$6,0,1))^2+((B554-'Hybrid Calculator'!$B$7)/1500)^2+((C554-'Hybrid Calculator'!$B$8)/1300)^2+((D554-'Hybrid Calculator'!$B$9)/800)^2+((E554-'Hybrid Calculator'!$B$10)/350)^2+((F554-'Hybrid Calculator'!$B$11)/30)^2+(G554-'Hybrid Calculator'!$B$12)^2+((H554-'Hybrid Calculator'!$E$14)/IF(A554="Lightning",100,30000))^2+((I554-'Hybrid Calculator'!$E$17)/IF(A554="Lightning",100,30000))^2</x:f>
        <x:v>0.029320253181762568</x:v>
      </x:c>
      <x:c r="K554" s="23" t="n">
        <x:f>RANK(J554,$J$2:$J$1401,1)</x:f>
        <x:v>22</x:v>
      </x:c>
      <x:c r="L554" s="23" t="n">
        <x:f>IF(K554&lt;=7,1,0)</x:f>
        <x:v>0</x:v>
      </x:c>
      <x:c r="M554" s="23" t="n">
        <x:f>IF(L554=1,1/(J554+0.000001),0)</x:f>
        <x:v>0</x:v>
      </x:c>
      <x:c r="N554" s="23" t="n">
        <x:v>0.0012763168828489047</x:v>
      </x:c>
      <x:c r="O554" s="23" t="n">
        <x:f>M554</x:f>
        <x:v>0</x:v>
      </x:c>
      <x:c r="P554" s="23" t="n">
        <x:v>-0.8818751331877195</x:v>
      </x:c>
      <x:c r="Q554" s="23" t="n">
        <x:v>-7.741576687971019</x:v>
      </x:c>
    </x:row>
    <x:row r="555">
      <x:c r="A555" s="23" t="str">
        <x:v>Lightning</x:v>
      </x:c>
      <x:c r="B555" s="23" t="n">
        <x:v>1479.8626517294906</x:v>
      </x:c>
      <x:c r="C555" s="23" t="n">
        <x:v>885.0476472172886</x:v>
      </x:c>
      <x:c r="D555" s="23" t="n">
        <x:v>527.4944859556854</x:v>
      </x:c>
      <x:c r="E555" s="23" t="n">
        <x:v>144.78911021258682</x:v>
      </x:c>
      <x:c r="F555" s="23" t="n">
        <x:v>21.437036737333983</x:v>
      </x:c>
      <x:c r="G555" s="23" t="n">
        <x:v>0.8242640653438866</x:v>
      </x:c>
      <x:c r="H555" s="23" t="n">
        <x:v>45</x:v>
      </x:c>
      <x:c r="I555" s="23" t="n">
        <x:v>25</x:v>
      </x:c>
      <x:c r="J555" s="23" t="n">
        <x:f>(IF(A555='Hybrid Calculator'!$B$6,0,1))^2+((B555-'Hybrid Calculator'!$B$7)/1500)^2+((C555-'Hybrid Calculator'!$B$8)/1300)^2+((D555-'Hybrid Calculator'!$B$9)/800)^2+((E555-'Hybrid Calculator'!$B$10)/350)^2+((F555-'Hybrid Calculator'!$B$11)/30)^2+(G555-'Hybrid Calculator'!$B$12)^2+((H555-'Hybrid Calculator'!$E$14)/IF(A555="Lightning",100,30000))^2+((I555-'Hybrid Calculator'!$E$17)/IF(A555="Lightning",100,30000))^2</x:f>
        <x:v>0.015570224011163524</x:v>
      </x:c>
      <x:c r="K555" s="23" t="n">
        <x:f>RANK(J555,$J$2:$J$1401,1)</x:f>
        <x:v>5</x:v>
      </x:c>
      <x:c r="L555" s="23" t="n">
        <x:f>IF(K555&lt;=7,1,0)</x:f>
        <x:v>1</x:v>
      </x:c>
      <x:c r="M555" s="23" t="n">
        <x:f>IF(L555=1,1/(J555+0.000001),0)</x:f>
        <x:v>64.22102715130596</x:v>
      </x:c>
      <x:c r="N555" s="23" t="n">
        <x:v>0.008857312954078322</x:v>
      </x:c>
      <x:c r="O555" s="23" t="n">
        <x:f>M555</x:f>
        <x:v>64.22102715130596</x:v>
      </x:c>
      <x:c r="P555" s="23" t="n">
        <x:v>-0.5881356308246595</x:v>
      </x:c>
      <x:c r="Q555" s="23" t="n">
        <x:v>6.086484599021787</x:v>
      </x:c>
    </x:row>
    <x:row r="556">
      <x:c r="A556" s="23" t="str">
        <x:v>Lightning</x:v>
      </x:c>
      <x:c r="B556" s="23" t="n">
        <x:v>1428.7980966735631</x:v>
      </x:c>
      <x:c r="C556" s="23" t="n">
        <x:v>978.194953862112</x:v>
      </x:c>
      <x:c r="D556" s="23" t="n">
        <x:v>663.2440088316798</x:v>
      </x:c>
      <x:c r="E556" s="23" t="n">
        <x:v>191.3923381199129</x:v>
      </x:c>
      <x:c r="F556" s="23" t="n">
        <x:v>20.37509162724018</x:v>
      </x:c>
      <x:c r="G556" s="23" t="n">
        <x:v>0.8236774052516558</x:v>
      </x:c>
      <x:c r="H556" s="23" t="n">
        <x:v>40</x:v>
      </x:c>
      <x:c r="I556" s="23" t="n">
        <x:v>25</x:v>
      </x:c>
      <x:c r="J556" s="23" t="n">
        <x:f>(IF(A556='Hybrid Calculator'!$B$6,0,1))^2+((B556-'Hybrid Calculator'!$B$7)/1500)^2+((C556-'Hybrid Calculator'!$B$8)/1300)^2+((D556-'Hybrid Calculator'!$B$9)/800)^2+((E556-'Hybrid Calculator'!$B$10)/350)^2+((F556-'Hybrid Calculator'!$B$11)/30)^2+(G556-'Hybrid Calculator'!$B$12)^2+((H556-'Hybrid Calculator'!$E$14)/IF(A556="Lightning",100,30000))^2+((I556-'Hybrid Calculator'!$E$17)/IF(A556="Lightning",100,30000))^2</x:f>
        <x:v>0.07927557437561902</x:v>
      </x:c>
      <x:c r="K556" s="23" t="n">
        <x:f>RANK(J556,$J$2:$J$1401,1)</x:f>
        <x:v>136</x:v>
      </x:c>
      <x:c r="L556" s="23" t="n">
        <x:f>IF(K556&lt;=7,1,0)</x:f>
        <x:v>0</x:v>
      </x:c>
      <x:c r="M556" s="23" t="n">
        <x:f>IF(L556=1,1/(J556+0.000001),0)</x:f>
        <x:v>0</x:v>
      </x:c>
      <x:c r="N556" s="23" t="n">
        <x:v>0.013016953248013996</x:v>
      </x:c>
      <x:c r="O556" s="23" t="n">
        <x:f>M556</x:f>
        <x:v>0</x:v>
      </x:c>
      <x:c r="P556" s="23" t="n">
        <x:v>0.6431188064832654</x:v>
      </x:c>
      <x:c r="Q556" s="23" t="n">
        <x:v>-9.579502157301249</x:v>
      </x:c>
    </x:row>
    <x:row r="557">
      <x:c r="A557" s="23" t="str">
        <x:v>Lightning</x:v>
      </x:c>
      <x:c r="B557" s="23" t="n">
        <x:v>1416.749448061455</x:v>
      </x:c>
      <x:c r="C557" s="23" t="n">
        <x:v>1078.593653975986</x:v>
      </x:c>
      <x:c r="D557" s="23" t="n">
        <x:v>568.6637294478714</x:v>
      </x:c>
      <x:c r="E557" s="23" t="n">
        <x:v>166.67900459840894</x:v>
      </x:c>
      <x:c r="F557" s="23" t="n">
        <x:v>23.76486206660047</x:v>
      </x:c>
      <x:c r="G557" s="23" t="n">
        <x:v>0.8098065113043413</x:v>
      </x:c>
      <x:c r="H557" s="23" t="n">
        <x:v>40</x:v>
      </x:c>
      <x:c r="I557" s="23" t="n">
        <x:v>25</x:v>
      </x:c>
      <x:c r="J557" s="23" t="n">
        <x:f>(IF(A557='Hybrid Calculator'!$B$6,0,1))^2+((B557-'Hybrid Calculator'!$B$7)/1500)^2+((C557-'Hybrid Calculator'!$B$8)/1300)^2+((D557-'Hybrid Calculator'!$B$9)/800)^2+((E557-'Hybrid Calculator'!$B$10)/350)^2+((F557-'Hybrid Calculator'!$B$11)/30)^2+(G557-'Hybrid Calculator'!$B$12)^2+((H557-'Hybrid Calculator'!$E$14)/IF(A557="Lightning",100,30000))^2+((I557-'Hybrid Calculator'!$E$17)/IF(A557="Lightning",100,30000))^2</x:f>
        <x:v>0.08149061354565396</x:v>
      </x:c>
      <x:c r="K557" s="23" t="n">
        <x:f>RANK(J557,$J$2:$J$1401,1)</x:f>
        <x:v>144</x:v>
      </x:c>
      <x:c r="L557" s="23" t="n">
        <x:f>IF(K557&lt;=7,1,0)</x:f>
        <x:v>0</x:v>
      </x:c>
      <x:c r="M557" s="23" t="n">
        <x:f>IF(L557=1,1/(J557+0.000001),0)</x:f>
        <x:v>0</x:v>
      </x:c>
      <x:c r="N557" s="23" t="n">
        <x:v>0.009793012017597524</x:v>
      </x:c>
      <x:c r="O557" s="23" t="n">
        <x:f>M557</x:f>
        <x:v>0</x:v>
      </x:c>
      <x:c r="P557" s="23" t="n">
        <x:v>-0.13582422621815482</x:v>
      </x:c>
      <x:c r="Q557" s="23" t="n">
        <x:v>-20.522585894042322</x:v>
      </x:c>
    </x:row>
    <x:row r="558">
      <x:c r="A558" s="23" t="str">
        <x:v>Lightning</x:v>
      </x:c>
      <x:c r="B558" s="23" t="n">
        <x:v>1359.1874760808423</x:v>
      </x:c>
      <x:c r="C558" s="23" t="n">
        <x:v>682.4791932594962</x:v>
      </x:c>
      <x:c r="D558" s="23" t="n">
        <x:v>585.4488894343376</x:v>
      </x:c>
      <x:c r="E558" s="23" t="n">
        <x:v>240.69554997375235</x:v>
      </x:c>
      <x:c r="F558" s="23" t="n">
        <x:v>14.101660693995655</x:v>
      </x:c>
      <x:c r="G558" s="23" t="n">
        <x:v>0.8089641725621186</x:v>
      </x:c>
      <x:c r="H558" s="23" t="n">
        <x:v>50</x:v>
      </x:c>
      <x:c r="I558" s="23" t="n">
        <x:v>25</x:v>
      </x:c>
      <x:c r="J558" s="23" t="n">
        <x:f>(IF(A558='Hybrid Calculator'!$B$6,0,1))^2+((B558-'Hybrid Calculator'!$B$7)/1500)^2+((C558-'Hybrid Calculator'!$B$8)/1300)^2+((D558-'Hybrid Calculator'!$B$9)/800)^2+((E558-'Hybrid Calculator'!$B$10)/350)^2+((F558-'Hybrid Calculator'!$B$11)/30)^2+(G558-'Hybrid Calculator'!$B$12)^2+((H558-'Hybrid Calculator'!$E$14)/IF(A558="Lightning",100,30000))^2+((I558-'Hybrid Calculator'!$E$17)/IF(A558="Lightning",100,30000))^2</x:f>
        <x:v>0.1187041833210212</x:v>
      </x:c>
      <x:c r="K558" s="23" t="n">
        <x:f>RANK(J558,$J$2:$J$1401,1)</x:f>
        <x:v>247</x:v>
      </x:c>
      <x:c r="L558" s="23" t="n">
        <x:f>IF(K558&lt;=7,1,0)</x:f>
        <x:v>0</x:v>
      </x:c>
      <x:c r="M558" s="23" t="n">
        <x:f>IF(L558=1,1/(J558+0.000001),0)</x:f>
        <x:v>0</x:v>
      </x:c>
      <x:c r="N558" s="23" t="n">
        <x:v>0.01295222176198041</x:v>
      </x:c>
      <x:c r="O558" s="23" t="n">
        <x:f>M558</x:f>
        <x:v>0</x:v>
      </x:c>
      <x:c r="P558" s="23" t="n">
        <x:v>-1.670403263773558</x:v>
      </x:c>
      <x:c r="Q558" s="23" t="n">
        <x:v>9.335690639128643</x:v>
      </x:c>
    </x:row>
    <x:row r="559">
      <x:c r="A559" s="23" t="str">
        <x:v>Lightning</x:v>
      </x:c>
      <x:c r="B559" s="23" t="n">
        <x:v>1400.2811293001287</x:v>
      </x:c>
      <x:c r="C559" s="23" t="n">
        <x:v>956.0201345942914</x:v>
      </x:c>
      <x:c r="D559" s="23" t="n">
        <x:v>484.1413817368448</x:v>
      </x:c>
      <x:c r="E559" s="23" t="n">
        <x:v>191.1641941824928</x:v>
      </x:c>
      <x:c r="F559" s="23" t="n">
        <x:v>20.261797418352216</x:v>
      </x:c>
      <x:c r="G559" s="23" t="n">
        <x:v>0.8330858849454672</x:v>
      </x:c>
      <x:c r="H559" s="23" t="n">
        <x:v>45</x:v>
      </x:c>
      <x:c r="I559" s="23" t="n">
        <x:v>25</x:v>
      </x:c>
      <x:c r="J559" s="23" t="n">
        <x:f>(IF(A559='Hybrid Calculator'!$B$6,0,1))^2+((B559-'Hybrid Calculator'!$B$7)/1500)^2+((C559-'Hybrid Calculator'!$B$8)/1300)^2+((D559-'Hybrid Calculator'!$B$9)/800)^2+((E559-'Hybrid Calculator'!$B$10)/350)^2+((F559-'Hybrid Calculator'!$B$11)/30)^2+(G559-'Hybrid Calculator'!$B$12)^2+((H559-'Hybrid Calculator'!$E$14)/IF(A559="Lightning",100,30000))^2+((I559-'Hybrid Calculator'!$E$17)/IF(A559="Lightning",100,30000))^2</x:f>
        <x:v>0.027268204730818396</x:v>
      </x:c>
      <x:c r="K559" s="23" t="n">
        <x:f>RANK(J559,$J$2:$J$1401,1)</x:f>
        <x:v>20</x:v>
      </x:c>
      <x:c r="L559" s="23" t="n">
        <x:f>IF(K559&lt;=7,1,0)</x:f>
        <x:v>0</x:v>
      </x:c>
      <x:c r="M559" s="23" t="n">
        <x:f>IF(L559=1,1/(J559+0.000001),0)</x:f>
        <x:v>0</x:v>
      </x:c>
      <x:c r="N559" s="23" t="n">
        <x:v>-0.0026786811029881896</x:v>
      </x:c>
      <x:c r="O559" s="23" t="n">
        <x:f>M559</x:f>
        <x:v>0</x:v>
      </x:c>
      <x:c r="P559" s="23" t="n">
        <x:v>0.5449511241170129</x:v>
      </x:c>
      <x:c r="Q559" s="23" t="n">
        <x:v>-6.205345759844022</x:v>
      </x:c>
    </x:row>
    <x:row r="560">
      <x:c r="A560" s="23" t="str">
        <x:v>Lightning</x:v>
      </x:c>
      <x:c r="B560" s="23" t="n">
        <x:v>1411.8803724646568</x:v>
      </x:c>
      <x:c r="C560" s="23" t="n">
        <x:v>870.3433582908474</x:v>
      </x:c>
      <x:c r="D560" s="23" t="n">
        <x:v>585.0173877552152</x:v>
      </x:c>
      <x:c r="E560" s="23" t="n">
        <x:v>87.36277416581288</x:v>
      </x:c>
      <x:c r="F560" s="23" t="n">
        <x:v>15.100310174748302</x:v>
      </x:c>
      <x:c r="G560" s="23" t="n">
        <x:v>0.8122317401063629</x:v>
      </x:c>
      <x:c r="H560" s="23" t="n">
        <x:v>50</x:v>
      </x:c>
      <x:c r="I560" s="23" t="n">
        <x:v>25</x:v>
      </x:c>
      <x:c r="J560" s="23" t="n">
        <x:f>(IF(A560='Hybrid Calculator'!$B$6,0,1))^2+((B560-'Hybrid Calculator'!$B$7)/1500)^2+((C560-'Hybrid Calculator'!$B$8)/1300)^2+((D560-'Hybrid Calculator'!$B$9)/800)^2+((E560-'Hybrid Calculator'!$B$10)/350)^2+((F560-'Hybrid Calculator'!$B$11)/30)^2+(G560-'Hybrid Calculator'!$B$12)^2+((H560-'Hybrid Calculator'!$E$14)/IF(A560="Lightning",100,30000))^2+((I560-'Hybrid Calculator'!$E$17)/IF(A560="Lightning",100,30000))^2</x:f>
        <x:v>0.05654544645914488</x:v>
      </x:c>
      <x:c r="K560" s="23" t="n">
        <x:f>RANK(J560,$J$2:$J$1401,1)</x:f>
        <x:v>74</x:v>
      </x:c>
      <x:c r="L560" s="23" t="n">
        <x:f>IF(K560&lt;=7,1,0)</x:f>
        <x:v>0</x:v>
      </x:c>
      <x:c r="M560" s="23" t="n">
        <x:f>IF(L560=1,1/(J560+0.000001),0)</x:f>
        <x:v>0</x:v>
      </x:c>
      <x:c r="N560" s="23" t="n">
        <x:v>-0.00555768023749037</x:v>
      </x:c>
      <x:c r="O560" s="23" t="n">
        <x:f>M560</x:f>
        <x:v>0</x:v>
      </x:c>
      <x:c r="P560" s="23" t="n">
        <x:v>-0.7312459197666143</x:v>
      </x:c>
      <x:c r="Q560" s="23" t="n">
        <x:v>0.07409237193223817</x:v>
      </x:c>
    </x:row>
    <x:row r="561">
      <x:c r="A561" s="23" t="str">
        <x:v>Lightning</x:v>
      </x:c>
      <x:c r="B561" s="23" t="n">
        <x:v>1428.4106201143004</x:v>
      </x:c>
      <x:c r="C561" s="23" t="n">
        <x:v>1132.3757911333814</x:v>
      </x:c>
      <x:c r="D561" s="23" t="n">
        <x:v>452.8802917338908</x:v>
      </x:c>
      <x:c r="E561" s="23" t="n">
        <x:v>150.01596479676664</x:v>
      </x:c>
      <x:c r="F561" s="23" t="n">
        <x:v>19.688189145643264</x:v>
      </x:c>
      <x:c r="G561" s="23" t="n">
        <x:v>0.8098263776348904</x:v>
      </x:c>
      <x:c r="H561" s="23" t="n">
        <x:v>40</x:v>
      </x:c>
      <x:c r="I561" s="23" t="n">
        <x:v>25</x:v>
      </x:c>
      <x:c r="J561" s="23" t="n">
        <x:f>(IF(A561='Hybrid Calculator'!$B$6,0,1))^2+((B561-'Hybrid Calculator'!$B$7)/1500)^2+((C561-'Hybrid Calculator'!$B$8)/1300)^2+((D561-'Hybrid Calculator'!$B$9)/800)^2+((E561-'Hybrid Calculator'!$B$10)/350)^2+((F561-'Hybrid Calculator'!$B$11)/30)^2+(G561-'Hybrid Calculator'!$B$12)^2+((H561-'Hybrid Calculator'!$E$14)/IF(A561="Lightning",100,30000))^2+((I561-'Hybrid Calculator'!$E$17)/IF(A561="Lightning",100,30000))^2</x:f>
        <x:v>0.06232761783896038</x:v>
      </x:c>
      <x:c r="K561" s="23" t="n">
        <x:f>RANK(J561,$J$2:$J$1401,1)</x:f>
        <x:v>88</x:v>
      </x:c>
      <x:c r="L561" s="23" t="n">
        <x:f>IF(K561&lt;=7,1,0)</x:f>
        <x:v>0</x:v>
      </x:c>
      <x:c r="M561" s="23" t="n">
        <x:f>IF(L561=1,1/(J561+0.000001),0)</x:f>
        <x:v>0</x:v>
      </x:c>
      <x:c r="N561" s="23" t="n">
        <x:v>-0.0035581883665081193</x:v>
      </x:c>
      <x:c r="O561" s="23" t="n">
        <x:f>M561</x:f>
        <x:v>0</x:v>
      </x:c>
      <x:c r="P561" s="23" t="n">
        <x:v>1.5800079153700537</x:v>
      </x:c>
      <x:c r="Q561" s="23" t="n">
        <x:v>2.2372658613710428</x:v>
      </x:c>
    </x:row>
    <x:row r="562">
      <x:c r="A562" s="23" t="str">
        <x:v>Lightning</x:v>
      </x:c>
      <x:c r="B562" s="23" t="n">
        <x:v>1465.6038112007082</x:v>
      </x:c>
      <x:c r="C562" s="23" t="n">
        <x:v>900.0792368664406</x:v>
      </x:c>
      <x:c r="D562" s="23" t="n">
        <x:v>531.6549504175782</x:v>
      </x:c>
      <x:c r="E562" s="23" t="n">
        <x:v>142.98188032815233</x:v>
      </x:c>
      <x:c r="F562" s="23" t="n">
        <x:v>27.65657856501639</x:v>
      </x:c>
      <x:c r="G562" s="23" t="n">
        <x:v>0.8206390932505019</x:v>
      </x:c>
      <x:c r="H562" s="23" t="n">
        <x:v>45</x:v>
      </x:c>
      <x:c r="I562" s="23" t="n">
        <x:v>25</x:v>
      </x:c>
      <x:c r="J562" s="23" t="n">
        <x:f>(IF(A562='Hybrid Calculator'!$B$6,0,1))^2+((B562-'Hybrid Calculator'!$B$7)/1500)^2+((C562-'Hybrid Calculator'!$B$8)/1300)^2+((D562-'Hybrid Calculator'!$B$9)/800)^2+((E562-'Hybrid Calculator'!$B$10)/350)^2+((F562-'Hybrid Calculator'!$B$11)/30)^2+(G562-'Hybrid Calculator'!$B$12)^2+((H562-'Hybrid Calculator'!$E$14)/IF(A562="Lightning",100,30000))^2+((I562-'Hybrid Calculator'!$E$17)/IF(A562="Lightning",100,30000))^2</x:f>
        <x:v>0.09984369947403417</x:v>
      </x:c>
      <x:c r="K562" s="23" t="n">
        <x:f>RANK(J562,$J$2:$J$1401,1)</x:f>
        <x:v>206</x:v>
      </x:c>
      <x:c r="L562" s="23" t="n">
        <x:f>IF(K562&lt;=7,1,0)</x:f>
        <x:v>0</x:v>
      </x:c>
      <x:c r="M562" s="23" t="n">
        <x:f>IF(L562=1,1/(J562+0.000001),0)</x:f>
        <x:v>0</x:v>
      </x:c>
      <x:c r="N562" s="23" t="n">
        <x:v>-0.017968977027128963</x:v>
      </x:c>
      <x:c r="O562" s="23" t="n">
        <x:f>M562</x:f>
        <x:v>0</x:v>
      </x:c>
      <x:c r="P562" s="23" t="n">
        <x:v>-0.8305861292658321</x:v>
      </x:c>
      <x:c r="Q562" s="23" t="n">
        <x:v>-10.57863306088143</x:v>
      </x:c>
    </x:row>
    <x:row r="563">
      <x:c r="A563" s="23" t="str">
        <x:v>Lightning</x:v>
      </x:c>
      <x:c r="B563" s="23" t="n">
        <x:v>1456.832207890693</x:v>
      </x:c>
      <x:c r="C563" s="23" t="n">
        <x:v>887.0809580432251</x:v>
      </x:c>
      <x:c r="D563" s="23" t="n">
        <x:v>494.6960502304137</x:v>
      </x:c>
      <x:c r="E563" s="23" t="n">
        <x:v>259.6481052879244</x:v>
      </x:c>
      <x:c r="F563" s="23" t="n">
        <x:v>14.289481051731855</x:v>
      </x:c>
      <x:c r="G563" s="23" t="n">
        <x:v>0.8461308661708609</x:v>
      </x:c>
      <x:c r="H563" s="23" t="n">
        <x:v>45</x:v>
      </x:c>
      <x:c r="I563" s="23" t="n">
        <x:v>25</x:v>
      </x:c>
      <x:c r="J563" s="23" t="n">
        <x:f>(IF(A563='Hybrid Calculator'!$B$6,0,1))^2+((B563-'Hybrid Calculator'!$B$7)/1500)^2+((C563-'Hybrid Calculator'!$B$8)/1300)^2+((D563-'Hybrid Calculator'!$B$9)/800)^2+((E563-'Hybrid Calculator'!$B$10)/350)^2+((F563-'Hybrid Calculator'!$B$11)/30)^2+(G563-'Hybrid Calculator'!$B$12)^2+((H563-'Hybrid Calculator'!$E$14)/IF(A563="Lightning",100,30000))^2+((I563-'Hybrid Calculator'!$E$17)/IF(A563="Lightning",100,30000))^2</x:f>
        <x:v>0.12233358373980752</x:v>
      </x:c>
      <x:c r="K563" s="23" t="n">
        <x:f>RANK(J563,$J$2:$J$1401,1)</x:f>
        <x:v>260</x:v>
      </x:c>
      <x:c r="L563" s="23" t="n">
        <x:f>IF(K563&lt;=7,1,0)</x:f>
        <x:v>0</x:v>
      </x:c>
      <x:c r="M563" s="23" t="n">
        <x:f>IF(L563=1,1/(J563+0.000001),0)</x:f>
        <x:v>0</x:v>
      </x:c>
      <x:c r="N563" s="23" t="n">
        <x:v>-0.004967509402610704</x:v>
      </x:c>
      <x:c r="O563" s="23" t="n">
        <x:f>M563</x:f>
        <x:v>0</x:v>
      </x:c>
      <x:c r="P563" s="23" t="n">
        <x:v>-0.34804935226104305</x:v>
      </x:c>
      <x:c r="Q563" s="23" t="n">
        <x:v>6.332003745966404</x:v>
      </x:c>
    </x:row>
    <x:row r="564">
      <x:c r="A564" s="23" t="str">
        <x:v>Lightning</x:v>
      </x:c>
      <x:c r="B564" s="23" t="n">
        <x:v>1479.9835294252262</x:v>
      </x:c>
      <x:c r="C564" s="23" t="n">
        <x:v>1118.8157887780108</x:v>
      </x:c>
      <x:c r="D564" s="23" t="n">
        <x:v>629.5445542782545</x:v>
      </x:c>
      <x:c r="E564" s="23" t="n">
        <x:v>201.02325045270845</x:v>
      </x:c>
      <x:c r="F564" s="23" t="n">
        <x:v>11.077957321889699</x:v>
      </x:c>
      <x:c r="G564" s="23" t="n">
        <x:v>0.8030604531685822</x:v>
      </x:c>
      <x:c r="H564" s="23" t="n">
        <x:v>35</x:v>
      </x:c>
      <x:c r="I564" s="23" t="n">
        <x:v>25</x:v>
      </x:c>
      <x:c r="J564" s="23" t="n">
        <x:f>(IF(A564='Hybrid Calculator'!$B$6,0,1))^2+((B564-'Hybrid Calculator'!$B$7)/1500)^2+((C564-'Hybrid Calculator'!$B$8)/1300)^2+((D564-'Hybrid Calculator'!$B$9)/800)^2+((E564-'Hybrid Calculator'!$B$10)/350)^2+((F564-'Hybrid Calculator'!$B$11)/30)^2+(G564-'Hybrid Calculator'!$B$12)^2+((H564-'Hybrid Calculator'!$E$14)/IF(A564="Lightning",100,30000))^2+((I564-'Hybrid Calculator'!$E$17)/IF(A564="Lightning",100,30000))^2</x:f>
        <x:v>0.17557015526449649</x:v>
      </x:c>
      <x:c r="K564" s="23" t="n">
        <x:f>RANK(J564,$J$2:$J$1401,1)</x:f>
        <x:v>392</x:v>
      </x:c>
      <x:c r="L564" s="23" t="n">
        <x:f>IF(K564&lt;=7,1,0)</x:f>
        <x:v>0</x:v>
      </x:c>
      <x:c r="M564" s="23" t="n">
        <x:f>IF(L564=1,1/(J564+0.000001),0)</x:f>
        <x:v>0</x:v>
      </x:c>
      <x:c r="N564" s="23" t="n">
        <x:v>0.02205617964230333</x:v>
      </x:c>
      <x:c r="O564" s="23" t="n">
        <x:f>M564</x:f>
        <x:v>0</x:v>
      </x:c>
      <x:c r="P564" s="23" t="n">
        <x:v>0.9707970989476493</x:v>
      </x:c>
      <x:c r="Q564" s="23" t="n">
        <x:v>-1.8316705146803542</x:v>
      </x:c>
    </x:row>
    <x:row r="565">
      <x:c r="A565" s="23" t="str">
        <x:v>Lightning</x:v>
      </x:c>
      <x:c r="B565" s="23" t="n">
        <x:v>1352.5741230114363</x:v>
      </x:c>
      <x:c r="C565" s="23" t="n">
        <x:v>1152.5684968102723</x:v>
      </x:c>
      <x:c r="D565" s="23" t="n">
        <x:v>707.290646713227</x:v>
      </x:c>
      <x:c r="E565" s="23" t="n">
        <x:v>147.59220210369676</x:v>
      </x:c>
      <x:c r="F565" s="23" t="n">
        <x:v>27.291681117843837</x:v>
      </x:c>
      <x:c r="G565" s="23" t="n">
        <x:v>0.8049741913191975</x:v>
      </x:c>
      <x:c r="H565" s="23" t="n">
        <x:v>35</x:v>
      </x:c>
      <x:c r="I565" s="23" t="n">
        <x:v>25</x:v>
      </x:c>
      <x:c r="J565" s="23" t="n">
        <x:f>(IF(A565='Hybrid Calculator'!$B$6,0,1))^2+((B565-'Hybrid Calculator'!$B$7)/1500)^2+((C565-'Hybrid Calculator'!$B$8)/1300)^2+((D565-'Hybrid Calculator'!$B$9)/800)^2+((E565-'Hybrid Calculator'!$B$10)/350)^2+((F565-'Hybrid Calculator'!$B$11)/30)^2+(G565-'Hybrid Calculator'!$B$12)^2+((H565-'Hybrid Calculator'!$E$14)/IF(A565="Lightning",100,30000))^2+((I565-'Hybrid Calculator'!$E$17)/IF(A565="Lightning",100,30000))^2</x:f>
        <x:v>0.23229621956183122</x:v>
      </x:c>
      <x:c r="K565" s="23" t="n">
        <x:f>RANK(J565,$J$2:$J$1401,1)</x:f>
        <x:v>507</x:v>
      </x:c>
      <x:c r="L565" s="23" t="n">
        <x:f>IF(K565&lt;=7,1,0)</x:f>
        <x:v>0</x:v>
      </x:c>
      <x:c r="M565" s="23" t="n">
        <x:f>IF(L565=1,1/(J565+0.000001),0)</x:f>
        <x:v>0</x:v>
      </x:c>
      <x:c r="N565" s="23" t="n">
        <x:v>0.0025619128710145933</x:v>
      </x:c>
      <x:c r="O565" s="23" t="n">
        <x:f>M565</x:f>
        <x:v>0</x:v>
      </x:c>
      <x:c r="P565" s="23" t="n">
        <x:v>0.003071689180949022</x:v>
      </x:c>
      <x:c r="Q565" s="23" t="n">
        <x:v>-26.13879142091355</x:v>
      </x:c>
    </x:row>
    <x:row r="566">
      <x:c r="A566" s="23" t="str">
        <x:v>Lightning</x:v>
      </x:c>
      <x:c r="B566" s="23" t="n">
        <x:v>1397.895989427343</x:v>
      </x:c>
      <x:c r="C566" s="23" t="n">
        <x:v>631.2508908915333</x:v>
      </x:c>
      <x:c r="D566" s="23" t="n">
        <x:v>653.1417919322848</x:v>
      </x:c>
      <x:c r="E566" s="23" t="n">
        <x:v>321.0270472173579</x:v>
      </x:c>
      <x:c r="F566" s="23" t="n">
        <x:v>17.22120899707079</x:v>
      </x:c>
      <x:c r="G566" s="23" t="n">
        <x:v>0.7903160966397264</x:v>
      </x:c>
      <x:c r="H566" s="23" t="n">
        <x:v>45</x:v>
      </x:c>
      <x:c r="I566" s="23" t="n">
        <x:v>25</x:v>
      </x:c>
      <x:c r="J566" s="23" t="n">
        <x:f>(IF(A566='Hybrid Calculator'!$B$6,0,1))^2+((B566-'Hybrid Calculator'!$B$7)/1500)^2+((C566-'Hybrid Calculator'!$B$8)/1300)^2+((D566-'Hybrid Calculator'!$B$9)/800)^2+((E566-'Hybrid Calculator'!$B$10)/350)^2+((F566-'Hybrid Calculator'!$B$11)/30)^2+(G566-'Hybrid Calculator'!$B$12)^2+((H566-'Hybrid Calculator'!$E$14)/IF(A566="Lightning",100,30000))^2+((I566-'Hybrid Calculator'!$E$17)/IF(A566="Lightning",100,30000))^2</x:f>
        <x:v>0.30926089210277485</x:v>
      </x:c>
      <x:c r="K566" s="23" t="n">
        <x:f>RANK(J566,$J$2:$J$1401,1)</x:f>
        <x:v>606</x:v>
      </x:c>
      <x:c r="L566" s="23" t="n">
        <x:f>IF(K566&lt;=7,1,0)</x:f>
        <x:v>0</x:v>
      </x:c>
      <x:c r="M566" s="23" t="n">
        <x:f>IF(L566=1,1/(J566+0.000001),0)</x:f>
        <x:v>0</x:v>
      </x:c>
      <x:c r="N566" s="23" t="n">
        <x:v>0.006134935628455018</x:v>
      </x:c>
      <x:c r="O566" s="23" t="n">
        <x:f>M566</x:f>
        <x:v>0</x:v>
      </x:c>
      <x:c r="P566" s="23" t="n">
        <x:v>-1.6558632201442123</x:v>
      </x:c>
      <x:c r="Q566" s="23" t="n">
        <x:v>5.121040215699622</x:v>
      </x:c>
    </x:row>
    <x:row r="567">
      <x:c r="A567" s="23" t="str">
        <x:v>Lightning</x:v>
      </x:c>
      <x:c r="B567" s="23" t="n">
        <x:v>1458.267339610029</x:v>
      </x:c>
      <x:c r="C567" s="23" t="n">
        <x:v>1158.4565110271797</x:v>
      </x:c>
      <x:c r="D567" s="23" t="n">
        <x:v>736.130276042968</x:v>
      </x:c>
      <x:c r="E567" s="23" t="n">
        <x:v>325.0985065661371</x:v>
      </x:c>
      <x:c r="F567" s="23" t="n">
        <x:v>21.257991342339665</x:v>
      </x:c>
      <x:c r="G567" s="23" t="n">
        <x:v>0.8511946469685063</x:v>
      </x:c>
      <x:c r="H567" s="23" t="n">
        <x:v>30</x:v>
      </x:c>
      <x:c r="I567" s="23" t="n">
        <x:v>25</x:v>
      </x:c>
      <x:c r="J567" s="23" t="n">
        <x:f>(IF(A567='Hybrid Calculator'!$B$6,0,1))^2+((B567-'Hybrid Calculator'!$B$7)/1500)^2+((C567-'Hybrid Calculator'!$B$8)/1300)^2+((D567-'Hybrid Calculator'!$B$9)/800)^2+((E567-'Hybrid Calculator'!$B$10)/350)^2+((F567-'Hybrid Calculator'!$B$11)/30)^2+(G567-'Hybrid Calculator'!$B$12)^2+((H567-'Hybrid Calculator'!$E$14)/IF(A567="Lightning",100,30000))^2+((I567-'Hybrid Calculator'!$E$17)/IF(A567="Lightning",100,30000))^2</x:f>
        <x:v>0.44361836069914196</x:v>
      </x:c>
      <x:c r="K567" s="23" t="n">
        <x:f>RANK(J567,$J$2:$J$1401,1)</x:f>
        <x:v>696</x:v>
      </x:c>
      <x:c r="L567" s="23" t="n">
        <x:f>IF(K567&lt;=7,1,0)</x:f>
        <x:v>0</x:v>
      </x:c>
      <x:c r="M567" s="23" t="n">
        <x:f>IF(L567=1,1/(J567+0.000001),0)</x:f>
        <x:v>0</x:v>
      </x:c>
      <x:c r="N567" s="23" t="n">
        <x:v>0.007300715367847932</x:v>
      </x:c>
      <x:c r="O567" s="23" t="n">
        <x:f>M567</x:f>
        <x:v>0</x:v>
      </x:c>
      <x:c r="P567" s="23" t="n">
        <x:v>1.6585766878236115</x:v>
      </x:c>
      <x:c r="Q567" s="23" t="n">
        <x:v>-16.653897083489028</x:v>
      </x:c>
    </x:row>
    <x:row r="568">
      <x:c r="A568" s="23" t="str">
        <x:v>Lightning</x:v>
      </x:c>
      <x:c r="B568" s="23" t="n">
        <x:v>1451.0530482279137</x:v>
      </x:c>
      <x:c r="C568" s="23" t="n">
        <x:v>645.5509770778008</x:v>
      </x:c>
      <x:c r="D568" s="23" t="n">
        <x:v>561.4243745803833</x:v>
      </x:c>
      <x:c r="E568" s="23" t="n">
        <x:v>112.20350103219971</x:v>
      </x:c>
      <x:c r="F568" s="23" t="n">
        <x:v>16.058390158228576</x:v>
      </x:c>
      <x:c r="G568" s="23" t="n">
        <x:v>0.8506824298924767</x:v>
      </x:c>
      <x:c r="H568" s="23" t="n">
        <x:v>55</x:v>
      </x:c>
      <x:c r="I568" s="23" t="n">
        <x:v>25</x:v>
      </x:c>
      <x:c r="J568" s="23" t="n">
        <x:f>(IF(A568='Hybrid Calculator'!$B$6,0,1))^2+((B568-'Hybrid Calculator'!$B$7)/1500)^2+((C568-'Hybrid Calculator'!$B$8)/1300)^2+((D568-'Hybrid Calculator'!$B$9)/800)^2+((E568-'Hybrid Calculator'!$B$10)/350)^2+((F568-'Hybrid Calculator'!$B$11)/30)^2+(G568-'Hybrid Calculator'!$B$12)^2+((H568-'Hybrid Calculator'!$E$14)/IF(A568="Lightning",100,30000))^2+((I568-'Hybrid Calculator'!$E$17)/IF(A568="Lightning",100,30000))^2</x:f>
        <x:v>0.05265738041794473</x:v>
      </x:c>
      <x:c r="K568" s="23" t="n">
        <x:f>RANK(J568,$J$2:$J$1401,1)</x:f>
        <x:v>60</x:v>
      </x:c>
      <x:c r="L568" s="23" t="n">
        <x:f>IF(K568&lt;=7,1,0)</x:f>
        <x:v>0</x:v>
      </x:c>
      <x:c r="M568" s="23" t="n">
        <x:f>IF(L568=1,1/(J568+0.000001),0)</x:f>
        <x:v>0</x:v>
      </x:c>
      <x:c r="N568" s="23" t="n">
        <x:v>-0.006615014093672267</x:v>
      </x:c>
      <x:c r="O568" s="23" t="n">
        <x:f>M568</x:f>
        <x:v>0</x:v>
      </x:c>
      <x:c r="P568" s="23" t="n">
        <x:v>-0.14144941904331176</x:v>
      </x:c>
      <x:c r="Q568" s="23" t="n">
        <x:v>7.65189313068754</x:v>
      </x:c>
    </x:row>
    <x:row r="569">
      <x:c r="A569" s="23" t="str">
        <x:v>Lightning</x:v>
      </x:c>
      <x:c r="B569" s="23" t="n">
        <x:v>1448.6850247601978</x:v>
      </x:c>
      <x:c r="C569" s="23" t="n">
        <x:v>930.4130450822413</x:v>
      </x:c>
      <x:c r="D569" s="23" t="n">
        <x:v>551.4213538728654</x:v>
      </x:c>
      <x:c r="E569" s="23" t="n">
        <x:v>188.4265128010884</x:v>
      </x:c>
      <x:c r="F569" s="23" t="n">
        <x:v>25.62087578838691</x:v>
      </x:c>
      <x:c r="G569" s="23" t="n">
        <x:v>0.8392073276732117</x:v>
      </x:c>
      <x:c r="H569" s="23" t="n">
        <x:v>45</x:v>
      </x:c>
      <x:c r="I569" s="23" t="n">
        <x:v>25</x:v>
      </x:c>
      <x:c r="J569" s="23" t="n">
        <x:f>(IF(A569='Hybrid Calculator'!$B$6,0,1))^2+((B569-'Hybrid Calculator'!$B$7)/1500)^2+((C569-'Hybrid Calculator'!$B$8)/1300)^2+((D569-'Hybrid Calculator'!$B$9)/800)^2+((E569-'Hybrid Calculator'!$B$10)/350)^2+((F569-'Hybrid Calculator'!$B$11)/30)^2+(G569-'Hybrid Calculator'!$B$12)^2+((H569-'Hybrid Calculator'!$E$14)/IF(A569="Lightning",100,30000))^2+((I569-'Hybrid Calculator'!$E$17)/IF(A569="Lightning",100,30000))^2</x:f>
        <x:v>0.07947074830761192</x:v>
      </x:c>
      <x:c r="K569" s="23" t="n">
        <x:f>RANK(J569,$J$2:$J$1401,1)</x:f>
        <x:v>138</x:v>
      </x:c>
      <x:c r="L569" s="23" t="n">
        <x:f>IF(K569&lt;=7,1,0)</x:f>
        <x:v>0</x:v>
      </x:c>
      <x:c r="M569" s="23" t="n">
        <x:f>IF(L569=1,1/(J569+0.000001),0)</x:f>
        <x:v>0</x:v>
      </x:c>
      <x:c r="N569" s="23" t="n">
        <x:v>0.003027906028609806</x:v>
      </x:c>
      <x:c r="O569" s="23" t="n">
        <x:f>M569</x:f>
        <x:v>0</x:v>
      </x:c>
      <x:c r="P569" s="23" t="n">
        <x:v>0.3990576459166775</x:v>
      </x:c>
      <x:c r="Q569" s="23" t="n">
        <x:v>-13.325070524293551</x:v>
      </x:c>
    </x:row>
    <x:row r="570">
      <x:c r="A570" s="23" t="str">
        <x:v>Lightning</x:v>
      </x:c>
      <x:c r="B570" s="23" t="n">
        <x:v>1382.8759549185634</x:v>
      </x:c>
      <x:c r="C570" s="23" t="n">
        <x:v>748.5077429912053</x:v>
      </x:c>
      <x:c r="D570" s="23" t="n">
        <x:v>352.67484206706285</x:v>
      </x:c>
      <x:c r="E570" s="23" t="n">
        <x:v>102.44929183507338</x:v>
      </x:c>
      <x:c r="F570" s="23" t="n">
        <x:v>27.05277164839208</x:v>
      </x:c>
      <x:c r="G570" s="23" t="n">
        <x:v>0.8088412484643049</x:v>
      </x:c>
      <x:c r="H570" s="23" t="n">
        <x:v>60</x:v>
      </x:c>
      <x:c r="I570" s="23" t="n">
        <x:v>25</x:v>
      </x:c>
      <x:c r="J570" s="23" t="n">
        <x:f>(IF(A570='Hybrid Calculator'!$B$6,0,1))^2+((B570-'Hybrid Calculator'!$B$7)/1500)^2+((C570-'Hybrid Calculator'!$B$8)/1300)^2+((D570-'Hybrid Calculator'!$B$9)/800)^2+((E570-'Hybrid Calculator'!$B$10)/350)^2+((F570-'Hybrid Calculator'!$B$11)/30)^2+(G570-'Hybrid Calculator'!$B$12)^2+((H570-'Hybrid Calculator'!$E$14)/IF(A570="Lightning",100,30000))^2+((I570-'Hybrid Calculator'!$E$17)/IF(A570="Lightning",100,30000))^2</x:f>
        <x:v>0.15065721148492664</x:v>
      </x:c>
      <x:c r="K570" s="23" t="n">
        <x:f>RANK(J570,$J$2:$J$1401,1)</x:f>
        <x:v>328</x:v>
      </x:c>
      <x:c r="L570" s="23" t="n">
        <x:f>IF(K570&lt;=7,1,0)</x:f>
        <x:v>0</x:v>
      </x:c>
      <x:c r="M570" s="23" t="n">
        <x:f>IF(L570=1,1/(J570+0.000001),0)</x:f>
        <x:v>0</x:v>
      </x:c>
      <x:c r="N570" s="23" t="n">
        <x:v>-0.004165315838031702</x:v>
      </x:c>
      <x:c r="O570" s="23" t="n">
        <x:f>M570</x:f>
        <x:v>0</x:v>
      </x:c>
      <x:c r="P570" s="23" t="n">
        <x:v>0.23484863316556215</x:v>
      </x:c>
      <x:c r="Q570" s="23" t="n">
        <x:v>-3.993575854973642</x:v>
      </x:c>
    </x:row>
    <x:row r="571">
      <x:c r="A571" s="23" t="str">
        <x:v>Lightning</x:v>
      </x:c>
      <x:c r="B571" s="23" t="n">
        <x:v>1497.3018583492376</x:v>
      </x:c>
      <x:c r="C571" s="23" t="n">
        <x:v>865.1088293874636</x:v>
      </x:c>
      <x:c r="D571" s="23" t="n">
        <x:v>736.2648309208453</x:v>
      </x:c>
      <x:c r="E571" s="23" t="n">
        <x:v>306.32231819443405</x:v>
      </x:c>
      <x:c r="F571" s="23" t="n">
        <x:v>26.982443351764232</x:v>
      </x:c>
      <x:c r="G571" s="23" t="n">
        <x:v>0.8049977887840942</x:v>
      </x:c>
      <x:c r="H571" s="23" t="n">
        <x:v>35</x:v>
      </x:c>
      <x:c r="I571" s="23" t="n">
        <x:v>25</x:v>
      </x:c>
      <x:c r="J571" s="23" t="n">
        <x:f>(IF(A571='Hybrid Calculator'!$B$6,0,1))^2+((B571-'Hybrid Calculator'!$B$7)/1500)^2+((C571-'Hybrid Calculator'!$B$8)/1300)^2+((D571-'Hybrid Calculator'!$B$9)/800)^2+((E571-'Hybrid Calculator'!$B$10)/350)^2+((F571-'Hybrid Calculator'!$B$11)/30)^2+(G571-'Hybrid Calculator'!$B$12)^2+((H571-'Hybrid Calculator'!$E$14)/IF(A571="Lightning",100,30000))^2+((I571-'Hybrid Calculator'!$E$17)/IF(A571="Lightning",100,30000))^2</x:f>
        <x:v>0.39183341510419734</x:v>
      </x:c>
      <x:c r="K571" s="23" t="n">
        <x:f>RANK(J571,$J$2:$J$1401,1)</x:f>
        <x:v>680</x:v>
      </x:c>
      <x:c r="L571" s="23" t="n">
        <x:f>IF(K571&lt;=7,1,0)</x:f>
        <x:v>0</x:v>
      </x:c>
      <x:c r="M571" s="23" t="n">
        <x:f>IF(L571=1,1/(J571+0.000001),0)</x:f>
        <x:v>0</x:v>
      </x:c>
      <x:c r="N571" s="23" t="n">
        <x:v>0.003685021994458859</x:v>
      </x:c>
      <x:c r="O571" s="23" t="n">
        <x:f>M571</x:f>
        <x:v>0</x:v>
      </x:c>
      <x:c r="P571" s="23" t="n">
        <x:v>0.4295689181518654</x:v>
      </x:c>
      <x:c r="Q571" s="23" t="n">
        <x:v>-24.488702391899324</x:v>
      </x:c>
    </x:row>
    <x:row r="572">
      <x:c r="A572" s="23" t="str">
        <x:v>Lightning</x:v>
      </x:c>
      <x:c r="B572" s="23" t="n">
        <x:v>1486.3328560022637</x:v>
      </x:c>
      <x:c r="C572" s="23" t="n">
        <x:v>741.03857713053</x:v>
      </x:c>
      <x:c r="D572" s="23" t="n">
        <x:v>713.7183863669634</x:v>
      </x:c>
      <x:c r="E572" s="23" t="n">
        <x:v>105.93416179297492</x:v>
      </x:c>
      <x:c r="F572" s="23" t="n">
        <x:v>18.531439141370356</x:v>
      </x:c>
      <x:c r="G572" s="23" t="n">
        <x:v>0.8120509064826184</x:v>
      </x:c>
      <x:c r="H572" s="23" t="n">
        <x:v>45</x:v>
      </x:c>
      <x:c r="I572" s="23" t="n">
        <x:v>25</x:v>
      </x:c>
      <x:c r="J572" s="23" t="n">
        <x:f>(IF(A572='Hybrid Calculator'!$B$6,0,1))^2+((B572-'Hybrid Calculator'!$B$7)/1500)^2+((C572-'Hybrid Calculator'!$B$8)/1300)^2+((D572-'Hybrid Calculator'!$B$9)/800)^2+((E572-'Hybrid Calculator'!$B$10)/350)^2+((F572-'Hybrid Calculator'!$B$11)/30)^2+(G572-'Hybrid Calculator'!$B$12)^2+((H572-'Hybrid Calculator'!$E$14)/IF(A572="Lightning",100,30000))^2+((I572-'Hybrid Calculator'!$E$17)/IF(A572="Lightning",100,30000))^2</x:f>
        <x:v>0.09848082155157822</x:v>
      </x:c>
      <x:c r="K572" s="23" t="n">
        <x:f>RANK(J572,$J$2:$J$1401,1)</x:f>
        <x:v>198</x:v>
      </x:c>
      <x:c r="L572" s="23" t="n">
        <x:f>IF(K572&lt;=7,1,0)</x:f>
        <x:v>0</x:v>
      </x:c>
      <x:c r="M572" s="23" t="n">
        <x:f>IF(L572=1,1/(J572+0.000001),0)</x:f>
        <x:v>0</x:v>
      </x:c>
      <x:c r="N572" s="23" t="n">
        <x:v>-0.009035435596496777</x:v>
      </x:c>
      <x:c r="O572" s="23" t="n">
        <x:f>M572</x:f>
        <x:v>0</x:v>
      </x:c>
      <x:c r="P572" s="23" t="n">
        <x:v>-1.1247508009795126</x:v>
      </x:c>
      <x:c r="Q572" s="23" t="n">
        <x:v>-3.5267239303111637</x:v>
      </x:c>
    </x:row>
    <x:row r="573">
      <x:c r="A573" s="23" t="str">
        <x:v>Lightning</x:v>
      </x:c>
      <x:c r="B573" s="23" t="n">
        <x:v>1498.0857773101889</x:v>
      </x:c>
      <x:c r="C573" s="23" t="n">
        <x:v>876.8455648329109</x:v>
      </x:c>
      <x:c r="D573" s="23" t="n">
        <x:v>545.2293436042964</x:v>
      </x:c>
      <x:c r="E573" s="23" t="n">
        <x:v>215.99383167456836</x:v>
      </x:c>
      <x:c r="F573" s="23" t="n">
        <x:v>24.86828916100785</x:v>
      </x:c>
      <x:c r="G573" s="23" t="n">
        <x:v>0.847938433624804</x:v>
      </x:c>
      <x:c r="H573" s="23" t="n">
        <x:v>45</x:v>
      </x:c>
      <x:c r="I573" s="23" t="n">
        <x:v>25</x:v>
      </x:c>
      <x:c r="J573" s="23" t="n">
        <x:f>(IF(A573='Hybrid Calculator'!$B$6,0,1))^2+((B573-'Hybrid Calculator'!$B$7)/1500)^2+((C573-'Hybrid Calculator'!$B$8)/1300)^2+((D573-'Hybrid Calculator'!$B$9)/800)^2+((E573-'Hybrid Calculator'!$B$10)/350)^2+((F573-'Hybrid Calculator'!$B$11)/30)^2+(G573-'Hybrid Calculator'!$B$12)^2+((H573-'Hybrid Calculator'!$E$14)/IF(A573="Lightning",100,30000))^2+((I573-'Hybrid Calculator'!$E$17)/IF(A573="Lightning",100,30000))^2</x:f>
        <x:v>0.08989117347523828</x:v>
      </x:c>
      <x:c r="K573" s="23" t="n">
        <x:f>RANK(J573,$J$2:$J$1401,1)</x:f>
        <x:v>172</x:v>
      </x:c>
      <x:c r="L573" s="23" t="n">
        <x:f>IF(K573&lt;=7,1,0)</x:f>
        <x:v>0</x:v>
      </x:c>
      <x:c r="M573" s="23" t="n">
        <x:f>IF(L573=1,1/(J573+0.000001),0)</x:f>
        <x:v>0</x:v>
      </x:c>
      <x:c r="N573" s="23" t="n">
        <x:v>-0.013811660299472894</x:v>
      </x:c>
      <x:c r="O573" s="23" t="n">
        <x:f>M573</x:f>
        <x:v>0</x:v>
      </x:c>
      <x:c r="P573" s="23" t="n">
        <x:v>-1.0115194576331774</x:v>
      </x:c>
      <x:c r="Q573" s="23" t="n">
        <x:v>-15.935228278621935</x:v>
      </x:c>
    </x:row>
    <x:row r="574">
      <x:c r="A574" s="23" t="str">
        <x:v>Lightning</x:v>
      </x:c>
      <x:c r="B574" s="23" t="n">
        <x:v>1373.9349616225809</x:v>
      </x:c>
      <x:c r="C574" s="23" t="n">
        <x:v>935.4217636282556</x:v>
      </x:c>
      <x:c r="D574" s="23" t="n">
        <x:v>697.4138488993049</x:v>
      </x:c>
      <x:c r="E574" s="23" t="n">
        <x:v>287.04144035698846</x:v>
      </x:c>
      <x:c r="F574" s="23" t="n">
        <x:v>26.70239442959428</x:v>
      </x:c>
      <x:c r="G574" s="23" t="n">
        <x:v>0.8354408685141244</x:v>
      </x:c>
      <x:c r="H574" s="23" t="n">
        <x:v>35</x:v>
      </x:c>
      <x:c r="I574" s="23" t="n">
        <x:v>25</x:v>
      </x:c>
      <x:c r="J574" s="23" t="n">
        <x:f>(IF(A574='Hybrid Calculator'!$B$6,0,1))^2+((B574-'Hybrid Calculator'!$B$7)/1500)^2+((C574-'Hybrid Calculator'!$B$8)/1300)^2+((D574-'Hybrid Calculator'!$B$9)/800)^2+((E574-'Hybrid Calculator'!$B$10)/350)^2+((F574-'Hybrid Calculator'!$B$11)/30)^2+(G574-'Hybrid Calculator'!$B$12)^2+((H574-'Hybrid Calculator'!$E$14)/IF(A574="Lightning",100,30000))^2+((I574-'Hybrid Calculator'!$E$17)/IF(A574="Lightning",100,30000))^2</x:f>
        <x:v>0.3171729366027904</x:v>
      </x:c>
      <x:c r="K574" s="23" t="n">
        <x:f>RANK(J574,$J$2:$J$1401,1)</x:f>
        <x:v>619</x:v>
      </x:c>
      <x:c r="L574" s="23" t="n">
        <x:f>IF(K574&lt;=7,1,0)</x:f>
        <x:v>0</x:v>
      </x:c>
      <x:c r="M574" s="23" t="n">
        <x:f>IF(L574=1,1/(J574+0.000001),0)</x:f>
        <x:v>0</x:v>
      </x:c>
      <x:c r="N574" s="23" t="n">
        <x:v>-0.0005310682625845331</x:v>
      </x:c>
      <x:c r="O574" s="23" t="n">
        <x:f>M574</x:f>
        <x:v>0</x:v>
      </x:c>
      <x:c r="P574" s="23" t="n">
        <x:v>-0.6398428021295146</x:v>
      </x:c>
      <x:c r="Q574" s="23" t="n">
        <x:v>-10.827797549361321</x:v>
      </x:c>
    </x:row>
    <x:row r="575">
      <x:c r="A575" s="23" t="str">
        <x:v>Lightning</x:v>
      </x:c>
      <x:c r="B575" s="23" t="n">
        <x:v>1472.8083660942502</x:v>
      </x:c>
      <x:c r="C575" s="23" t="n">
        <x:v>734.260653774254</x:v>
      </x:c>
      <x:c r="D575" s="23" t="n">
        <x:v>730.4109369404614</x:v>
      </x:c>
      <x:c r="E575" s="23" t="n">
        <x:v>85.77375665307045</x:v>
      </x:c>
      <x:c r="F575" s="23" t="n">
        <x:v>18.67527518654242</x:v>
      </x:c>
      <x:c r="G575" s="23" t="n">
        <x:v>0.8588016474945471</x:v>
      </x:c>
      <x:c r="H575" s="23" t="n">
        <x:v>50</x:v>
      </x:c>
      <x:c r="I575" s="23" t="n">
        <x:v>25</x:v>
      </x:c>
      <x:c r="J575" s="23" t="n">
        <x:f>(IF(A575='Hybrid Calculator'!$B$6,0,1))^2+((B575-'Hybrid Calculator'!$B$7)/1500)^2+((C575-'Hybrid Calculator'!$B$8)/1300)^2+((D575-'Hybrid Calculator'!$B$9)/800)^2+((E575-'Hybrid Calculator'!$B$10)/350)^2+((F575-'Hybrid Calculator'!$B$11)/30)^2+(G575-'Hybrid Calculator'!$B$12)^2+((H575-'Hybrid Calculator'!$E$14)/IF(A575="Lightning",100,30000))^2+((I575-'Hybrid Calculator'!$E$17)/IF(A575="Lightning",100,30000))^2</x:f>
        <x:v>0.1271073595258643</x:v>
      </x:c>
      <x:c r="K575" s="23" t="n">
        <x:f>RANK(J575,$J$2:$J$1401,1)</x:f>
        <x:v>270</x:v>
      </x:c>
      <x:c r="L575" s="23" t="n">
        <x:f>IF(K575&lt;=7,1,0)</x:f>
        <x:v>0</x:v>
      </x:c>
      <x:c r="M575" s="23" t="n">
        <x:f>IF(L575=1,1/(J575+0.000001),0)</x:f>
        <x:v>0</x:v>
      </x:c>
      <x:c r="N575" s="23" t="n">
        <x:v>0.003838053532566832</x:v>
      </x:c>
      <x:c r="O575" s="23" t="n">
        <x:f>M575</x:f>
        <x:v>0</x:v>
      </x:c>
      <x:c r="P575" s="23" t="n">
        <x:v>-0.998908011511972</x:v>
      </x:c>
      <x:c r="Q575" s="23" t="n">
        <x:v>1.012321146325121</x:v>
      </x:c>
    </x:row>
    <x:row r="576">
      <x:c r="A576" s="23" t="str">
        <x:v>Lightning</x:v>
      </x:c>
      <x:c r="B576" s="23" t="n">
        <x:v>1360.5928082484752</x:v>
      </x:c>
      <x:c r="C576" s="23" t="n">
        <x:v>1161.4266194286756</x:v>
      </x:c>
      <x:c r="D576" s="23" t="n">
        <x:v>686.7068914696574</x:v>
      </x:c>
      <x:c r="E576" s="23" t="n">
        <x:v>288.0942004104145</x:v>
      </x:c>
      <x:c r="F576" s="23" t="n">
        <x:v>13.100052177906036</x:v>
      </x:c>
      <x:c r="G576" s="23" t="n">
        <x:v>0.8140065777883865</x:v>
      </x:c>
      <x:c r="H576" s="23" t="n">
        <x:v>35</x:v>
      </x:c>
      <x:c r="I576" s="23" t="n">
        <x:v>25</x:v>
      </x:c>
      <x:c r="J576" s="23" t="n">
        <x:f>(IF(A576='Hybrid Calculator'!$B$6,0,1))^2+((B576-'Hybrid Calculator'!$B$7)/1500)^2+((C576-'Hybrid Calculator'!$B$8)/1300)^2+((D576-'Hybrid Calculator'!$B$9)/800)^2+((E576-'Hybrid Calculator'!$B$10)/350)^2+((F576-'Hybrid Calculator'!$B$11)/30)^2+(G576-'Hybrid Calculator'!$B$12)^2+((H576-'Hybrid Calculator'!$E$14)/IF(A576="Lightning",100,30000))^2+((I576-'Hybrid Calculator'!$E$17)/IF(A576="Lightning",100,30000))^2</x:f>
        <x:v>0.3243089102475102</x:v>
      </x:c>
      <x:c r="K576" s="23" t="n">
        <x:f>RANK(J576,$J$2:$J$1401,1)</x:f>
        <x:v>629</x:v>
      </x:c>
      <x:c r="L576" s="23" t="n">
        <x:f>IF(K576&lt;=7,1,0)</x:f>
        <x:v>0</x:v>
      </x:c>
      <x:c r="M576" s="23" t="n">
        <x:f>IF(L576=1,1/(J576+0.000001),0)</x:f>
        <x:v>0</x:v>
      </x:c>
      <x:c r="N576" s="23" t="n">
        <x:v>0.027375855026930518</x:v>
      </x:c>
      <x:c r="O576" s="23" t="n">
        <x:f>M576</x:f>
        <x:v>0</x:v>
      </x:c>
      <x:c r="P576" s="23" t="n">
        <x:v>0.7215461964055194</x:v>
      </x:c>
      <x:c r="Q576" s="23" t="n">
        <x:v>-8.58480395053084</x:v>
      </x:c>
    </x:row>
    <x:row r="577">
      <x:c r="A577" s="23" t="str">
        <x:v>Lightning</x:v>
      </x:c>
      <x:c r="B577" s="23" t="n">
        <x:v>1487.9835472558625</x:v>
      </x:c>
      <x:c r="C577" s="23" t="n">
        <x:v>1030.7604620000347</x:v>
      </x:c>
      <x:c r="D577" s="23" t="n">
        <x:v>726.2798708863556</x:v>
      </x:c>
      <x:c r="E577" s="23" t="n">
        <x:v>171.57143766060472</x:v>
      </x:c>
      <x:c r="F577" s="23" t="n">
        <x:v>8.553432992193848</x:v>
      </x:c>
      <x:c r="G577" s="23" t="n">
        <x:v>0.7971426309412346</x:v>
      </x:c>
      <x:c r="H577" s="23" t="n">
        <x:v>35</x:v>
      </x:c>
      <x:c r="I577" s="23" t="n">
        <x:v>25</x:v>
      </x:c>
      <x:c r="J577" s="23" t="n">
        <x:f>(IF(A577='Hybrid Calculator'!$B$6,0,1))^2+((B577-'Hybrid Calculator'!$B$7)/1500)^2+((C577-'Hybrid Calculator'!$B$8)/1300)^2+((D577-'Hybrid Calculator'!$B$9)/800)^2+((E577-'Hybrid Calculator'!$B$10)/350)^2+((F577-'Hybrid Calculator'!$B$11)/30)^2+(G577-'Hybrid Calculator'!$B$12)^2+((H577-'Hybrid Calculator'!$E$14)/IF(A577="Lightning",100,30000))^2+((I577-'Hybrid Calculator'!$E$17)/IF(A577="Lightning",100,30000))^2</x:f>
        <x:v>0.23784897174205108</x:v>
      </x:c>
      <x:c r="K577" s="23" t="n">
        <x:f>RANK(J577,$J$2:$J$1401,1)</x:f>
        <x:v>517</x:v>
      </x:c>
      <x:c r="L577" s="23" t="n">
        <x:f>IF(K577&lt;=7,1,0)</x:f>
        <x:v>0</x:v>
      </x:c>
      <x:c r="M577" s="23" t="n">
        <x:f>IF(L577=1,1/(J577+0.000001),0)</x:f>
        <x:v>0</x:v>
      </x:c>
      <x:c r="N577" s="23" t="n">
        <x:v>0.009992152150994027</x:v>
      </x:c>
      <x:c r="O577" s="23" t="n">
        <x:f>M577</x:f>
        <x:v>0</x:v>
      </x:c>
      <x:c r="P577" s="23" t="n">
        <x:v>-0.48427198146175954</x:v>
      </x:c>
      <x:c r="Q577" s="23" t="n">
        <x:v>-4.08036819728386</x:v>
      </x:c>
    </x:row>
    <x:row r="578">
      <x:c r="A578" s="23" t="str">
        <x:v>Lightning</x:v>
      </x:c>
      <x:c r="B578" s="23" t="n">
        <x:v>1398.9964702399448</x:v>
      </x:c>
      <x:c r="C578" s="23" t="n">
        <x:v>1185.157473210711</x:v>
      </x:c>
      <x:c r="D578" s="23" t="n">
        <x:v>747.8709176182747</x:v>
      </x:c>
      <x:c r="E578" s="23" t="n">
        <x:v>194.7348423837684</x:v>
      </x:c>
      <x:c r="F578" s="23" t="n">
        <x:v>14.383153508417308</x:v>
      </x:c>
      <x:c r="G578" s="23" t="n">
        <x:v>0.7956862072995864</x:v>
      </x:c>
      <x:c r="H578" s="23" t="n">
        <x:v>35</x:v>
      </x:c>
      <x:c r="I578" s="23" t="n">
        <x:v>25</x:v>
      </x:c>
      <x:c r="J578" s="23" t="n">
        <x:f>(IF(A578='Hybrid Calculator'!$B$6,0,1))^2+((B578-'Hybrid Calculator'!$B$7)/1500)^2+((C578-'Hybrid Calculator'!$B$8)/1300)^2+((D578-'Hybrid Calculator'!$B$9)/800)^2+((E578-'Hybrid Calculator'!$B$10)/350)^2+((F578-'Hybrid Calculator'!$B$11)/30)^2+(G578-'Hybrid Calculator'!$B$12)^2+((H578-'Hybrid Calculator'!$E$14)/IF(A578="Lightning",100,30000))^2+((I578-'Hybrid Calculator'!$E$17)/IF(A578="Lightning",100,30000))^2</x:f>
        <x:v>0.2210274039435432</x:v>
      </x:c>
      <x:c r="K578" s="23" t="n">
        <x:f>RANK(J578,$J$2:$J$1401,1)</x:f>
        <x:v>490</x:v>
      </x:c>
      <x:c r="L578" s="23" t="n">
        <x:f>IF(K578&lt;=7,1,0)</x:f>
        <x:v>0</x:v>
      </x:c>
      <x:c r="M578" s="23" t="n">
        <x:f>IF(L578=1,1/(J578+0.000001),0)</x:f>
        <x:v>0</x:v>
      </x:c>
      <x:c r="N578" s="23" t="n">
        <x:v>0.0068723299749975375</x:v>
      </x:c>
      <x:c r="O578" s="23" t="n">
        <x:f>M578</x:f>
        <x:v>0</x:v>
      </x:c>
      <x:c r="P578" s="23" t="n">
        <x:v>0.8716907042944158</x:v>
      </x:c>
      <x:c r="Q578" s="23" t="n">
        <x:v>-12.617638575019782</x:v>
      </x:c>
    </x:row>
    <x:row r="579">
      <x:c r="A579" s="23" t="str">
        <x:v>Lightning</x:v>
      </x:c>
      <x:c r="B579" s="23" t="n">
        <x:v>1389.9662486161105</x:v>
      </x:c>
      <x:c r="C579" s="23" t="n">
        <x:v>623.347685020417</x:v>
      </x:c>
      <x:c r="D579" s="23" t="n">
        <x:v>416.98633348569274</x:v>
      </x:c>
      <x:c r="E579" s="23" t="n">
        <x:v>155.73278865311295</x:v>
      </x:c>
      <x:c r="F579" s="23" t="n">
        <x:v>23.75638381158933</x:v>
      </x:c>
      <x:c r="G579" s="23" t="n">
        <x:v>0.8471374399680645</x:v>
      </x:c>
      <x:c r="H579" s="23" t="n">
        <x:v>60</x:v>
      </x:c>
      <x:c r="I579" s="23" t="n">
        <x:v>25</x:v>
      </x:c>
      <x:c r="J579" s="23" t="n">
        <x:f>(IF(A579='Hybrid Calculator'!$B$6,0,1))^2+((B579-'Hybrid Calculator'!$B$7)/1500)^2+((C579-'Hybrid Calculator'!$B$8)/1300)^2+((D579-'Hybrid Calculator'!$B$9)/800)^2+((E579-'Hybrid Calculator'!$B$10)/350)^2+((F579-'Hybrid Calculator'!$B$11)/30)^2+(G579-'Hybrid Calculator'!$B$12)^2+((H579-'Hybrid Calculator'!$E$14)/IF(A579="Lightning",100,30000))^2+((I579-'Hybrid Calculator'!$E$17)/IF(A579="Lightning",100,30000))^2</x:f>
        <x:v>0.08341455318630553</x:v>
      </x:c>
      <x:c r="K579" s="23" t="n">
        <x:f>RANK(J579,$J$2:$J$1401,1)</x:f>
        <x:v>150</x:v>
      </x:c>
      <x:c r="L579" s="23" t="n">
        <x:f>IF(K579&lt;=7,1,0)</x:f>
        <x:v>0</x:v>
      </x:c>
      <x:c r="M579" s="23" t="n">
        <x:f>IF(L579=1,1/(J579+0.000001),0)</x:f>
        <x:v>0</x:v>
      </x:c>
      <x:c r="N579" s="23" t="n">
        <x:v>-0.017751596681318205</x:v>
      </x:c>
      <x:c r="O579" s="23" t="n">
        <x:f>M579</x:f>
        <x:v>0</x:v>
      </x:c>
      <x:c r="P579" s="23" t="n">
        <x:v>0.15424219475929135</x:v>
      </x:c>
      <x:c r="Q579" s="23" t="n">
        <x:v>6.193679369233678</x:v>
      </x:c>
    </x:row>
    <x:row r="580">
      <x:c r="A580" s="23" t="str">
        <x:v>Lightning</x:v>
      </x:c>
      <x:c r="B580" s="23" t="n">
        <x:v>1415.927303954959</x:v>
      </x:c>
      <x:c r="C580" s="23" t="n">
        <x:v>951.1119036353193</x:v>
      </x:c>
      <x:c r="D580" s="23" t="n">
        <x:v>469.90323830395937</x:v>
      </x:c>
      <x:c r="E580" s="23" t="n">
        <x:v>100.10317944223061</x:v>
      </x:c>
      <x:c r="F580" s="23" t="n">
        <x:v>12.732470346614718</x:v>
      </x:c>
      <x:c r="G580" s="23" t="n">
        <x:v>0.7912637999397703</x:v>
      </x:c>
      <x:c r="H580" s="23" t="n">
        <x:v>50</x:v>
      </x:c>
      <x:c r="I580" s="23" t="n">
        <x:v>25</x:v>
      </x:c>
      <x:c r="J580" s="23" t="n">
        <x:f>(IF(A580='Hybrid Calculator'!$B$6,0,1))^2+((B580-'Hybrid Calculator'!$B$7)/1500)^2+((C580-'Hybrid Calculator'!$B$8)/1300)^2+((D580-'Hybrid Calculator'!$B$9)/800)^2+((E580-'Hybrid Calculator'!$B$10)/350)^2+((F580-'Hybrid Calculator'!$B$11)/30)^2+(G580-'Hybrid Calculator'!$B$12)^2+((H580-'Hybrid Calculator'!$E$14)/IF(A580="Lightning",100,30000))^2+((I580-'Hybrid Calculator'!$E$17)/IF(A580="Lightning",100,30000))^2</x:f>
        <x:v>0.06561163131165243</x:v>
      </x:c>
      <x:c r="K580" s="23" t="n">
        <x:f>RANK(J580,$J$2:$J$1401,1)</x:f>
        <x:v>94</x:v>
      </x:c>
      <x:c r="L580" s="23" t="n">
        <x:f>IF(K580&lt;=7,1,0)</x:f>
        <x:v>0</x:v>
      </x:c>
      <x:c r="M580" s="23" t="n">
        <x:f>IF(L580=1,1/(J580+0.000001),0)</x:f>
        <x:v>0</x:v>
      </x:c>
      <x:c r="N580" s="23" t="n">
        <x:v>-0.008294612662987477</x:v>
      </x:c>
      <x:c r="O580" s="23" t="n">
        <x:f>M580</x:f>
        <x:v>0</x:v>
      </x:c>
      <x:c r="P580" s="23" t="n">
        <x:v>0.5893739954285095</x:v>
      </x:c>
      <x:c r="Q580" s="23" t="n">
        <x:v>4.59989914095604</x:v>
      </x:c>
    </x:row>
    <x:row r="581">
      <x:c r="A581" s="23" t="str">
        <x:v>Lightning</x:v>
      </x:c>
      <x:c r="B581" s="23" t="n">
        <x:v>1433.0205249250866</x:v>
      </x:c>
      <x:c r="C581" s="23" t="n">
        <x:v>706.8648783722892</x:v>
      </x:c>
      <x:c r="D581" s="23" t="n">
        <x:v>605.456502828747</x:v>
      </x:c>
      <x:c r="E581" s="23" t="n">
        <x:v>223.623880809173</x:v>
      </x:c>
      <x:c r="F581" s="23" t="n">
        <x:v>16.731437605340034</x:v>
      </x:c>
      <x:c r="G581" s="23" t="n">
        <x:v>0.8452793946163729</x:v>
      </x:c>
      <x:c r="H581" s="23" t="n">
        <x:v>50</x:v>
      </x:c>
      <x:c r="I581" s="23" t="n">
        <x:v>25</x:v>
      </x:c>
      <x:c r="J581" s="23" t="n">
        <x:f>(IF(A581='Hybrid Calculator'!$B$6,0,1))^2+((B581-'Hybrid Calculator'!$B$7)/1500)^2+((C581-'Hybrid Calculator'!$B$8)/1300)^2+((D581-'Hybrid Calculator'!$B$9)/800)^2+((E581-'Hybrid Calculator'!$B$10)/350)^2+((F581-'Hybrid Calculator'!$B$11)/30)^2+(G581-'Hybrid Calculator'!$B$12)^2+((H581-'Hybrid Calculator'!$E$14)/IF(A581="Lightning",100,30000))^2+((I581-'Hybrid Calculator'!$E$17)/IF(A581="Lightning",100,30000))^2</x:f>
        <x:v>0.07789132399046939</x:v>
      </x:c>
      <x:c r="K581" s="23" t="n">
        <x:f>RANK(J581,$J$2:$J$1401,1)</x:f>
        <x:v>133</x:v>
      </x:c>
      <x:c r="L581" s="23" t="n">
        <x:f>IF(K581&lt;=7,1,0)</x:f>
        <x:v>0</x:v>
      </x:c>
      <x:c r="M581" s="23" t="n">
        <x:f>IF(L581=1,1/(J581+0.000001),0)</x:f>
        <x:v>0</x:v>
      </x:c>
      <x:c r="N581" s="23" t="n">
        <x:v>-0.011765079585931426</x:v>
      </x:c>
      <x:c r="O581" s="23" t="n">
        <x:f>M581</x:f>
        <x:v>0</x:v>
      </x:c>
      <x:c r="P581" s="23" t="n">
        <x:v>-0.5852102186089354</x:v>
      </x:c>
      <x:c r="Q581" s="23" t="n">
        <x:v>7.595581237430906</x:v>
      </x:c>
    </x:row>
    <x:row r="582">
      <x:c r="A582" s="23" t="str">
        <x:v>Lightning</x:v>
      </x:c>
      <x:c r="B582" s="23" t="n">
        <x:v>1453.009442682378</x:v>
      </x:c>
      <x:c r="C582" s="23" t="n">
        <x:v>1154.6280183480121</x:v>
      </x:c>
      <x:c r="D582" s="23" t="n">
        <x:v>722.7291736751795</x:v>
      </x:c>
      <x:c r="E582" s="23" t="n">
        <x:v>281.3992920401506</x:v>
      </x:c>
      <x:c r="F582" s="23" t="n">
        <x:v>26.97281099203974</x:v>
      </x:c>
      <x:c r="G582" s="23" t="n">
        <x:v>0.8199409738439135</x:v>
      </x:c>
      <x:c r="H582" s="23" t="n">
        <x:v>30</x:v>
      </x:c>
      <x:c r="I582" s="23" t="n">
        <x:v>25</x:v>
      </x:c>
      <x:c r="J582" s="23" t="n">
        <x:f>(IF(A582='Hybrid Calculator'!$B$6,0,1))^2+((B582-'Hybrid Calculator'!$B$7)/1500)^2+((C582-'Hybrid Calculator'!$B$8)/1300)^2+((D582-'Hybrid Calculator'!$B$9)/800)^2+((E582-'Hybrid Calculator'!$B$10)/350)^2+((F582-'Hybrid Calculator'!$B$11)/30)^2+(G582-'Hybrid Calculator'!$B$12)^2+((H582-'Hybrid Calculator'!$E$14)/IF(A582="Lightning",100,30000))^2+((I582-'Hybrid Calculator'!$E$17)/IF(A582="Lightning",100,30000))^2</x:f>
        <x:v>0.3934819454689076</x:v>
      </x:c>
      <x:c r="K582" s="23" t="n">
        <x:f>RANK(J582,$J$2:$J$1401,1)</x:f>
        <x:v>683</x:v>
      </x:c>
      <x:c r="L582" s="23" t="n">
        <x:f>IF(K582&lt;=7,1,0)</x:f>
        <x:v>0</x:v>
      </x:c>
      <x:c r="M582" s="23" t="n">
        <x:f>IF(L582=1,1/(J582+0.000001),0)</x:f>
        <x:v>0</x:v>
      </x:c>
      <x:c r="N582" s="23" t="n">
        <x:v>0.006436910268875939</x:v>
      </x:c>
      <x:c r="O582" s="23" t="n">
        <x:f>M582</x:f>
        <x:v>0</x:v>
      </x:c>
      <x:c r="P582" s="23" t="n">
        <x:v>-0.2139065041089907</x:v>
      </x:c>
      <x:c r="Q582" s="23" t="n">
        <x:v>-24.306407680896427</x:v>
      </x:c>
    </x:row>
    <x:row r="583">
      <x:c r="A583" s="23" t="str">
        <x:v>Lightning</x:v>
      </x:c>
      <x:c r="B583" s="23" t="n">
        <x:v>1366.2220973870717</x:v>
      </x:c>
      <x:c r="C583" s="23" t="n">
        <x:v>695.608116267249</x:v>
      </x:c>
      <x:c r="D583" s="23" t="n">
        <x:v>444.26087690517306</x:v>
      </x:c>
      <x:c r="E583" s="23" t="n">
        <x:v>130.34860770683736</x:v>
      </x:c>
      <x:c r="F583" s="23" t="n">
        <x:v>14.622899066191167</x:v>
      </x:c>
      <x:c r="G583" s="23" t="n">
        <x:v>0.8099234230816365</x:v>
      </x:c>
      <x:c r="H583" s="23" t="n">
        <x:v>60</x:v>
      </x:c>
      <x:c r="I583" s="23" t="n">
        <x:v>25</x:v>
      </x:c>
      <x:c r="J583" s="23" t="n">
        <x:f>(IF(A583='Hybrid Calculator'!$B$6,0,1))^2+((B583-'Hybrid Calculator'!$B$7)/1500)^2+((C583-'Hybrid Calculator'!$B$8)/1300)^2+((D583-'Hybrid Calculator'!$B$9)/800)^2+((E583-'Hybrid Calculator'!$B$10)/350)^2+((F583-'Hybrid Calculator'!$B$11)/30)^2+(G583-'Hybrid Calculator'!$B$12)^2+((H583-'Hybrid Calculator'!$E$14)/IF(A583="Lightning",100,30000))^2+((I583-'Hybrid Calculator'!$E$17)/IF(A583="Lightning",100,30000))^2</x:f>
        <x:v>0.050450713890669394</x:v>
      </x:c>
      <x:c r="K583" s="23" t="n">
        <x:f>RANK(J583,$J$2:$J$1401,1)</x:f>
        <x:v>53</x:v>
      </x:c>
      <x:c r="L583" s="23" t="n">
        <x:f>IF(K583&lt;=7,1,0)</x:f>
        <x:v>0</x:v>
      </x:c>
      <x:c r="M583" s="23" t="n">
        <x:f>IF(L583=1,1/(J583+0.000001),0)</x:f>
        <x:v>0</x:v>
      </x:c>
      <x:c r="N583" s="23" t="n">
        <x:v>0.0057424347704087</x:v>
      </x:c>
      <x:c r="O583" s="23" t="n">
        <x:f>M583</x:f>
        <x:v>0</x:v>
      </x:c>
      <x:c r="P583" s="23" t="n">
        <x:v>-1.2651788496461478</x:v>
      </x:c>
      <x:c r="Q583" s="23" t="n">
        <x:v>11.367919875023063</x:v>
      </x:c>
    </x:row>
    <x:row r="584">
      <x:c r="A584" s="23" t="str">
        <x:v>Lightning</x:v>
      </x:c>
      <x:c r="B584" s="23" t="n">
        <x:v>1383.7689395528287</x:v>
      </x:c>
      <x:c r="C584" s="23" t="n">
        <x:v>944.5839282940142</x:v>
      </x:c>
      <x:c r="D584" s="23" t="n">
        <x:v>514.1155546531081</x:v>
      </x:c>
      <x:c r="E584" s="23" t="n">
        <x:v>166.2725962069817</x:v>
      </x:c>
      <x:c r="F584" s="23" t="n">
        <x:v>25.795220907777548</x:v>
      </x:c>
      <x:c r="G584" s="23" t="n">
        <x:v>0.8386023167171516</x:v>
      </x:c>
      <x:c r="H584" s="23" t="n">
        <x:v>45</x:v>
      </x:c>
      <x:c r="I584" s="23" t="n">
        <x:v>25</x:v>
      </x:c>
      <x:c r="J584" s="23" t="n">
        <x:f>(IF(A584='Hybrid Calculator'!$B$6,0,1))^2+((B584-'Hybrid Calculator'!$B$7)/1500)^2+((C584-'Hybrid Calculator'!$B$8)/1300)^2+((D584-'Hybrid Calculator'!$B$9)/800)^2+((E584-'Hybrid Calculator'!$B$10)/350)^2+((F584-'Hybrid Calculator'!$B$11)/30)^2+(G584-'Hybrid Calculator'!$B$12)^2+((H584-'Hybrid Calculator'!$E$14)/IF(A584="Lightning",100,30000))^2+((I584-'Hybrid Calculator'!$E$17)/IF(A584="Lightning",100,30000))^2</x:f>
        <x:v>0.0705017104232029</x:v>
      </x:c>
      <x:c r="K584" s="23" t="n">
        <x:f>RANK(J584,$J$2:$J$1401,1)</x:f>
        <x:v>113</x:v>
      </x:c>
      <x:c r="L584" s="23" t="n">
        <x:f>IF(K584&lt;=7,1,0)</x:f>
        <x:v>0</x:v>
      </x:c>
      <x:c r="M584" s="23" t="n">
        <x:f>IF(L584=1,1/(J584+0.000001),0)</x:f>
        <x:v>0</x:v>
      </x:c>
      <x:c r="N584" s="23" t="n">
        <x:v>-0.01101093480314086</x:v>
      </x:c>
      <x:c r="O584" s="23" t="n">
        <x:f>M584</x:f>
        <x:v>0</x:v>
      </x:c>
      <x:c r="P584" s="23" t="n">
        <x:v>-0.17981821511357765</x:v>
      </x:c>
      <x:c r="Q584" s="23" t="n">
        <x:v>-2.1053738246030207</x:v>
      </x:c>
    </x:row>
    <x:row r="585">
      <x:c r="A585" s="23" t="str">
        <x:v>Lightning</x:v>
      </x:c>
      <x:c r="B585" s="23" t="n">
        <x:v>1445.3527700272389</x:v>
      </x:c>
      <x:c r="C585" s="23" t="n">
        <x:v>621.4057381032035</x:v>
      </x:c>
      <x:c r="D585" s="23" t="n">
        <x:v>435.9448720701039</x:v>
      </x:c>
      <x:c r="E585" s="23" t="n">
        <x:v>256.6310492530465</x:v>
      </x:c>
      <x:c r="F585" s="23" t="n">
        <x:v>17.35219300026074</x:v>
      </x:c>
      <x:c r="G585" s="23" t="n">
        <x:v>0.809877627673559</x:v>
      </x:c>
      <x:c r="H585" s="23" t="n">
        <x:v>55</x:v>
      </x:c>
      <x:c r="I585" s="23" t="n">
        <x:v>25</x:v>
      </x:c>
      <x:c r="J585" s="23" t="n">
        <x:f>(IF(A585='Hybrid Calculator'!$B$6,0,1))^2+((B585-'Hybrid Calculator'!$B$7)/1500)^2+((C585-'Hybrid Calculator'!$B$8)/1300)^2+((D585-'Hybrid Calculator'!$B$9)/800)^2+((E585-'Hybrid Calculator'!$B$10)/350)^2+((F585-'Hybrid Calculator'!$B$11)/30)^2+(G585-'Hybrid Calculator'!$B$12)^2+((H585-'Hybrid Calculator'!$E$14)/IF(A585="Lightning",100,30000))^2+((I585-'Hybrid Calculator'!$E$17)/IF(A585="Lightning",100,30000))^2</x:f>
        <x:v>0.1343995616083565</x:v>
      </x:c>
      <x:c r="K585" s="23" t="n">
        <x:f>RANK(J585,$J$2:$J$1401,1)</x:f>
        <x:v>289</x:v>
      </x:c>
      <x:c r="L585" s="23" t="n">
        <x:f>IF(K585&lt;=7,1,0)</x:f>
        <x:v>0</x:v>
      </x:c>
      <x:c r="M585" s="23" t="n">
        <x:f>IF(L585=1,1/(J585+0.000001),0)</x:f>
        <x:v>0</x:v>
      </x:c>
      <x:c r="N585" s="23" t="n">
        <x:v>0.005127979752395984</x:v>
      </x:c>
      <x:c r="O585" s="23" t="n">
        <x:f>M585</x:f>
        <x:v>0</x:v>
      </x:c>
      <x:c r="P585" s="23" t="n">
        <x:v>0.02680309697844052</x:v>
      </x:c>
      <x:c r="Q585" s="23" t="n">
        <x:v>20.289422020000075</x:v>
      </x:c>
    </x:row>
    <x:row r="586">
      <x:c r="A586" s="23" t="str">
        <x:v>Lightning</x:v>
      </x:c>
      <x:c r="B586" s="23" t="n">
        <x:v>1446.196309500374</x:v>
      </x:c>
      <x:c r="C586" s="23" t="n">
        <x:v>1022.4189917673357</x:v>
      </x:c>
      <x:c r="D586" s="23" t="n">
        <x:v>365.8250503242016</x:v>
      </x:c>
      <x:c r="E586" s="23" t="n">
        <x:v>133.94880048697814</x:v>
      </x:c>
      <x:c r="F586" s="23" t="n">
        <x:v>24.38098708447069</x:v>
      </x:c>
      <x:c r="G586" s="23" t="n">
        <x:v>0.8209281444712543</x:v>
      </x:c>
      <x:c r="H586" s="23" t="n">
        <x:v>50</x:v>
      </x:c>
      <x:c r="I586" s="23" t="n">
        <x:v>25</x:v>
      </x:c>
      <x:c r="J586" s="23" t="n">
        <x:f>(IF(A586='Hybrid Calculator'!$B$6,0,1))^2+((B586-'Hybrid Calculator'!$B$7)/1500)^2+((C586-'Hybrid Calculator'!$B$8)/1300)^2+((D586-'Hybrid Calculator'!$B$9)/800)^2+((E586-'Hybrid Calculator'!$B$10)/350)^2+((F586-'Hybrid Calculator'!$B$11)/30)^2+(G586-'Hybrid Calculator'!$B$12)^2+((H586-'Hybrid Calculator'!$E$14)/IF(A586="Lightning",100,30000))^2+((I586-'Hybrid Calculator'!$E$17)/IF(A586="Lightning",100,30000))^2</x:f>
        <x:v>0.08645290711533427</x:v>
      </x:c>
      <x:c r="K586" s="23" t="n">
        <x:f>RANK(J586,$J$2:$J$1401,1)</x:f>
        <x:v>159</x:v>
      </x:c>
      <x:c r="L586" s="23" t="n">
        <x:f>IF(K586&lt;=7,1,0)</x:f>
        <x:v>0</x:v>
      </x:c>
      <x:c r="M586" s="23" t="n">
        <x:f>IF(L586=1,1/(J586+0.000001),0)</x:f>
        <x:v>0</x:v>
      </x:c>
      <x:c r="N586" s="23" t="n">
        <x:v>-0.0099156637447535</x:v>
      </x:c>
      <x:c r="O586" s="23" t="n">
        <x:f>M586</x:f>
        <x:v>0</x:v>
      </x:c>
      <x:c r="P586" s="23" t="n">
        <x:v>0.41036768139430535</x:v>
      </x:c>
      <x:c r="Q586" s="23" t="n">
        <x:v>-0.5011302743939723</x:v>
      </x:c>
    </x:row>
    <x:row r="587">
      <x:c r="A587" s="23" t="str">
        <x:v>Lightning</x:v>
      </x:c>
      <x:c r="B587" s="23" t="n">
        <x:v>1376.8891343730502</x:v>
      </x:c>
      <x:c r="C587" s="23" t="n">
        <x:v>911.1441548913717</x:v>
      </x:c>
      <x:c r="D587" s="23" t="n">
        <x:v>582.5321494601667</x:v>
      </x:c>
      <x:c r="E587" s="23" t="n">
        <x:v>124.06710818875581</x:v>
      </x:c>
      <x:c r="F587" s="23" t="n">
        <x:v>17.880189613904804</x:v>
      </x:c>
      <x:c r="G587" s="23" t="n">
        <x:v>0.8339427554886789</x:v>
      </x:c>
      <x:c r="H587" s="23" t="n">
        <x:v>45</x:v>
      </x:c>
      <x:c r="I587" s="23" t="n">
        <x:v>25</x:v>
      </x:c>
      <x:c r="J587" s="23" t="n">
        <x:f>(IF(A587='Hybrid Calculator'!$B$6,0,1))^2+((B587-'Hybrid Calculator'!$B$7)/1500)^2+((C587-'Hybrid Calculator'!$B$8)/1300)^2+((D587-'Hybrid Calculator'!$B$9)/800)^2+((E587-'Hybrid Calculator'!$B$10)/350)^2+((F587-'Hybrid Calculator'!$B$11)/30)^2+(G587-'Hybrid Calculator'!$B$12)^2+((H587-'Hybrid Calculator'!$E$14)/IF(A587="Lightning",100,30000))^2+((I587-'Hybrid Calculator'!$E$17)/IF(A587="Lightning",100,30000))^2</x:f>
        <x:v>0.02249515309890094</x:v>
      </x:c>
      <x:c r="K587" s="23" t="n">
        <x:f>RANK(J587,$J$2:$J$1401,1)</x:f>
        <x:v>11</x:v>
      </x:c>
      <x:c r="L587" s="23" t="n">
        <x:f>IF(K587&lt;=7,1,0)</x:f>
        <x:v>0</x:v>
      </x:c>
      <x:c r="M587" s="23" t="n">
        <x:f>IF(L587=1,1/(J587+0.000001),0)</x:f>
        <x:v>0</x:v>
      </x:c>
      <x:c r="N587" s="23" t="n">
        <x:v>0.010922941662389052</x:v>
      </x:c>
      <x:c r="O587" s="23" t="n">
        <x:f>M587</x:f>
        <x:v>0</x:v>
      </x:c>
      <x:c r="P587" s="23" t="n">
        <x:v>-0.05958548733804747</x:v>
      </x:c>
      <x:c r="Q587" s="23" t="n">
        <x:v>0.6534755655716253</x:v>
      </x:c>
    </x:row>
    <x:row r="588">
      <x:c r="A588" s="23" t="str">
        <x:v>Lightning</x:v>
      </x:c>
      <x:c r="B588" s="23" t="n">
        <x:v>1467.2699782066047</x:v>
      </x:c>
      <x:c r="C588" s="23" t="n">
        <x:v>1015.4996934696101</x:v>
      </x:c>
      <x:c r="D588" s="23" t="n">
        <x:v>368.9025754109025</x:v>
      </x:c>
      <x:c r="E588" s="23" t="n">
        <x:v>269.8518885136582</x:v>
      </x:c>
      <x:c r="F588" s="23" t="n">
        <x:v>10.089576730504632</x:v>
      </x:c>
      <x:c r="G588" s="23" t="n">
        <x:v>0.7960481228982099</x:v>
      </x:c>
      <x:c r="H588" s="23" t="n">
        <x:v>40</x:v>
      </x:c>
      <x:c r="I588" s="23" t="n">
        <x:v>25</x:v>
      </x:c>
      <x:c r="J588" s="23" t="n">
        <x:f>(IF(A588='Hybrid Calculator'!$B$6,0,1))^2+((B588-'Hybrid Calculator'!$B$7)/1500)^2+((C588-'Hybrid Calculator'!$B$8)/1300)^2+((D588-'Hybrid Calculator'!$B$9)/800)^2+((E588-'Hybrid Calculator'!$B$10)/350)^2+((F588-'Hybrid Calculator'!$B$11)/30)^2+(G588-'Hybrid Calculator'!$B$12)^2+((H588-'Hybrid Calculator'!$E$14)/IF(A588="Lightning",100,30000))^2+((I588-'Hybrid Calculator'!$E$17)/IF(A588="Lightning",100,30000))^2</x:f>
        <x:v>0.2502846632972301</x:v>
      </x:c>
      <x:c r="K588" s="23" t="n">
        <x:f>RANK(J588,$J$2:$J$1401,1)</x:f>
        <x:v>544</x:v>
      </x:c>
      <x:c r="L588" s="23" t="n">
        <x:f>IF(K588&lt;=7,1,0)</x:f>
        <x:v>0</x:v>
      </x:c>
      <x:c r="M588" s="23" t="n">
        <x:f>IF(L588=1,1/(J588+0.000001),0)</x:f>
        <x:v>0</x:v>
      </x:c>
      <x:c r="N588" s="23" t="n">
        <x:v>-0.0021830789134422712</x:v>
      </x:c>
      <x:c r="O588" s="23" t="n">
        <x:f>M588</x:f>
        <x:v>0</x:v>
      </x:c>
      <x:c r="P588" s="23" t="n">
        <x:v>0.8759081861572326</x:v>
      </x:c>
      <x:c r="Q588" s="23" t="n">
        <x:v>8.107369020349779</x:v>
      </x:c>
    </x:row>
    <x:row r="589">
      <x:c r="A589" s="23" t="str">
        <x:v>Lightning</x:v>
      </x:c>
      <x:c r="B589" s="23" t="n">
        <x:v>1408.9234945946373</x:v>
      </x:c>
      <x:c r="C589" s="23" t="n">
        <x:v>882.7514498727396</x:v>
      </x:c>
      <x:c r="D589" s="23" t="n">
        <x:v>479.56529492512345</x:v>
      </x:c>
      <x:c r="E589" s="23" t="n">
        <x:v>309.3515189085156</x:v>
      </x:c>
      <x:c r="F589" s="23" t="n">
        <x:v>20.850480728317052</x:v>
      </x:c>
      <x:c r="G589" s="23" t="n">
        <x:v>0.8269975370028988</x:v>
      </x:c>
      <x:c r="H589" s="23" t="n">
        <x:v>45</x:v>
      </x:c>
      <x:c r="I589" s="23" t="n">
        <x:v>25</x:v>
      </x:c>
      <x:c r="J589" s="23" t="n">
        <x:f>(IF(A589='Hybrid Calculator'!$B$6,0,1))^2+((B589-'Hybrid Calculator'!$B$7)/1500)^2+((C589-'Hybrid Calculator'!$B$8)/1300)^2+((D589-'Hybrid Calculator'!$B$9)/800)^2+((E589-'Hybrid Calculator'!$B$10)/350)^2+((F589-'Hybrid Calculator'!$B$11)/30)^2+(G589-'Hybrid Calculator'!$B$12)^2+((H589-'Hybrid Calculator'!$E$14)/IF(A589="Lightning",100,30000))^2+((I589-'Hybrid Calculator'!$E$17)/IF(A589="Lightning",100,30000))^2</x:f>
        <x:v>0.2173786620034595</x:v>
      </x:c>
      <x:c r="K589" s="23" t="n">
        <x:f>RANK(J589,$J$2:$J$1401,1)</x:f>
        <x:v>484</x:v>
      </x:c>
      <x:c r="L589" s="23" t="n">
        <x:f>IF(K589&lt;=7,1,0)</x:f>
        <x:v>0</x:v>
      </x:c>
      <x:c r="M589" s="23" t="n">
        <x:f>IF(L589=1,1/(J589+0.000001),0)</x:f>
        <x:v>0</x:v>
      </x:c>
      <x:c r="N589" s="23" t="n">
        <x:v>-0.01198308905719947</x:v>
      </x:c>
      <x:c r="O589" s="23" t="n">
        <x:f>M589</x:f>
        <x:v>0</x:v>
      </x:c>
      <x:c r="P589" s="23" t="n">
        <x:v>-0.03427426807947853</x:v>
      </x:c>
      <x:c r="Q589" s="23" t="n">
        <x:v>-10.684056712411802</x:v>
      </x:c>
    </x:row>
    <x:row r="590">
      <x:c r="A590" s="23" t="str">
        <x:v>Lightning</x:v>
      </x:c>
      <x:c r="B590" s="23" t="n">
        <x:v>1485.9054828062654</x:v>
      </x:c>
      <x:c r="C590" s="23" t="n">
        <x:v>1073.105943982955</x:v>
      </x:c>
      <x:c r="D590" s="23" t="n">
        <x:v>580.6784065440297</x:v>
      </x:c>
      <x:c r="E590" s="23" t="n">
        <x:v>123.1749313720502</x:v>
      </x:c>
      <x:c r="F590" s="23" t="n">
        <x:v>13.425996845588088</x:v>
      </x:c>
      <x:c r="G590" s="23" t="n">
        <x:v>0.8173410388198682</x:v>
      </x:c>
      <x:c r="H590" s="23" t="n">
        <x:v>40</x:v>
      </x:c>
      <x:c r="I590" s="23" t="n">
        <x:v>25</x:v>
      </x:c>
      <x:c r="J590" s="23" t="n">
        <x:f>(IF(A590='Hybrid Calculator'!$B$6,0,1))^2+((B590-'Hybrid Calculator'!$B$7)/1500)^2+((C590-'Hybrid Calculator'!$B$8)/1300)^2+((D590-'Hybrid Calculator'!$B$9)/800)^2+((E590-'Hybrid Calculator'!$B$10)/350)^2+((F590-'Hybrid Calculator'!$B$11)/30)^2+(G590-'Hybrid Calculator'!$B$12)^2+((H590-'Hybrid Calculator'!$E$14)/IF(A590="Lightning",100,30000))^2+((I590-'Hybrid Calculator'!$E$17)/IF(A590="Lightning",100,30000))^2</x:f>
        <x:v>0.08575973487365834</x:v>
      </x:c>
      <x:c r="K590" s="23" t="n">
        <x:f>RANK(J590,$J$2:$J$1401,1)</x:f>
        <x:v>154</x:v>
      </x:c>
      <x:c r="L590" s="23" t="n">
        <x:f>IF(K590&lt;=7,1,0)</x:f>
        <x:v>0</x:v>
      </x:c>
      <x:c r="M590" s="23" t="n">
        <x:f>IF(L590=1,1/(J590+0.000001),0)</x:f>
        <x:v>0</x:v>
      </x:c>
      <x:c r="N590" s="23" t="n">
        <x:v>0.017801289305925394</x:v>
      </x:c>
      <x:c r="O590" s="23" t="n">
        <x:f>M590</x:f>
        <x:v>0</x:v>
      </x:c>
      <x:c r="P590" s="23" t="n">
        <x:v>1.1560502005456428</x:v>
      </x:c>
      <x:c r="Q590" s="23" t="n">
        <x:v>2.0264432064923312</x:v>
      </x:c>
    </x:row>
    <x:row r="591">
      <x:c r="A591" s="23" t="str">
        <x:v>Lightning</x:v>
      </x:c>
      <x:c r="B591" s="23" t="n">
        <x:v>1450.955871550832</x:v>
      </x:c>
      <x:c r="C591" s="23" t="n">
        <x:v>1065.8478260273114</x:v>
      </x:c>
      <x:c r="D591" s="23" t="n">
        <x:v>722.9614109732211</x:v>
      </x:c>
      <x:c r="E591" s="23" t="n">
        <x:v>134.3921187054366</x:v>
      </x:c>
      <x:c r="F591" s="23" t="n">
        <x:v>16.835654084105045</x:v>
      </x:c>
      <x:c r="G591" s="23" t="n">
        <x:v>0.8482522193016485</x:v>
      </x:c>
      <x:c r="H591" s="23" t="n">
        <x:v>40</x:v>
      </x:c>
      <x:c r="I591" s="23" t="n">
        <x:v>25</x:v>
      </x:c>
      <x:c r="J591" s="23" t="n">
        <x:f>(IF(A591='Hybrid Calculator'!$B$6,0,1))^2+((B591-'Hybrid Calculator'!$B$7)/1500)^2+((C591-'Hybrid Calculator'!$B$8)/1300)^2+((D591-'Hybrid Calculator'!$B$9)/800)^2+((E591-'Hybrid Calculator'!$B$10)/350)^2+((F591-'Hybrid Calculator'!$B$11)/30)^2+(G591-'Hybrid Calculator'!$B$12)^2+((H591-'Hybrid Calculator'!$E$14)/IF(A591="Lightning",100,30000))^2+((I591-'Hybrid Calculator'!$E$17)/IF(A591="Lightning",100,30000))^2</x:f>
        <x:v>0.12140695226524201</x:v>
      </x:c>
      <x:c r="K591" s="23" t="n">
        <x:f>RANK(J591,$J$2:$J$1401,1)</x:f>
        <x:v>256</x:v>
      </x:c>
      <x:c r="L591" s="23" t="n">
        <x:f>IF(K591&lt;=7,1,0)</x:f>
        <x:v>0</x:v>
      </x:c>
      <x:c r="M591" s="23" t="n">
        <x:f>IF(L591=1,1/(J591+0.000001),0)</x:f>
        <x:v>0</x:v>
      </x:c>
      <x:c r="N591" s="23" t="n">
        <x:v>0.012192201177008366</x:v>
      </x:c>
      <x:c r="O591" s="23" t="n">
        <x:f>M591</x:f>
        <x:v>0</x:v>
      </x:c>
      <x:c r="P591" s="23" t="n">
        <x:v>0.8704035364204685</x:v>
      </x:c>
      <x:c r="Q591" s="23" t="n">
        <x:v>-12.546067129229414</x:v>
      </x:c>
    </x:row>
    <x:row r="592">
      <x:c r="A592" s="23" t="str">
        <x:v>Lightning</x:v>
      </x:c>
      <x:c r="B592" s="23" t="n">
        <x:v>1432.7865461586043</x:v>
      </x:c>
      <x:c r="C592" s="23" t="n">
        <x:v>1081.671002751682</x:v>
      </x:c>
      <x:c r="D592" s="23" t="n">
        <x:v>368.03041584789753</x:v>
      </x:c>
      <x:c r="E592" s="23" t="n">
        <x:v>187.72900673327968</x:v>
      </x:c>
      <x:c r="F592" s="23" t="n">
        <x:v>24.18757408950478</x:v>
      </x:c>
      <x:c r="G592" s="23" t="n">
        <x:v>0.8439471810939723</x:v>
      </x:c>
      <x:c r="H592" s="23" t="n">
        <x:v>45</x:v>
      </x:c>
      <x:c r="I592" s="23" t="n">
        <x:v>25</x:v>
      </x:c>
      <x:c r="J592" s="23" t="n">
        <x:f>(IF(A592='Hybrid Calculator'!$B$6,0,1))^2+((B592-'Hybrid Calculator'!$B$7)/1500)^2+((C592-'Hybrid Calculator'!$B$8)/1300)^2+((D592-'Hybrid Calculator'!$B$9)/800)^2+((E592-'Hybrid Calculator'!$B$10)/350)^2+((F592-'Hybrid Calculator'!$B$11)/30)^2+(G592-'Hybrid Calculator'!$B$12)^2+((H592-'Hybrid Calculator'!$E$14)/IF(A592="Lightning",100,30000))^2+((I592-'Hybrid Calculator'!$E$17)/IF(A592="Lightning",100,30000))^2</x:f>
        <x:v>0.10963413055805077</x:v>
      </x:c>
      <x:c r="K592" s="23" t="n">
        <x:f>RANK(J592,$J$2:$J$1401,1)</x:f>
        <x:v>226</x:v>
      </x:c>
      <x:c r="L592" s="23" t="n">
        <x:f>IF(K592&lt;=7,1,0)</x:f>
        <x:v>0</x:v>
      </x:c>
      <x:c r="M592" s="23" t="n">
        <x:f>IF(L592=1,1/(J592+0.000001),0)</x:f>
        <x:v>0</x:v>
      </x:c>
      <x:c r="N592" s="23" t="n">
        <x:v>-0.006151316007745988</x:v>
      </x:c>
      <x:c r="O592" s="23" t="n">
        <x:f>M592</x:f>
        <x:v>0</x:v>
      </x:c>
      <x:c r="P592" s="23" t="n">
        <x:v>-0.17698384490235952</x:v>
      </x:c>
      <x:c r="Q592" s="23" t="n">
        <x:v>-12.667170917500925</x:v>
      </x:c>
    </x:row>
    <x:row r="593">
      <x:c r="A593" s="23" t="str">
        <x:v>Lightning</x:v>
      </x:c>
      <x:c r="B593" s="23" t="n">
        <x:v>1468.9637655741535</x:v>
      </x:c>
      <x:c r="C593" s="23" t="n">
        <x:v>804.9775598105043</x:v>
      </x:c>
      <x:c r="D593" s="23" t="n">
        <x:v>489.19246895238757</x:v>
      </x:c>
      <x:c r="E593" s="23" t="n">
        <x:v>229.25635128747672</x:v>
      </x:c>
      <x:c r="F593" s="23" t="n">
        <x:v>28.868652674835175</x:v>
      </x:c>
      <x:c r="G593" s="23" t="n">
        <x:v>0.8068225127086044</x:v>
      </x:c>
      <x:c r="H593" s="23" t="n">
        <x:v>40</x:v>
      </x:c>
      <x:c r="I593" s="23" t="n">
        <x:v>25</x:v>
      </x:c>
      <x:c r="J593" s="23" t="n">
        <x:f>(IF(A593='Hybrid Calculator'!$B$6,0,1))^2+((B593-'Hybrid Calculator'!$B$7)/1500)^2+((C593-'Hybrid Calculator'!$B$8)/1300)^2+((D593-'Hybrid Calculator'!$B$9)/800)^2+((E593-'Hybrid Calculator'!$B$10)/350)^2+((F593-'Hybrid Calculator'!$B$11)/30)^2+(G593-'Hybrid Calculator'!$B$12)^2+((H593-'Hybrid Calculator'!$E$14)/IF(A593="Lightning",100,30000))^2+((I593-'Hybrid Calculator'!$E$17)/IF(A593="Lightning",100,30000))^2</x:f>
        <x:v>0.18314711266010592</x:v>
      </x:c>
      <x:c r="K593" s="23" t="n">
        <x:f>RANK(J593,$J$2:$J$1401,1)</x:f>
        <x:v>408</x:v>
      </x:c>
      <x:c r="L593" s="23" t="n">
        <x:f>IF(K593&lt;=7,1,0)</x:f>
        <x:v>0</x:v>
      </x:c>
      <x:c r="M593" s="23" t="n">
        <x:f>IF(L593=1,1/(J593+0.000001),0)</x:f>
        <x:v>0</x:v>
      </x:c>
      <x:c r="N593" s="23" t="n">
        <x:v>-0.006327863157492342</x:v>
      </x:c>
      <x:c r="O593" s="23" t="n">
        <x:f>M593</x:f>
        <x:v>0</x:v>
      </x:c>
      <x:c r="P593" s="23" t="n">
        <x:v>-1.2764947849691026</x:v>
      </x:c>
      <x:c r="Q593" s="23" t="n">
        <x:v>-8.218569494717258</x:v>
      </x:c>
    </x:row>
    <x:row r="594">
      <x:c r="A594" s="23" t="str">
        <x:v>Lightning</x:v>
      </x:c>
      <x:c r="B594" s="23" t="n">
        <x:v>1499.6549227740616</x:v>
      </x:c>
      <x:c r="C594" s="23" t="n">
        <x:v>1231.5429932321422</x:v>
      </x:c>
      <x:c r="D594" s="23" t="n">
        <x:v>506.46394696086645</x:v>
      </x:c>
      <x:c r="E594" s="23" t="n">
        <x:v>233.58889085473493</x:v>
      </x:c>
      <x:c r="F594" s="23" t="n">
        <x:v>17.46589343622327</x:v>
      </x:c>
      <x:c r="G594" s="23" t="n">
        <x:v>0.8519354429864325</x:v>
      </x:c>
      <x:c r="H594" s="23" t="n">
        <x:v>35</x:v>
      </x:c>
      <x:c r="I594" s="23" t="n">
        <x:v>25</x:v>
      </x:c>
      <x:c r="J594" s="23" t="n">
        <x:f>(IF(A594='Hybrid Calculator'!$B$6,0,1))^2+((B594-'Hybrid Calculator'!$B$7)/1500)^2+((C594-'Hybrid Calculator'!$B$8)/1300)^2+((D594-'Hybrid Calculator'!$B$9)/800)^2+((E594-'Hybrid Calculator'!$B$10)/350)^2+((F594-'Hybrid Calculator'!$B$11)/30)^2+(G594-'Hybrid Calculator'!$B$12)^2+((H594-'Hybrid Calculator'!$E$14)/IF(A594="Lightning",100,30000))^2+((I594-'Hybrid Calculator'!$E$17)/IF(A594="Lightning",100,30000))^2</x:f>
        <x:v>0.170427060661752</x:v>
      </x:c>
      <x:c r="K594" s="23" t="n">
        <x:f>RANK(J594,$J$2:$J$1401,1)</x:f>
        <x:v>382</x:v>
      </x:c>
      <x:c r="L594" s="23" t="n">
        <x:f>IF(K594&lt;=7,1,0)</x:f>
        <x:v>0</x:v>
      </x:c>
      <x:c r="M594" s="23" t="n">
        <x:f>IF(L594=1,1/(J594+0.000001),0)</x:f>
        <x:v>0</x:v>
      </x:c>
      <x:c r="N594" s="23" t="n">
        <x:v>0.015392050877685248</x:v>
      </x:c>
      <x:c r="O594" s="23" t="n">
        <x:f>M594</x:f>
        <x:v>0</x:v>
      </x:c>
      <x:c r="P594" s="23" t="n">
        <x:v>0.4281601819906342</x:v>
      </x:c>
      <x:c r="Q594" s="23" t="n">
        <x:v>-3.390471483369083</x:v>
      </x:c>
    </x:row>
    <x:row r="595">
      <x:c r="A595" s="23" t="str">
        <x:v>Lightning</x:v>
      </x:c>
      <x:c r="B595" s="23" t="n">
        <x:v>1417.0211644959636</x:v>
      </x:c>
      <x:c r="C595" s="23" t="n">
        <x:v>1203.385638887994</x:v>
      </x:c>
      <x:c r="D595" s="23" t="n">
        <x:v>678.6241357214749</x:v>
      </x:c>
      <x:c r="E595" s="23" t="n">
        <x:v>319.96186070144176</x:v>
      </x:c>
      <x:c r="F595" s="23" t="n">
        <x:v>14.617693329695612</x:v>
      </x:c>
      <x:c r="G595" s="23" t="n">
        <x:v>0.8192189767910167</x:v>
      </x:c>
      <x:c r="H595" s="23" t="n">
        <x:v>35</x:v>
      </x:c>
      <x:c r="I595" s="23" t="n">
        <x:v>25</x:v>
      </x:c>
      <x:c r="J595" s="23" t="n">
        <x:f>(IF(A595='Hybrid Calculator'!$B$6,0,1))^2+((B595-'Hybrid Calculator'!$B$7)/1500)^2+((C595-'Hybrid Calculator'!$B$8)/1300)^2+((D595-'Hybrid Calculator'!$B$9)/800)^2+((E595-'Hybrid Calculator'!$B$10)/350)^2+((F595-'Hybrid Calculator'!$B$11)/30)^2+(G595-'Hybrid Calculator'!$B$12)^2+((H595-'Hybrid Calculator'!$E$14)/IF(A595="Lightning",100,30000))^2+((I595-'Hybrid Calculator'!$E$17)/IF(A595="Lightning",100,30000))^2</x:f>
        <x:v>0.39883679246243076</x:v>
      </x:c>
      <x:c r="K595" s="23" t="n">
        <x:f>RANK(J595,$J$2:$J$1401,1)</x:f>
        <x:v>685</x:v>
      </x:c>
      <x:c r="L595" s="23" t="n">
        <x:f>IF(K595&lt;=7,1,0)</x:f>
        <x:v>0</x:v>
      </x:c>
      <x:c r="M595" s="23" t="n">
        <x:f>IF(L595=1,1/(J595+0.000001),0)</x:f>
        <x:v>0</x:v>
      </x:c>
      <x:c r="N595" s="23" t="n">
        <x:v>0.00887467840359002</x:v>
      </x:c>
      <x:c r="O595" s="23" t="n">
        <x:f>M595</x:f>
        <x:v>0</x:v>
      </x:c>
      <x:c r="P595" s="23" t="n">
        <x:v>0.23618249424936266</x:v>
      </x:c>
      <x:c r="Q595" s="23" t="n">
        <x:v>-4.999790803496126</x:v>
      </x:c>
    </x:row>
    <x:row r="596">
      <x:c r="A596" s="23" t="str">
        <x:v>Lightning</x:v>
      </x:c>
      <x:c r="B596" s="23" t="n">
        <x:v>1434.9231666186824</x:v>
      </x:c>
      <x:c r="C596" s="23" t="n">
        <x:v>900.4133527283557</x:v>
      </x:c>
      <x:c r="D596" s="23" t="n">
        <x:v>374.2426760494709</x:v>
      </x:c>
      <x:c r="E596" s="23" t="n">
        <x:v>226.73652168130502</x:v>
      </x:c>
      <x:c r="F596" s="23" t="n">
        <x:v>22.763633935712278</x:v>
      </x:c>
      <x:c r="G596" s="23" t="n">
        <x:v>0.799451071897056</x:v>
      </x:c>
      <x:c r="H596" s="23" t="n">
        <x:v>50</x:v>
      </x:c>
      <x:c r="I596" s="23" t="n">
        <x:v>25</x:v>
      </x:c>
      <x:c r="J596" s="23" t="n">
        <x:f>(IF(A596='Hybrid Calculator'!$B$6,0,1))^2+((B596-'Hybrid Calculator'!$B$7)/1500)^2+((C596-'Hybrid Calculator'!$B$8)/1300)^2+((D596-'Hybrid Calculator'!$B$9)/800)^2+((E596-'Hybrid Calculator'!$B$10)/350)^2+((F596-'Hybrid Calculator'!$B$11)/30)^2+(G596-'Hybrid Calculator'!$B$12)^2+((H596-'Hybrid Calculator'!$E$14)/IF(A596="Lightning",100,30000))^2+((I596-'Hybrid Calculator'!$E$17)/IF(A596="Lightning",100,30000))^2</x:f>
        <x:v>0.09494841340281707</x:v>
      </x:c>
      <x:c r="K596" s="23" t="n">
        <x:f>RANK(J596,$J$2:$J$1401,1)</x:f>
        <x:v>188</x:v>
      </x:c>
      <x:c r="L596" s="23" t="n">
        <x:f>IF(K596&lt;=7,1,0)</x:f>
        <x:v>0</x:v>
      </x:c>
      <x:c r="M596" s="23" t="n">
        <x:f>IF(L596=1,1/(J596+0.000001),0)</x:f>
        <x:v>0</x:v>
      </x:c>
      <x:c r="N596" s="23" t="n">
        <x:v>-0.003670508292829222</x:v>
      </x:c>
      <x:c r="O596" s="23" t="n">
        <x:f>M596</x:f>
        <x:v>0</x:v>
      </x:c>
      <x:c r="P596" s="23" t="n">
        <x:v>0.7984864746051699</x:v>
      </x:c>
      <x:c r="Q596" s="23" t="n">
        <x:v>2.747226479474648</x:v>
      </x:c>
    </x:row>
    <x:row r="597">
      <x:c r="A597" s="23" t="str">
        <x:v>Lightning</x:v>
      </x:c>
      <x:c r="B597" s="23" t="n">
        <x:v>1364.5051076891832</x:v>
      </x:c>
      <x:c r="C597" s="23" t="n">
        <x:v>1249.0749789401889</x:v>
      </x:c>
      <x:c r="D597" s="23" t="n">
        <x:v>524.0089847706258</x:v>
      </x:c>
      <x:c r="E597" s="23" t="n">
        <x:v>329.87657193560153</x:v>
      </x:c>
      <x:c r="F597" s="23" t="n">
        <x:v>17.67279283097014</x:v>
      </x:c>
      <x:c r="G597" s="23" t="n">
        <x:v>0.8558014826383442</x:v>
      </x:c>
      <x:c r="H597" s="23" t="n">
        <x:v>40</x:v>
      </x:c>
      <x:c r="I597" s="23" t="n">
        <x:v>25</x:v>
      </x:c>
      <x:c r="J597" s="23" t="n">
        <x:f>(IF(A597='Hybrid Calculator'!$B$6,0,1))^2+((B597-'Hybrid Calculator'!$B$7)/1500)^2+((C597-'Hybrid Calculator'!$B$8)/1300)^2+((D597-'Hybrid Calculator'!$B$9)/800)^2+((E597-'Hybrid Calculator'!$B$10)/350)^2+((F597-'Hybrid Calculator'!$B$11)/30)^2+(G597-'Hybrid Calculator'!$B$12)^2+((H597-'Hybrid Calculator'!$E$14)/IF(A597="Lightning",100,30000))^2+((I597-'Hybrid Calculator'!$E$17)/IF(A597="Lightning",100,30000))^2</x:f>
        <x:v>0.3729336007817005</x:v>
      </x:c>
      <x:c r="K597" s="23" t="n">
        <x:f>RANK(J597,$J$2:$J$1401,1)</x:f>
        <x:v>671</x:v>
      </x:c>
      <x:c r="L597" s="23" t="n">
        <x:f>IF(K597&lt;=7,1,0)</x:f>
        <x:v>0</x:v>
      </x:c>
      <x:c r="M597" s="23" t="n">
        <x:f>IF(L597=1,1/(J597+0.000001),0)</x:f>
        <x:v>0</x:v>
      </x:c>
      <x:c r="N597" s="23" t="n">
        <x:v>0.024547510462605393</x:v>
      </x:c>
      <x:c r="O597" s="23" t="n">
        <x:f>M597</x:f>
        <x:v>0</x:v>
      </x:c>
      <x:c r="P597" s="23" t="n">
        <x:v>0.3567618189491242</x:v>
      </x:c>
      <x:c r="Q597" s="23" t="n">
        <x:v>-11.848459775860874</x:v>
      </x:c>
    </x:row>
    <x:row r="598">
      <x:c r="A598" s="23" t="str">
        <x:v>Lightning</x:v>
      </x:c>
      <x:c r="B598" s="23" t="n">
        <x:v>1376.6684697009623</x:v>
      </x:c>
      <x:c r="C598" s="23" t="n">
        <x:v>1119.7364908992313</x:v>
      </x:c>
      <x:c r="D598" s="23" t="n">
        <x:v>525.9742924943566</x:v>
      </x:c>
      <x:c r="E598" s="23" t="n">
        <x:v>144.77584881940857</x:v>
      </x:c>
      <x:c r="F598" s="23" t="n">
        <x:v>14.932034494355321</x:v>
      </x:c>
      <x:c r="G598" s="23" t="n">
        <x:v>0.8278961297054775</x:v>
      </x:c>
      <x:c r="H598" s="23" t="n">
        <x:v>40</x:v>
      </x:c>
      <x:c r="I598" s="23" t="n">
        <x:v>25</x:v>
      </x:c>
      <x:c r="J598" s="23" t="n">
        <x:f>(IF(A598='Hybrid Calculator'!$B$6,0,1))^2+((B598-'Hybrid Calculator'!$B$7)/1500)^2+((C598-'Hybrid Calculator'!$B$8)/1300)^2+((D598-'Hybrid Calculator'!$B$9)/800)^2+((E598-'Hybrid Calculator'!$B$10)/350)^2+((F598-'Hybrid Calculator'!$B$11)/30)^2+(G598-'Hybrid Calculator'!$B$12)^2+((H598-'Hybrid Calculator'!$E$14)/IF(A598="Lightning",100,30000))^2+((I598-'Hybrid Calculator'!$E$17)/IF(A598="Lightning",100,30000))^2</x:f>
        <x:v>0.0695742970106302</x:v>
      </x:c>
      <x:c r="K598" s="23" t="n">
        <x:f>RANK(J598,$J$2:$J$1401,1)</x:f>
        <x:v>111</x:v>
      </x:c>
      <x:c r="L598" s="23" t="n">
        <x:f>IF(K598&lt;=7,1,0)</x:f>
        <x:v>0</x:v>
      </x:c>
      <x:c r="M598" s="23" t="n">
        <x:f>IF(L598=1,1/(J598+0.000001),0)</x:f>
        <x:v>0</x:v>
      </x:c>
      <x:c r="N598" s="23" t="n">
        <x:v>0.010862552345940912</x:v>
      </x:c>
      <x:c r="O598" s="23" t="n">
        <x:f>M598</x:f>
        <x:v>0</x:v>
      </x:c>
      <x:c r="P598" s="23" t="n">
        <x:v>1.348625409547708</x:v>
      </x:c>
      <x:c r="Q598" s="23" t="n">
        <x:v>1.6251127630757765</x:v>
      </x:c>
    </x:row>
    <x:row r="599">
      <x:c r="A599" s="23" t="str">
        <x:v>Lightning</x:v>
      </x:c>
      <x:c r="B599" s="23" t="n">
        <x:v>1395.9274816908874</x:v>
      </x:c>
      <x:c r="C599" s="23" t="n">
        <x:v>1149.7774542542174</x:v>
      </x:c>
      <x:c r="D599" s="23" t="n">
        <x:v>577.991805318743</x:v>
      </x:c>
      <x:c r="E599" s="23" t="n">
        <x:v>176.35960613377392</x:v>
      </x:c>
      <x:c r="F599" s="23" t="n">
        <x:v>10.852679566014558</x:v>
      </x:c>
      <x:c r="G599" s="23" t="n">
        <x:v>0.833425822951831</x:v>
      </x:c>
      <x:c r="H599" s="23" t="n">
        <x:v>40</x:v>
      </x:c>
      <x:c r="I599" s="23" t="n">
        <x:v>25</x:v>
      </x:c>
      <x:c r="J599" s="23" t="n">
        <x:f>(IF(A599='Hybrid Calculator'!$B$6,0,1))^2+((B599-'Hybrid Calculator'!$B$7)/1500)^2+((C599-'Hybrid Calculator'!$B$8)/1300)^2+((D599-'Hybrid Calculator'!$B$9)/800)^2+((E599-'Hybrid Calculator'!$B$10)/350)^2+((F599-'Hybrid Calculator'!$B$11)/30)^2+(G599-'Hybrid Calculator'!$B$12)^2+((H599-'Hybrid Calculator'!$E$14)/IF(A599="Lightning",100,30000))^2+((I599-'Hybrid Calculator'!$E$17)/IF(A599="Lightning",100,30000))^2</x:f>
        <x:v>0.14388713918316084</x:v>
      </x:c>
      <x:c r="K599" s="23" t="n">
        <x:f>RANK(J599,$J$2:$J$1401,1)</x:f>
        <x:v>312</x:v>
      </x:c>
      <x:c r="L599" s="23" t="n">
        <x:f>IF(K599&lt;=7,1,0)</x:f>
        <x:v>0</x:v>
      </x:c>
      <x:c r="M599" s="23" t="n">
        <x:f>IF(L599=1,1/(J599+0.000001),0)</x:f>
        <x:v>0</x:v>
      </x:c>
      <x:c r="N599" s="23" t="n">
        <x:v>0.020148668642121503</x:v>
      </x:c>
      <x:c r="O599" s="23" t="n">
        <x:f>M599</x:f>
        <x:v>0</x:v>
      </x:c>
      <x:c r="P599" s="23" t="n">
        <x:v>0.370741126534206</x:v>
      </x:c>
      <x:c r="Q599" s="23" t="n">
        <x:v>3.170147711299478</x:v>
      </x:c>
    </x:row>
    <x:row r="600">
      <x:c r="A600" s="23" t="str">
        <x:v>Lightning</x:v>
      </x:c>
      <x:c r="B600" s="23" t="n">
        <x:v>1350.89192034211</x:v>
      </x:c>
      <x:c r="C600" s="23" t="n">
        <x:v>1072.8431358584203</x:v>
      </x:c>
      <x:c r="D600" s="23" t="n">
        <x:v>580.2516426891088</x:v>
      </x:c>
      <x:c r="E600" s="23" t="n">
        <x:v>148.73392377747223</x:v>
      </x:c>
      <x:c r="F600" s="23" t="n">
        <x:v>20.62735673505813</x:v>
      </x:c>
      <x:c r="G600" s="23" t="n">
        <x:v>0.8541547392006033</x:v>
      </x:c>
      <x:c r="H600" s="23" t="n">
        <x:v>45</x:v>
      </x:c>
      <x:c r="I600" s="23" t="n">
        <x:v>25</x:v>
      </x:c>
      <x:c r="J600" s="23" t="n">
        <x:f>(IF(A600='Hybrid Calculator'!$B$6,0,1))^2+((B600-'Hybrid Calculator'!$B$7)/1500)^2+((C600-'Hybrid Calculator'!$B$8)/1300)^2+((D600-'Hybrid Calculator'!$B$9)/800)^2+((E600-'Hybrid Calculator'!$B$10)/350)^2+((F600-'Hybrid Calculator'!$B$11)/30)^2+(G600-'Hybrid Calculator'!$B$12)^2+((H600-'Hybrid Calculator'!$E$14)/IF(A600="Lightning",100,30000))^2+((I600-'Hybrid Calculator'!$E$17)/IF(A600="Lightning",100,30000))^2</x:f>
        <x:v>0.050596090706803584</x:v>
      </x:c>
      <x:c r="K600" s="23" t="n">
        <x:f>RANK(J600,$J$2:$J$1401,1)</x:f>
        <x:v>54</x:v>
      </x:c>
      <x:c r="L600" s="23" t="n">
        <x:f>IF(K600&lt;=7,1,0)</x:f>
        <x:v>0</x:v>
      </x:c>
      <x:c r="M600" s="23" t="n">
        <x:f>IF(L600=1,1/(J600+0.000001),0)</x:f>
        <x:v>0</x:v>
      </x:c>
      <x:c r="N600" s="23" t="n">
        <x:v>-0.0042752658695222046</x:v>
      </x:c>
      <x:c r="O600" s="23" t="n">
        <x:f>M600</x:f>
        <x:v>0</x:v>
      </x:c>
      <x:c r="P600" s="23" t="n">
        <x:v>0.4413814383449761</x:v>
      </x:c>
      <x:c r="Q600" s="23" t="n">
        <x:v>-5.4354578539725935</x:v>
      </x:c>
    </x:row>
    <x:row r="601">
      <x:c r="A601" s="23" t="str">
        <x:v>Lightning</x:v>
      </x:c>
      <x:c r="B601" s="23" t="n">
        <x:v>1436.4712712704204</x:v>
      </x:c>
      <x:c r="C601" s="23" t="n">
        <x:v>938.9602339360863</x:v>
      </x:c>
      <x:c r="D601" s="23" t="n">
        <x:v>434.20716701075435</x:v>
      </x:c>
      <x:c r="E601" s="23" t="n">
        <x:v>223.18485313560814</x:v>
      </x:c>
      <x:c r="F601" s="23" t="n">
        <x:v>14.748063638340682</x:v>
      </x:c>
      <x:c r="G601" s="23" t="n">
        <x:v>0.8085216959007084</x:v>
      </x:c>
      <x:c r="H601" s="23" t="n">
        <x:v>45</x:v>
      </x:c>
      <x:c r="I601" s="23" t="n">
        <x:v>25</x:v>
      </x:c>
      <x:c r="J601" s="23" t="n">
        <x:f>(IF(A601='Hybrid Calculator'!$B$6,0,1))^2+((B601-'Hybrid Calculator'!$B$7)/1500)^2+((C601-'Hybrid Calculator'!$B$8)/1300)^2+((D601-'Hybrid Calculator'!$B$9)/800)^2+((E601-'Hybrid Calculator'!$B$10)/350)^2+((F601-'Hybrid Calculator'!$B$11)/30)^2+(G601-'Hybrid Calculator'!$B$12)^2+((H601-'Hybrid Calculator'!$E$14)/IF(A601="Lightning",100,30000))^2+((I601-'Hybrid Calculator'!$E$17)/IF(A601="Lightning",100,30000))^2</x:f>
        <x:v>0.0735003946391785</x:v>
      </x:c>
      <x:c r="K601" s="23" t="n">
        <x:f>RANK(J601,$J$2:$J$1401,1)</x:f>
        <x:v>119</x:v>
      </x:c>
      <x:c r="L601" s="23" t="n">
        <x:f>IF(K601&lt;=7,1,0)</x:f>
        <x:v>0</x:v>
      </x:c>
      <x:c r="M601" s="23" t="n">
        <x:f>IF(L601=1,1/(J601+0.000001),0)</x:f>
        <x:v>0</x:v>
      </x:c>
      <x:c r="N601" s="23" t="n">
        <x:v>-0.0008065366108449545</x:v>
      </x:c>
      <x:c r="O601" s="23" t="n">
        <x:f>M601</x:f>
        <x:v>0</x:v>
      </x:c>
      <x:c r="P601" s="23" t="n">
        <x:v>0.8203603103704609</x:v>
      </x:c>
      <x:c r="Q601" s="23" t="n">
        <x:v>0.32753400070873795</x:v>
      </x:c>
    </x:row>
    <x:row r="602">
      <x:c r="A602" s="23" t="str">
        <x:v>Lightning</x:v>
      </x:c>
      <x:c r="B602" s="23" t="n">
        <x:v>1474.470602022484</x:v>
      </x:c>
      <x:c r="C602" s="23" t="n">
        <x:v>1095.0472410651855</x:v>
      </x:c>
      <x:c r="D602" s="23" t="n">
        <x:v>357.61736016720533</x:v>
      </x:c>
      <x:c r="E602" s="23" t="n">
        <x:v>193.03719162242487</x:v>
      </x:c>
      <x:c r="F602" s="23" t="n">
        <x:v>11.555403277277946</x:v>
      </x:c>
      <x:c r="G602" s="23" t="n">
        <x:v>0.8499251115159132</x:v>
      </x:c>
      <x:c r="H602" s="23" t="n">
        <x:v>45</x:v>
      </x:c>
      <x:c r="I602" s="23" t="n">
        <x:v>25</x:v>
      </x:c>
      <x:c r="J602" s="23" t="n">
        <x:f>(IF(A602='Hybrid Calculator'!$B$6,0,1))^2+((B602-'Hybrid Calculator'!$B$7)/1500)^2+((C602-'Hybrid Calculator'!$B$8)/1300)^2+((D602-'Hybrid Calculator'!$B$9)/800)^2+((E602-'Hybrid Calculator'!$B$10)/350)^2+((F602-'Hybrid Calculator'!$B$11)/30)^2+(G602-'Hybrid Calculator'!$B$12)^2+((H602-'Hybrid Calculator'!$E$14)/IF(A602="Lightning",100,30000))^2+((I602-'Hybrid Calculator'!$E$17)/IF(A602="Lightning",100,30000))^2</x:f>
        <x:v>0.14039696942983693</x:v>
      </x:c>
      <x:c r="K602" s="23" t="n">
        <x:f>RANK(J602,$J$2:$J$1401,1)</x:f>
        <x:v>304</x:v>
      </x:c>
      <x:c r="L602" s="23" t="n">
        <x:f>IF(K602&lt;=7,1,0)</x:f>
        <x:v>0</x:v>
      </x:c>
      <x:c r="M602" s="23" t="n">
        <x:f>IF(L602=1,1/(J602+0.000001),0)</x:f>
        <x:v>0</x:v>
      </x:c>
      <x:c r="N602" s="23" t="n">
        <x:v>-0.0011398223320224776</x:v>
      </x:c>
      <x:c r="O602" s="23" t="n">
        <x:f>M602</x:f>
        <x:v>0</x:v>
      </x:c>
      <x:c r="P602" s="23" t="n">
        <x:v>1.143752153434356</x:v>
      </x:c>
      <x:c r="Q602" s="23" t="n">
        <x:v>0.796749506960623</x:v>
      </x:c>
    </x:row>
    <x:row r="603">
      <x:c r="A603" s="23" t="str">
        <x:v>Lightning</x:v>
      </x:c>
      <x:c r="B603" s="23" t="n">
        <x:v>1392.7085426752456</x:v>
      </x:c>
      <x:c r="C603" s="23" t="n">
        <x:v>1130.4290724685416</x:v>
      </x:c>
      <x:c r="D603" s="23" t="n">
        <x:v>384.0276193805039</x:v>
      </x:c>
      <x:c r="E603" s="23" t="n">
        <x:v>278.485326487571</x:v>
      </x:c>
      <x:c r="F603" s="23" t="n">
        <x:v>16.543807125184685</x:v>
      </x:c>
      <x:c r="G603" s="23" t="n">
        <x:v>0.8337453654920682</x:v>
      </x:c>
      <x:c r="H603" s="23" t="n">
        <x:v>40</x:v>
      </x:c>
      <x:c r="I603" s="23" t="n">
        <x:v>25</x:v>
      </x:c>
      <x:c r="J603" s="23" t="n">
        <x:f>(IF(A603='Hybrid Calculator'!$B$6,0,1))^2+((B603-'Hybrid Calculator'!$B$7)/1500)^2+((C603-'Hybrid Calculator'!$B$8)/1300)^2+((D603-'Hybrid Calculator'!$B$9)/800)^2+((E603-'Hybrid Calculator'!$B$10)/350)^2+((F603-'Hybrid Calculator'!$B$11)/30)^2+(G603-'Hybrid Calculator'!$B$12)^2+((H603-'Hybrid Calculator'!$E$14)/IF(A603="Lightning",100,30000))^2+((I603-'Hybrid Calculator'!$E$17)/IF(A603="Lightning",100,30000))^2</x:f>
        <x:v>0.21721515606912925</x:v>
      </x:c>
      <x:c r="K603" s="23" t="n">
        <x:f>RANK(J603,$J$2:$J$1401,1)</x:f>
        <x:v>482</x:v>
      </x:c>
      <x:c r="L603" s="23" t="n">
        <x:f>IF(K603&lt;=7,1,0)</x:f>
        <x:v>0</x:v>
      </x:c>
      <x:c r="M603" s="23" t="n">
        <x:f>IF(L603=1,1/(J603+0.000001),0)</x:f>
        <x:v>0</x:v>
      </x:c>
      <x:c r="N603" s="23" t="n">
        <x:v>-0.0014752856075199716</x:v>
      </x:c>
      <x:c r="O603" s="23" t="n">
        <x:f>M603</x:f>
        <x:v>0</x:v>
      </x:c>
      <x:c r="P603" s="23" t="n">
        <x:v>0.7401845010731876</x:v>
      </x:c>
      <x:c r="Q603" s="23" t="n">
        <x:v>1.8660730839596908</x:v>
      </x:c>
    </x:row>
    <x:row r="604">
      <x:c r="A604" s="23" t="str">
        <x:v>Lightning</x:v>
      </x:c>
      <x:c r="B604" s="23" t="n">
        <x:v>1492.0084081124514</x:v>
      </x:c>
      <x:c r="C604" s="23" t="n">
        <x:v>1167.3354879836552</x:v>
      </x:c>
      <x:c r="D604" s="23" t="n">
        <x:v>477.12626215070486</x:v>
      </x:c>
      <x:c r="E604" s="23" t="n">
        <x:v>164.9584944662638</x:v>
      </x:c>
      <x:c r="F604" s="23" t="n">
        <x:v>16.537623684853315</x:v>
      </x:c>
      <x:c r="G604" s="23" t="n">
        <x:v>0.8449103095778264</x:v>
      </x:c>
      <x:c r="H604" s="23" t="n">
        <x:v>40</x:v>
      </x:c>
      <x:c r="I604" s="23" t="n">
        <x:v>25</x:v>
      </x:c>
      <x:c r="J604" s="23" t="n">
        <x:f>(IF(A604='Hybrid Calculator'!$B$6,0,1))^2+((B604-'Hybrid Calculator'!$B$7)/1500)^2+((C604-'Hybrid Calculator'!$B$8)/1300)^2+((D604-'Hybrid Calculator'!$B$9)/800)^2+((E604-'Hybrid Calculator'!$B$10)/350)^2+((F604-'Hybrid Calculator'!$B$11)/30)^2+(G604-'Hybrid Calculator'!$B$12)^2+((H604-'Hybrid Calculator'!$E$14)/IF(A604="Lightning",100,30000))^2+((I604-'Hybrid Calculator'!$E$17)/IF(A604="Lightning",100,30000))^2</x:f>
        <x:v>0.07912590372755193</x:v>
      </x:c>
      <x:c r="K604" s="23" t="n">
        <x:f>RANK(J604,$J$2:$J$1401,1)</x:f>
        <x:v>135</x:v>
      </x:c>
      <x:c r="L604" s="23" t="n">
        <x:f>IF(K604&lt;=7,1,0)</x:f>
        <x:v>0</x:v>
      </x:c>
      <x:c r="M604" s="23" t="n">
        <x:f>IF(L604=1,1/(J604+0.000001),0)</x:f>
        <x:v>0</x:v>
      </x:c>
      <x:c r="N604" s="23" t="n">
        <x:v>0.009118979804603189</x:v>
      </x:c>
      <x:c r="O604" s="23" t="n">
        <x:f>M604</x:f>
        <x:v>0</x:v>
      </x:c>
      <x:c r="P604" s="23" t="n">
        <x:v>0.3134183996567472</x:v>
      </x:c>
      <x:c r="Q604" s="23" t="n">
        <x:v>2.6818607882366905</x:v>
      </x:c>
    </x:row>
    <x:row r="605">
      <x:c r="A605" s="23" t="str">
        <x:v>Lightning</x:v>
      </x:c>
      <x:c r="B605" s="23" t="n">
        <x:v>1398.0148129281588</x:v>
      </x:c>
      <x:c r="C605" s="23" t="n">
        <x:v>998.2309042243287</x:v>
      </x:c>
      <x:c r="D605" s="23" t="n">
        <x:v>749.5681126601994</x:v>
      </x:c>
      <x:c r="E605" s="23" t="n">
        <x:v>84.47056721895933</x:v>
      </x:c>
      <x:c r="F605" s="23" t="n">
        <x:v>23.83270757133141</x:v>
      </x:c>
      <x:c r="G605" s="23" t="n">
        <x:v>0.8242480276105926</x:v>
      </x:c>
      <x:c r="H605" s="23" t="n">
        <x:v>40</x:v>
      </x:c>
      <x:c r="I605" s="23" t="n">
        <x:v>25</x:v>
      </x:c>
      <x:c r="J605" s="23" t="n">
        <x:f>(IF(A605='Hybrid Calculator'!$B$6,0,1))^2+((B605-'Hybrid Calculator'!$B$7)/1500)^2+((C605-'Hybrid Calculator'!$B$8)/1300)^2+((D605-'Hybrid Calculator'!$B$9)/800)^2+((E605-'Hybrid Calculator'!$B$10)/350)^2+((F605-'Hybrid Calculator'!$B$11)/30)^2+(G605-'Hybrid Calculator'!$B$12)^2+((H605-'Hybrid Calculator'!$E$14)/IF(A605="Lightning",100,30000))^2+((I605-'Hybrid Calculator'!$E$17)/IF(A605="Lightning",100,30000))^2</x:f>
        <x:v>0.18731369385529303</x:v>
      </x:c>
      <x:c r="K605" s="23" t="n">
        <x:f>RANK(J605,$J$2:$J$1401,1)</x:f>
        <x:v>419</x:v>
      </x:c>
      <x:c r="L605" s="23" t="n">
        <x:f>IF(K605&lt;=7,1,0)</x:f>
        <x:v>0</x:v>
      </x:c>
      <x:c r="M605" s="23" t="n">
        <x:f>IF(L605=1,1/(J605+0.000001),0)</x:f>
        <x:v>0</x:v>
      </x:c>
      <x:c r="N605" s="23" t="n">
        <x:v>0.004791290876831278</x:v>
      </x:c>
      <x:c r="O605" s="23" t="n">
        <x:f>M605</x:f>
        <x:v>0</x:v>
      </x:c>
      <x:c r="P605" s="23" t="n">
        <x:v>0.8243926015011951</x:v>
      </x:c>
      <x:c r="Q605" s="23" t="n">
        <x:v>-6.19196606997798</x:v>
      </x:c>
    </x:row>
    <x:row r="606">
      <x:c r="A606" s="23" t="str">
        <x:v>Lightning</x:v>
      </x:c>
      <x:c r="B606" s="23" t="n">
        <x:v>1441.035780706443</x:v>
      </x:c>
      <x:c r="C606" s="23" t="n">
        <x:v>679.259213723708</x:v>
      </x:c>
      <x:c r="D606" s="23" t="n">
        <x:v>686.1031614243984</x:v>
      </x:c>
      <x:c r="E606" s="23" t="n">
        <x:v>210.7482099509798</x:v>
      </x:c>
      <x:c r="F606" s="23" t="n">
        <x:v>27.640337011776865</x:v>
      </x:c>
      <x:c r="G606" s="23" t="n">
        <x:v>0.8318664377345704</x:v>
      </x:c>
      <x:c r="H606" s="23" t="n">
        <x:v>45</x:v>
      </x:c>
      <x:c r="I606" s="23" t="n">
        <x:v>25</x:v>
      </x:c>
      <x:c r="J606" s="23" t="n">
        <x:f>(IF(A606='Hybrid Calculator'!$B$6,0,1))^2+((B606-'Hybrid Calculator'!$B$7)/1500)^2+((C606-'Hybrid Calculator'!$B$8)/1300)^2+((D606-'Hybrid Calculator'!$B$9)/800)^2+((E606-'Hybrid Calculator'!$B$10)/350)^2+((F606-'Hybrid Calculator'!$B$11)/30)^2+(G606-'Hybrid Calculator'!$B$12)^2+((H606-'Hybrid Calculator'!$E$14)/IF(A606="Lightning",100,30000))^2+((I606-'Hybrid Calculator'!$E$17)/IF(A606="Lightning",100,30000))^2</x:f>
        <x:v>0.19707516752666251</x:v>
      </x:c>
      <x:c r="K606" s="23" t="n">
        <x:f>RANK(J606,$J$2:$J$1401,1)</x:f>
        <x:v>440</x:v>
      </x:c>
      <x:c r="L606" s="23" t="n">
        <x:f>IF(K606&lt;=7,1,0)</x:f>
        <x:v>0</x:v>
      </x:c>
      <x:c r="M606" s="23" t="n">
        <x:f>IF(L606=1,1/(J606+0.000001),0)</x:f>
        <x:v>0</x:v>
      </x:c>
      <x:c r="N606" s="23" t="n">
        <x:v>-0.012368133933518433</x:v>
      </x:c>
      <x:c r="O606" s="23" t="n">
        <x:f>M606</x:f>
        <x:v>0</x:v>
      </x:c>
      <x:c r="P606" s="23" t="n">
        <x:v>-0.19873940189280148</x:v>
      </x:c>
      <x:c r="Q606" s="23" t="n">
        <x:v>-17.04262188486814</x:v>
      </x:c>
    </x:row>
    <x:row r="607">
      <x:c r="A607" s="23" t="str">
        <x:v>Lightning</x:v>
      </x:c>
      <x:c r="B607" s="23" t="n">
        <x:v>1424.4108697283082</x:v>
      </x:c>
      <x:c r="C607" s="23" t="n">
        <x:v>766.1604017019272</x:v>
      </x:c>
      <x:c r="D607" s="23" t="n">
        <x:v>378.3612816594541</x:v>
      </x:c>
      <x:c r="E607" s="23" t="n">
        <x:v>177.98836999107152</x:v>
      </x:c>
      <x:c r="F607" s="23" t="n">
        <x:v>21.250721575226635</x:v>
      </x:c>
      <x:c r="G607" s="23" t="n">
        <x:v>0.8489384075533599</x:v>
      </x:c>
      <x:c r="H607" s="23" t="n">
        <x:v>55</x:v>
      </x:c>
      <x:c r="I607" s="23" t="n">
        <x:v>25</x:v>
      </x:c>
      <x:c r="J607" s="23" t="n">
        <x:f>(IF(A607='Hybrid Calculator'!$B$6,0,1))^2+((B607-'Hybrid Calculator'!$B$7)/1500)^2+((C607-'Hybrid Calculator'!$B$8)/1300)^2+((D607-'Hybrid Calculator'!$B$9)/800)^2+((E607-'Hybrid Calculator'!$B$10)/350)^2+((F607-'Hybrid Calculator'!$B$11)/30)^2+(G607-'Hybrid Calculator'!$B$12)^2+((H607-'Hybrid Calculator'!$E$14)/IF(A607="Lightning",100,30000))^2+((I607-'Hybrid Calculator'!$E$17)/IF(A607="Lightning",100,30000))^2</x:f>
        <x:v>0.04541739140526692</x:v>
      </x:c>
      <x:c r="K607" s="23" t="n">
        <x:f>RANK(J607,$J$2:$J$1401,1)</x:f>
        <x:v>44</x:v>
      </x:c>
      <x:c r="L607" s="23" t="n">
        <x:f>IF(K607&lt;=7,1,0)</x:f>
        <x:v>0</x:v>
      </x:c>
      <x:c r="M607" s="23" t="n">
        <x:f>IF(L607=1,1/(J607+0.000001),0)</x:f>
        <x:v>0</x:v>
      </x:c>
      <x:c r="N607" s="23" t="n">
        <x:v>-0.011136536733522773</x:v>
      </x:c>
      <x:c r="O607" s="23" t="n">
        <x:f>M607</x:f>
        <x:v>0</x:v>
      </x:c>
      <x:c r="P607" s="23" t="n">
        <x:v>-0.4216197715456076</x:v>
      </x:c>
      <x:c r="Q607" s="23" t="n">
        <x:v>2.074057427036905</x:v>
      </x:c>
    </x:row>
    <x:row r="608">
      <x:c r="A608" s="23" t="str">
        <x:v>Lightning</x:v>
      </x:c>
      <x:c r="B608" s="23" t="n">
        <x:v>1365.4822706244886</x:v>
      </x:c>
      <x:c r="C608" s="23" t="n">
        <x:v>868.3261654688977</x:v>
      </x:c>
      <x:c r="D608" s="23" t="n">
        <x:v>727.8592610731721</x:v>
      </x:c>
      <x:c r="E608" s="23" t="n">
        <x:v>255.60313182184473</x:v>
      </x:c>
      <x:c r="F608" s="23" t="n">
        <x:v>17.857121938839555</x:v>
      </x:c>
      <x:c r="G608" s="23" t="n">
        <x:v>0.8125550891761668</x:v>
      </x:c>
      <x:c r="H608" s="23" t="n">
        <x:v>40</x:v>
      </x:c>
      <x:c r="I608" s="23" t="n">
        <x:v>25</x:v>
      </x:c>
      <x:c r="J608" s="23" t="n">
        <x:f>(IF(A608='Hybrid Calculator'!$B$6,0,1))^2+((B608-'Hybrid Calculator'!$B$7)/1500)^2+((C608-'Hybrid Calculator'!$B$8)/1300)^2+((D608-'Hybrid Calculator'!$B$9)/800)^2+((E608-'Hybrid Calculator'!$B$10)/350)^2+((F608-'Hybrid Calculator'!$B$11)/30)^2+(G608-'Hybrid Calculator'!$B$12)^2+((H608-'Hybrid Calculator'!$E$14)/IF(A608="Lightning",100,30000))^2+((I608-'Hybrid Calculator'!$E$17)/IF(A608="Lightning",100,30000))^2</x:f>
        <x:v>0.18444941361884865</x:v>
      </x:c>
      <x:c r="K608" s="23" t="n">
        <x:f>RANK(J608,$J$2:$J$1401,1)</x:f>
        <x:v>411</x:v>
      </x:c>
      <x:c r="L608" s="23" t="n">
        <x:f>IF(K608&lt;=7,1,0)</x:f>
        <x:v>0</x:v>
      </x:c>
      <x:c r="M608" s="23" t="n">
        <x:f>IF(L608=1,1/(J608+0.000001),0)</x:f>
        <x:v>0</x:v>
      </x:c>
      <x:c r="N608" s="23" t="n">
        <x:v>-0.0030402660512756086</x:v>
      </x:c>
      <x:c r="O608" s="23" t="n">
        <x:f>M608</x:f>
        <x:v>0</x:v>
      </x:c>
      <x:c r="P608" s="23" t="n">
        <x:v>0.574815868042684</x:v>
      </x:c>
      <x:c r="Q608" s="23" t="n">
        <x:v>-0.7683808332442368</x:v>
      </x:c>
    </x:row>
    <x:row r="609">
      <x:c r="A609" s="23" t="str">
        <x:v>Lightning</x:v>
      </x:c>
      <x:c r="B609" s="23" t="n">
        <x:v>1395.6355908536352</x:v>
      </x:c>
      <x:c r="C609" s="23" t="n">
        <x:v>1108.1953200744465</x:v>
      </x:c>
      <x:c r="D609" s="23" t="n">
        <x:v>638.3637540973723</x:v>
      </x:c>
      <x:c r="E609" s="23" t="n">
        <x:v>312.6350735966116</x:v>
      </x:c>
      <x:c r="F609" s="23" t="n">
        <x:v>26.030794598627836</x:v>
      </x:c>
      <x:c r="G609" s="23" t="n">
        <x:v>0.8077315612742678</x:v>
      </x:c>
      <x:c r="H609" s="23" t="n">
        <x:v>35</x:v>
      </x:c>
      <x:c r="I609" s="23" t="n">
        <x:v>25</x:v>
      </x:c>
      <x:c r="J609" s="23" t="n">
        <x:f>(IF(A609='Hybrid Calculator'!$B$6,0,1))^2+((B609-'Hybrid Calculator'!$B$7)/1500)^2+((C609-'Hybrid Calculator'!$B$8)/1300)^2+((D609-'Hybrid Calculator'!$B$9)/800)^2+((E609-'Hybrid Calculator'!$B$10)/350)^2+((F609-'Hybrid Calculator'!$B$11)/30)^2+(G609-'Hybrid Calculator'!$B$12)^2+((H609-'Hybrid Calculator'!$E$14)/IF(A609="Lightning",100,30000))^2+((I609-'Hybrid Calculator'!$E$17)/IF(A609="Lightning",100,30000))^2</x:f>
        <x:v>0.3713277406892675</x:v>
      </x:c>
      <x:c r="K609" s="23" t="n">
        <x:f>RANK(J609,$J$2:$J$1401,1)</x:f>
        <x:v>669</x:v>
      </x:c>
      <x:c r="L609" s="23" t="n">
        <x:f>IF(K609&lt;=7,1,0)</x:f>
        <x:v>0</x:v>
      </x:c>
      <x:c r="M609" s="23" t="n">
        <x:f>IF(L609=1,1/(J609+0.000001),0)</x:f>
        <x:v>0</x:v>
      </x:c>
      <x:c r="N609" s="23" t="n">
        <x:v>0.011403722756258672</x:v>
      </x:c>
      <x:c r="O609" s="23" t="n">
        <x:f>M609</x:f>
        <x:v>0</x:v>
      </x:c>
      <x:c r="P609" s="23" t="n">
        <x:v>-0.0989562433224549</x:v>
      </x:c>
      <x:c r="Q609" s="23" t="n">
        <x:v>-16.19139306747161</x:v>
      </x:c>
    </x:row>
    <x:row r="610">
      <x:c r="A610" s="23" t="str">
        <x:v>Lightning</x:v>
      </x:c>
      <x:c r="B610" s="23" t="n">
        <x:v>1372.7899871533737</x:v>
      </x:c>
      <x:c r="C610" s="23" t="n">
        <x:v>1201.3655492686667</x:v>
      </x:c>
      <x:c r="D610" s="23" t="n">
        <x:v>654.2096059769392</x:v>
      </x:c>
      <x:c r="E610" s="23" t="n">
        <x:v>198.00997116370127</x:v>
      </x:c>
      <x:c r="F610" s="23" t="n">
        <x:v>17.35160626936704</x:v>
      </x:c>
      <x:c r="G610" s="23" t="n">
        <x:v>0.8524241340975277</x:v>
      </x:c>
      <x:c r="H610" s="23" t="n">
        <x:v>35</x:v>
      </x:c>
      <x:c r="I610" s="23" t="n">
        <x:v>25</x:v>
      </x:c>
      <x:c r="J610" s="23" t="n">
        <x:f>(IF(A610='Hybrid Calculator'!$B$6,0,1))^2+((B610-'Hybrid Calculator'!$B$7)/1500)^2+((C610-'Hybrid Calculator'!$B$8)/1300)^2+((D610-'Hybrid Calculator'!$B$9)/800)^2+((E610-'Hybrid Calculator'!$B$10)/350)^2+((F610-'Hybrid Calculator'!$B$11)/30)^2+(G610-'Hybrid Calculator'!$B$12)^2+((H610-'Hybrid Calculator'!$E$14)/IF(A610="Lightning",100,30000))^2+((I610-'Hybrid Calculator'!$E$17)/IF(A610="Lightning",100,30000))^2</x:f>
        <x:v>0.1552532638621024</x:v>
      </x:c>
      <x:c r="K610" s="23" t="n">
        <x:f>RANK(J610,$J$2:$J$1401,1)</x:f>
        <x:v>342</x:v>
      </x:c>
      <x:c r="L610" s="23" t="n">
        <x:f>IF(K610&lt;=7,1,0)</x:f>
        <x:v>0</x:v>
      </x:c>
      <x:c r="M610" s="23" t="n">
        <x:f>IF(L610=1,1/(J610+0.000001),0)</x:f>
        <x:v>0</x:v>
      </x:c>
      <x:c r="N610" s="23" t="n">
        <x:v>0.005795634791408544</x:v>
      </x:c>
      <x:c r="O610" s="23" t="n">
        <x:f>M610</x:f>
        <x:v>0</x:v>
      </x:c>
      <x:c r="P610" s="23" t="n">
        <x:v>1.6897117297642765</x:v>
      </x:c>
      <x:c r="Q610" s="23" t="n">
        <x:v>-1.833378851152247</x:v>
      </x:c>
    </x:row>
    <x:row r="611">
      <x:c r="A611" s="23" t="str">
        <x:v>Lightning</x:v>
      </x:c>
      <x:c r="B611" s="23" t="n">
        <x:v>1389.571908430662</x:v>
      </x:c>
      <x:c r="C611" s="23" t="n">
        <x:v>670.593222277239</x:v>
      </x:c>
      <x:c r="D611" s="23" t="n">
        <x:v>711.0801252536476</x:v>
      </x:c>
      <x:c r="E611" s="23" t="n">
        <x:v>198.69688553269953</x:v>
      </x:c>
      <x:c r="F611" s="23" t="n">
        <x:v>29.33193127019331</x:v>
      </x:c>
      <x:c r="G611" s="23" t="n">
        <x:v>0.7902895897440613</x:v>
      </x:c>
      <x:c r="H611" s="23" t="n">
        <x:v>45</x:v>
      </x:c>
      <x:c r="I611" s="23" t="n">
        <x:v>25</x:v>
      </x:c>
      <x:c r="J611" s="23" t="n">
        <x:f>(IF(A611='Hybrid Calculator'!$B$6,0,1))^2+((B611-'Hybrid Calculator'!$B$7)/1500)^2+((C611-'Hybrid Calculator'!$B$8)/1300)^2+((D611-'Hybrid Calculator'!$B$9)/800)^2+((E611-'Hybrid Calculator'!$B$10)/350)^2+((F611-'Hybrid Calculator'!$B$11)/30)^2+(G611-'Hybrid Calculator'!$B$12)^2+((H611-'Hybrid Calculator'!$E$14)/IF(A611="Lightning",100,30000))^2+((I611-'Hybrid Calculator'!$E$17)/IF(A611="Lightning",100,30000))^2</x:f>
        <x:v>0.2423286387206409</x:v>
      </x:c>
      <x:c r="K611" s="23" t="n">
        <x:f>RANK(J611,$J$2:$J$1401,1)</x:f>
        <x:v>525</x:v>
      </x:c>
      <x:c r="L611" s="23" t="n">
        <x:f>IF(K611&lt;=7,1,0)</x:f>
        <x:v>0</x:v>
      </x:c>
      <x:c r="M611" s="23" t="n">
        <x:f>IF(L611=1,1/(J611+0.000001),0)</x:f>
        <x:v>0</x:v>
      </x:c>
      <x:c r="N611" s="23" t="n">
        <x:v>-0.009663989315461308</x:v>
      </x:c>
      <x:c r="O611" s="23" t="n">
        <x:f>M611</x:f>
        <x:v>0</x:v>
      </x:c>
      <x:c r="P611" s="23" t="n">
        <x:v>-0.10844607183283017</x:v>
      </x:c>
      <x:c r="Q611" s="23" t="n">
        <x:v>-17.718431065803316</x:v>
      </x:c>
    </x:row>
    <x:row r="612">
      <x:c r="A612" s="23" t="str">
        <x:v>Lightning</x:v>
      </x:c>
      <x:c r="B612" s="23" t="n">
        <x:v>1384.4513206277043</x:v>
      </x:c>
      <x:c r="C612" s="23" t="n">
        <x:v>1119.4714432465844</x:v>
      </x:c>
      <x:c r="D612" s="23" t="n">
        <x:v>631.5472019836307</x:v>
      </x:c>
      <x:c r="E612" s="23" t="n">
        <x:v>111.75561997340992</x:v>
      </x:c>
      <x:c r="F612" s="23" t="n">
        <x:v>15.24708453565836</x:v>
      </x:c>
      <x:c r="G612" s="23" t="n">
        <x:v>0.8109370386064985</x:v>
      </x:c>
      <x:c r="H612" s="23" t="n">
        <x:v>40</x:v>
      </x:c>
      <x:c r="I612" s="23" t="n">
        <x:v>25</x:v>
      </x:c>
      <x:c r="J612" s="23" t="n">
        <x:f>(IF(A612='Hybrid Calculator'!$B$6,0,1))^2+((B612-'Hybrid Calculator'!$B$7)/1500)^2+((C612-'Hybrid Calculator'!$B$8)/1300)^2+((D612-'Hybrid Calculator'!$B$9)/800)^2+((E612-'Hybrid Calculator'!$B$10)/350)^2+((F612-'Hybrid Calculator'!$B$11)/30)^2+(G612-'Hybrid Calculator'!$B$12)^2+((H612-'Hybrid Calculator'!$E$14)/IF(A612="Lightning",100,30000))^2+((I612-'Hybrid Calculator'!$E$17)/IF(A612="Lightning",100,30000))^2</x:f>
        <x:v>0.10451583865367445</x:v>
      </x:c>
      <x:c r="K612" s="23" t="n">
        <x:f>RANK(J612,$J$2:$J$1401,1)</x:f>
        <x:v>216</x:v>
      </x:c>
      <x:c r="L612" s="23" t="n">
        <x:f>IF(K612&lt;=7,1,0)</x:f>
        <x:v>0</x:v>
      </x:c>
      <x:c r="M612" s="23" t="n">
        <x:f>IF(L612=1,1/(J612+0.000001),0)</x:f>
        <x:v>0</x:v>
      </x:c>
      <x:c r="N612" s="23" t="n">
        <x:v>0.011886201941597063</x:v>
      </x:c>
      <x:c r="O612" s="23" t="n">
        <x:f>M612</x:f>
        <x:v>0</x:v>
      </x:c>
      <x:c r="P612" s="23" t="n">
        <x:v>1.4580909448718842</x:v>
      </x:c>
      <x:c r="Q612" s="23" t="n">
        <x:v>-7.135397695048823</x:v>
      </x:c>
    </x:row>
    <x:row r="613">
      <x:c r="A613" s="23" t="str">
        <x:v>Lightning</x:v>
      </x:c>
      <x:c r="B613" s="23" t="n">
        <x:v>1496.7136073042639</x:v>
      </x:c>
      <x:c r="C613" s="23" t="n">
        <x:v>1044.6360781555995</x:v>
      </x:c>
      <x:c r="D613" s="23" t="n">
        <x:v>640.1145425625145</x:v>
      </x:c>
      <x:c r="E613" s="23" t="n">
        <x:v>207.1162866614759</x:v>
      </x:c>
      <x:c r="F613" s="23" t="n">
        <x:v>12.054352401290089</x:v>
      </x:c>
      <x:c r="G613" s="23" t="n">
        <x:v>0.8222135315975174</x:v>
      </x:c>
      <x:c r="H613" s="23" t="n">
        <x:v>35</x:v>
      </x:c>
      <x:c r="I613" s="23" t="n">
        <x:v>25</x:v>
      </x:c>
      <x:c r="J613" s="23" t="n">
        <x:f>(IF(A613='Hybrid Calculator'!$B$6,0,1))^2+((B613-'Hybrid Calculator'!$B$7)/1500)^2+((C613-'Hybrid Calculator'!$B$8)/1300)^2+((D613-'Hybrid Calculator'!$B$9)/800)^2+((E613-'Hybrid Calculator'!$B$10)/350)^2+((F613-'Hybrid Calculator'!$B$11)/30)^2+(G613-'Hybrid Calculator'!$B$12)^2+((H613-'Hybrid Calculator'!$E$14)/IF(A613="Lightning",100,30000))^2+((I613-'Hybrid Calculator'!$E$17)/IF(A613="Lightning",100,30000))^2</x:f>
        <x:v>0.15067525010550425</x:v>
      </x:c>
      <x:c r="K613" s="23" t="n">
        <x:f>RANK(J613,$J$2:$J$1401,1)</x:f>
        <x:v>329</x:v>
      </x:c>
      <x:c r="L613" s="23" t="n">
        <x:f>IF(K613&lt;=7,1,0)</x:f>
        <x:v>0</x:v>
      </x:c>
      <x:c r="M613" s="23" t="n">
        <x:f>IF(L613=1,1/(J613+0.000001),0)</x:f>
        <x:v>0</x:v>
      </x:c>
      <x:c r="N613" s="23" t="n">
        <x:v>0.012605395348791015</x:v>
      </x:c>
      <x:c r="O613" s="23" t="n">
        <x:f>M613</x:f>
        <x:v>0</x:v>
      </x:c>
      <x:c r="P613" s="23" t="n">
        <x:v>0.8954221214999336</x:v>
      </x:c>
      <x:c r="Q613" s="23" t="n">
        <x:v>-0.18225799602896586</x:v>
      </x:c>
    </x:row>
    <x:row r="614">
      <x:c r="A614" s="23" t="str">
        <x:v>Lightning</x:v>
      </x:c>
      <x:c r="B614" s="23" t="n">
        <x:v>1486.170971696265</x:v>
      </x:c>
      <x:c r="C614" s="23" t="n">
        <x:v>1128.9826598134823</x:v>
      </x:c>
      <x:c r="D614" s="23" t="n">
        <x:v>390.16628861427307</x:v>
      </x:c>
      <x:c r="E614" s="23" t="n">
        <x:v>258.7392887636088</x:v>
      </x:c>
      <x:c r="F614" s="23" t="n">
        <x:v>14.480869042687118</x:v>
      </x:c>
      <x:c r="G614" s="23" t="n">
        <x:v>0.8082533723837696</x:v>
      </x:c>
      <x:c r="H614" s="23" t="n">
        <x:v>40</x:v>
      </x:c>
      <x:c r="I614" s="23" t="n">
        <x:v>25</x:v>
      </x:c>
      <x:c r="J614" s="23" t="n">
        <x:f>(IF(A614='Hybrid Calculator'!$B$6,0,1))^2+((B614-'Hybrid Calculator'!$B$7)/1500)^2+((C614-'Hybrid Calculator'!$B$8)/1300)^2+((D614-'Hybrid Calculator'!$B$9)/800)^2+((E614-'Hybrid Calculator'!$B$10)/350)^2+((F614-'Hybrid Calculator'!$B$11)/30)^2+(G614-'Hybrid Calculator'!$B$12)^2+((H614-'Hybrid Calculator'!$E$14)/IF(A614="Lightning",100,30000))^2+((I614-'Hybrid Calculator'!$E$17)/IF(A614="Lightning",100,30000))^2</x:f>
        <x:v>0.1911768019070681</x:v>
      </x:c>
      <x:c r="K614" s="23" t="n">
        <x:f>RANK(J614,$J$2:$J$1401,1)</x:f>
        <x:v>427</x:v>
      </x:c>
      <x:c r="L614" s="23" t="n">
        <x:f>IF(K614&lt;=7,1,0)</x:f>
        <x:v>0</x:v>
      </x:c>
      <x:c r="M614" s="23" t="n">
        <x:f>IF(L614=1,1/(J614+0.000001),0)</x:f>
        <x:v>0</x:v>
      </x:c>
      <x:c r="N614" s="23" t="n">
        <x:v>0.017825292351653532</x:v>
      </x:c>
      <x:c r="O614" s="23" t="n">
        <x:f>M614</x:f>
        <x:v>0</x:v>
      </x:c>
      <x:c r="P614" s="23" t="n">
        <x:v>1.5206499164380318</x:v>
      </x:c>
      <x:c r="Q614" s="23" t="n">
        <x:v>-2.927284161769876</x:v>
      </x:c>
    </x:row>
    <x:row r="615">
      <x:c r="A615" s="23" t="str">
        <x:v>Lightning</x:v>
      </x:c>
      <x:c r="B615" s="23" t="n">
        <x:v>1372.1465834300034</x:v>
      </x:c>
      <x:c r="C615" s="23" t="n">
        <x:v>717.8407632745802</x:v>
      </x:c>
      <x:c r="D615" s="23" t="n">
        <x:v>657.6515710912645</x:v>
      </x:c>
      <x:c r="E615" s="23" t="n">
        <x:v>221.1236725980416</x:v>
      </x:c>
      <x:c r="F615" s="23" t="n">
        <x:v>24.733045858796686</x:v>
      </x:c>
      <x:c r="G615" s="23" t="n">
        <x:v>0.8102096648607403</x:v>
      </x:c>
      <x:c r="H615" s="23" t="n">
        <x:v>45</x:v>
      </x:c>
      <x:c r="I615" s="23" t="n">
        <x:v>25</x:v>
      </x:c>
      <x:c r="J615" s="23" t="n">
        <x:f>(IF(A615='Hybrid Calculator'!$B$6,0,1))^2+((B615-'Hybrid Calculator'!$B$7)/1500)^2+((C615-'Hybrid Calculator'!$B$8)/1300)^2+((D615-'Hybrid Calculator'!$B$9)/800)^2+((E615-'Hybrid Calculator'!$B$10)/350)^2+((F615-'Hybrid Calculator'!$B$11)/30)^2+(G615-'Hybrid Calculator'!$B$12)^2+((H615-'Hybrid Calculator'!$E$14)/IF(A615="Lightning",100,30000))^2+((I615-'Hybrid Calculator'!$E$17)/IF(A615="Lightning",100,30000))^2</x:f>
        <x:v>0.1374688783872609</x:v>
      </x:c>
      <x:c r="K615" s="23" t="n">
        <x:f>RANK(J615,$J$2:$J$1401,1)</x:f>
        <x:v>297</x:v>
      </x:c>
      <x:c r="L615" s="23" t="n">
        <x:f>IF(K615&lt;=7,1,0)</x:f>
        <x:v>0</x:v>
      </x:c>
      <x:c r="M615" s="23" t="n">
        <x:f>IF(L615=1,1/(J615+0.000001),0)</x:f>
        <x:v>0</x:v>
      </x:c>
      <x:c r="N615" s="23" t="n">
        <x:v>-0.007240842977567663</x:v>
      </x:c>
      <x:c r="O615" s="23" t="n">
        <x:f>M615</x:f>
        <x:v>0</x:v>
      </x:c>
      <x:c r="P615" s="23" t="n">
        <x:v>-1.0402780513379142</x:v>
      </x:c>
      <x:c r="Q615" s="23" t="n">
        <x:v>-2.754700725841076</x:v>
      </x:c>
    </x:row>
    <x:row r="616">
      <x:c r="A616" s="23" t="str">
        <x:v>Lightning</x:v>
      </x:c>
      <x:c r="B616" s="23" t="n">
        <x:v>1482.7574422582984</x:v>
      </x:c>
      <x:c r="C616" s="23" t="n">
        <x:v>890.2691569528542</x:v>
      </x:c>
      <x:c r="D616" s="23" t="n">
        <x:v>640.4130043461919</x:v>
      </x:c>
      <x:c r="E616" s="23" t="n">
        <x:v>205.30408386373892</x:v>
      </x:c>
      <x:c r="F616" s="23" t="n">
        <x:v>15.850504925474524</x:v>
      </x:c>
      <x:c r="G616" s="23" t="n">
        <x:v>0.805605452817399</x:v>
      </x:c>
      <x:c r="H616" s="23" t="n">
        <x:v>40</x:v>
      </x:c>
      <x:c r="I616" s="23" t="n">
        <x:v>25</x:v>
      </x:c>
      <x:c r="J616" s="23" t="n">
        <x:f>(IF(A616='Hybrid Calculator'!$B$6,0,1))^2+((B616-'Hybrid Calculator'!$B$7)/1500)^2+((C616-'Hybrid Calculator'!$B$8)/1300)^2+((D616-'Hybrid Calculator'!$B$9)/800)^2+((E616-'Hybrid Calculator'!$B$10)/350)^2+((F616-'Hybrid Calculator'!$B$11)/30)^2+(G616-'Hybrid Calculator'!$B$12)^2+((H616-'Hybrid Calculator'!$E$14)/IF(A616="Lightning",100,30000))^2+((I616-'Hybrid Calculator'!$E$17)/IF(A616="Lightning",100,30000))^2</x:f>
        <x:v>0.07622281244979862</x:v>
      </x:c>
      <x:c r="K616" s="23" t="n">
        <x:f>RANK(J616,$J$2:$J$1401,1)</x:f>
        <x:v>124</x:v>
      </x:c>
      <x:c r="L616" s="23" t="n">
        <x:f>IF(K616&lt;=7,1,0)</x:f>
        <x:v>0</x:v>
      </x:c>
      <x:c r="M616" s="23" t="n">
        <x:f>IF(L616=1,1/(J616+0.000001),0)</x:f>
        <x:v>0</x:v>
      </x:c>
      <x:c r="N616" s="23" t="n">
        <x:v>-0.0015723826235256588</x:v>
      </x:c>
      <x:c r="O616" s="23" t="n">
        <x:f>M616</x:f>
        <x:v>0</x:v>
      </x:c>
      <x:c r="P616" s="23" t="n">
        <x:v>-0.8140492795780148</x:v>
      </x:c>
      <x:c r="Q616" s="23" t="n">
        <x:v>-2.85310547041513</x:v>
      </x:c>
    </x:row>
    <x:row r="617">
      <x:c r="A617" s="23" t="str">
        <x:v>Lightning</x:v>
      </x:c>
      <x:c r="B617" s="23" t="n">
        <x:v>1374.6722836629488</x:v>
      </x:c>
      <x:c r="C617" s="23" t="n">
        <x:v>896.2884847307578</x:v>
      </x:c>
      <x:c r="D617" s="23" t="n">
        <x:v>376.7634750343859</x:v>
      </x:c>
      <x:c r="E617" s="23" t="n">
        <x:v>184.81800022535026</x:v>
      </x:c>
      <x:c r="F617" s="23" t="n">
        <x:v>29.194104303140193</x:v>
      </x:c>
      <x:c r="G617" s="23" t="n">
        <x:v>0.8589139812858776</x:v>
      </x:c>
      <x:c r="H617" s="23" t="n">
        <x:v>50</x:v>
      </x:c>
      <x:c r="I617" s="23" t="n">
        <x:v>25</x:v>
      </x:c>
      <x:c r="J617" s="23" t="n">
        <x:f>(IF(A617='Hybrid Calculator'!$B$6,0,1))^2+((B617-'Hybrid Calculator'!$B$7)/1500)^2+((C617-'Hybrid Calculator'!$B$8)/1300)^2+((D617-'Hybrid Calculator'!$B$9)/800)^2+((E617-'Hybrid Calculator'!$B$10)/350)^2+((F617-'Hybrid Calculator'!$B$11)/30)^2+(G617-'Hybrid Calculator'!$B$12)^2+((H617-'Hybrid Calculator'!$E$14)/IF(A617="Lightning",100,30000))^2+((I617-'Hybrid Calculator'!$E$17)/IF(A617="Lightning",100,30000))^2</x:f>
        <x:v>0.16460514458544812</x:v>
      </x:c>
      <x:c r="K617" s="23" t="n">
        <x:f>RANK(J617,$J$2:$J$1401,1)</x:f>
        <x:v>364</x:v>
      </x:c>
      <x:c r="L617" s="23" t="n">
        <x:f>IF(K617&lt;=7,1,0)</x:f>
        <x:v>0</x:v>
      </x:c>
      <x:c r="M617" s="23" t="n">
        <x:f>IF(L617=1,1/(J617+0.000001),0)</x:f>
        <x:v>0</x:v>
      </x:c>
      <x:c r="N617" s="23" t="n">
        <x:v>-0.0001690620078811378</x:v>
      </x:c>
      <x:c r="O617" s="23" t="n">
        <x:f>M617</x:f>
        <x:v>0</x:v>
      </x:c>
      <x:c r="P617" s="23" t="n">
        <x:v>-0.18593596065728946</x:v>
      </x:c>
      <x:c r="Q617" s="23" t="n">
        <x:v>-2.9122259080459116</x:v>
      </x:c>
    </x:row>
    <x:row r="618">
      <x:c r="A618" s="23" t="str">
        <x:v>Lightning</x:v>
      </x:c>
      <x:c r="B618" s="23" t="n">
        <x:v>1461.9759988971055</x:v>
      </x:c>
      <x:c r="C618" s="23" t="n">
        <x:v>751.5557350008748</x:v>
      </x:c>
      <x:c r="D618" s="23" t="n">
        <x:v>481.2286237254739</x:v>
      </x:c>
      <x:c r="E618" s="23" t="n">
        <x:v>217.0836459682323</x:v>
      </x:c>
      <x:c r="F618" s="23" t="n">
        <x:v>26.90435932762921</x:v>
      </x:c>
      <x:c r="G618" s="23" t="n">
        <x:v>0.8151469190348871</x:v>
      </x:c>
      <x:c r="H618" s="23" t="n">
        <x:v>50</x:v>
      </x:c>
      <x:c r="I618" s="23" t="n">
        <x:v>25</x:v>
      </x:c>
      <x:c r="J618" s="23" t="n">
        <x:f>(IF(A618='Hybrid Calculator'!$B$6,0,1))^2+((B618-'Hybrid Calculator'!$B$7)/1500)^2+((C618-'Hybrid Calculator'!$B$8)/1300)^2+((D618-'Hybrid Calculator'!$B$9)/800)^2+((E618-'Hybrid Calculator'!$B$10)/350)^2+((F618-'Hybrid Calculator'!$B$11)/30)^2+(G618-'Hybrid Calculator'!$B$12)^2+((H618-'Hybrid Calculator'!$E$14)/IF(A618="Lightning",100,30000))^2+((I618-'Hybrid Calculator'!$E$17)/IF(A618="Lightning",100,30000))^2</x:f>
        <x:v>0.12213410736383848</x:v>
      </x:c>
      <x:c r="K618" s="23" t="n">
        <x:f>RANK(J618,$J$2:$J$1401,1)</x:f>
        <x:v>259</x:v>
      </x:c>
      <x:c r="L618" s="23" t="n">
        <x:f>IF(K618&lt;=7,1,0)</x:f>
        <x:v>0</x:v>
      </x:c>
      <x:c r="M618" s="23" t="n">
        <x:f>IF(L618=1,1/(J618+0.000001),0)</x:f>
        <x:v>0</x:v>
      </x:c>
      <x:c r="N618" s="23" t="n">
        <x:v>-0.021456936890380085</x:v>
      </x:c>
      <x:c r="O618" s="23" t="n">
        <x:f>M618</x:f>
        <x:v>0</x:v>
      </x:c>
      <x:c r="P618" s="23" t="n">
        <x:v>-0.259919330352794</x:v>
      </x:c>
      <x:c r="Q618" s="23" t="n">
        <x:v>-10.458012661187468</x:v>
      </x:c>
    </x:row>
    <x:row r="619">
      <x:c r="A619" s="23" t="str">
        <x:v>Lightning</x:v>
      </x:c>
      <x:c r="B619" s="23" t="n">
        <x:v>1391.7720347293653</x:v>
      </x:c>
      <x:c r="C619" s="23" t="n">
        <x:v>953.2450680853799</x:v>
      </x:c>
      <x:c r="D619" s="23" t="n">
        <x:v>719.4763072766364</x:v>
      </x:c>
      <x:c r="E619" s="23" t="n">
        <x:v>232.99802017398179</x:v>
      </x:c>
      <x:c r="F619" s="23" t="n">
        <x:v>15.79214394139126</x:v>
      </x:c>
      <x:c r="G619" s="23" t="n">
        <x:v>0.8332330808276311</x:v>
      </x:c>
      <x:c r="H619" s="23" t="n">
        <x:v>40</x:v>
      </x:c>
      <x:c r="I619" s="23" t="n">
        <x:v>25</x:v>
      </x:c>
      <x:c r="J619" s="23" t="n">
        <x:f>(IF(A619='Hybrid Calculator'!$B$6,0,1))^2+((B619-'Hybrid Calculator'!$B$7)/1500)^2+((C619-'Hybrid Calculator'!$B$8)/1300)^2+((D619-'Hybrid Calculator'!$B$9)/800)^2+((E619-'Hybrid Calculator'!$B$10)/350)^2+((F619-'Hybrid Calculator'!$B$11)/30)^2+(G619-'Hybrid Calculator'!$B$12)^2+((H619-'Hybrid Calculator'!$E$14)/IF(A619="Lightning",100,30000))^2+((I619-'Hybrid Calculator'!$E$17)/IF(A619="Lightning",100,30000))^2</x:f>
        <x:v>0.1566198936024028</x:v>
      </x:c>
      <x:c r="K619" s="23" t="n">
        <x:f>RANK(J619,$J$2:$J$1401,1)</x:f>
        <x:v>346</x:v>
      </x:c>
      <x:c r="L619" s="23" t="n">
        <x:f>IF(K619&lt;=7,1,0)</x:f>
        <x:v>0</x:v>
      </x:c>
      <x:c r="M619" s="23" t="n">
        <x:f>IF(L619=1,1/(J619+0.000001),0)</x:f>
        <x:v>0</x:v>
      </x:c>
      <x:c r="N619" s="23" t="n">
        <x:v>0.012248504300977459</x:v>
      </x:c>
      <x:c r="O619" s="23" t="n">
        <x:f>M619</x:f>
        <x:v>0</x:v>
      </x:c>
      <x:c r="P619" s="23" t="n">
        <x:v>-0.5189840448137133</x:v>
      </x:c>
      <x:c r="Q619" s="23" t="n">
        <x:v>0.877688787976922</x:v>
      </x:c>
    </x:row>
    <x:row r="620">
      <x:c r="A620" s="23" t="str">
        <x:v>Lightning</x:v>
      </x:c>
      <x:c r="B620" s="23" t="n">
        <x:v>1480.5649837246165</x:v>
      </x:c>
      <x:c r="C620" s="23" t="n">
        <x:v>664.7591236629523</x:v>
      </x:c>
      <x:c r="D620" s="23" t="n">
        <x:v>709.236466512084</x:v>
      </x:c>
      <x:c r="E620" s="23" t="n">
        <x:v>188.65513485623524</x:v>
      </x:c>
      <x:c r="F620" s="23" t="n">
        <x:v>29.76799399871379</x:v>
      </x:c>
      <x:c r="G620" s="23" t="n">
        <x:v>0.8326497415150516</x:v>
      </x:c>
      <x:c r="H620" s="23" t="n">
        <x:v>45</x:v>
      </x:c>
      <x:c r="I620" s="23" t="n">
        <x:v>25</x:v>
      </x:c>
      <x:c r="J620" s="23" t="n">
        <x:f>(IF(A620='Hybrid Calculator'!$B$6,0,1))^2+((B620-'Hybrid Calculator'!$B$7)/1500)^2+((C620-'Hybrid Calculator'!$B$8)/1300)^2+((D620-'Hybrid Calculator'!$B$9)/800)^2+((E620-'Hybrid Calculator'!$B$10)/350)^2+((F620-'Hybrid Calculator'!$B$11)/30)^2+(G620-'Hybrid Calculator'!$B$12)^2+((H620-'Hybrid Calculator'!$E$14)/IF(A620="Lightning",100,30000))^2+((I620-'Hybrid Calculator'!$E$17)/IF(A620="Lightning",100,30000))^2</x:f>
        <x:v>0.24601548515259303</x:v>
      </x:c>
      <x:c r="K620" s="23" t="n">
        <x:f>RANK(J620,$J$2:$J$1401,1)</x:f>
        <x:v>530</x:v>
      </x:c>
      <x:c r="L620" s="23" t="n">
        <x:f>IF(K620&lt;=7,1,0)</x:f>
        <x:v>0</x:v>
      </x:c>
      <x:c r="M620" s="23" t="n">
        <x:f>IF(L620=1,1/(J620+0.000001),0)</x:f>
        <x:v>0</x:v>
      </x:c>
      <x:c r="N620" s="23" t="n">
        <x:v>-0.009445932472744278</x:v>
      </x:c>
      <x:c r="O620" s="23" t="n">
        <x:f>M620</x:f>
        <x:v>0</x:v>
      </x:c>
      <x:c r="P620" s="23" t="n">
        <x:v>-0.1474799869531367</x:v>
      </x:c>
      <x:c r="Q620" s="23" t="n">
        <x:v>-5.596744394724965</x:v>
      </x:c>
    </x:row>
    <x:row r="621">
      <x:c r="A621" s="23" t="str">
        <x:v>Lightning</x:v>
      </x:c>
      <x:c r="B621" s="23" t="n">
        <x:v>1492.304367700126</x:v>
      </x:c>
      <x:c r="C621" s="23" t="n">
        <x:v>656.5770755056292</x:v>
      </x:c>
      <x:c r="D621" s="23" t="n">
        <x:v>448.4924244694412</x:v>
      </x:c>
      <x:c r="E621" s="23" t="n">
        <x:v>328.2919910689816</x:v>
      </x:c>
      <x:c r="F621" s="23" t="n">
        <x:v>11.119695901405066</x:v>
      </x:c>
      <x:c r="G621" s="23" t="n">
        <x:v>0.7995893053151667</x:v>
      </x:c>
      <x:c r="H621" s="23" t="n">
        <x:v>50</x:v>
      </x:c>
      <x:c r="I621" s="23" t="n">
        <x:v>25</x:v>
      </x:c>
      <x:c r="J621" s="23" t="n">
        <x:f>(IF(A621='Hybrid Calculator'!$B$6,0,1))^2+((B621-'Hybrid Calculator'!$B$7)/1500)^2+((C621-'Hybrid Calculator'!$B$8)/1300)^2+((D621-'Hybrid Calculator'!$B$9)/800)^2+((E621-'Hybrid Calculator'!$B$10)/350)^2+((F621-'Hybrid Calculator'!$B$11)/30)^2+(G621-'Hybrid Calculator'!$B$12)^2+((H621-'Hybrid Calculator'!$E$14)/IF(A621="Lightning",100,30000))^2+((I621-'Hybrid Calculator'!$E$17)/IF(A621="Lightning",100,30000))^2</x:f>
        <x:v>0.3487279096955971</x:v>
      </x:c>
      <x:c r="K621" s="23" t="n">
        <x:f>RANK(J621,$J$2:$J$1401,1)</x:f>
        <x:v>649</x:v>
      </x:c>
      <x:c r="L621" s="23" t="n">
        <x:f>IF(K621&lt;=7,1,0)</x:f>
        <x:v>0</x:v>
      </x:c>
      <x:c r="M621" s="23" t="n">
        <x:f>IF(L621=1,1/(J621+0.000001),0)</x:f>
        <x:v>0</x:v>
      </x:c>
      <x:c r="N621" s="23" t="n">
        <x:v>0.005111525523687321</x:v>
      </x:c>
      <x:c r="O621" s="23" t="n">
        <x:f>M621</x:f>
        <x:v>0</x:v>
      </x:c>
      <x:c r="P621" s="23" t="n">
        <x:v>-0.08917828078210732</x:v>
      </x:c>
      <x:c r="Q621" s="23" t="n">
        <x:v>12.196969025302906</x:v>
      </x:c>
    </x:row>
    <x:row r="622">
      <x:c r="A622" s="23" t="str">
        <x:v>Lightning</x:v>
      </x:c>
      <x:c r="B622" s="23" t="n">
        <x:v>1499.3804526049644</x:v>
      </x:c>
      <x:c r="C622" s="23" t="n">
        <x:v>744.2240550997667</x:v>
      </x:c>
      <x:c r="D622" s="23" t="n">
        <x:v>472.31330554932356</x:v>
      </x:c>
      <x:c r="E622" s="23" t="n">
        <x:v>110.84167308406904</x:v>
      </x:c>
      <x:c r="F622" s="23" t="n">
        <x:v>11.951838284730911</x:v>
      </x:c>
      <x:c r="G622" s="23" t="n">
        <x:v>0.8053185044811108</x:v>
      </x:c>
      <x:c r="H622" s="23" t="n">
        <x:v>50</x:v>
      </x:c>
      <x:c r="I622" s="23" t="n">
        <x:v>25</x:v>
      </x:c>
      <x:c r="J622" s="23" t="n">
        <x:f>(IF(A622='Hybrid Calculator'!$B$6,0,1))^2+((B622-'Hybrid Calculator'!$B$7)/1500)^2+((C622-'Hybrid Calculator'!$B$8)/1300)^2+((D622-'Hybrid Calculator'!$B$9)/800)^2+((E622-'Hybrid Calculator'!$B$10)/350)^2+((F622-'Hybrid Calculator'!$B$11)/30)^2+(G622-'Hybrid Calculator'!$B$12)^2+((H622-'Hybrid Calculator'!$E$14)/IF(A622="Lightning",100,30000))^2+((I622-'Hybrid Calculator'!$E$17)/IF(A622="Lightning",100,30000))^2</x:f>
        <x:v>0.07065263132709226</x:v>
      </x:c>
      <x:c r="K622" s="23" t="n">
        <x:f>RANK(J622,$J$2:$J$1401,1)</x:f>
        <x:v>114</x:v>
      </x:c>
      <x:c r="L622" s="23" t="n">
        <x:f>IF(K622&lt;=7,1,0)</x:f>
        <x:v>0</x:v>
      </x:c>
      <x:c r="M622" s="23" t="n">
        <x:f>IF(L622=1,1/(J622+0.000001),0)</x:f>
        <x:v>0</x:v>
      </x:c>
      <x:c r="N622" s="23" t="n">
        <x:v>0.007798206291795173</x:v>
      </x:c>
      <x:c r="O622" s="23" t="n">
        <x:f>M622</x:f>
        <x:v>0</x:v>
      </x:c>
      <x:c r="P622" s="23" t="n">
        <x:v>0.4023233673217774</x:v>
      </x:c>
      <x:c r="Q622" s="23" t="n">
        <x:v>12.426140644511861</x:v>
      </x:c>
    </x:row>
    <x:row r="623">
      <x:c r="A623" s="23" t="str">
        <x:v>Lightning</x:v>
      </x:c>
      <x:c r="B623" s="23" t="n">
        <x:v>1465.6595417414792</x:v>
      </x:c>
      <x:c r="C623" s="23" t="n">
        <x:v>1181.2188701471314</x:v>
      </x:c>
      <x:c r="D623" s="23" t="n">
        <x:v>745.8620530553162</x:v>
      </x:c>
      <x:c r="E623" s="23" t="n">
        <x:v>316.4306808449328</x:v>
      </x:c>
      <x:c r="F623" s="23" t="n">
        <x:v>15.748435637447983</x:v>
      </x:c>
      <x:c r="G623" s="23" t="n">
        <x:v>0.8346183770662174</x:v>
      </x:c>
      <x:c r="H623" s="23" t="n">
        <x:v>30</x:v>
      </x:c>
      <x:c r="I623" s="23" t="n">
        <x:v>25</x:v>
      </x:c>
      <x:c r="J623" s="23" t="n">
        <x:f>(IF(A623='Hybrid Calculator'!$B$6,0,1))^2+((B623-'Hybrid Calculator'!$B$7)/1500)^2+((C623-'Hybrid Calculator'!$B$8)/1300)^2+((D623-'Hybrid Calculator'!$B$9)/800)^2+((E623-'Hybrid Calculator'!$B$10)/350)^2+((F623-'Hybrid Calculator'!$B$11)/30)^2+(G623-'Hybrid Calculator'!$B$12)^2+((H623-'Hybrid Calculator'!$E$14)/IF(A623="Lightning",100,30000))^2+((I623-'Hybrid Calculator'!$E$17)/IF(A623="Lightning",100,30000))^2</x:f>
        <x:v>0.4348414685659203</x:v>
      </x:c>
      <x:c r="K623" s="23" t="n">
        <x:f>RANK(J623,$J$2:$J$1401,1)</x:f>
        <x:v>695</x:v>
      </x:c>
      <x:c r="L623" s="23" t="n">
        <x:f>IF(K623&lt;=7,1,0)</x:f>
        <x:v>0</x:v>
      </x:c>
      <x:c r="M623" s="23" t="n">
        <x:f>IF(L623=1,1/(J623+0.000001),0)</x:f>
        <x:v>0</x:v>
      </x:c>
      <x:c r="N623" s="23" t="n">
        <x:v>0.014457556722206055</x:v>
      </x:c>
      <x:c r="O623" s="23" t="n">
        <x:f>M623</x:f>
        <x:v>0</x:v>
      </x:c>
      <x:c r="P623" s="23" t="n">
        <x:v>1.2091609347156762</x:v>
      </x:c>
      <x:c r="Q623" s="23" t="n">
        <x:v>-9.582226855535964</x:v>
      </x:c>
    </x:row>
    <x:row r="624">
      <x:c r="A624" s="23" t="str">
        <x:v>Lightning</x:v>
      </x:c>
      <x:c r="B624" s="23" t="n">
        <x:v>1393.5744137736037</x:v>
      </x:c>
      <x:c r="C624" s="23" t="n">
        <x:v>758.1523826462217</x:v>
      </x:c>
      <x:c r="D624" s="23" t="n">
        <x:v>379.6420827507973</x:v>
      </x:c>
      <x:c r="E624" s="23" t="n">
        <x:v>131.38622497906908</x:v>
      </x:c>
      <x:c r="F624" s="23" t="n">
        <x:v>26.933224479667842</x:v>
      </x:c>
      <x:c r="G624" s="23" t="n">
        <x:v>0.8112243643752299</x:v>
      </x:c>
      <x:c r="H624" s="23" t="n">
        <x:v>55</x:v>
      </x:c>
      <x:c r="I624" s="23" t="n">
        <x:v>25</x:v>
      </x:c>
      <x:c r="J624" s="23" t="n">
        <x:f>(IF(A624='Hybrid Calculator'!$B$6,0,1))^2+((B624-'Hybrid Calculator'!$B$7)/1500)^2+((C624-'Hybrid Calculator'!$B$8)/1300)^2+((D624-'Hybrid Calculator'!$B$9)/800)^2+((E624-'Hybrid Calculator'!$B$10)/350)^2+((F624-'Hybrid Calculator'!$B$11)/30)^2+(G624-'Hybrid Calculator'!$B$12)^2+((H624-'Hybrid Calculator'!$E$14)/IF(A624="Lightning",100,30000))^2+((I624-'Hybrid Calculator'!$E$17)/IF(A624="Lightning",100,30000))^2</x:f>
        <x:v>0.11249182150609688</x:v>
      </x:c>
      <x:c r="K624" s="23" t="n">
        <x:f>RANK(J624,$J$2:$J$1401,1)</x:f>
        <x:v>236</x:v>
      </x:c>
      <x:c r="L624" s="23" t="n">
        <x:f>IF(K624&lt;=7,1,0)</x:f>
        <x:v>0</x:v>
      </x:c>
      <x:c r="M624" s="23" t="n">
        <x:f>IF(L624=1,1/(J624+0.000001),0)</x:f>
        <x:v>0</x:v>
      </x:c>
      <x:c r="N624" s="23" t="n">
        <x:v>-0.004263072075026519</x:v>
      </x:c>
      <x:c r="O624" s="23" t="n">
        <x:f>M624</x:f>
        <x:v>0</x:v>
      </x:c>
      <x:c r="P624" s="23" t="n">
        <x:v>0.020794448409837685</x:v>
      </x:c>
      <x:c r="Q624" s="23" t="n">
        <x:v>2.8197743963708035</x:v>
      </x:c>
    </x:row>
    <x:row r="625">
      <x:c r="A625" s="23" t="str">
        <x:v>Lightning</x:v>
      </x:c>
      <x:c r="B625" s="23" t="n">
        <x:v>1439.4766106153838</x:v>
      </x:c>
      <x:c r="C625" s="23" t="n">
        <x:v>776.3439933769405</x:v>
      </x:c>
      <x:c r="D625" s="23" t="n">
        <x:v>466.31995951756835</x:v>
      </x:c>
      <x:c r="E625" s="23" t="n">
        <x:v>314.4019809970632</x:v>
      </x:c>
      <x:c r="F625" s="23" t="n">
        <x:v>9.446379428263754</x:v>
      </x:c>
      <x:c r="G625" s="23" t="n">
        <x:v>0.8342633104044944</x:v>
      </x:c>
      <x:c r="H625" s="23" t="n">
        <x:v>50</x:v>
      </x:c>
      <x:c r="I625" s="23" t="n">
        <x:v>25</x:v>
      </x:c>
      <x:c r="J625" s="23" t="n">
        <x:f>(IF(A625='Hybrid Calculator'!$B$6,0,1))^2+((B625-'Hybrid Calculator'!$B$7)/1500)^2+((C625-'Hybrid Calculator'!$B$8)/1300)^2+((D625-'Hybrid Calculator'!$B$9)/800)^2+((E625-'Hybrid Calculator'!$B$10)/350)^2+((F625-'Hybrid Calculator'!$B$11)/30)^2+(G625-'Hybrid Calculator'!$B$12)^2+((H625-'Hybrid Calculator'!$E$14)/IF(A625="Lightning",100,30000))^2+((I625-'Hybrid Calculator'!$E$17)/IF(A625="Lightning",100,30000))^2</x:f>
        <x:v>0.31699161480733845</x:v>
      </x:c>
      <x:c r="K625" s="23" t="n">
        <x:f>RANK(J625,$J$2:$J$1401,1)</x:f>
        <x:v>618</x:v>
      </x:c>
      <x:c r="L625" s="23" t="n">
        <x:f>IF(K625&lt;=7,1,0)</x:f>
        <x:v>0</x:v>
      </x:c>
      <x:c r="M625" s="23" t="n">
        <x:f>IF(L625=1,1/(J625+0.000001),0)</x:f>
        <x:v>0</x:v>
      </x:c>
      <x:c r="N625" s="23" t="n">
        <x:v>0.0007101100071322808</x:v>
      </x:c>
      <x:c r="O625" s="23" t="n">
        <x:f>M625</x:f>
        <x:v>0</x:v>
      </x:c>
      <x:c r="P625" s="23" t="n">
        <x:v>0.3238593410090971</x:v>
      </x:c>
      <x:c r="Q625" s="23" t="n">
        <x:v>12.430679341789983</x:v>
      </x:c>
    </x:row>
    <x:row r="626">
      <x:c r="A626" s="23" t="str">
        <x:v>Lightning</x:v>
      </x:c>
      <x:c r="B626" s="23" t="n">
        <x:v>1421.6292086988688</x:v>
      </x:c>
      <x:c r="C626" s="23" t="n">
        <x:v>1007.4186152196489</x:v>
      </x:c>
      <x:c r="D626" s="23" t="n">
        <x:v>733.9647190645337</x:v>
      </x:c>
      <x:c r="E626" s="23" t="n">
        <x:v>185.26755132013932</x:v>
      </x:c>
      <x:c r="F626" s="23" t="n">
        <x:v>10.629277033731341</x:v>
      </x:c>
      <x:c r="G626" s="23" t="n">
        <x:v>0.8553802133840509</x:v>
      </x:c>
      <x:c r="H626" s="23" t="n">
        <x:v>40</x:v>
      </x:c>
      <x:c r="I626" s="23" t="n">
        <x:v>25</x:v>
      </x:c>
      <x:c r="J626" s="23" t="n">
        <x:f>(IF(A626='Hybrid Calculator'!$B$6,0,1))^2+((B626-'Hybrid Calculator'!$B$7)/1500)^2+((C626-'Hybrid Calculator'!$B$8)/1300)^2+((D626-'Hybrid Calculator'!$B$9)/800)^2+((E626-'Hybrid Calculator'!$B$10)/350)^2+((F626-'Hybrid Calculator'!$B$11)/30)^2+(G626-'Hybrid Calculator'!$B$12)^2+((H626-'Hybrid Calculator'!$E$14)/IF(A626="Lightning",100,30000))^2+((I626-'Hybrid Calculator'!$E$17)/IF(A626="Lightning",100,30000))^2</x:f>
        <x:v>0.1904352442070049</x:v>
      </x:c>
      <x:c r="K626" s="23" t="n">
        <x:f>RANK(J626,$J$2:$J$1401,1)</x:f>
        <x:v>424</x:v>
      </x:c>
      <x:c r="L626" s="23" t="n">
        <x:f>IF(K626&lt;=7,1,0)</x:f>
        <x:v>0</x:v>
      </x:c>
      <x:c r="M626" s="23" t="n">
        <x:f>IF(L626=1,1/(J626+0.000001),0)</x:f>
        <x:v>0</x:v>
      </x:c>
      <x:c r="N626" s="23" t="n">
        <x:v>0.01772101512189428</x:v>
      </x:c>
      <x:c r="O626" s="23" t="n">
        <x:f>M626</x:f>
        <x:v>0</x:v>
      </x:c>
      <x:c r="P626" s="23" t="n">
        <x:v>-0.16384058074972785</x:v>
      </x:c>
      <x:c r="Q626" s="23" t="n">
        <x:v>-3.767975905577032</x:v>
      </x:c>
    </x:row>
    <x:row r="627">
      <x:c r="A627" s="23" t="str">
        <x:v>Lightning</x:v>
      </x:c>
      <x:c r="B627" s="23" t="n">
        <x:v>1493.995524442289</x:v>
      </x:c>
      <x:c r="C627" s="23" t="n">
        <x:v>971.5074872830883</x:v>
      </x:c>
      <x:c r="D627" s="23" t="n">
        <x:v>536.9009629823267</x:v>
      </x:c>
      <x:c r="E627" s="23" t="n">
        <x:v>217.39709160290658</x:v>
      </x:c>
      <x:c r="F627" s="23" t="n">
        <x:v>25.85672427387908</x:v>
      </x:c>
      <x:c r="G627" s="23" t="n">
        <x:v>0.7937083262996748</x:v>
      </x:c>
      <x:c r="H627" s="23" t="n">
        <x:v>35</x:v>
      </x:c>
      <x:c r="I627" s="23" t="n">
        <x:v>25</x:v>
      </x:c>
      <x:c r="J627" s="23" t="n">
        <x:f>(IF(A627='Hybrid Calculator'!$B$6,0,1))^2+((B627-'Hybrid Calculator'!$B$7)/1500)^2+((C627-'Hybrid Calculator'!$B$8)/1300)^2+((D627-'Hybrid Calculator'!$B$9)/800)^2+((E627-'Hybrid Calculator'!$B$10)/350)^2+((F627-'Hybrid Calculator'!$B$11)/30)^2+(G627-'Hybrid Calculator'!$B$12)^2+((H627-'Hybrid Calculator'!$E$14)/IF(A627="Lightning",100,30000))^2+((I627-'Hybrid Calculator'!$E$17)/IF(A627="Lightning",100,30000))^2</x:f>
        <x:v>0.13338617485667545</x:v>
      </x:c>
      <x:c r="K627" s="23" t="n">
        <x:f>RANK(J627,$J$2:$J$1401,1)</x:f>
        <x:v>286</x:v>
      </x:c>
      <x:c r="L627" s="23" t="n">
        <x:f>IF(K627&lt;=7,1,0)</x:f>
        <x:v>0</x:v>
      </x:c>
      <x:c r="M627" s="23" t="n">
        <x:f>IF(L627=1,1/(J627+0.000001),0)</x:f>
        <x:v>0</x:v>
      </x:c>
      <x:c r="N627" s="23" t="n">
        <x:v>-0.008262183804092382</x:v>
      </x:c>
      <x:c r="O627" s="23" t="n">
        <x:f>M627</x:f>
        <x:v>0</x:v>
      </x:c>
      <x:c r="P627" s="23" t="n">
        <x:v>-0.8348897442454373</x:v>
      </x:c>
      <x:c r="Q627" s="23" t="n">
        <x:v>-21.77635054802613</x:v>
      </x:c>
    </x:row>
    <x:row r="628">
      <x:c r="A628" s="23" t="str">
        <x:v>Lightning</x:v>
      </x:c>
      <x:c r="B628" s="23" t="n">
        <x:v>1447.6127420319244</x:v>
      </x:c>
      <x:c r="C628" s="23" t="n">
        <x:v>967.6438347087242</x:v>
      </x:c>
      <x:c r="D628" s="23" t="n">
        <x:v>508.4078285843134</x:v>
      </x:c>
      <x:c r="E628" s="23" t="n">
        <x:v>258.3134333672933</x:v>
      </x:c>
      <x:c r="F628" s="23" t="n">
        <x:v>27.94895646814257</x:v>
      </x:c>
      <x:c r="G628" s="23" t="n">
        <x:v>0.8471410967665725</x:v>
      </x:c>
      <x:c r="H628" s="23" t="n">
        <x:v>40</x:v>
      </x:c>
      <x:c r="I628" s="23" t="n">
        <x:v>25</x:v>
      </x:c>
      <x:c r="J628" s="23" t="n">
        <x:f>(IF(A628='Hybrid Calculator'!$B$6,0,1))^2+((B628-'Hybrid Calculator'!$B$7)/1500)^2+((C628-'Hybrid Calculator'!$B$8)/1300)^2+((D628-'Hybrid Calculator'!$B$9)/800)^2+((E628-'Hybrid Calculator'!$B$10)/350)^2+((F628-'Hybrid Calculator'!$B$11)/30)^2+(G628-'Hybrid Calculator'!$B$12)^2+((H628-'Hybrid Calculator'!$E$14)/IF(A628="Lightning",100,30000))^2+((I628-'Hybrid Calculator'!$E$17)/IF(A628="Lightning",100,30000))^2</x:f>
        <x:v>0.2142366285608607</x:v>
      </x:c>
      <x:c r="K628" s="23" t="n">
        <x:f>RANK(J628,$J$2:$J$1401,1)</x:f>
        <x:v>478</x:v>
      </x:c>
      <x:c r="L628" s="23" t="n">
        <x:f>IF(K628&lt;=7,1,0)</x:f>
        <x:v>0</x:v>
      </x:c>
      <x:c r="M628" s="23" t="n">
        <x:f>IF(L628=1,1/(J628+0.000001),0)</x:f>
        <x:v>0</x:v>
      </x:c>
      <x:c r="N628" s="23" t="n">
        <x:v>-0.007713560506253492</x:v>
      </x:c>
      <x:c r="O628" s="23" t="n">
        <x:f>M628</x:f>
        <x:v>0</x:v>
      </x:c>
      <x:c r="P628" s="23" t="n">
        <x:v>-0.904523206805159</x:v>
      </x:c>
      <x:c r="Q628" s="23" t="n">
        <x:v>-10.849210259916163</x:v>
      </x:c>
    </x:row>
    <x:row r="629">
      <x:c r="A629" s="23" t="str">
        <x:v>Lightning</x:v>
      </x:c>
      <x:c r="B629" s="23" t="n">
        <x:v>1464.6777313551866</x:v>
      </x:c>
      <x:c r="C629" s="23" t="n">
        <x:v>1190.174813894555</x:v>
      </x:c>
      <x:c r="D629" s="23" t="n">
        <x:v>525.7181639783084</x:v>
      </x:c>
      <x:c r="E629" s="23" t="n">
        <x:v>187.07698937039822</x:v>
      </x:c>
      <x:c r="F629" s="23" t="n">
        <x:v>19.85789046762511</x:v>
      </x:c>
      <x:c r="G629" s="23" t="n">
        <x:v>0.8546676516532898</x:v>
      </x:c>
      <x:c r="H629" s="23" t="n">
        <x:v>40</x:v>
      </x:c>
      <x:c r="I629" s="23" t="n">
        <x:v>25</x:v>
      </x:c>
      <x:c r="J629" s="23" t="n">
        <x:f>(IF(A629='Hybrid Calculator'!$B$6,0,1))^2+((B629-'Hybrid Calculator'!$B$7)/1500)^2+((C629-'Hybrid Calculator'!$B$8)/1300)^2+((D629-'Hybrid Calculator'!$B$9)/800)^2+((E629-'Hybrid Calculator'!$B$10)/350)^2+((F629-'Hybrid Calculator'!$B$11)/30)^2+(G629-'Hybrid Calculator'!$B$12)^2+((H629-'Hybrid Calculator'!$E$14)/IF(A629="Lightning",100,30000))^2+((I629-'Hybrid Calculator'!$E$17)/IF(A629="Lightning",100,30000))^2</x:f>
        <x:v>0.09467855113585169</x:v>
      </x:c>
      <x:c r="K629" s="23" t="n">
        <x:f>RANK(J629,$J$2:$J$1401,1)</x:f>
        <x:v>187</x:v>
      </x:c>
      <x:c r="L629" s="23" t="n">
        <x:f>IF(K629&lt;=7,1,0)</x:f>
        <x:v>0</x:v>
      </x:c>
      <x:c r="M629" s="23" t="n">
        <x:f>IF(L629=1,1/(J629+0.000001),0)</x:f>
        <x:v>0</x:v>
      </x:c>
      <x:c r="N629" s="23" t="n">
        <x:v>0.011474813923990856</x:v>
      </x:c>
      <x:c r="O629" s="23" t="n">
        <x:f>M629</x:f>
        <x:v>0</x:v>
      </x:c>
      <x:c r="P629" s="23" t="n">
        <x:v>1.1128303404426774</x:v>
      </x:c>
      <x:c r="Q629" s="23" t="n">
        <x:v>-3.7214429197563277</x:v>
      </x:c>
    </x:row>
    <x:row r="630">
      <x:c r="A630" s="23" t="str">
        <x:v>Lightning</x:v>
      </x:c>
      <x:c r="B630" s="23" t="n">
        <x:v>1489.8794818203896</x:v>
      </x:c>
      <x:c r="C630" s="23" t="n">
        <x:v>946.1782132158987</x:v>
      </x:c>
      <x:c r="D630" s="23" t="n">
        <x:v>376.9522314891219</x:v>
      </x:c>
      <x:c r="E630" s="23" t="n">
        <x:v>303.46663736971095</x:v>
      </x:c>
      <x:c r="F630" s="23" t="n">
        <x:v>17.995463397353888</x:v>
      </x:c>
      <x:c r="G630" s="23" t="n">
        <x:v>0.808788559625391</x:v>
      </x:c>
      <x:c r="H630" s="23" t="n">
        <x:v>40</x:v>
      </x:c>
      <x:c r="I630" s="23" t="n">
        <x:v>25</x:v>
      </x:c>
      <x:c r="J630" s="23" t="n">
        <x:f>(IF(A630='Hybrid Calculator'!$B$6,0,1))^2+((B630-'Hybrid Calculator'!$B$7)/1500)^2+((C630-'Hybrid Calculator'!$B$8)/1300)^2+((D630-'Hybrid Calculator'!$B$9)/800)^2+((E630-'Hybrid Calculator'!$B$10)/350)^2+((F630-'Hybrid Calculator'!$B$11)/30)^2+(G630-'Hybrid Calculator'!$B$12)^2+((H630-'Hybrid Calculator'!$E$14)/IF(A630="Lightning",100,30000))^2+((I630-'Hybrid Calculator'!$E$17)/IF(A630="Lightning",100,30000))^2</x:f>
        <x:v>0.2336716019054687</x:v>
      </x:c>
      <x:c r="K630" s="23" t="n">
        <x:f>RANK(J630,$J$2:$J$1401,1)</x:f>
        <x:v>511</x:v>
      </x:c>
      <x:c r="L630" s="23" t="n">
        <x:f>IF(K630&lt;=7,1,0)</x:f>
        <x:v>0</x:v>
      </x:c>
      <x:c r="M630" s="23" t="n">
        <x:f>IF(L630=1,1/(J630+0.000001),0)</x:f>
        <x:v>0</x:v>
      </x:c>
      <x:c r="N630" s="23" t="n">
        <x:v>-0.00963118870212143</x:v>
      </x:c>
      <x:c r="O630" s="23" t="n">
        <x:f>M630</x:f>
        <x:v>0</x:v>
      </x:c>
      <x:c r="P630" s="23" t="n">
        <x:v>0.29041682038349137</x:v>
      </x:c>
      <x:c r="Q630" s="23" t="n">
        <x:v>-5.821764595817967</x:v>
      </x:c>
    </x:row>
    <x:row r="631">
      <x:c r="A631" s="23" t="str">
        <x:v>Lightning</x:v>
      </x:c>
      <x:c r="B631" s="23" t="n">
        <x:v>1354.515347268898</x:v>
      </x:c>
      <x:c r="C631" s="23" t="n">
        <x:v>789.8994865594432</x:v>
      </x:c>
      <x:c r="D631" s="23" t="n">
        <x:v>470.805870462209</x:v>
      </x:c>
      <x:c r="E631" s="23" t="n">
        <x:v>133.7239359691739</x:v>
      </x:c>
      <x:c r="F631" s="23" t="n">
        <x:v>20.631175252143294</x:v>
      </x:c>
      <x:c r="G631" s="23" t="n">
        <x:v>0.8478456747857854</x:v>
      </x:c>
      <x:c r="H631" s="23" t="n">
        <x:v>60</x:v>
      </x:c>
      <x:c r="I631" s="23" t="n">
        <x:v>25</x:v>
      </x:c>
      <x:c r="J631" s="23" t="n">
        <x:f>(IF(A631='Hybrid Calculator'!$B$6,0,1))^2+((B631-'Hybrid Calculator'!$B$7)/1500)^2+((C631-'Hybrid Calculator'!$B$8)/1300)^2+((D631-'Hybrid Calculator'!$B$9)/800)^2+((E631-'Hybrid Calculator'!$B$10)/350)^2+((F631-'Hybrid Calculator'!$B$11)/30)^2+(G631-'Hybrid Calculator'!$B$12)^2+((H631-'Hybrid Calculator'!$E$14)/IF(A631="Lightning",100,30000))^2+((I631-'Hybrid Calculator'!$E$17)/IF(A631="Lightning",100,30000))^2</x:f>
        <x:v>0.023661551995114802</x:v>
      </x:c>
      <x:c r="K631" s="23" t="n">
        <x:f>RANK(J631,$J$2:$J$1401,1)</x:f>
        <x:v>13</x:v>
      </x:c>
      <x:c r="L631" s="23" t="n">
        <x:f>IF(K631&lt;=7,1,0)</x:f>
        <x:v>0</x:v>
      </x:c>
      <x:c r="M631" s="23" t="n">
        <x:f>IF(L631=1,1/(J631+0.000001),0)</x:f>
        <x:v>0</x:v>
      </x:c>
      <x:c r="N631" s="23" t="n">
        <x:v>-0.009270627373402895</x:v>
      </x:c>
      <x:c r="O631" s="23" t="n">
        <x:f>M631</x:f>
        <x:v>0</x:v>
      </x:c>
      <x:c r="P631" s="23" t="n">
        <x:v>-1.3617811115951</x:v>
      </x:c>
      <x:c r="Q631" s="23" t="n">
        <x:v>1.674388175450531</x:v>
      </x:c>
    </x:row>
    <x:row r="632">
      <x:c r="A632" s="23" t="str">
        <x:v>Lightning</x:v>
      </x:c>
      <x:c r="B632" s="23" t="n">
        <x:v>1452.0514244679362</x:v>
      </x:c>
      <x:c r="C632" s="23" t="n">
        <x:v>1175.131645228248</x:v>
      </x:c>
      <x:c r="D632" s="23" t="n">
        <x:v>660.903219692409</x:v>
      </x:c>
      <x:c r="E632" s="23" t="n">
        <x:v>252.61606018291786</x:v>
      </x:c>
      <x:c r="F632" s="23" t="n">
        <x:v>12.980180881917477</x:v>
      </x:c>
      <x:c r="G632" s="23" t="n">
        <x:v>0.8497417198331095</x:v>
      </x:c>
      <x:c r="H632" s="23" t="n">
        <x:v>35</x:v>
      </x:c>
      <x:c r="I632" s="23" t="n">
        <x:v>25</x:v>
      </x:c>
      <x:c r="J632" s="23" t="n">
        <x:f>(IF(A632='Hybrid Calculator'!$B$6,0,1))^2+((B632-'Hybrid Calculator'!$B$7)/1500)^2+((C632-'Hybrid Calculator'!$B$8)/1300)^2+((D632-'Hybrid Calculator'!$B$9)/800)^2+((E632-'Hybrid Calculator'!$B$10)/350)^2+((F632-'Hybrid Calculator'!$B$11)/30)^2+(G632-'Hybrid Calculator'!$B$12)^2+((H632-'Hybrid Calculator'!$E$14)/IF(A632="Lightning",100,30000))^2+((I632-'Hybrid Calculator'!$E$17)/IF(A632="Lightning",100,30000))^2</x:f>
        <x:v>0.24652675330155208</x:v>
      </x:c>
      <x:c r="K632" s="23" t="n">
        <x:f>RANK(J632,$J$2:$J$1401,1)</x:f>
        <x:v>532</x:v>
      </x:c>
      <x:c r="L632" s="23" t="n">
        <x:f>IF(K632&lt;=7,1,0)</x:f>
        <x:v>0</x:v>
      </x:c>
      <x:c r="M632" s="23" t="n">
        <x:f>IF(L632=1,1/(J632+0.000001),0)</x:f>
        <x:v>0</x:v>
      </x:c>
      <x:c r="N632" s="23" t="n">
        <x:v>0.01145147752515796</x:v>
      </x:c>
      <x:c r="O632" s="23" t="n">
        <x:f>M632</x:f>
        <x:v>0</x:v>
      </x:c>
      <x:c r="P632" s="23" t="n">
        <x:v>0.5777043151178702</x:v>
      </x:c>
      <x:c r="Q632" s="23" t="n">
        <x:v>-4.893519813321518</x:v>
      </x:c>
    </x:row>
    <x:row r="633">
      <x:c r="A633" s="23" t="str">
        <x:v>Lightning</x:v>
      </x:c>
      <x:c r="B633" s="23" t="n">
        <x:v>1482.379445352126</x:v>
      </x:c>
      <x:c r="C633" s="23" t="n">
        <x:v>1170.6347543513402</x:v>
      </x:c>
      <x:c r="D633" s="23" t="n">
        <x:v>391.8035981245339</x:v>
      </x:c>
      <x:c r="E633" s="23" t="n">
        <x:v>97.87214307114482</x:v>
      </x:c>
      <x:c r="F633" s="23" t="n">
        <x:v>24.540699167642742</x:v>
      </x:c>
      <x:c r="G633" s="23" t="n">
        <x:v>0.81060391434934</x:v>
      </x:c>
      <x:c r="H633" s="23" t="n">
        <x:v>40</x:v>
      </x:c>
      <x:c r="I633" s="23" t="n">
        <x:v>25</x:v>
      </x:c>
      <x:c r="J633" s="23" t="n">
        <x:f>(IF(A633='Hybrid Calculator'!$B$6,0,1))^2+((B633-'Hybrid Calculator'!$B$7)/1500)^2+((C633-'Hybrid Calculator'!$B$8)/1300)^2+((D633-'Hybrid Calculator'!$B$9)/800)^2+((E633-'Hybrid Calculator'!$B$10)/350)^2+((F633-'Hybrid Calculator'!$B$11)/30)^2+(G633-'Hybrid Calculator'!$B$12)^2+((H633-'Hybrid Calculator'!$E$14)/IF(A633="Lightning",100,30000))^2+((I633-'Hybrid Calculator'!$E$17)/IF(A633="Lightning",100,30000))^2</x:f>
        <x:v>0.15340190308105547</x:v>
      </x:c>
      <x:c r="K633" s="23" t="n">
        <x:f>RANK(J633,$J$2:$J$1401,1)</x:f>
        <x:v>334</x:v>
      </x:c>
      <x:c r="L633" s="23" t="n">
        <x:f>IF(K633&lt;=7,1,0)</x:f>
        <x:v>0</x:v>
      </x:c>
      <x:c r="M633" s="23" t="n">
        <x:f>IF(L633=1,1/(J633+0.000001),0)</x:f>
        <x:v>0</x:v>
      </x:c>
      <x:c r="N633" s="23" t="n">
        <x:v>-0.009736501639905804</x:v>
      </x:c>
      <x:c r="O633" s="23" t="n">
        <x:f>M633</x:f>
        <x:v>0</x:v>
      </x:c>
      <x:c r="P633" s="23" t="n">
        <x:v>0.987499840597799</x:v>
      </x:c>
      <x:c r="Q633" s="23" t="n">
        <x:v>-1.4490107676754178</x:v>
      </x:c>
    </x:row>
    <x:row r="634">
      <x:c r="A634" s="23" t="str">
        <x:v>Lightning</x:v>
      </x:c>
      <x:c r="B634" s="23" t="n">
        <x:v>1466.9640003936365</x:v>
      </x:c>
      <x:c r="C634" s="23" t="n">
        <x:v>765.3834596392699</x:v>
      </x:c>
      <x:c r="D634" s="23" t="n">
        <x:v>538.6770695447922</x:v>
      </x:c>
      <x:c r="E634" s="23" t="n">
        <x:v>201.00702145835385</x:v>
      </x:c>
      <x:c r="F634" s="23" t="n">
        <x:v>9.884076449088752</x:v>
      </x:c>
      <x:c r="G634" s="23" t="n">
        <x:v>0.8521883654571138</x:v>
      </x:c>
      <x:c r="H634" s="23" t="n">
        <x:v>50</x:v>
      </x:c>
      <x:c r="I634" s="23" t="n">
        <x:v>25</x:v>
      </x:c>
      <x:c r="J634" s="23" t="n">
        <x:f>(IF(A634='Hybrid Calculator'!$B$6,0,1))^2+((B634-'Hybrid Calculator'!$B$7)/1500)^2+((C634-'Hybrid Calculator'!$B$8)/1300)^2+((D634-'Hybrid Calculator'!$B$9)/800)^2+((E634-'Hybrid Calculator'!$B$10)/350)^2+((F634-'Hybrid Calculator'!$B$11)/30)^2+(G634-'Hybrid Calculator'!$B$12)^2+((H634-'Hybrid Calculator'!$E$14)/IF(A634="Lightning",100,30000))^2+((I634-'Hybrid Calculator'!$E$17)/IF(A634="Lightning",100,30000))^2</x:f>
        <x:v>0.11211365399243214</x:v>
      </x:c>
      <x:c r="K634" s="23" t="n">
        <x:f>RANK(J634,$J$2:$J$1401,1)</x:f>
        <x:v>234</x:v>
      </x:c>
      <x:c r="L634" s="23" t="n">
        <x:f>IF(K634&lt;=7,1,0)</x:f>
        <x:v>0</x:v>
      </x:c>
      <x:c r="M634" s="23" t="n">
        <x:f>IF(L634=1,1/(J634+0.000001),0)</x:f>
        <x:v>0</x:v>
      </x:c>
      <x:c r="N634" s="23" t="n">
        <x:v>0.014462329884163516</x:v>
      </x:c>
      <x:c r="O634" s="23" t="n">
        <x:f>M634</x:f>
        <x:v>0</x:v>
      </x:c>
      <x:c r="P634" s="23" t="n">
        <x:v>-1.3090560625131502</x:v>
      </x:c>
      <x:c r="Q634" s="23" t="n">
        <x:v>15.009696311108883</x:v>
      </x:c>
    </x:row>
    <x:row r="635">
      <x:c r="A635" s="23" t="str">
        <x:v>Lightning</x:v>
      </x:c>
      <x:c r="B635" s="23" t="n">
        <x:v>1388.2330079446547</x:v>
      </x:c>
      <x:c r="C635" s="23" t="n">
        <x:v>959.4901797361672</x:v>
      </x:c>
      <x:c r="D635" s="23" t="n">
        <x:v>531.4581698738039</x:v>
      </x:c>
      <x:c r="E635" s="23" t="n">
        <x:v>176.64773906115443</x:v>
      </x:c>
      <x:c r="F635" s="23" t="n">
        <x:v>20.04524299269542</x:v>
      </x:c>
      <x:c r="G635" s="23" t="n">
        <x:v>0.794091537380591</x:v>
      </x:c>
      <x:c r="H635" s="23" t="n">
        <x:v>45</x:v>
      </x:c>
      <x:c r="I635" s="23" t="n">
        <x:v>25</x:v>
      </x:c>
      <x:c r="J635" s="23" t="n">
        <x:f>(IF(A635='Hybrid Calculator'!$B$6,0,1))^2+((B635-'Hybrid Calculator'!$B$7)/1500)^2+((C635-'Hybrid Calculator'!$B$8)/1300)^2+((D635-'Hybrid Calculator'!$B$9)/800)^2+((E635-'Hybrid Calculator'!$B$10)/350)^2+((F635-'Hybrid Calculator'!$B$11)/30)^2+(G635-'Hybrid Calculator'!$B$12)^2+((H635-'Hybrid Calculator'!$E$14)/IF(A635="Lightning",100,30000))^2+((I635-'Hybrid Calculator'!$E$17)/IF(A635="Lightning",100,30000))^2</x:f>
        <x:v>0.020861714655950818</x:v>
      </x:c>
      <x:c r="K635" s="23" t="n">
        <x:f>RANK(J635,$J$2:$J$1401,1)</x:f>
        <x:v>8</x:v>
      </x:c>
      <x:c r="L635" s="23" t="n">
        <x:f>IF(K635&lt;=7,1,0)</x:f>
        <x:v>0</x:v>
      </x:c>
      <x:c r="M635" s="23" t="n">
        <x:f>IF(L635=1,1/(J635+0.000001),0)</x:f>
        <x:v>0</x:v>
      </x:c>
      <x:c r="N635" s="23" t="n">
        <x:v>0.0033247230831614516</x:v>
      </x:c>
      <x:c r="O635" s="23" t="n">
        <x:f>M635</x:f>
        <x:v>0</x:v>
      </x:c>
      <x:c r="P635" s="23" t="n">
        <x:v>0.3183139495413272</x:v>
      </x:c>
      <x:c r="Q635" s="23" t="n">
        <x:v>-10.207810052583454</x:v>
      </x:c>
    </x:row>
    <x:row r="636">
      <x:c r="A636" s="23" t="str">
        <x:v>Lightning</x:v>
      </x:c>
      <x:c r="B636" s="23" t="n">
        <x:v>1365.1737766340375</x:v>
      </x:c>
      <x:c r="C636" s="23" t="n">
        <x:v>669.1685244790278</x:v>
      </x:c>
      <x:c r="D636" s="23" t="n">
        <x:v>560.2477760985494</x:v>
      </x:c>
      <x:c r="E636" s="23" t="n">
        <x:v>313.71101688826457</x:v>
      </x:c>
      <x:c r="F636" s="23" t="n">
        <x:v>20.26745799742639</x:v>
      </x:c>
      <x:c r="G636" s="23" t="n">
        <x:v>0.8527348322537728</x:v>
      </x:c>
      <x:c r="H636" s="23" t="n">
        <x:v>50</x:v>
      </x:c>
      <x:c r="I636" s="23" t="n">
        <x:v>25</x:v>
      </x:c>
      <x:c r="J636" s="23" t="n">
        <x:f>(IF(A636='Hybrid Calculator'!$B$6,0,1))^2+((B636-'Hybrid Calculator'!$B$7)/1500)^2+((C636-'Hybrid Calculator'!$B$8)/1300)^2+((D636-'Hybrid Calculator'!$B$9)/800)^2+((E636-'Hybrid Calculator'!$B$10)/350)^2+((F636-'Hybrid Calculator'!$B$11)/30)^2+(G636-'Hybrid Calculator'!$B$12)^2+((H636-'Hybrid Calculator'!$E$14)/IF(A636="Lightning",100,30000))^2+((I636-'Hybrid Calculator'!$E$17)/IF(A636="Lightning",100,30000))^2</x:f>
        <x:v>0.24994010129327437</x:v>
      </x:c>
      <x:c r="K636" s="23" t="n">
        <x:f>RANK(J636,$J$2:$J$1401,1)</x:f>
        <x:v>540</x:v>
      </x:c>
      <x:c r="L636" s="23" t="n">
        <x:f>IF(K636&lt;=7,1,0)</x:f>
        <x:v>0</x:v>
      </x:c>
      <x:c r="M636" s="23" t="n">
        <x:f>IF(L636=1,1/(J636+0.000001),0)</x:f>
        <x:v>0</x:v>
      </x:c>
      <x:c r="N636" s="23" t="n">
        <x:v>-0.007084697876532653</x:v>
      </x:c>
      <x:c r="O636" s="23" t="n">
        <x:f>M636</x:f>
        <x:v>0</x:v>
      </x:c>
      <x:c r="P636" s="23" t="n">
        <x:v>-0.32661210234427074</x:v>
      </x:c>
      <x:c r="Q636" s="23" t="n">
        <x:v>4.034372549459022</x:v>
      </x:c>
    </x:row>
    <x:row r="637">
      <x:c r="A637" s="23" t="str">
        <x:v>Lightning</x:v>
      </x:c>
      <x:c r="B637" s="23" t="n">
        <x:v>1391.369795857463</x:v>
      </x:c>
      <x:c r="C637" s="23" t="n">
        <x:v>1227.7259715134278</x:v>
      </x:c>
      <x:c r="D637" s="23" t="n">
        <x:v>643.0323512293398</x:v>
      </x:c>
      <x:c r="E637" s="23" t="n">
        <x:v>185.53575376980007</x:v>
      </x:c>
      <x:c r="F637" s="23" t="n">
        <x:v>26.441338930744678</x:v>
      </x:c>
      <x:c r="G637" s="23" t="n">
        <x:v>0.7991547055961564</x:v>
      </x:c>
      <x:c r="H637" s="23" t="n">
        <x:v>35</x:v>
      </x:c>
      <x:c r="I637" s="23" t="n">
        <x:v>25</x:v>
      </x:c>
      <x:c r="J637" s="23" t="n">
        <x:f>(IF(A637='Hybrid Calculator'!$B$6,0,1))^2+((B637-'Hybrid Calculator'!$B$7)/1500)^2+((C637-'Hybrid Calculator'!$B$8)/1300)^2+((D637-'Hybrid Calculator'!$B$9)/800)^2+((E637-'Hybrid Calculator'!$B$10)/350)^2+((F637-'Hybrid Calculator'!$B$11)/30)^2+(G637-'Hybrid Calculator'!$B$12)^2+((H637-'Hybrid Calculator'!$E$14)/IF(A637="Lightning",100,30000))^2+((I637-'Hybrid Calculator'!$E$17)/IF(A637="Lightning",100,30000))^2</x:f>
        <x:v>0.22020797598598416</x:v>
      </x:c>
      <x:c r="K637" s="23" t="n">
        <x:f>RANK(J637,$J$2:$J$1401,1)</x:f>
        <x:v>487</x:v>
      </x:c>
      <x:c r="L637" s="23" t="n">
        <x:f>IF(K637&lt;=7,1,0)</x:f>
        <x:v>0</x:v>
      </x:c>
      <x:c r="M637" s="23" t="n">
        <x:f>IF(L637=1,1/(J637+0.000001),0)</x:f>
        <x:v>0</x:v>
      </x:c>
      <x:c r="N637" s="23" t="n">
        <x:v>0.0002535412745747756</x:v>
      </x:c>
      <x:c r="O637" s="23" t="n">
        <x:f>M637</x:f>
        <x:v>0</x:v>
      </x:c>
      <x:c r="P637" s="23" t="n">
        <x:v>1.8412261623892263</x:v>
      </x:c>
      <x:c r="Q637" s="23" t="n">
        <x:v>-20.148414908651603</x:v>
      </x:c>
    </x:row>
    <x:row r="638">
      <x:c r="A638" s="23" t="str">
        <x:v>Lightning</x:v>
      </x:c>
      <x:c r="B638" s="23" t="n">
        <x:v>1441.6739317355677</x:v>
      </x:c>
      <x:c r="C638" s="23" t="n">
        <x:v>975.4068146110512</x:v>
      </x:c>
      <x:c r="D638" s="23" t="n">
        <x:v>707.8674722462893</x:v>
      </x:c>
      <x:c r="E638" s="23" t="n">
        <x:v>235.41746484814212</x:v>
      </x:c>
      <x:c r="F638" s="23" t="n">
        <x:v>13.693014533258975</x:v>
      </x:c>
      <x:c r="G638" s="23" t="n">
        <x:v>0.7906664900365286</x:v>
      </x:c>
      <x:c r="H638" s="23" t="n">
        <x:v>35</x:v>
      </x:c>
      <x:c r="I638" s="23" t="n">
        <x:v>25</x:v>
      </x:c>
      <x:c r="J638" s="23" t="n">
        <x:f>(IF(A638='Hybrid Calculator'!$B$6,0,1))^2+((B638-'Hybrid Calculator'!$B$7)/1500)^2+((C638-'Hybrid Calculator'!$B$8)/1300)^2+((D638-'Hybrid Calculator'!$B$9)/800)^2+((E638-'Hybrid Calculator'!$B$10)/350)^2+((F638-'Hybrid Calculator'!$B$11)/30)^2+(G638-'Hybrid Calculator'!$B$12)^2+((H638-'Hybrid Calculator'!$E$14)/IF(A638="Lightning",100,30000))^2+((I638-'Hybrid Calculator'!$E$17)/IF(A638="Lightning",100,30000))^2</x:f>
        <x:v>0.18553866273056285</x:v>
      </x:c>
      <x:c r="K638" s="23" t="n">
        <x:f>RANK(J638,$J$2:$J$1401,1)</x:f>
        <x:v>417</x:v>
      </x:c>
      <x:c r="L638" s="23" t="n">
        <x:f>IF(K638&lt;=7,1,0)</x:f>
        <x:v>0</x:v>
      </x:c>
      <x:c r="M638" s="23" t="n">
        <x:f>IF(L638=1,1/(J638+0.000001),0)</x:f>
        <x:v>0</x:v>
      </x:c>
      <x:c r="N638" s="23" t="n">
        <x:v>0.016092843280591795</x:v>
      </x:c>
      <x:c r="O638" s="23" t="n">
        <x:f>M638</x:f>
        <x:v>0</x:v>
      </x:c>
      <x:c r="P638" s="23" t="n">
        <x:v>1.19689869401315</x:v>
      </x:c>
      <x:c r="Q638" s="23" t="n">
        <x:v>5.602363453933322</x:v>
      </x:c>
    </x:row>
    <x:row r="639">
      <x:c r="A639" s="23" t="str">
        <x:v>Lightning</x:v>
      </x:c>
      <x:c r="B639" s="23" t="n">
        <x:v>1441.508211416658</x:v>
      </x:c>
      <x:c r="C639" s="23" t="n">
        <x:v>994.4135372992605</x:v>
      </x:c>
      <x:c r="D639" s="23" t="n">
        <x:v>532.5336824171245</x:v>
      </x:c>
      <x:c r="E639" s="23" t="n">
        <x:v>312.5953458203003</x:v>
      </x:c>
      <x:c r="F639" s="23" t="n">
        <x:v>14.777630511205643</x:v>
      </x:c>
      <x:c r="G639" s="23" t="n">
        <x:v>0.8110641453787685</x:v>
      </x:c>
      <x:c r="H639" s="23" t="n">
        <x:v>40</x:v>
      </x:c>
      <x:c r="I639" s="23" t="n">
        <x:v>25</x:v>
      </x:c>
      <x:c r="J639" s="23" t="n">
        <x:f>(IF(A639='Hybrid Calculator'!$B$6,0,1))^2+((B639-'Hybrid Calculator'!$B$7)/1500)^2+((C639-'Hybrid Calculator'!$B$8)/1300)^2+((D639-'Hybrid Calculator'!$B$9)/800)^2+((E639-'Hybrid Calculator'!$B$10)/350)^2+((F639-'Hybrid Calculator'!$B$11)/30)^2+(G639-'Hybrid Calculator'!$B$12)^2+((H639-'Hybrid Calculator'!$E$14)/IF(A639="Lightning",100,30000))^2+((I639-'Hybrid Calculator'!$E$17)/IF(A639="Lightning",100,30000))^2</x:f>
        <x:v>0.2554050305466594</x:v>
      </x:c>
      <x:c r="K639" s="23" t="n">
        <x:f>RANK(J639,$J$2:$J$1401,1)</x:f>
        <x:v>552</x:v>
      </x:c>
      <x:c r="L639" s="23" t="n">
        <x:f>IF(K639&lt;=7,1,0)</x:f>
        <x:v>0</x:v>
      </x:c>
      <x:c r="M639" s="23" t="n">
        <x:f>IF(L639=1,1/(J639+0.000001),0)</x:f>
        <x:v>0</x:v>
      </x:c>
      <x:c r="N639" s="23" t="n">
        <x:v>-0.0016923468308587264</x:v>
      </x:c>
      <x:c r="O639" s="23" t="n">
        <x:f>M639</x:f>
        <x:v>0</x:v>
      </x:c>
      <x:c r="P639" s="23" t="n">
        <x:v>1.0716024568368283</x:v>
      </x:c>
      <x:c r="Q639" s="23" t="n">
        <x:v>0.9675755099638081</x:v>
      </x:c>
    </x:row>
    <x:row r="640">
      <x:c r="A640" s="23" t="str">
        <x:v>Lightning</x:v>
      </x:c>
      <x:c r="B640" s="23" t="n">
        <x:v>1353.9526732172817</x:v>
      </x:c>
      <x:c r="C640" s="23" t="n">
        <x:v>854.7878309036605</x:v>
      </x:c>
      <x:c r="D640" s="23" t="n">
        <x:v>699.3409832939506</x:v>
      </x:c>
      <x:c r="E640" s="23" t="n">
        <x:v>139.15284511866048</x:v>
      </x:c>
      <x:c r="F640" s="23" t="n">
        <x:v>25.471355576068163</x:v>
      </x:c>
      <x:c r="G640" s="23" t="n">
        <x:v>0.8578801144682803</x:v>
      </x:c>
      <x:c r="H640" s="23" t="n">
        <x:v>45</x:v>
      </x:c>
      <x:c r="I640" s="23" t="n">
        <x:v>25</x:v>
      </x:c>
      <x:c r="J640" s="23" t="n">
        <x:f>(IF(A640='Hybrid Calculator'!$B$6,0,1))^2+((B640-'Hybrid Calculator'!$B$7)/1500)^2+((C640-'Hybrid Calculator'!$B$8)/1300)^2+((D640-'Hybrid Calculator'!$B$9)/800)^2+((E640-'Hybrid Calculator'!$B$10)/350)^2+((F640-'Hybrid Calculator'!$B$11)/30)^2+(G640-'Hybrid Calculator'!$B$12)^2+((H640-'Hybrid Calculator'!$E$14)/IF(A640="Lightning",100,30000))^2+((I640-'Hybrid Calculator'!$E$17)/IF(A640="Lightning",100,30000))^2</x:f>
        <x:v>0.12324096487284451</x:v>
      </x:c>
      <x:c r="K640" s="23" t="n">
        <x:f>RANK(J640,$J$2:$J$1401,1)</x:f>
        <x:v>262</x:v>
      </x:c>
      <x:c r="L640" s="23" t="n">
        <x:f>IF(K640&lt;=7,1,0)</x:f>
        <x:v>0</x:v>
      </x:c>
      <x:c r="M640" s="23" t="n">
        <x:f>IF(L640=1,1/(J640+0.000001),0)</x:f>
        <x:v>0</x:v>
      </x:c>
      <x:c r="N640" s="23" t="n">
        <x:v>0.0002632157658570833</x:v>
      </x:c>
      <x:c r="O640" s="23" t="n">
        <x:f>M640</x:f>
        <x:v>0</x:v>
      </x:c>
      <x:c r="P640" s="23" t="n">
        <x:v>-0.023357951915762953</x:v>
      </x:c>
      <x:c r="Q640" s="23" t="n">
        <x:v>-15.536928423125346</x:v>
      </x:c>
    </x:row>
    <x:row r="641">
      <x:c r="A641" s="23" t="str">
        <x:v>Lightning</x:v>
      </x:c>
      <x:c r="B641" s="23" t="n">
        <x:v>1379.2821819079109</x:v>
      </x:c>
      <x:c r="C641" s="23" t="n">
        <x:v>1073.4186653746292</x:v>
      </x:c>
      <x:c r="D641" s="23" t="n">
        <x:v>508.41654585674405</x:v>
      </x:c>
      <x:c r="E641" s="23" t="n">
        <x:v>327.13711626827717</x:v>
      </x:c>
      <x:c r="F641" s="23" t="n">
        <x:v>27.137663359288126</x:v>
      </x:c>
      <x:c r="G641" s="23" t="n">
        <x:v>0.8036710460437462</x:v>
      </x:c>
      <x:c r="H641" s="23" t="n">
        <x:v>35</x:v>
      </x:c>
      <x:c r="I641" s="23" t="n">
        <x:v>25</x:v>
      </x:c>
      <x:c r="J641" s="23" t="n">
        <x:f>(IF(A641='Hybrid Calculator'!$B$6,0,1))^2+((B641-'Hybrid Calculator'!$B$7)/1500)^2+((C641-'Hybrid Calculator'!$B$8)/1300)^2+((D641-'Hybrid Calculator'!$B$9)/800)^2+((E641-'Hybrid Calculator'!$B$10)/350)^2+((F641-'Hybrid Calculator'!$B$11)/30)^2+(G641-'Hybrid Calculator'!$B$12)^2+((H641-'Hybrid Calculator'!$E$14)/IF(A641="Lightning",100,30000))^2+((I641-'Hybrid Calculator'!$E$17)/IF(A641="Lightning",100,30000))^2</x:f>
        <x:v>0.3923847695977895</x:v>
      </x:c>
      <x:c r="K641" s="23" t="n">
        <x:f>RANK(J641,$J$2:$J$1401,1)</x:f>
        <x:v>682</x:v>
      </x:c>
      <x:c r="L641" s="23" t="n">
        <x:f>IF(K641&lt;=7,1,0)</x:f>
        <x:v>0</x:v>
      </x:c>
      <x:c r="M641" s="23" t="n">
        <x:f>IF(L641=1,1/(J641+0.000001),0)</x:f>
        <x:v>0</x:v>
      </x:c>
      <x:c r="N641" s="23" t="n">
        <x:v>-0.009340367452336906</x:v>
      </x:c>
      <x:c r="O641" s="23" t="n">
        <x:f>M641</x:f>
        <x:v>0</x:v>
      </x:c>
      <x:c r="P641" s="23" t="n">
        <x:v>1.3722413397132058</x:v>
      </x:c>
      <x:c r="Q641" s="23" t="n">
        <x:v>-22.585261351022382</x:v>
      </x:c>
    </x:row>
    <x:row r="642">
      <x:c r="A642" s="23" t="str">
        <x:v>Lightning</x:v>
      </x:c>
      <x:c r="B642" s="23" t="n">
        <x:v>1389.2664728919044</x:v>
      </x:c>
      <x:c r="C642" s="23" t="n">
        <x:v>1081.8692368571647</x:v>
      </x:c>
      <x:c r="D642" s="23" t="n">
        <x:v>623.7992949783802</x:v>
      </x:c>
      <x:c r="E642" s="23" t="n">
        <x:v>246.18817340349779</x:v>
      </x:c>
      <x:c r="F642" s="23" t="n">
        <x:v>23.694927631877363</x:v>
      </x:c>
      <x:c r="G642" s="23" t="n">
        <x:v>0.7919407374947333</x:v>
      </x:c>
      <x:c r="H642" s="23" t="n">
        <x:v>35</x:v>
      </x:c>
      <x:c r="I642" s="23" t="n">
        <x:v>25</x:v>
      </x:c>
      <x:c r="J642" s="23" t="n">
        <x:f>(IF(A642='Hybrid Calculator'!$B$6,0,1))^2+((B642-'Hybrid Calculator'!$B$7)/1500)^2+((C642-'Hybrid Calculator'!$B$8)/1300)^2+((D642-'Hybrid Calculator'!$B$9)/800)^2+((E642-'Hybrid Calculator'!$B$10)/350)^2+((F642-'Hybrid Calculator'!$B$11)/30)^2+(G642-'Hybrid Calculator'!$B$12)^2+((H642-'Hybrid Calculator'!$E$14)/IF(A642="Lightning",100,30000))^2+((I642-'Hybrid Calculator'!$E$17)/IF(A642="Lightning",100,30000))^2</x:f>
        <x:v>0.18512847950345526</x:v>
      </x:c>
      <x:c r="K642" s="23" t="n">
        <x:f>RANK(J642,$J$2:$J$1401,1)</x:f>
        <x:v>414</x:v>
      </x:c>
      <x:c r="L642" s="23" t="n">
        <x:f>IF(K642&lt;=7,1,0)</x:f>
        <x:v>0</x:v>
      </x:c>
      <x:c r="M642" s="23" t="n">
        <x:f>IF(L642=1,1/(J642+0.000001),0)</x:f>
        <x:v>0</x:v>
      </x:c>
      <x:c r="N642" s="23" t="n">
        <x:v>0.01387826502108891</x:v>
      </x:c>
      <x:c r="O642" s="23" t="n">
        <x:f>M642</x:f>
        <x:v>0</x:v>
      </x:c>
      <x:c r="P642" s="23" t="n">
        <x:v>1.0474998796134898</x:v>
      </x:c>
      <x:c r="Q642" s="23" t="n">
        <x:v>-17.282790234479762</x:v>
      </x:c>
    </x:row>
    <x:row r="643">
      <x:c r="A643" s="23" t="str">
        <x:v>Lightning</x:v>
      </x:c>
      <x:c r="B643" s="23" t="n">
        <x:v>1486.7423154297285</x:v>
      </x:c>
      <x:c r="C643" s="23" t="n">
        <x:v>1198.0037471279502</x:v>
      </x:c>
      <x:c r="D643" s="23" t="n">
        <x:v>682.6968207024038</x:v>
      </x:c>
      <x:c r="E643" s="23" t="n">
        <x:v>248.69178612250835</x:v>
      </x:c>
      <x:c r="F643" s="23" t="n">
        <x:v>8.379505404736847</x:v>
      </x:c>
      <x:c r="G643" s="23" t="n">
        <x:v>0.8390869113709778</x:v>
      </x:c>
      <x:c r="H643" s="23" t="n">
        <x:v>35</x:v>
      </x:c>
      <x:c r="I643" s="23" t="n">
        <x:v>25</x:v>
      </x:c>
      <x:c r="J643" s="23" t="n">
        <x:f>(IF(A643='Hybrid Calculator'!$B$6,0,1))^2+((B643-'Hybrid Calculator'!$B$7)/1500)^2+((C643-'Hybrid Calculator'!$B$8)/1300)^2+((D643-'Hybrid Calculator'!$B$9)/800)^2+((E643-'Hybrid Calculator'!$B$10)/350)^2+((F643-'Hybrid Calculator'!$B$11)/30)^2+(G643-'Hybrid Calculator'!$B$12)^2+((H643-'Hybrid Calculator'!$E$14)/IF(A643="Lightning",100,30000))^2+((I643-'Hybrid Calculator'!$E$17)/IF(A643="Lightning",100,30000))^2</x:f>
        <x:v>0.34168828854263905</x:v>
      </x:c>
      <x:c r="K643" s="23" t="n">
        <x:f>RANK(J643,$J$2:$J$1401,1)</x:f>
        <x:v>642</x:v>
      </x:c>
      <x:c r="L643" s="23" t="n">
        <x:f>IF(K643&lt;=7,1,0)</x:f>
        <x:v>0</x:v>
      </x:c>
      <x:c r="M643" s="23" t="n">
        <x:f>IF(L643=1,1/(J643+0.000001),0)</x:f>
        <x:v>0</x:v>
      </x:c>
      <x:c r="N643" s="23" t="n">
        <x:v>0.014792737845404469</x:v>
      </x:c>
      <x:c r="O643" s="23" t="n">
        <x:f>M643</x:f>
        <x:v>0</x:v>
      </x:c>
      <x:c r="P643" s="23" t="n">
        <x:v>-0.30017654788899506</x:v>
      </x:c>
      <x:c r="Q643" s="23" t="n">
        <x:v>-13.22858826959282</x:v>
      </x:c>
    </x:row>
    <x:row r="644">
      <x:c r="A644" s="23" t="str">
        <x:v>Lightning</x:v>
      </x:c>
      <x:c r="B644" s="23" t="n">
        <x:v>1436.1300685442984</x:v>
      </x:c>
      <x:c r="C644" s="23" t="n">
        <x:v>763.6002083658241</x:v>
      </x:c>
      <x:c r="D644" s="23" t="n">
        <x:v>713.2457265630364</x:v>
      </x:c>
      <x:c r="E644" s="23" t="n">
        <x:v>134.6465796069242</x:v>
      </x:c>
      <x:c r="F644" s="23" t="n">
        <x:v>21.810474367812276</x:v>
      </x:c>
      <x:c r="G644" s="23" t="n">
        <x:v>0.8505836576898582</x:v>
      </x:c>
      <x:c r="H644" s="23" t="n">
        <x:v>45</x:v>
      </x:c>
      <x:c r="I644" s="23" t="n">
        <x:v>25</x:v>
      </x:c>
      <x:c r="J644" s="23" t="n">
        <x:f>(IF(A644='Hybrid Calculator'!$B$6,0,1))^2+((B644-'Hybrid Calculator'!$B$7)/1500)^2+((C644-'Hybrid Calculator'!$B$8)/1300)^2+((D644-'Hybrid Calculator'!$B$9)/800)^2+((E644-'Hybrid Calculator'!$B$10)/350)^2+((F644-'Hybrid Calculator'!$B$11)/30)^2+(G644-'Hybrid Calculator'!$B$12)^2+((H644-'Hybrid Calculator'!$E$14)/IF(A644="Lightning",100,30000))^2+((I644-'Hybrid Calculator'!$E$17)/IF(A644="Lightning",100,30000))^2</x:f>
        <x:v>0.09306149077586111</x:v>
      </x:c>
      <x:c r="K644" s="23" t="n">
        <x:f>RANK(J644,$J$2:$J$1401,1)</x:f>
        <x:v>184</x:v>
      </x:c>
      <x:c r="L644" s="23" t="n">
        <x:f>IF(K644&lt;=7,1,0)</x:f>
        <x:v>0</x:v>
      </x:c>
      <x:c r="M644" s="23" t="n">
        <x:f>IF(L644=1,1/(J644+0.000001),0)</x:f>
        <x:v>0</x:v>
      </x:c>
      <x:c r="N644" s="23" t="n">
        <x:v>0.002575074863756077</x:v>
      </x:c>
      <x:c r="O644" s="23" t="n">
        <x:f>M644</x:f>
        <x:v>0</x:v>
      </x:c>
      <x:c r="P644" s="23" t="n">
        <x:v>-0.10373028219378</x:v>
      </x:c>
      <x:c r="Q644" s="23" t="n">
        <x:v>-7.016600680395186</x:v>
      </x:c>
    </x:row>
    <x:row r="645">
      <x:c r="A645" s="23" t="str">
        <x:v>Lightning</x:v>
      </x:c>
      <x:c r="B645" s="23" t="n">
        <x:v>1367.5529490807094</x:v>
      </x:c>
      <x:c r="C645" s="23" t="n">
        <x:v>851.2413093121722</x:v>
      </x:c>
      <x:c r="D645" s="23" t="n">
        <x:v>715.4320158995688</x:v>
      </x:c>
      <x:c r="E645" s="23" t="n">
        <x:v>92.93276180513203</x:v>
      </x:c>
      <x:c r="F645" s="23" t="n">
        <x:v>26.863739893306047</x:v>
      </x:c>
      <x:c r="G645" s="23" t="n">
        <x:v>0.7958526384318247</x:v>
      </x:c>
      <x:c r="H645" s="23" t="n">
        <x:v>45</x:v>
      </x:c>
      <x:c r="I645" s="23" t="n">
        <x:v>25</x:v>
      </x:c>
      <x:c r="J645" s="23" t="n">
        <x:f>(IF(A645='Hybrid Calculator'!$B$6,0,1))^2+((B645-'Hybrid Calculator'!$B$7)/1500)^2+((C645-'Hybrid Calculator'!$B$8)/1300)^2+((D645-'Hybrid Calculator'!$B$9)/800)^2+((E645-'Hybrid Calculator'!$B$10)/350)^2+((F645-'Hybrid Calculator'!$B$11)/30)^2+(G645-'Hybrid Calculator'!$B$12)^2+((H645-'Hybrid Calculator'!$E$14)/IF(A645="Lightning",100,30000))^2+((I645-'Hybrid Calculator'!$E$17)/IF(A645="Lightning",100,30000))^2</x:f>
        <x:v>0.1813775251554251</x:v>
      </x:c>
      <x:c r="K645" s="23" t="n">
        <x:f>RANK(J645,$J$2:$J$1401,1)</x:f>
        <x:v>403</x:v>
      </x:c>
      <x:c r="L645" s="23" t="n">
        <x:f>IF(K645&lt;=7,1,0)</x:f>
        <x:v>0</x:v>
      </x:c>
      <x:c r="M645" s="23" t="n">
        <x:f>IF(L645=1,1/(J645+0.000001),0)</x:f>
        <x:v>0</x:v>
      </x:c>
      <x:c r="N645" s="23" t="n">
        <x:v>0.0008764047355998006</x:v>
      </x:c>
      <x:c r="O645" s="23" t="n">
        <x:f>M645</x:f>
        <x:v>0</x:v>
      </x:c>
      <x:c r="P645" s="23" t="n">
        <x:v>0.23656515754061047</x:v>
      </x:c>
      <x:c r="Q645" s="23" t="n">
        <x:v>-5.258062411353194</x:v>
      </x:c>
    </x:row>
    <x:row r="646">
      <x:c r="A646" s="23" t="str">
        <x:v>Lightning</x:v>
      </x:c>
      <x:c r="B646" s="23" t="n">
        <x:v>1481.7680686712265</x:v>
      </x:c>
      <x:c r="C646" s="23" t="n">
        <x:v>946.2990666157566</x:v>
      </x:c>
      <x:c r="D646" s="23" t="n">
        <x:v>569.8786305263638</x:v>
      </x:c>
      <x:c r="E646" s="23" t="n">
        <x:v>312.4400530778803</x:v>
      </x:c>
      <x:c r="F646" s="23" t="n">
        <x:v>15.776247767731547</x:v>
      </x:c>
      <x:c r="G646" s="23" t="n">
        <x:v>0.8536652505886742</x:v>
      </x:c>
      <x:c r="H646" s="23" t="n">
        <x:v>40</x:v>
      </x:c>
      <x:c r="I646" s="23" t="n">
        <x:v>25</x:v>
      </x:c>
      <x:c r="J646" s="23" t="n">
        <x:f>(IF(A646='Hybrid Calculator'!$B$6,0,1))^2+((B646-'Hybrid Calculator'!$B$7)/1500)^2+((C646-'Hybrid Calculator'!$B$8)/1300)^2+((D646-'Hybrid Calculator'!$B$9)/800)^2+((E646-'Hybrid Calculator'!$B$10)/350)^2+((F646-'Hybrid Calculator'!$B$11)/30)^2+(G646-'Hybrid Calculator'!$B$12)^2+((H646-'Hybrid Calculator'!$E$14)/IF(A646="Lightning",100,30000))^2+((I646-'Hybrid Calculator'!$E$17)/IF(A646="Lightning",100,30000))^2</x:f>
        <x:v>0.24932798064052877</x:v>
      </x:c>
      <x:c r="K646" s="23" t="n">
        <x:f>RANK(J646,$J$2:$J$1401,1)</x:f>
        <x:v>537</x:v>
      </x:c>
      <x:c r="L646" s="23" t="n">
        <x:f>IF(K646&lt;=7,1,0)</x:f>
        <x:v>0</x:v>
      </x:c>
      <x:c r="M646" s="23" t="n">
        <x:f>IF(L646=1,1/(J646+0.000001),0)</x:f>
        <x:v>0</x:v>
      </x:c>
      <x:c r="N646" s="23" t="n">
        <x:v>0.013176396320677686</x:v>
      </x:c>
      <x:c r="O646" s="23" t="n">
        <x:f>M646</x:f>
        <x:v>0</x:v>
      </x:c>
      <x:c r="P646" s="23" t="n">
        <x:v>0.28894188098733053</x:v>
      </x:c>
      <x:c r="Q646" s="23" t="n">
        <x:v>-5.487883125951612</x:v>
      </x:c>
    </x:row>
    <x:row r="647">
      <x:c r="A647" s="23" t="str">
        <x:v>Lightning</x:v>
      </x:c>
      <x:c r="B647" s="23" t="n">
        <x:v>1421.1980214924552</x:v>
      </x:c>
      <x:c r="C647" s="23" t="n">
        <x:v>1129.2513409862295</x:v>
      </x:c>
      <x:c r="D647" s="23" t="n">
        <x:v>406.4918682910502</x:v>
      </x:c>
      <x:c r="E647" s="23" t="n">
        <x:v>218.43396841548383</x:v>
      </x:c>
      <x:c r="F647" s="23" t="n">
        <x:v>17.70585232647136</x:v>
      </x:c>
      <x:c r="G647" s="23" t="n">
        <x:v>0.8060275027202443</x:v>
      </x:c>
      <x:c r="H647" s="23" t="n">
        <x:v>40</x:v>
      </x:c>
      <x:c r="I647" s="23" t="n">
        <x:v>25</x:v>
      </x:c>
      <x:c r="J647" s="23" t="n">
        <x:f>(IF(A647='Hybrid Calculator'!$B$6,0,1))^2+((B647-'Hybrid Calculator'!$B$7)/1500)^2+((C647-'Hybrid Calculator'!$B$8)/1300)^2+((D647-'Hybrid Calculator'!$B$9)/800)^2+((E647-'Hybrid Calculator'!$B$10)/350)^2+((F647-'Hybrid Calculator'!$B$11)/30)^2+(G647-'Hybrid Calculator'!$B$12)^2+((H647-'Hybrid Calculator'!$E$14)/IF(A647="Lightning",100,30000))^2+((I647-'Hybrid Calculator'!$E$17)/IF(A647="Lightning",100,30000))^2</x:f>
        <x:v>0.10893759937890157</x:v>
      </x:c>
      <x:c r="K647" s="23" t="n">
        <x:f>RANK(J647,$J$2:$J$1401,1)</x:f>
        <x:v>225</x:v>
      </x:c>
      <x:c r="L647" s="23" t="n">
        <x:f>IF(K647&lt;=7,1,0)</x:f>
        <x:v>0</x:v>
      </x:c>
      <x:c r="M647" s="23" t="n">
        <x:f>IF(L647=1,1/(J647+0.000001),0)</x:f>
        <x:v>0</x:v>
      </x:c>
      <x:c r="N647" s="23" t="n">
        <x:v>-0.0055007666818891465</x:v>
      </x:c>
      <x:c r="O647" s="23" t="n">
        <x:f>M647</x:f>
        <x:v>0</x:v>
      </x:c>
      <x:c r="P647" s="23" t="n">
        <x:v>0.9496402384037523</x:v>
      </x:c>
      <x:c r="Q647" s="23" t="n">
        <x:v>-2.7740913937168443</x:v>
      </x:c>
    </x:row>
    <x:row r="648">
      <x:c r="A648" s="23" t="str">
        <x:v>Lightning</x:v>
      </x:c>
      <x:c r="B648" s="23" t="n">
        <x:v>1408.8293821318075</x:v>
      </x:c>
      <x:c r="C648" s="23" t="n">
        <x:v>655.0469522015192</x:v>
      </x:c>
      <x:c r="D648" s="23" t="n">
        <x:v>707.8814867883921</x:v>
      </x:c>
      <x:c r="E648" s="23" t="n">
        <x:v>315.1397734018974</x:v>
      </x:c>
      <x:c r="F648" s="23" t="n">
        <x:v>15.94981321040541</x:v>
      </x:c>
      <x:c r="G648" s="23" t="n">
        <x:v>0.85372400830267</x:v>
      </x:c>
      <x:c r="H648" s="23" t="n">
        <x:v>45</x:v>
      </x:c>
      <x:c r="I648" s="23" t="n">
        <x:v>25</x:v>
      </x:c>
      <x:c r="J648" s="23" t="n">
        <x:f>(IF(A648='Hybrid Calculator'!$B$6,0,1))^2+((B648-'Hybrid Calculator'!$B$7)/1500)^2+((C648-'Hybrid Calculator'!$B$8)/1300)^2+((D648-'Hybrid Calculator'!$B$9)/800)^2+((E648-'Hybrid Calculator'!$B$10)/350)^2+((F648-'Hybrid Calculator'!$B$11)/30)^2+(G648-'Hybrid Calculator'!$B$12)^2+((H648-'Hybrid Calculator'!$E$14)/IF(A648="Lightning",100,30000))^2+((I648-'Hybrid Calculator'!$E$17)/IF(A648="Lightning",100,30000))^2</x:f>
        <x:v>0.32361332894077455</x:v>
      </x:c>
      <x:c r="K648" s="23" t="n">
        <x:f>RANK(J648,$J$2:$J$1401,1)</x:f>
        <x:v>627</x:v>
      </x:c>
      <x:c r="L648" s="23" t="n">
        <x:f>IF(K648&lt;=7,1,0)</x:f>
        <x:v>0</x:v>
      </x:c>
      <x:c r="M648" s="23" t="n">
        <x:f>IF(L648=1,1/(J648+0.000001),0)</x:f>
        <x:v>0</x:v>
      </x:c>
      <x:c r="N648" s="23" t="n">
        <x:v>0.014231915311936794</x:v>
      </x:c>
      <x:c r="O648" s="23" t="n">
        <x:f>M648</x:f>
        <x:v>0</x:v>
      </x:c>
      <x:c r="P648" s="23" t="n">
        <x:v>0.004978853492602298</x:v>
      </x:c>
      <x:c r="Q648" s="23" t="n">
        <x:v>2.296757471549199</x:v>
      </x:c>
    </x:row>
    <x:row r="649">
      <x:c r="A649" s="23" t="str">
        <x:v>Lightning</x:v>
      </x:c>
      <x:c r="B649" s="23" t="n">
        <x:v>1359.4007961801253</x:v>
      </x:c>
      <x:c r="C649" s="23" t="n">
        <x:v>797.9116491507739</x:v>
      </x:c>
      <x:c r="D649" s="23" t="n">
        <x:v>713.8442303054035</x:v>
      </x:c>
      <x:c r="E649" s="23" t="n">
        <x:v>274.9226817814633</x:v>
      </x:c>
      <x:c r="F649" s="23" t="n">
        <x:v>28.760016943793744</x:v>
      </x:c>
      <x:c r="G649" s="23" t="n">
        <x:v>0.848535475358367</x:v>
      </x:c>
      <x:c r="H649" s="23" t="n">
        <x:v>40</x:v>
      </x:c>
      <x:c r="I649" s="23" t="n">
        <x:v>25</x:v>
      </x:c>
      <x:c r="J649" s="23" t="n">
        <x:f>(IF(A649='Hybrid Calculator'!$B$6,0,1))^2+((B649-'Hybrid Calculator'!$B$7)/1500)^2+((C649-'Hybrid Calculator'!$B$8)/1300)^2+((D649-'Hybrid Calculator'!$B$9)/800)^2+((E649-'Hybrid Calculator'!$B$10)/350)^2+((F649-'Hybrid Calculator'!$B$11)/30)^2+(G649-'Hybrid Calculator'!$B$12)^2+((H649-'Hybrid Calculator'!$E$14)/IF(A649="Lightning",100,30000))^2+((I649-'Hybrid Calculator'!$E$17)/IF(A649="Lightning",100,30000))^2</x:f>
        <x:v>0.33014205314137496</x:v>
      </x:c>
      <x:c r="K649" s="23" t="n">
        <x:f>RANK(J649,$J$2:$J$1401,1)</x:f>
        <x:v>635</x:v>
      </x:c>
      <x:c r="L649" s="23" t="n">
        <x:f>IF(K649&lt;=7,1,0)</x:f>
        <x:v>0</x:v>
      </x:c>
      <x:c r="M649" s="23" t="n">
        <x:f>IF(L649=1,1/(J649+0.000001),0)</x:f>
        <x:v>0</x:v>
      </x:c>
      <x:c r="N649" s="23" t="n">
        <x:v>-0.010702970314928617</x:v>
      </x:c>
      <x:c r="O649" s="23" t="n">
        <x:f>M649</x:f>
        <x:v>0</x:v>
      </x:c>
      <x:c r="P649" s="23" t="n">
        <x:v>-0.5367169693918044</x:v>
      </x:c>
      <x:c r="Q649" s="23" t="n">
        <x:v>-22.51962100622268</x:v>
      </x:c>
    </x:row>
    <x:row r="650">
      <x:c r="A650" s="23" t="str">
        <x:v>Lightning</x:v>
      </x:c>
      <x:c r="B650" s="23" t="n">
        <x:v>1355.3545727860183</x:v>
      </x:c>
      <x:c r="C650" s="23" t="n">
        <x:v>624.5996528188698</x:v>
      </x:c>
      <x:c r="D650" s="23" t="n">
        <x:v>436.4938532933593</x:v>
      </x:c>
      <x:c r="E650" s="23" t="n">
        <x:v>127.23769874544814</x:v>
      </x:c>
      <x:c r="F650" s="23" t="n">
        <x:v>20.277870904654264</x:v>
      </x:c>
      <x:c r="G650" s="23" t="n">
        <x:v>0.84173975240672</x:v>
      </x:c>
      <x:c r="H650" s="23" t="n">
        <x:v>65</x:v>
      </x:c>
      <x:c r="I650" s="23" t="n">
        <x:v>25</x:v>
      </x:c>
      <x:c r="J650" s="23" t="n">
        <x:f>(IF(A650='Hybrid Calculator'!$B$6,0,1))^2+((B650-'Hybrid Calculator'!$B$7)/1500)^2+((C650-'Hybrid Calculator'!$B$8)/1300)^2+((D650-'Hybrid Calculator'!$B$9)/800)^2+((E650-'Hybrid Calculator'!$B$10)/350)^2+((F650-'Hybrid Calculator'!$B$11)/30)^2+(G650-'Hybrid Calculator'!$B$12)^2+((H650-'Hybrid Calculator'!$E$14)/IF(A650="Lightning",100,30000))^2+((I650-'Hybrid Calculator'!$E$17)/IF(A650="Lightning",100,30000))^2</x:f>
        <x:v>0.06923391406339917</x:v>
      </x:c>
      <x:c r="K650" s="23" t="n">
        <x:f>RANK(J650,$J$2:$J$1401,1)</x:f>
        <x:v>110</x:v>
      </x:c>
      <x:c r="L650" s="23" t="n">
        <x:f>IF(K650&lt;=7,1,0)</x:f>
        <x:v>0</x:v>
      </x:c>
      <x:c r="M650" s="23" t="n">
        <x:f>IF(L650=1,1/(J650+0.000001),0)</x:f>
        <x:v>0</x:v>
      </x:c>
      <x:c r="N650" s="23" t="n">
        <x:v>-0.0206070705808461</x:v>
      </x:c>
      <x:c r="O650" s="23" t="n">
        <x:f>M650</x:f>
        <x:v>0</x:v>
      </x:c>
      <x:c r="P650" s="23" t="n">
        <x:v>-1.444581582114985</x:v>
      </x:c>
      <x:c r="Q650" s="23" t="n">
        <x:v>4.364193409270911</x:v>
      </x:c>
    </x:row>
    <x:row r="651">
      <x:c r="A651" s="23" t="str">
        <x:v>Lightning</x:v>
      </x:c>
      <x:c r="B651" s="23" t="n">
        <x:v>1380.6441679713316</x:v>
      </x:c>
      <x:c r="C651" s="23" t="n">
        <x:v>899.4449323741719</x:v>
      </x:c>
      <x:c r="D651" s="23" t="n">
        <x:v>398.92572360113263</x:v>
      </x:c>
      <x:c r="E651" s="23" t="n">
        <x:v>195.31522776931524</x:v>
      </x:c>
      <x:c r="F651" s="23" t="n">
        <x:v>20.189734714571387</x:v>
      </x:c>
      <x:c r="G651" s="23" t="n">
        <x:v>0.8134476688085124</x:v>
      </x:c>
      <x:c r="H651" s="23" t="n">
        <x:v>50</x:v>
      </x:c>
      <x:c r="I651" s="23" t="n">
        <x:v>25</x:v>
      </x:c>
      <x:c r="J651" s="23" t="n">
        <x:f>(IF(A651='Hybrid Calculator'!$B$6,0,1))^2+((B651-'Hybrid Calculator'!$B$7)/1500)^2+((C651-'Hybrid Calculator'!$B$8)/1300)^2+((D651-'Hybrid Calculator'!$B$9)/800)^2+((E651-'Hybrid Calculator'!$B$10)/350)^2+((F651-'Hybrid Calculator'!$B$11)/30)^2+(G651-'Hybrid Calculator'!$B$12)^2+((H651-'Hybrid Calculator'!$E$14)/IF(A651="Lightning",100,30000))^2+((I651-'Hybrid Calculator'!$E$17)/IF(A651="Lightning",100,30000))^2</x:f>
        <x:v>0.038261960924825346</x:v>
      </x:c>
      <x:c r="K651" s="23" t="n">
        <x:f>RANK(J651,$J$2:$J$1401,1)</x:f>
        <x:v>33</x:v>
      </x:c>
      <x:c r="L651" s="23" t="n">
        <x:f>IF(K651&lt;=7,1,0)</x:f>
        <x:v>0</x:v>
      </x:c>
      <x:c r="M651" s="23" t="n">
        <x:f>IF(L651=1,1/(J651+0.000001),0)</x:f>
        <x:v>0</x:v>
      </x:c>
      <x:c r="N651" s="23" t="n">
        <x:v>0.0004037759916590833</x:v>
      </x:c>
      <x:c r="O651" s="23" t="n">
        <x:f>M651</x:f>
        <x:v>0</x:v>
      </x:c>
      <x:c r="P651" s="23" t="n">
        <x:v>0.4752033084403209</x:v>
      </x:c>
      <x:c r="Q651" s="23" t="n">
        <x:v>3.702376185166713</x:v>
      </x:c>
    </x:row>
    <x:row r="652">
      <x:c r="A652" s="23" t="str">
        <x:v>Lightning</x:v>
      </x:c>
      <x:c r="B652" s="23" t="n">
        <x:v>1379.7094073379412</x:v>
      </x:c>
      <x:c r="C652" s="23" t="n">
        <x:v>975.5239910562523</x:v>
      </x:c>
      <x:c r="D652" s="23" t="n">
        <x:v>734.4043634831905</x:v>
      </x:c>
      <x:c r="E652" s="23" t="n">
        <x:v>309.7212792909704</x:v>
      </x:c>
      <x:c r="F652" s="23" t="n">
        <x:v>18.68573402520269</x:v>
      </x:c>
      <x:c r="G652" s="23" t="n">
        <x:v>0.8110693506314419</x:v>
      </x:c>
      <x:c r="H652" s="23" t="n">
        <x:v>35</x:v>
      </x:c>
      <x:c r="I652" s="23" t="n">
        <x:v>25</x:v>
      </x:c>
      <x:c r="J652" s="23" t="n">
        <x:f>(IF(A652='Hybrid Calculator'!$B$6,0,1))^2+((B652-'Hybrid Calculator'!$B$7)/1500)^2+((C652-'Hybrid Calculator'!$B$8)/1300)^2+((D652-'Hybrid Calculator'!$B$9)/800)^2+((E652-'Hybrid Calculator'!$B$10)/350)^2+((F652-'Hybrid Calculator'!$B$11)/30)^2+(G652-'Hybrid Calculator'!$B$12)^2+((H652-'Hybrid Calculator'!$E$14)/IF(A652="Lightning",100,30000))^2+((I652-'Hybrid Calculator'!$E$17)/IF(A652="Lightning",100,30000))^2</x:f>
        <x:v>0.32695732147616213</x:v>
      </x:c>
      <x:c r="K652" s="23" t="n">
        <x:f>RANK(J652,$J$2:$J$1401,1)</x:f>
        <x:v>633</x:v>
      </x:c>
      <x:c r="L652" s="23" t="n">
        <x:f>IF(K652&lt;=7,1,0)</x:f>
        <x:v>0</x:v>
      </x:c>
      <x:c r="M652" s="23" t="n">
        <x:f>IF(L652=1,1/(J652+0.000001),0)</x:f>
        <x:v>0</x:v>
      </x:c>
      <x:c r="N652" s="23" t="n">
        <x:v>0.017818766469144265</x:v>
      </x:c>
      <x:c r="O652" s="23" t="n">
        <x:f>M652</x:f>
        <x:v>0</x:v>
      </x:c>
      <x:c r="P652" s="23" t="n">
        <x:v>0.3523101647451199</x:v>
      </x:c>
      <x:c r="Q652" s="23" t="n">
        <x:v>-6.535241979762532</x:v>
      </x:c>
    </x:row>
    <x:row r="653">
      <x:c r="A653" s="23" t="str">
        <x:v>Lightning</x:v>
      </x:c>
      <x:c r="B653" s="23" t="n">
        <x:v>1380.336956481915</x:v>
      </x:c>
      <x:c r="C653" s="23" t="n">
        <x:v>850.8924402296543</x:v>
      </x:c>
      <x:c r="D653" s="23" t="n">
        <x:v>560.7799678109586</x:v>
      </x:c>
      <x:c r="E653" s="23" t="n">
        <x:v>217.71732815075666</x:v>
      </x:c>
      <x:c r="F653" s="23" t="n">
        <x:v>29.52982756635174</x:v>
      </x:c>
      <x:c r="G653" s="23" t="n">
        <x:v>0.8518016542028636</x:v>
      </x:c>
      <x:c r="H653" s="23" t="n">
        <x:v>45</x:v>
      </x:c>
      <x:c r="I653" s="23" t="n">
        <x:v>25</x:v>
      </x:c>
      <x:c r="J653" s="23" t="n">
        <x:f>(IF(A653='Hybrid Calculator'!$B$6,0,1))^2+((B653-'Hybrid Calculator'!$B$7)/1500)^2+((C653-'Hybrid Calculator'!$B$8)/1300)^2+((D653-'Hybrid Calculator'!$B$9)/800)^2+((E653-'Hybrid Calculator'!$B$10)/350)^2+((F653-'Hybrid Calculator'!$B$11)/30)^2+(G653-'Hybrid Calculator'!$B$12)^2+((H653-'Hybrid Calculator'!$E$14)/IF(A653="Lightning",100,30000))^2+((I653-'Hybrid Calculator'!$E$17)/IF(A653="Lightning",100,30000))^2</x:f>
        <x:v>0.1827789020735288</x:v>
      </x:c>
      <x:c r="K653" s="23" t="n">
        <x:f>RANK(J653,$J$2:$J$1401,1)</x:f>
        <x:v>406</x:v>
      </x:c>
      <x:c r="L653" s="23" t="n">
        <x:f>IF(K653&lt;=7,1,0)</x:f>
        <x:v>0</x:v>
      </x:c>
      <x:c r="M653" s="23" t="n">
        <x:f>IF(L653=1,1/(J653+0.000001),0)</x:f>
        <x:v>0</x:v>
      </x:c>
      <x:c r="N653" s="23" t="n">
        <x:v>-0.00868998104212726</x:v>
      </x:c>
      <x:c r="O653" s="23" t="n">
        <x:f>M653</x:f>
        <x:v>0</x:v>
      </x:c>
      <x:c r="P653" s="23" t="n">
        <x:v>-1.0541069758816093</x:v>
      </x:c>
      <x:c r="Q653" s="23" t="n">
        <x:v>-14.145365438614363</x:v>
      </x:c>
    </x:row>
    <x:row r="654">
      <x:c r="A654" s="23" t="str">
        <x:v>Lightning</x:v>
      </x:c>
      <x:c r="B654" s="23" t="n">
        <x:v>1381.0130051337183</x:v>
      </x:c>
      <x:c r="C654" s="23" t="n">
        <x:v>850.3817259683274</x:v>
      </x:c>
      <x:c r="D654" s="23" t="n">
        <x:v>624.3763769045472</x:v>
      </x:c>
      <x:c r="E654" s="23" t="n">
        <x:v>100.74639411875978</x:v>
      </x:c>
      <x:c r="F654" s="23" t="n">
        <x:v>25.66050192154944</x:v>
      </x:c>
      <x:c r="G654" s="23" t="n">
        <x:v>0.8477641988103278</x:v>
      </x:c>
      <x:c r="H654" s="23" t="n">
        <x:v>45</x:v>
      </x:c>
      <x:c r="I654" s="23" t="n">
        <x:v>25</x:v>
      </x:c>
      <x:c r="J654" s="23" t="n">
        <x:f>(IF(A654='Hybrid Calculator'!$B$6,0,1))^2+((B654-'Hybrid Calculator'!$B$7)/1500)^2+((C654-'Hybrid Calculator'!$B$8)/1300)^2+((D654-'Hybrid Calculator'!$B$9)/800)^2+((E654-'Hybrid Calculator'!$B$10)/350)^2+((F654-'Hybrid Calculator'!$B$11)/30)^2+(G654-'Hybrid Calculator'!$B$12)^2+((H654-'Hybrid Calculator'!$E$14)/IF(A654="Lightning",100,30000))^2+((I654-'Hybrid Calculator'!$E$17)/IF(A654="Lightning",100,30000))^2</x:f>
        <x:v>0.10507511414562128</x:v>
      </x:c>
      <x:c r="K654" s="23" t="n">
        <x:f>RANK(J654,$J$2:$J$1401,1)</x:f>
        <x:v>219</x:v>
      </x:c>
      <x:c r="L654" s="23" t="n">
        <x:f>IF(K654&lt;=7,1,0)</x:f>
        <x:v>0</x:v>
      </x:c>
      <x:c r="M654" s="23" t="n">
        <x:f>IF(L654=1,1/(J654+0.000001),0)</x:f>
        <x:v>0</x:v>
      </x:c>
      <x:c r="N654" s="23" t="n">
        <x:v>0.00626988222380187</x:v>
      </x:c>
      <x:c r="O654" s="23" t="n">
        <x:f>M654</x:f>
        <x:v>0</x:v>
      </x:c>
      <x:c r="P654" s="23" t="n">
        <x:v>-0.6224632296016068</x:v>
      </x:c>
      <x:c r="Q654" s="23" t="n">
        <x:v>-6.596385486780491</x:v>
      </x:c>
    </x:row>
    <x:row r="655">
      <x:c r="A655" s="23" t="str">
        <x:v>Lightning</x:v>
      </x:c>
      <x:c r="B655" s="23" t="n">
        <x:v>1477.0970167242922</x:v>
      </x:c>
      <x:c r="C655" s="23" t="n">
        <x:v>1021.0838596569374</x:v>
      </x:c>
      <x:c r="D655" s="23" t="n">
        <x:v>359.19362837448716</x:v>
      </x:c>
      <x:c r="E655" s="23" t="n">
        <x:v>279.18577023781836</x:v>
      </x:c>
      <x:c r="F655" s="23" t="n">
        <x:v>8.28354460792616</x:v>
      </x:c>
      <x:c r="G655" s="23" t="n">
        <x:v>0.8099881935724988</x:v>
      </x:c>
      <x:c r="H655" s="23" t="n">
        <x:v>40</x:v>
      </x:c>
      <x:c r="I655" s="23" t="n">
        <x:v>25</x:v>
      </x:c>
      <x:c r="J655" s="23" t="n">
        <x:f>(IF(A655='Hybrid Calculator'!$B$6,0,1))^2+((B655-'Hybrid Calculator'!$B$7)/1500)^2+((C655-'Hybrid Calculator'!$B$8)/1300)^2+((D655-'Hybrid Calculator'!$B$9)/800)^2+((E655-'Hybrid Calculator'!$B$10)/350)^2+((F655-'Hybrid Calculator'!$B$11)/30)^2+(G655-'Hybrid Calculator'!$B$12)^2+((H655-'Hybrid Calculator'!$E$14)/IF(A655="Lightning",100,30000))^2+((I655-'Hybrid Calculator'!$E$17)/IF(A655="Lightning",100,30000))^2</x:f>
        <x:v>0.3118143718771145</x:v>
      </x:c>
      <x:c r="K655" s="23" t="n">
        <x:f>RANK(J655,$J$2:$J$1401,1)</x:f>
        <x:v>611</x:v>
      </x:c>
      <x:c r="L655" s="23" t="n">
        <x:f>IF(K655&lt;=7,1,0)</x:f>
        <x:v>0</x:v>
      </x:c>
      <x:c r="M655" s="23" t="n">
        <x:f>IF(L655=1,1/(J655+0.000001),0)</x:f>
        <x:v>0</x:v>
      </x:c>
      <x:c r="N655" s="23" t="n">
        <x:v>-0.0035003120020751233</x:v>
      </x:c>
      <x:c r="O655" s="23" t="n">
        <x:f>M655</x:f>
        <x:v>0</x:v>
      </x:c>
      <x:c r="P655" s="23" t="n">
        <x:v>-0.35821075018768767</x:v>
      </x:c>
      <x:c r="Q655" s="23" t="n">
        <x:v>9.421904487293887</x:v>
      </x:c>
    </x:row>
    <x:row r="656">
      <x:c r="A656" s="23" t="str">
        <x:v>Lightning</x:v>
      </x:c>
      <x:c r="B656" s="23" t="n">
        <x:v>1355.8382585411891</x:v>
      </x:c>
      <x:c r="C656" s="23" t="n">
        <x:v>871.7366980039515</x:v>
      </x:c>
      <x:c r="D656" s="23" t="n">
        <x:v>615.0395136326551</x:v>
      </x:c>
      <x:c r="E656" s="23" t="n">
        <x:v>199.28536527557299</x:v>
      </x:c>
      <x:c r="F656" s="23" t="n">
        <x:v>10.785403837449849</x:v>
      </x:c>
      <x:c r="G656" s="23" t="n">
        <x:v>0.8266419028560631</x:v>
      </x:c>
      <x:c r="H656" s="23" t="n">
        <x:v>45</x:v>
      </x:c>
      <x:c r="I656" s="23" t="n">
        <x:v>25</x:v>
      </x:c>
      <x:c r="J656" s="23" t="n">
        <x:f>(IF(A656='Hybrid Calculator'!$B$6,0,1))^2+((B656-'Hybrid Calculator'!$B$7)/1500)^2+((C656-'Hybrid Calculator'!$B$8)/1300)^2+((D656-'Hybrid Calculator'!$B$9)/800)^2+((E656-'Hybrid Calculator'!$B$10)/350)^2+((F656-'Hybrid Calculator'!$B$11)/30)^2+(G656-'Hybrid Calculator'!$B$12)^2+((H656-'Hybrid Calculator'!$E$14)/IF(A656="Lightning",100,30000))^2+((I656-'Hybrid Calculator'!$E$17)/IF(A656="Lightning",100,30000))^2</x:f>
        <x:v>0.1115846161889108</x:v>
      </x:c>
      <x:c r="K656" s="23" t="n">
        <x:f>RANK(J656,$J$2:$J$1401,1)</x:f>
        <x:v>232</x:v>
      </x:c>
      <x:c r="L656" s="23" t="n">
        <x:f>IF(K656&lt;=7,1,0)</x:f>
        <x:v>0</x:v>
      </x:c>
      <x:c r="M656" s="23" t="n">
        <x:f>IF(L656=1,1/(J656+0.000001),0)</x:f>
        <x:v>0</x:v>
      </x:c>
      <x:c r="N656" s="23" t="n">
        <x:v>0.006218401539936025</x:v>
      </x:c>
      <x:c r="O656" s="23" t="n">
        <x:f>M656</x:f>
        <x:v>0</x:v>
      </x:c>
      <x:c r="P656" s="23" t="n">
        <x:v>-0.36898660120243676</x:v>
      </x:c>
      <x:c r="Q656" s="23" t="n">
        <x:v>3.050178925214823</x:v>
      </x:c>
    </x:row>
    <x:row r="657">
      <x:c r="A657" s="23" t="str">
        <x:v>Lightning</x:v>
      </x:c>
      <x:c r="B657" s="23" t="n">
        <x:v>1475.1710350974463</x:v>
      </x:c>
      <x:c r="C657" s="23" t="n">
        <x:v>827.9583484400064</x:v>
      </x:c>
      <x:c r="D657" s="23" t="n">
        <x:v>641.3115593604743</x:v>
      </x:c>
      <x:c r="E657" s="23" t="n">
        <x:v>247.35730168875307</x:v>
      </x:c>
      <x:c r="F657" s="23" t="n">
        <x:v>27.501720912288874</x:v>
      </x:c>
      <x:c r="G657" s="23" t="n">
        <x:v>0.8510750733129681</x:v>
      </x:c>
      <x:c r="H657" s="23" t="n">
        <x:v>40</x:v>
      </x:c>
      <x:c r="I657" s="23" t="n">
        <x:v>25</x:v>
      </x:c>
      <x:c r="J657" s="23" t="n">
        <x:f>(IF(A657='Hybrid Calculator'!$B$6,0,1))^2+((B657-'Hybrid Calculator'!$B$7)/1500)^2+((C657-'Hybrid Calculator'!$B$8)/1300)^2+((D657-'Hybrid Calculator'!$B$9)/800)^2+((E657-'Hybrid Calculator'!$B$10)/350)^2+((F657-'Hybrid Calculator'!$B$11)/30)^2+(G657-'Hybrid Calculator'!$B$12)^2+((H657-'Hybrid Calculator'!$E$14)/IF(A657="Lightning",100,30000))^2+((I657-'Hybrid Calculator'!$E$17)/IF(A657="Lightning",100,30000))^2</x:f>
        <x:v>0.21098283301191165</x:v>
      </x:c>
      <x:c r="K657" s="23" t="n">
        <x:f>RANK(J657,$J$2:$J$1401,1)</x:f>
        <x:v>468</x:v>
      </x:c>
      <x:c r="L657" s="23" t="n">
        <x:f>IF(K657&lt;=7,1,0)</x:f>
        <x:v>0</x:v>
      </x:c>
      <x:c r="M657" s="23" t="n">
        <x:f>IF(L657=1,1/(J657+0.000001),0)</x:f>
        <x:v>0</x:v>
      </x:c>
      <x:c r="N657" s="23" t="n">
        <x:v>-0.014431988917952943</x:v>
      </x:c>
      <x:c r="O657" s="23" t="n">
        <x:f>M657</x:f>
        <x:v>0</x:v>
      </x:c>
      <x:c r="P657" s="23" t="n">
        <x:v>0.676085095539463</x:v>
      </x:c>
      <x:c r="Q657" s="23" t="n">
        <x:v>-22.740469313129324</x:v>
      </x:c>
    </x:row>
    <x:row r="658">
      <x:c r="A658" s="23" t="str">
        <x:v>Lightning</x:v>
      </x:c>
      <x:c r="B658" s="23" t="n">
        <x:v>1477.3297032807022</x:v>
      </x:c>
      <x:c r="C658" s="23" t="n">
        <x:v>1075.6418628501706</x:v>
      </x:c>
      <x:c r="D658" s="23" t="n">
        <x:v>580.8953000232577</x:v>
      </x:c>
      <x:c r="E658" s="23" t="n">
        <x:v>263.5615013842471</x:v>
      </x:c>
      <x:c r="F658" s="23" t="n">
        <x:v>9.505557425320148</x:v>
      </x:c>
      <x:c r="G658" s="23" t="n">
        <x:v>0.7937127886177041</x:v>
      </x:c>
      <x:c r="H658" s="23" t="n">
        <x:v>35</x:v>
      </x:c>
      <x:c r="I658" s="23" t="n">
        <x:v>25</x:v>
      </x:c>
      <x:c r="J658" s="23" t="n">
        <x:f>(IF(A658='Hybrid Calculator'!$B$6,0,1))^2+((B658-'Hybrid Calculator'!$B$7)/1500)^2+((C658-'Hybrid Calculator'!$B$8)/1300)^2+((D658-'Hybrid Calculator'!$B$9)/800)^2+((E658-'Hybrid Calculator'!$B$10)/350)^2+((F658-'Hybrid Calculator'!$B$11)/30)^2+(G658-'Hybrid Calculator'!$B$12)^2+((H658-'Hybrid Calculator'!$E$14)/IF(A658="Lightning",100,30000))^2+((I658-'Hybrid Calculator'!$E$17)/IF(A658="Lightning",100,30000))^2</x:f>
        <x:v>0.25992404295330923</x:v>
      </x:c>
      <x:c r="K658" s="23" t="n">
        <x:f>RANK(J658,$J$2:$J$1401,1)</x:f>
        <x:v>557</x:v>
      </x:c>
      <x:c r="L658" s="23" t="n">
        <x:f>IF(K658&lt;=7,1,0)</x:f>
        <x:v>0</x:v>
      </x:c>
      <x:c r="M658" s="23" t="n">
        <x:f>IF(L658=1,1/(J658+0.000001),0)</x:f>
        <x:v>0</x:v>
      </x:c>
      <x:c r="N658" s="23" t="n">
        <x:v>0.010486306887505847</x:v>
      </x:c>
      <x:c r="O658" s="23" t="n">
        <x:f>M658</x:f>
        <x:v>0</x:v>
      </x:c>
      <x:c r="P658" s="23" t="n">
        <x:v>-0.43809206881633855</x:v>
      </x:c>
      <x:c r="Q658" s="23" t="n">
        <x:v>-3.3911128183658548</x:v>
      </x:c>
    </x:row>
    <x:row r="659">
      <x:c r="A659" s="23" t="str">
        <x:v>Lightning</x:v>
      </x:c>
      <x:c r="B659" s="23" t="n">
        <x:v>1420.893479429651</x:v>
      </x:c>
      <x:c r="C659" s="23" t="n">
        <x:v>835.1172886556014</x:v>
      </x:c>
      <x:c r="D659" s="23" t="n">
        <x:v>508.9807060547173</x:v>
      </x:c>
      <x:c r="E659" s="23" t="n">
        <x:v>238.85807340964675</x:v>
      </x:c>
      <x:c r="F659" s="23" t="n">
        <x:v>11.842008321080357</x:v>
      </x:c>
      <x:c r="G659" s="23" t="n">
        <x:v>0.8221177235385403</x:v>
      </x:c>
      <x:c r="H659" s="23" t="n">
        <x:v>50</x:v>
      </x:c>
      <x:c r="I659" s="23" t="n">
        <x:v>25</x:v>
      </x:c>
      <x:c r="J659" s="23" t="n">
        <x:f>(IF(A659='Hybrid Calculator'!$B$6,0,1))^2+((B659-'Hybrid Calculator'!$B$7)/1500)^2+((C659-'Hybrid Calculator'!$B$8)/1300)^2+((D659-'Hybrid Calculator'!$B$9)/800)^2+((E659-'Hybrid Calculator'!$B$10)/350)^2+((F659-'Hybrid Calculator'!$B$11)/30)^2+(G659-'Hybrid Calculator'!$B$12)^2+((H659-'Hybrid Calculator'!$E$14)/IF(A659="Lightning",100,30000))^2+((I659-'Hybrid Calculator'!$E$17)/IF(A659="Lightning",100,30000))^2</x:f>
        <x:v>0.11397850450191946</x:v>
      </x:c>
      <x:c r="K659" s="23" t="n">
        <x:f>RANK(J659,$J$2:$J$1401,1)</x:f>
        <x:v>238</x:v>
      </x:c>
      <x:c r="L659" s="23" t="n">
        <x:f>IF(K659&lt;=7,1,0)</x:f>
        <x:v>0</x:v>
      </x:c>
      <x:c r="M659" s="23" t="n">
        <x:f>IF(L659=1,1/(J659+0.000001),0)</x:f>
        <x:v>0</x:v>
      </x:c>
      <x:c r="N659" s="23" t="n">
        <x:v>-0.00016935725668543178</x:v>
      </x:c>
      <x:c r="O659" s="23" t="n">
        <x:f>M659</x:f>
        <x:v>0</x:v>
      </x:c>
      <x:c r="P659" s="23" t="n">
        <x:v>0.7207248679339813</x:v>
      </x:c>
      <x:c r="Q659" s="23" t="n">
        <x:v>10.047706063331589</x:v>
      </x:c>
    </x:row>
    <x:row r="660">
      <x:c r="A660" s="23" t="str">
        <x:v>Lightning</x:v>
      </x:c>
      <x:c r="B660" s="23" t="n">
        <x:v>1413.4752867277712</x:v>
      </x:c>
      <x:c r="C660" s="23" t="n">
        <x:v>1193.8865366275422</x:v>
      </x:c>
      <x:c r="D660" s="23" t="n">
        <x:v>528.9687028154731</x:v>
      </x:c>
      <x:c r="E660" s="23" t="n">
        <x:v>314.05069654108956</x:v>
      </x:c>
      <x:c r="F660" s="23" t="n">
        <x:v>11.931580428034067</x:v>
      </x:c>
      <x:c r="G660" s="23" t="n">
        <x:v>0.8253355825715699</x:v>
      </x:c>
      <x:c r="H660" s="23" t="n">
        <x:v>35</x:v>
      </x:c>
      <x:c r="I660" s="23" t="n">
        <x:v>25</x:v>
      </x:c>
      <x:c r="J660" s="23" t="n">
        <x:f>(IF(A660='Hybrid Calculator'!$B$6,0,1))^2+((B660-'Hybrid Calculator'!$B$7)/1500)^2+((C660-'Hybrid Calculator'!$B$8)/1300)^2+((D660-'Hybrid Calculator'!$B$9)/800)^2+((E660-'Hybrid Calculator'!$B$10)/350)^2+((F660-'Hybrid Calculator'!$B$11)/30)^2+(G660-'Hybrid Calculator'!$B$12)^2+((H660-'Hybrid Calculator'!$E$14)/IF(A660="Lightning",100,30000))^2+((I660-'Hybrid Calculator'!$E$17)/IF(A660="Lightning",100,30000))^2</x:f>
        <x:v>0.36150672098060505</x:v>
      </x:c>
      <x:c r="K660" s="23" t="n">
        <x:f>RANK(J660,$J$2:$J$1401,1)</x:f>
        <x:v>658</x:v>
      </x:c>
      <x:c r="L660" s="23" t="n">
        <x:f>IF(K660&lt;=7,1,0)</x:f>
        <x:v>0</x:v>
      </x:c>
      <x:c r="M660" s="23" t="n">
        <x:f>IF(L660=1,1/(J660+0.000001),0)</x:f>
        <x:v>0</x:v>
      </x:c>
      <x:c r="N660" s="23" t="n">
        <x:v>0.01620779319654808</x:v>
      </x:c>
      <x:c r="O660" s="23" t="n">
        <x:f>M660</x:f>
        <x:v>0</x:v>
      </x:c>
      <x:c r="P660" s="23" t="n">
        <x:v>0.20247212686540195</x:v>
      </x:c>
      <x:c r="Q660" s="23" t="n">
        <x:v>1.6410422243127414</x:v>
      </x:c>
    </x:row>
    <x:row r="661">
      <x:c r="A661" s="23" t="str">
        <x:v>Lightning</x:v>
      </x:c>
      <x:c r="B661" s="23" t="n">
        <x:v>1453.9099907618947</x:v>
      </x:c>
      <x:c r="C661" s="23" t="n">
        <x:v>655.3936012787744</x:v>
      </x:c>
      <x:c r="D661" s="23" t="n">
        <x:v>588.5309134609997</x:v>
      </x:c>
      <x:c r="E661" s="23" t="n">
        <x:v>306.97241231799126</x:v>
      </x:c>
      <x:c r="F661" s="23" t="n">
        <x:v>13.59949258947745</x:v>
      </x:c>
      <x:c r="G661" s="23" t="n">
        <x:v>0.798259985218756</x:v>
      </x:c>
      <x:c r="H661" s="23" t="n">
        <x:v>45</x:v>
      </x:c>
      <x:c r="I661" s="23" t="n">
        <x:v>25</x:v>
      </x:c>
      <x:c r="J661" s="23" t="n">
        <x:f>(IF(A661='Hybrid Calculator'!$B$6,0,1))^2+((B661-'Hybrid Calculator'!$B$7)/1500)^2+((C661-'Hybrid Calculator'!$B$8)/1300)^2+((D661-'Hybrid Calculator'!$B$9)/800)^2+((E661-'Hybrid Calculator'!$B$10)/350)^2+((F661-'Hybrid Calculator'!$B$11)/30)^2+(G661-'Hybrid Calculator'!$B$12)^2+((H661-'Hybrid Calculator'!$E$14)/IF(A661="Lightning",100,30000))^2+((I661-'Hybrid Calculator'!$E$17)/IF(A661="Lightning",100,30000))^2</x:f>
        <x:v>0.2658287130067805</x:v>
      </x:c>
      <x:c r="K661" s="23" t="n">
        <x:f>RANK(J661,$J$2:$J$1401,1)</x:f>
        <x:v>566</x:v>
      </x:c>
      <x:c r="L661" s="23" t="n">
        <x:f>IF(K661&lt;=7,1,0)</x:f>
        <x:v>0</x:v>
      </x:c>
      <x:c r="M661" s="23" t="n">
        <x:f>IF(L661=1,1/(J661+0.000001),0)</x:f>
        <x:v>0</x:v>
      </x:c>
      <x:c r="N661" s="23" t="n">
        <x:v>0.01170936373842757</x:v>
      </x:c>
      <x:c r="O661" s="23" t="n">
        <x:f>M661</x:f>
        <x:v>0</x:v>
      </x:c>
      <x:c r="P661" s="23" t="n">
        <x:v>-1.2801063145936524</x:v>
      </x:c>
      <x:c r="Q661" s="23" t="n">
        <x:v>0.5268542415826687</x:v>
      </x:c>
    </x:row>
    <x:row r="662">
      <x:c r="A662" s="23" t="str">
        <x:v>Lightning</x:v>
      </x:c>
      <x:c r="B662" s="23" t="n">
        <x:v>1448.2032293686643</x:v>
      </x:c>
      <x:c r="C662" s="23" t="n">
        <x:v>668.3586449478753</x:v>
      </x:c>
      <x:c r="D662" s="23" t="n">
        <x:v>581.9544889032841</x:v>
      </x:c>
      <x:c r="E662" s="23" t="n">
        <x:v>167.54308003699407</x:v>
      </x:c>
      <x:c r="F662" s="23" t="n">
        <x:v>25.979770227335393</x:v>
      </x:c>
      <x:c r="G662" s="23" t="n">
        <x:v>0.8416445708810352</x:v>
      </x:c>
      <x:c r="H662" s="23" t="n">
        <x:v>50</x:v>
      </x:c>
      <x:c r="I662" s="23" t="n">
        <x:v>25</x:v>
      </x:c>
      <x:c r="J662" s="23" t="n">
        <x:f>(IF(A662='Hybrid Calculator'!$B$6,0,1))^2+((B662-'Hybrid Calculator'!$B$7)/1500)^2+((C662-'Hybrid Calculator'!$B$8)/1300)^2+((D662-'Hybrid Calculator'!$B$9)/800)^2+((E662-'Hybrid Calculator'!$B$10)/350)^2+((F662-'Hybrid Calculator'!$B$11)/30)^2+(G662-'Hybrid Calculator'!$B$12)^2+((H662-'Hybrid Calculator'!$E$14)/IF(A662="Lightning",100,30000))^2+((I662-'Hybrid Calculator'!$E$17)/IF(A662="Lightning",100,30000))^2</x:f>
        <x:v>0.09540080792122278</x:v>
      </x:c>
      <x:c r="K662" s="23" t="n">
        <x:f>RANK(J662,$J$2:$J$1401,1)</x:f>
        <x:v>189</x:v>
      </x:c>
      <x:c r="L662" s="23" t="n">
        <x:f>IF(K662&lt;=7,1,0)</x:f>
        <x:v>0</x:v>
      </x:c>
      <x:c r="M662" s="23" t="n">
        <x:f>IF(L662=1,1/(J662+0.000001),0)</x:f>
        <x:v>0</x:v>
      </x:c>
      <x:c r="N662" s="23" t="n">
        <x:v>-0.002693592409295009</x:v>
      </x:c>
      <x:c r="O662" s="23" t="n">
        <x:f>M662</x:f>
        <x:v>0</x:v>
      </x:c>
      <x:c r="P662" s="23" t="n">
        <x:v>-1.3137507814260587</x:v>
      </x:c>
      <x:c r="Q662" s="23" t="n">
        <x:v>-0.5201276105333363</x:v>
      </x:c>
    </x:row>
    <x:row r="663">
      <x:c r="A663" s="23" t="str">
        <x:v>Lightning</x:v>
      </x:c>
      <x:c r="B663" s="23" t="n">
        <x:v>1471.9530451926403</x:v>
      </x:c>
      <x:c r="C663" s="23" t="n">
        <x:v>1154.4910604134202</x:v>
      </x:c>
      <x:c r="D663" s="23" t="n">
        <x:v>433.5562034510076</x:v>
      </x:c>
      <x:c r="E663" s="23" t="n">
        <x:v>257.48529848176986</x:v>
      </x:c>
      <x:c r="F663" s="23" t="n">
        <x:v>10.241567784454674</x:v>
      </x:c>
      <x:c r="G663" s="23" t="n">
        <x:v>0.8434860926028341</x:v>
      </x:c>
      <x:c r="H663" s="23" t="n">
        <x:v>40</x:v>
      </x:c>
      <x:c r="I663" s="23" t="n">
        <x:v>25</x:v>
      </x:c>
      <x:c r="J663" s="23" t="n">
        <x:f>(IF(A663='Hybrid Calculator'!$B$6,0,1))^2+((B663-'Hybrid Calculator'!$B$7)/1500)^2+((C663-'Hybrid Calculator'!$B$8)/1300)^2+((D663-'Hybrid Calculator'!$B$9)/800)^2+((E663-'Hybrid Calculator'!$B$10)/350)^2+((F663-'Hybrid Calculator'!$B$11)/30)^2+(G663-'Hybrid Calculator'!$B$12)^2+((H663-'Hybrid Calculator'!$E$14)/IF(A663="Lightning",100,30000))^2+((I663-'Hybrid Calculator'!$E$17)/IF(A663="Lightning",100,30000))^2</x:f>
        <x:v>0.2433809397080892</x:v>
      </x:c>
      <x:c r="K663" s="23" t="n">
        <x:f>RANK(J663,$J$2:$J$1401,1)</x:f>
        <x:v>528</x:v>
      </x:c>
      <x:c r="L663" s="23" t="n">
        <x:f>IF(K663&lt;=7,1,0)</x:f>
        <x:v>0</x:v>
      </x:c>
      <x:c r="M663" s="23" t="n">
        <x:f>IF(L663=1,1/(J663+0.000001),0)</x:f>
        <x:v>0</x:v>
      </x:c>
      <x:c r="N663" s="23" t="n">
        <x:v>0.004802281455159818</x:v>
      </x:c>
      <x:c r="O663" s="23" t="n">
        <x:f>M663</x:f>
        <x:v>0</x:v>
      </x:c>
      <x:c r="P663" s="23" t="n">
        <x:v>1.6433065201079202</x:v>
      </x:c>
      <x:c r="Q663" s="23" t="n">
        <x:v>-0.7570605006389997</x:v>
      </x:c>
    </x:row>
    <x:row r="664">
      <x:c r="A664" s="23" t="str">
        <x:v>Lightning</x:v>
      </x:c>
      <x:c r="B664" s="23" t="n">
        <x:v>1361.7710595019162</x:v>
      </x:c>
      <x:c r="C664" s="23" t="n">
        <x:v>1068.986366072204</x:v>
      </x:c>
      <x:c r="D664" s="23" t="n">
        <x:v>401.9572416320443</x:v>
      </x:c>
      <x:c r="E664" s="23" t="n">
        <x:v>218.78422981360927</x:v>
      </x:c>
      <x:c r="F664" s="23" t="n">
        <x:v>19.364979224279523</x:v>
      </x:c>
      <x:c r="G664" s="23" t="n">
        <x:v>0.8002988749672659</x:v>
      </x:c>
      <x:c r="H664" s="23" t="n">
        <x:v>45</x:v>
      </x:c>
      <x:c r="I664" s="23" t="n">
        <x:v>25</x:v>
      </x:c>
      <x:c r="J664" s="23" t="n">
        <x:f>(IF(A664='Hybrid Calculator'!$B$6,0,1))^2+((B664-'Hybrid Calculator'!$B$7)/1500)^2+((C664-'Hybrid Calculator'!$B$8)/1300)^2+((D664-'Hybrid Calculator'!$B$9)/800)^2+((E664-'Hybrid Calculator'!$B$10)/350)^2+((F664-'Hybrid Calculator'!$B$11)/30)^2+(G664-'Hybrid Calculator'!$B$12)^2+((H664-'Hybrid Calculator'!$E$14)/IF(A664="Lightning",100,30000))^2+((I664-'Hybrid Calculator'!$E$17)/IF(A664="Lightning",100,30000))^2</x:f>
        <x:v>0.08751401805489141</x:v>
      </x:c>
      <x:c r="K664" s="23" t="n">
        <x:f>RANK(J664,$J$2:$J$1401,1)</x:f>
        <x:v>163</x:v>
      </x:c>
      <x:c r="L664" s="23" t="n">
        <x:f>IF(K664&lt;=7,1,0)</x:f>
        <x:v>0</x:v>
      </x:c>
      <x:c r="M664" s="23" t="n">
        <x:f>IF(L664=1,1/(J664+0.000001),0)</x:f>
        <x:v>0</x:v>
      </x:c>
      <x:c r="N664" s="23" t="n">
        <x:v>0.0004869598428682842</x:v>
      </x:c>
      <x:c r="O664" s="23" t="n">
        <x:f>M664</x:f>
        <x:v>0</x:v>
      </x:c>
      <x:c r="P664" s="23" t="n">
        <x:v>0.6862833916924131</x:v>
      </x:c>
      <x:c r="Q664" s="23" t="n">
        <x:v>-2.272362997884102</x:v>
      </x:c>
    </x:row>
    <x:row r="665">
      <x:c r="A665" s="23" t="str">
        <x:v>Lightning</x:v>
      </x:c>
      <x:c r="B665" s="23" t="n">
        <x:v>1411.6186134167947</x:v>
      </x:c>
      <x:c r="C665" s="23" t="n">
        <x:v>1067.6004064502195</x:v>
      </x:c>
      <x:c r="D665" s="23" t="n">
        <x:v>731.5327593125403</x:v>
      </x:c>
      <x:c r="E665" s="23" t="n">
        <x:v>149.13868454284966</x:v>
      </x:c>
      <x:c r="F665" s="23" t="n">
        <x:v>19.25569984363392</x:v>
      </x:c>
      <x:c r="G665" s="23" t="n">
        <x:v>0.793104564123787</x:v>
      </x:c>
      <x:c r="H665" s="23" t="n">
        <x:v>35</x:v>
      </x:c>
      <x:c r="I665" s="23" t="n">
        <x:v>25</x:v>
      </x:c>
      <x:c r="J665" s="23" t="n">
        <x:f>(IF(A665='Hybrid Calculator'!$B$6,0,1))^2+((B665-'Hybrid Calculator'!$B$7)/1500)^2+((C665-'Hybrid Calculator'!$B$8)/1300)^2+((D665-'Hybrid Calculator'!$B$9)/800)^2+((E665-'Hybrid Calculator'!$B$10)/350)^2+((F665-'Hybrid Calculator'!$B$11)/30)^2+(G665-'Hybrid Calculator'!$B$12)^2+((H665-'Hybrid Calculator'!$E$14)/IF(A665="Lightning",100,30000))^2+((I665-'Hybrid Calculator'!$E$17)/IF(A665="Lightning",100,30000))^2</x:f>
        <x:v>0.13572284498706552</x:v>
      </x:c>
      <x:c r="K665" s="23" t="n">
        <x:f>RANK(J665,$J$2:$J$1401,1)</x:f>
        <x:v>294</x:v>
      </x:c>
      <x:c r="L665" s="23" t="n">
        <x:f>IF(K665&lt;=7,1,0)</x:f>
        <x:v>0</x:v>
      </x:c>
      <x:c r="M665" s="23" t="n">
        <x:f>IF(L665=1,1/(J665+0.000001),0)</x:f>
        <x:v>0</x:v>
      </x:c>
      <x:c r="N665" s="23" t="n">
        <x:v>0.006492609964284135</x:v>
      </x:c>
      <x:c r="O665" s="23" t="n">
        <x:f>M665</x:f>
        <x:v>0</x:v>
      </x:c>
      <x:c r="P665" s="23" t="n">
        <x:v>0.5893937636564104</x:v>
      </x:c>
      <x:c r="Q665" s="23" t="n">
        <x:v>-6.036491056646355</x:v>
      </x:c>
    </x:row>
    <x:row r="666">
      <x:c r="A666" s="23" t="str">
        <x:v>Lightning</x:v>
      </x:c>
      <x:c r="B666" s="23" t="n">
        <x:v>1394.7354150703177</x:v>
      </x:c>
      <x:c r="C666" s="23" t="n">
        <x:v>1042.7805047133006</x:v>
      </x:c>
      <x:c r="D666" s="23" t="n">
        <x:v>733.4166701883078</x:v>
      </x:c>
      <x:c r="E666" s="23" t="n">
        <x:v>284.60773882223293</x:v>
      </x:c>
      <x:c r="F666" s="23" t="n">
        <x:v>8.482246202416718</x:v>
      </x:c>
      <x:c r="G666" s="23" t="n">
        <x:v>0.7965340961958282</x:v>
      </x:c>
      <x:c r="H666" s="23" t="n">
        <x:v>35</x:v>
      </x:c>
      <x:c r="I666" s="23" t="n">
        <x:v>25</x:v>
      </x:c>
      <x:c r="J666" s="23" t="n">
        <x:f>(IF(A666='Hybrid Calculator'!$B$6,0,1))^2+((B666-'Hybrid Calculator'!$B$7)/1500)^2+((C666-'Hybrid Calculator'!$B$8)/1300)^2+((D666-'Hybrid Calculator'!$B$9)/800)^2+((E666-'Hybrid Calculator'!$B$10)/350)^2+((F666-'Hybrid Calculator'!$B$11)/30)^2+(G666-'Hybrid Calculator'!$B$12)^2+((H666-'Hybrid Calculator'!$E$14)/IF(A666="Lightning",100,30000))^2+((I666-'Hybrid Calculator'!$E$17)/IF(A666="Lightning",100,30000))^2</x:f>
        <x:v>0.38999686155746993</x:v>
      </x:c>
      <x:c r="K666" s="23" t="n">
        <x:f>RANK(J666,$J$2:$J$1401,1)</x:f>
        <x:v>679</x:v>
      </x:c>
      <x:c r="L666" s="23" t="n">
        <x:f>IF(K666&lt;=7,1,0)</x:f>
        <x:v>0</x:v>
      </x:c>
      <x:c r="M666" s="23" t="n">
        <x:f>IF(L666=1,1/(J666+0.000001),0)</x:f>
        <x:v>0</x:v>
      </x:c>
      <x:c r="N666" s="23" t="n">
        <x:v>0.0048858769831923166</x:v>
      </x:c>
      <x:c r="O666" s="23" t="n">
        <x:f>M666</x:f>
        <x:v>0</x:v>
      </x:c>
      <x:c r="P666" s="23" t="n">
        <x:v>1.393407252908446</x:v>
      </x:c>
      <x:c r="Q666" s="23" t="n">
        <x:v>-3.981660391662217</x:v>
      </x:c>
    </x:row>
    <x:row r="667">
      <x:c r="A667" s="23" t="str">
        <x:v>Lightning</x:v>
      </x:c>
      <x:c r="B667" s="23" t="n">
        <x:v>1426.3071866123937</x:v>
      </x:c>
      <x:c r="C667" s="23" t="n">
        <x:v>839.226825768128</x:v>
      </x:c>
      <x:c r="D667" s="23" t="n">
        <x:v>402.6805388741195</x:v>
      </x:c>
      <x:c r="E667" s="23" t="n">
        <x:v>185.24789558257908</x:v>
      </x:c>
      <x:c r="F667" s="23" t="n">
        <x:v>13.492219537030905</x:v>
      </x:c>
      <x:c r="G667" s="23" t="n">
        <x:v>0.847013001088053</x:v>
      </x:c>
      <x:c r="H667" s="23" t="n">
        <x:v>55</x:v>
      </x:c>
      <x:c r="I667" s="23" t="n">
        <x:v>25</x:v>
      </x:c>
      <x:c r="J667" s="23" t="n">
        <x:f>(IF(A667='Hybrid Calculator'!$B$6,0,1))^2+((B667-'Hybrid Calculator'!$B$7)/1500)^2+((C667-'Hybrid Calculator'!$B$8)/1300)^2+((D667-'Hybrid Calculator'!$B$9)/800)^2+((E667-'Hybrid Calculator'!$B$10)/350)^2+((F667-'Hybrid Calculator'!$B$11)/30)^2+(G667-'Hybrid Calculator'!$B$12)^2+((H667-'Hybrid Calculator'!$E$14)/IF(A667="Lightning",100,30000))^2+((I667-'Hybrid Calculator'!$E$17)/IF(A667="Lightning",100,30000))^2</x:f>
        <x:v>0.056104146494639705</x:v>
      </x:c>
      <x:c r="K667" s="23" t="n">
        <x:f>RANK(J667,$J$2:$J$1401,1)</x:f>
        <x:v>72</x:v>
      </x:c>
      <x:c r="L667" s="23" t="n">
        <x:f>IF(K667&lt;=7,1,0)</x:f>
        <x:v>0</x:v>
      </x:c>
      <x:c r="M667" s="23" t="n">
        <x:f>IF(L667=1,1/(J667+0.000001),0)</x:f>
        <x:v>0</x:v>
      </x:c>
      <x:c r="N667" s="23" t="n">
        <x:v>-0.0042684883881858315</x:v>
      </x:c>
      <x:c r="O667" s="23" t="n">
        <x:f>M667</x:f>
        <x:v>0</x:v>
      </x:c>
      <x:c r="P667" s="23" t="n">
        <x:v>-0.18387806976808463</x:v>
      </x:c>
      <x:c r="Q667" s="23" t="n">
        <x:v>4.8067012818876265</x:v>
      </x:c>
    </x:row>
    <x:row r="668">
      <x:c r="A668" s="23" t="str">
        <x:v>Lightning</x:v>
      </x:c>
      <x:c r="B668" s="23" t="n">
        <x:v>1456.6859726328403</x:v>
      </x:c>
      <x:c r="C668" s="23" t="n">
        <x:v>1050.696455675643</x:v>
      </x:c>
      <x:c r="D668" s="23" t="n">
        <x:v>424.66318886727095</x:v>
      </x:c>
      <x:c r="E668" s="23" t="n">
        <x:v>104.29780206875876</x:v>
      </x:c>
      <x:c r="F668" s="23" t="n">
        <x:v>17.504483461380005</x:v>
      </x:c>
      <x:c r="G668" s="23" t="n">
        <x:v>0.8330406103120186</x:v>
      </x:c>
      <x:c r="H668" s="23" t="n">
        <x:v>45</x:v>
      </x:c>
      <x:c r="I668" s="23" t="n">
        <x:v>25</x:v>
      </x:c>
      <x:c r="J668" s="23" t="n">
        <x:f>(IF(A668='Hybrid Calculator'!$B$6,0,1))^2+((B668-'Hybrid Calculator'!$B$7)/1500)^2+((C668-'Hybrid Calculator'!$B$8)/1300)^2+((D668-'Hybrid Calculator'!$B$9)/800)^2+((E668-'Hybrid Calculator'!$B$10)/350)^2+((F668-'Hybrid Calculator'!$B$11)/30)^2+(G668-'Hybrid Calculator'!$B$12)^2+((H668-'Hybrid Calculator'!$E$14)/IF(A668="Lightning",100,30000))^2+((I668-'Hybrid Calculator'!$E$17)/IF(A668="Lightning",100,30000))^2</x:f>
        <x:v>0.05396993575285683</x:v>
      </x:c>
      <x:c r="K668" s="23" t="n">
        <x:f>RANK(J668,$J$2:$J$1401,1)</x:f>
        <x:v>64</x:v>
      </x:c>
      <x:c r="L668" s="23" t="n">
        <x:f>IF(K668&lt;=7,1,0)</x:f>
        <x:v>0</x:v>
      </x:c>
      <x:c r="M668" s="23" t="n">
        <x:f>IF(L668=1,1/(J668+0.000001),0)</x:f>
        <x:v>0</x:v>
      </x:c>
      <x:c r="N668" s="23" t="n">
        <x:v>0.00916959120627947</x:v>
      </x:c>
      <x:c r="O668" s="23" t="n">
        <x:f>M668</x:f>
        <x:v>0</x:v>
      </x:c>
      <x:c r="P668" s="23" t="n">
        <x:v>0.6224779787205961</x:v>
      </x:c>
      <x:c r="Q668" s="23" t="n">
        <x:v>2.920216771174637</x:v>
      </x:c>
    </x:row>
    <x:row r="669">
      <x:c r="A669" s="23" t="str">
        <x:v>Lightning</x:v>
      </x:c>
      <x:c r="B669" s="23" t="n">
        <x:v>1441.8987305019982</x:v>
      </x:c>
      <x:c r="C669" s="23" t="n">
        <x:v>685.79581619706</x:v>
      </x:c>
      <x:c r="D669" s="23" t="n">
        <x:v>678.861288446933</x:v>
      </x:c>
      <x:c r="E669" s="23" t="n">
        <x:v>286.6120752133429</x:v>
      </x:c>
      <x:c r="F669" s="23" t="n">
        <x:v>10.069010487291962</x:v>
      </x:c>
      <x:c r="G669" s="23" t="n">
        <x:v>0.7927836297219619</x:v>
      </x:c>
      <x:c r="H669" s="23" t="n">
        <x:v>40</x:v>
      </x:c>
      <x:c r="I669" s="23" t="n">
        <x:v>25</x:v>
      </x:c>
      <x:c r="J669" s="23" t="n">
        <x:f>(IF(A669='Hybrid Calculator'!$B$6,0,1))^2+((B669-'Hybrid Calculator'!$B$7)/1500)^2+((C669-'Hybrid Calculator'!$B$8)/1300)^2+((D669-'Hybrid Calculator'!$B$9)/800)^2+((E669-'Hybrid Calculator'!$B$10)/350)^2+((F669-'Hybrid Calculator'!$B$11)/30)^2+(G669-'Hybrid Calculator'!$B$12)^2+((H669-'Hybrid Calculator'!$E$14)/IF(A669="Lightning",100,30000))^2+((I669-'Hybrid Calculator'!$E$17)/IF(A669="Lightning",100,30000))^2</x:f>
        <x:v>0.30813800456409635</x:v>
      </x:c>
      <x:c r="K669" s="23" t="n">
        <x:f>RANK(J669,$J$2:$J$1401,1)</x:f>
        <x:v>605</x:v>
      </x:c>
      <x:c r="L669" s="23" t="n">
        <x:f>IF(K669&lt;=7,1,0)</x:f>
        <x:v>0</x:v>
      </x:c>
      <x:c r="M669" s="23" t="n">
        <x:f>IF(L669=1,1/(J669+0.000001),0)</x:f>
        <x:v>0</x:v>
      </x:c>
      <x:c r="N669" s="23" t="n">
        <x:v>0.01899134021454696</x:v>
      </x:c>
      <x:c r="O669" s="23" t="n">
        <x:f>M669</x:f>
        <x:v>0</x:v>
      </x:c>
      <x:c r="P669" s="23" t="n">
        <x:v>-1.0648726797064043</x:v>
      </x:c>
      <x:c r="Q669" s="23" t="n">
        <x:v>8.624949396432385</x:v>
      </x:c>
    </x:row>
    <x:row r="670">
      <x:c r="A670" s="23" t="str">
        <x:v>Lightning</x:v>
      </x:c>
      <x:c r="B670" s="23" t="n">
        <x:v>1457.0166074903682</x:v>
      </x:c>
      <x:c r="C670" s="23" t="n">
        <x:v>1050.6367711466737</x:v>
      </x:c>
      <x:c r="D670" s="23" t="n">
        <x:v>488.4228304028511</x:v>
      </x:c>
      <x:c r="E670" s="23" t="n">
        <x:v>302.62718429556116</x:v>
      </x:c>
      <x:c r="F670" s="23" t="n">
        <x:v>14.420177469961345</x:v>
      </x:c>
      <x:c r="G670" s="23" t="n">
        <x:v>0.8125803543976509</x:v>
      </x:c>
      <x:c r="H670" s="23" t="n">
        <x:v>40</x:v>
      </x:c>
      <x:c r="I670" s="23" t="n">
        <x:v>25</x:v>
      </x:c>
      <x:c r="J670" s="23" t="n">
        <x:f>(IF(A670='Hybrid Calculator'!$B$6,0,1))^2+((B670-'Hybrid Calculator'!$B$7)/1500)^2+((C670-'Hybrid Calculator'!$B$8)/1300)^2+((D670-'Hybrid Calculator'!$B$9)/800)^2+((E670-'Hybrid Calculator'!$B$10)/350)^2+((F670-'Hybrid Calculator'!$B$11)/30)^2+(G670-'Hybrid Calculator'!$B$12)^2+((H670-'Hybrid Calculator'!$E$14)/IF(A670="Lightning",100,30000))^2+((I670-'Hybrid Calculator'!$E$17)/IF(A670="Lightning",100,30000))^2</x:f>
        <x:v>0.24319777675998103</x:v>
      </x:c>
      <x:c r="K670" s="23" t="n">
        <x:f>RANK(J670,$J$2:$J$1401,1)</x:f>
        <x:v>527</x:v>
      </x:c>
      <x:c r="L670" s="23" t="n">
        <x:f>IF(K670&lt;=7,1,0)</x:f>
        <x:v>0</x:v>
      </x:c>
      <x:c r="M670" s="23" t="n">
        <x:f>IF(L670=1,1/(J670+0.000001),0)</x:f>
        <x:v>0</x:v>
      </x:c>
      <x:c r="N670" s="23" t="n">
        <x:v>0.019277141662896957</x:v>
      </x:c>
      <x:c r="O670" s="23" t="n">
        <x:f>M670</x:f>
        <x:v>0</x:v>
      </x:c>
      <x:c r="P670" s="23" t="n">
        <x:v>1.2262332107985543</x:v>
      </x:c>
      <x:c r="Q670" s="23" t="n">
        <x:v>1.797864592988617</x:v>
      </x:c>
    </x:row>
    <x:row r="671">
      <x:c r="A671" s="23" t="str">
        <x:v>Lightning</x:v>
      </x:c>
      <x:c r="B671" s="23" t="n">
        <x:v>1455.6760824169032</x:v>
      </x:c>
      <x:c r="C671" s="23" t="n">
        <x:v>671.4791643433273</x:v>
      </x:c>
      <x:c r="D671" s="23" t="n">
        <x:v>601.9832364283502</x:v>
      </x:c>
      <x:c r="E671" s="23" t="n">
        <x:v>136.90193048212677</x:v>
      </x:c>
      <x:c r="F671" s="23" t="n">
        <x:v>29.54704246437177</x:v>
      </x:c>
      <x:c r="G671" s="23" t="n">
        <x:v>0.8156184212584049</x:v>
      </x:c>
      <x:c r="H671" s="23" t="n">
        <x:v>50</x:v>
      </x:c>
      <x:c r="I671" s="23" t="n">
        <x:v>25</x:v>
      </x:c>
      <x:c r="J671" s="23" t="n">
        <x:f>(IF(A671='Hybrid Calculator'!$B$6,0,1))^2+((B671-'Hybrid Calculator'!$B$7)/1500)^2+((C671-'Hybrid Calculator'!$B$8)/1300)^2+((D671-'Hybrid Calculator'!$B$9)/800)^2+((E671-'Hybrid Calculator'!$B$10)/350)^2+((F671-'Hybrid Calculator'!$B$11)/30)^2+(G671-'Hybrid Calculator'!$B$12)^2+((H671-'Hybrid Calculator'!$E$14)/IF(A671="Lightning",100,30000))^2+((I671-'Hybrid Calculator'!$E$17)/IF(A671="Lightning",100,30000))^2</x:f>
        <x:v>0.17254345663516357</x:v>
      </x:c>
      <x:c r="K671" s="23" t="n">
        <x:f>RANK(J671,$J$2:$J$1401,1)</x:f>
        <x:v>388</x:v>
      </x:c>
      <x:c r="L671" s="23" t="n">
        <x:f>IF(K671&lt;=7,1,0)</x:f>
        <x:v>0</x:v>
      </x:c>
      <x:c r="M671" s="23" t="n">
        <x:f>IF(L671=1,1/(J671+0.000001),0)</x:f>
        <x:v>0</x:v>
      </x:c>
      <x:c r="N671" s="23" t="n">
        <x:v>-0.001993867533684357</x:v>
      </x:c>
      <x:c r="O671" s="23" t="n">
        <x:f>M671</x:f>
        <x:v>0</x:v>
      </x:c>
      <x:c r="P671" s="23" t="n">
        <x:v>-1.3309549190550598</x:v>
      </x:c>
      <x:c r="Q671" s="23" t="n">
        <x:v>-2.453519586692437</x:v>
      </x:c>
    </x:row>
    <x:row r="672">
      <x:c r="A672" s="23" t="str">
        <x:v>Lightning</x:v>
      </x:c>
      <x:c r="B672" s="23" t="n">
        <x:v>1451.1193748563528</x:v>
      </x:c>
      <x:c r="C672" s="23" t="n">
        <x:v>655.6528551853262</x:v>
      </x:c>
      <x:c r="D672" s="23" t="n">
        <x:v>548.2901768758893</x:v>
      </x:c>
      <x:c r="E672" s="23" t="n">
        <x:v>236.93220548564568</x:v>
      </x:c>
      <x:c r="F672" s="23" t="n">
        <x:v>20.175062907859683</x:v>
      </x:c>
      <x:c r="G672" s="23" t="n">
        <x:v>0.8083915471774527</x:v>
      </x:c>
      <x:c r="H672" s="23" t="n">
        <x:v>50</x:v>
      </x:c>
      <x:c r="I672" s="23" t="n">
        <x:v>25</x:v>
      </x:c>
      <x:c r="J672" s="23" t="n">
        <x:f>(IF(A672='Hybrid Calculator'!$B$6,0,1))^2+((B672-'Hybrid Calculator'!$B$7)/1500)^2+((C672-'Hybrid Calculator'!$B$8)/1300)^2+((D672-'Hybrid Calculator'!$B$9)/800)^2+((E672-'Hybrid Calculator'!$B$10)/350)^2+((F672-'Hybrid Calculator'!$B$11)/30)^2+(G672-'Hybrid Calculator'!$B$12)^2+((H672-'Hybrid Calculator'!$E$14)/IF(A672="Lightning",100,30000))^2+((I672-'Hybrid Calculator'!$E$17)/IF(A672="Lightning",100,30000))^2</x:f>
        <x:v>0.09124030926273453</x:v>
      </x:c>
      <x:c r="K672" s="23" t="n">
        <x:f>RANK(J672,$J$2:$J$1401,1)</x:f>
        <x:v>178</x:v>
      </x:c>
      <x:c r="L672" s="23" t="n">
        <x:f>IF(K672&lt;=7,1,0)</x:f>
        <x:v>0</x:v>
      </x:c>
      <x:c r="M672" s="23" t="n">
        <x:f>IF(L672=1,1/(J672+0.000001),0)</x:f>
        <x:v>0</x:v>
      </x:c>
      <x:c r="N672" s="23" t="n">
        <x:v>-0.004769510375693065</x:v>
      </x:c>
      <x:c r="O672" s="23" t="n">
        <x:f>M672</x:f>
        <x:v>0</x:v>
      </x:c>
      <x:c r="P672" s="23" t="n">
        <x:v>-0.542884985256471</x:v>
      </x:c>
      <x:c r="Q672" s="23" t="n">
        <x:v>-3.630395829525696</x:v>
      </x:c>
    </x:row>
    <x:row r="673">
      <x:c r="A673" s="23" t="str">
        <x:v>Lightning</x:v>
      </x:c>
      <x:c r="B673" s="23" t="n">
        <x:v>1484.8417016328312</x:v>
      </x:c>
      <x:c r="C673" s="23" t="n">
        <x:v>681.5558655420318</x:v>
      </x:c>
      <x:c r="D673" s="23" t="n">
        <x:v>399.5603279210627</x:v>
      </x:c>
      <x:c r="E673" s="23" t="n">
        <x:v>142.0374975260347</x:v>
      </x:c>
      <x:c r="F673" s="23" t="n">
        <x:v>10.163613420445472</x:v>
      </x:c>
      <x:c r="G673" s="23" t="n">
        <x:v>0.840343244005926</x:v>
      </x:c>
      <x:c r="H673" s="23" t="n">
        <x:v>65</x:v>
      </x:c>
      <x:c r="I673" s="23" t="n">
        <x:v>25</x:v>
      </x:c>
      <x:c r="J673" s="23" t="n">
        <x:f>(IF(A673='Hybrid Calculator'!$B$6,0,1))^2+((B673-'Hybrid Calculator'!$B$7)/1500)^2+((C673-'Hybrid Calculator'!$B$8)/1300)^2+((D673-'Hybrid Calculator'!$B$9)/800)^2+((E673-'Hybrid Calculator'!$B$10)/350)^2+((F673-'Hybrid Calculator'!$B$11)/30)^2+(G673-'Hybrid Calculator'!$B$12)^2+((H673-'Hybrid Calculator'!$E$14)/IF(A673="Lightning",100,30000))^2+((I673-'Hybrid Calculator'!$E$17)/IF(A673="Lightning",100,30000))^2</x:f>
        <x:v>0.1347917340355339</x:v>
      </x:c>
      <x:c r="K673" s="23" t="n">
        <x:f>RANK(J673,$J$2:$J$1401,1)</x:f>
        <x:v>291</x:v>
      </x:c>
      <x:c r="L673" s="23" t="n">
        <x:f>IF(K673&lt;=7,1,0)</x:f>
        <x:v>0</x:v>
      </x:c>
      <x:c r="M673" s="23" t="n">
        <x:f>IF(L673=1,1/(J673+0.000001),0)</x:f>
        <x:v>0</x:v>
      </x:c>
      <x:c r="N673" s="23" t="n">
        <x:v>0.0005867309318907665</x:v>
      </x:c>
      <x:c r="O673" s="23" t="n">
        <x:f>M673</x:f>
        <x:v>0</x:v>
      </x:c>
      <x:c r="P673" s="23" t="n">
        <x:v>0.07292497122508479</x:v>
      </x:c>
      <x:c r="Q673" s="23" t="n">
        <x:v>18.247299545105534</x:v>
      </x:c>
    </x:row>
    <x:row r="674">
      <x:c r="A674" s="23" t="str">
        <x:v>Lightning</x:v>
      </x:c>
      <x:c r="B674" s="23" t="n">
        <x:v>1398.612208943814</x:v>
      </x:c>
      <x:c r="C674" s="23" t="n">
        <x:v>1130.8437246247195</x:v>
      </x:c>
      <x:c r="D674" s="23" t="n">
        <x:v>721.8000883236527</x:v>
      </x:c>
      <x:c r="E674" s="23" t="n">
        <x:v>227.7775732637383</x:v>
      </x:c>
      <x:c r="F674" s="23" t="n">
        <x:v>10.125535914674401</x:v>
      </x:c>
      <x:c r="G674" s="23" t="n">
        <x:v>0.8436514007602819</x:v>
      </x:c>
      <x:c r="H674" s="23" t="n">
        <x:v>35</x:v>
      </x:c>
      <x:c r="I674" s="23" t="n">
        <x:v>25</x:v>
      </x:c>
      <x:c r="J674" s="23" t="n">
        <x:f>(IF(A674='Hybrid Calculator'!$B$6,0,1))^2+((B674-'Hybrid Calculator'!$B$7)/1500)^2+((C674-'Hybrid Calculator'!$B$8)/1300)^2+((D674-'Hybrid Calculator'!$B$9)/800)^2+((E674-'Hybrid Calculator'!$B$10)/350)^2+((F674-'Hybrid Calculator'!$B$11)/30)^2+(G674-'Hybrid Calculator'!$B$12)^2+((H674-'Hybrid Calculator'!$E$14)/IF(A674="Lightning",100,30000))^2+((I674-'Hybrid Calculator'!$E$17)/IF(A674="Lightning",100,30000))^2</x:f>
        <x:v>0.2742135276794054</x:v>
      </x:c>
      <x:c r="K674" s="23" t="n">
        <x:f>RANK(J674,$J$2:$J$1401,1)</x:f>
        <x:v>577</x:v>
      </x:c>
      <x:c r="L674" s="23" t="n">
        <x:f>IF(K674&lt;=7,1,0)</x:f>
        <x:v>0</x:v>
      </x:c>
      <x:c r="M674" s="23" t="n">
        <x:f>IF(L674=1,1/(J674+0.000001),0)</x:f>
        <x:v>0</x:v>
      </x:c>
      <x:c r="N674" s="23" t="n">
        <x:v>0.005742705010229221</x:v>
      </x:c>
      <x:c r="O674" s="23" t="n">
        <x:f>M674</x:f>
        <x:v>0</x:v>
      </x:c>
      <x:c r="P674" s="23" t="n">
        <x:v>0.3375104411127765</x:v>
      </x:c>
      <x:c r="Q674" s="23" t="n">
        <x:v>-6.25331695013756</x:v>
      </x:c>
    </x:row>
    <x:row r="675">
      <x:c r="A675" s="23" t="str">
        <x:v>Lightning</x:v>
      </x:c>
      <x:c r="B675" s="23" t="n">
        <x:v>1373.5431236797012</x:v>
      </x:c>
      <x:c r="C675" s="23" t="n">
        <x:v>831.1969860689715</x:v>
      </x:c>
      <x:c r="D675" s="23" t="n">
        <x:v>452.5726997293532</x:v>
      </x:c>
      <x:c r="E675" s="23" t="n">
        <x:v>153.40261922217906</x:v>
      </x:c>
      <x:c r="F675" s="23" t="n">
        <x:v>12.732445590663701</x:v>
      </x:c>
      <x:c r="G675" s="23" t="n">
        <x:v>0.800150938318111</x:v>
      </x:c>
      <x:c r="H675" s="23" t="n">
        <x:v>55</x:v>
      </x:c>
      <x:c r="I675" s="23" t="n">
        <x:v>25</x:v>
      </x:c>
      <x:c r="J675" s="23" t="n">
        <x:f>(IF(A675='Hybrid Calculator'!$B$6,0,1))^2+((B675-'Hybrid Calculator'!$B$7)/1500)^2+((C675-'Hybrid Calculator'!$B$8)/1300)^2+((D675-'Hybrid Calculator'!$B$9)/800)^2+((E675-'Hybrid Calculator'!$B$10)/350)^2+((F675-'Hybrid Calculator'!$B$11)/30)^2+(G675-'Hybrid Calculator'!$B$12)^2+((H675-'Hybrid Calculator'!$E$14)/IF(A675="Lightning",100,30000))^2+((I675-'Hybrid Calculator'!$E$17)/IF(A675="Lightning",100,30000))^2</x:f>
        <x:v>0.04484987306651486</x:v>
      </x:c>
      <x:c r="K675" s="23" t="n">
        <x:f>RANK(J675,$J$2:$J$1401,1)</x:f>
        <x:v>41</x:v>
      </x:c>
      <x:c r="L675" s="23" t="n">
        <x:f>IF(K675&lt;=7,1,0)</x:f>
        <x:v>0</x:v>
      </x:c>
      <x:c r="M675" s="23" t="n">
        <x:f>IF(L675=1,1/(J675+0.000001),0)</x:f>
        <x:v>0</x:v>
      </x:c>
      <x:c r="N675" s="23" t="n">
        <x:v>0.00532973723416319</x:v>
      </x:c>
      <x:c r="O675" s="23" t="n">
        <x:f>M675</x:f>
        <x:v>0</x:v>
      </x:c>
      <x:c r="P675" s="23" t="n">
        <x:v>-0.17386101130150422</x:v>
      </x:c>
      <x:c r="Q675" s="23" t="n">
        <x:v>8.699072586254715</x:v>
      </x:c>
    </x:row>
    <x:row r="676">
      <x:c r="A676" s="23" t="str">
        <x:v>Lightning</x:v>
      </x:c>
      <x:c r="B676" s="23" t="n">
        <x:v>1428.3069561934099</x:v>
      </x:c>
      <x:c r="C676" s="23" t="n">
        <x:v>910.5614697211422</x:v>
      </x:c>
      <x:c r="D676" s="23" t="n">
        <x:v>524.6657025068998</x:v>
      </x:c>
      <x:c r="E676" s="23" t="n">
        <x:v>281.80780411465093</x:v>
      </x:c>
      <x:c r="F676" s="23" t="n">
        <x:v>25.086162065155804</x:v>
      </x:c>
      <x:c r="G676" s="23" t="n">
        <x:v>0.7998795418511145</x:v>
      </x:c>
      <x:c r="H676" s="23" t="n">
        <x:v>40</x:v>
      </x:c>
      <x:c r="I676" s="23" t="n">
        <x:v>25</x:v>
      </x:c>
      <x:c r="J676" s="23" t="n">
        <x:f>(IF(A676='Hybrid Calculator'!$B$6,0,1))^2+((B676-'Hybrid Calculator'!$B$7)/1500)^2+((C676-'Hybrid Calculator'!$B$8)/1300)^2+((D676-'Hybrid Calculator'!$B$9)/800)^2+((E676-'Hybrid Calculator'!$B$10)/350)^2+((F676-'Hybrid Calculator'!$B$11)/30)^2+(G676-'Hybrid Calculator'!$B$12)^2+((H676-'Hybrid Calculator'!$E$14)/IF(A676="Lightning",100,30000))^2+((I676-'Hybrid Calculator'!$E$17)/IF(A676="Lightning",100,30000))^2</x:f>
        <x:v>0.2035506359937448</x:v>
      </x:c>
      <x:c r="K676" s="23" t="n">
        <x:f>RANK(J676,$J$2:$J$1401,1)</x:f>
        <x:v>453</x:v>
      </x:c>
      <x:c r="L676" s="23" t="n">
        <x:f>IF(K676&lt;=7,1,0)</x:f>
        <x:v>0</x:v>
      </x:c>
      <x:c r="M676" s="23" t="n">
        <x:f>IF(L676=1,1/(J676+0.000001),0)</x:f>
        <x:v>0</x:v>
      </x:c>
      <x:c r="N676" s="23" t="n">
        <x:v>-0.010789365744633406</x:v>
      </x:c>
      <x:c r="O676" s="23" t="n">
        <x:f>M676</x:f>
        <x:v>0</x:v>
      </x:c>
      <x:c r="P676" s="23" t="n">
        <x:v>0.6258779111804316</x:v>
      </x:c>
      <x:c r="Q676" s="23" t="n">
        <x:v>-13.693018329749748</x:v>
      </x:c>
    </x:row>
    <x:row r="677">
      <x:c r="A677" s="23" t="str">
        <x:v>Lightning</x:v>
      </x:c>
      <x:c r="B677" s="23" t="n">
        <x:v>1432.8239090158604</x:v>
      </x:c>
      <x:c r="C677" s="23" t="n">
        <x:v>827.7808908838779</x:v>
      </x:c>
      <x:c r="D677" s="23" t="n">
        <x:v>467.4416425637901</x:v>
      </x:c>
      <x:c r="E677" s="23" t="n">
        <x:v>232.82230114098638</x:v>
      </x:c>
      <x:c r="F677" s="23" t="n">
        <x:v>16.784485034178942</x:v>
      </x:c>
      <x:c r="G677" s="23" t="n">
        <x:v>0.8159159476123751</x:v>
      </x:c>
      <x:c r="H677" s="23" t="n">
        <x:v>50</x:v>
      </x:c>
      <x:c r="I677" s="23" t="n">
        <x:v>25</x:v>
      </x:c>
      <x:c r="J677" s="23" t="n">
        <x:f>(IF(A677='Hybrid Calculator'!$B$6,0,1))^2+((B677-'Hybrid Calculator'!$B$7)/1500)^2+((C677-'Hybrid Calculator'!$B$8)/1300)^2+((D677-'Hybrid Calculator'!$B$9)/800)^2+((E677-'Hybrid Calculator'!$B$10)/350)^2+((F677-'Hybrid Calculator'!$B$11)/30)^2+(G677-'Hybrid Calculator'!$B$12)^2+((H677-'Hybrid Calculator'!$E$14)/IF(A677="Lightning",100,30000))^2+((I677-'Hybrid Calculator'!$E$17)/IF(A677="Lightning",100,30000))^2</x:f>
        <x:v>0.06125851497891512</x:v>
      </x:c>
      <x:c r="K677" s="23" t="n">
        <x:f>RANK(J677,$J$2:$J$1401,1)</x:f>
        <x:v>85</x:v>
      </x:c>
      <x:c r="L677" s="23" t="n">
        <x:f>IF(K677&lt;=7,1,0)</x:f>
        <x:v>0</x:v>
      </x:c>
      <x:c r="M677" s="23" t="n">
        <x:f>IF(L677=1,1/(J677+0.000001),0)</x:f>
        <x:v>0</x:v>
      </x:c>
      <x:c r="N677" s="23" t="n">
        <x:v>0.005260842615902872</x:v>
      </x:c>
      <x:c r="O677" s="23" t="n">
        <x:f>M677</x:f>
        <x:v>0</x:v>
      </x:c>
      <x:c r="P677" s="23" t="n">
        <x:v>-1.1233079979606373</x:v>
      </x:c>
      <x:c r="Q677" s="23" t="n">
        <x:v>5.224306705186791</x:v>
      </x:c>
    </x:row>
    <x:row r="678">
      <x:c r="A678" s="23" t="str">
        <x:v>Lightning</x:v>
      </x:c>
      <x:c r="B678" s="23" t="n">
        <x:v>1481.0320066753775</x:v>
      </x:c>
      <x:c r="C678" s="23" t="n">
        <x:v>974.0599574404769</x:v>
      </x:c>
      <x:c r="D678" s="23" t="n">
        <x:v>690.9863336011767</x:v>
      </x:c>
      <x:c r="E678" s="23" t="n">
        <x:v>312.1029299055226</x:v>
      </x:c>
      <x:c r="F678" s="23" t="n">
        <x:v>24.580782525241375</x:v>
      </x:c>
      <x:c r="G678" s="23" t="n">
        <x:v>0.790720118007157</x:v>
      </x:c>
      <x:c r="H678" s="23" t="n">
        <x:v>30</x:v>
      </x:c>
      <x:c r="I678" s="23" t="n">
        <x:v>25</x:v>
      </x:c>
      <x:c r="J678" s="23" t="n">
        <x:f>(IF(A678='Hybrid Calculator'!$B$6,0,1))^2+((B678-'Hybrid Calculator'!$B$7)/1500)^2+((C678-'Hybrid Calculator'!$B$8)/1300)^2+((D678-'Hybrid Calculator'!$B$9)/800)^2+((E678-'Hybrid Calculator'!$B$10)/350)^2+((F678-'Hybrid Calculator'!$B$11)/30)^2+(G678-'Hybrid Calculator'!$B$12)^2+((H678-'Hybrid Calculator'!$E$14)/IF(A678="Lightning",100,30000))^2+((I678-'Hybrid Calculator'!$E$17)/IF(A678="Lightning",100,30000))^2</x:f>
        <x:v>0.3639465255921607</x:v>
      </x:c>
      <x:c r="K678" s="23" t="n">
        <x:f>RANK(J678,$J$2:$J$1401,1)</x:f>
        <x:v>662</x:v>
      </x:c>
      <x:c r="L678" s="23" t="n">
        <x:f>IF(K678&lt;=7,1,0)</x:f>
        <x:v>0</x:v>
      </x:c>
      <x:c r="M678" s="23" t="n">
        <x:f>IF(L678=1,1/(J678+0.000001),0)</x:f>
        <x:v>0</x:v>
      </x:c>
      <x:c r="N678" s="23" t="n">
        <x:v>0.013226701397636598</x:v>
      </x:c>
      <x:c r="O678" s="23" t="n">
        <x:f>M678</x:f>
        <x:v>0</x:v>
      </x:c>
      <x:c r="P678" s="23" t="n">
        <x:v>0.6494167125102024</x:v>
      </x:c>
      <x:c r="Q678" s="23" t="n">
        <x:v>-21.98310195667932</x:v>
      </x:c>
    </x:row>
    <x:row r="679">
      <x:c r="A679" s="23" t="str">
        <x:v>Lightning</x:v>
      </x:c>
      <x:c r="B679" s="23" t="n">
        <x:v>1427.8501919587143</x:v>
      </x:c>
      <x:c r="C679" s="23" t="n">
        <x:v>1146.7811908340082</x:v>
      </x:c>
      <x:c r="D679" s="23" t="n">
        <x:v>636.2259444780648</x:v>
      </x:c>
      <x:c r="E679" s="23" t="n">
        <x:v>289.1622124426067</x:v>
      </x:c>
      <x:c r="F679" s="23" t="n">
        <x:v>11.580106033477932</x:v>
      </x:c>
      <x:c r="G679" s="23" t="n">
        <x:v>0.8510554962744937</x:v>
      </x:c>
      <x:c r="H679" s="23" t="n">
        <x:v>35</x:v>
      </x:c>
      <x:c r="I679" s="23" t="n">
        <x:v>25</x:v>
      </x:c>
      <x:c r="J679" s="23" t="n">
        <x:f>(IF(A679='Hybrid Calculator'!$B$6,0,1))^2+((B679-'Hybrid Calculator'!$B$7)/1500)^2+((C679-'Hybrid Calculator'!$B$8)/1300)^2+((D679-'Hybrid Calculator'!$B$9)/800)^2+((E679-'Hybrid Calculator'!$B$10)/350)^2+((F679-'Hybrid Calculator'!$B$11)/30)^2+(G679-'Hybrid Calculator'!$B$12)^2+((H679-'Hybrid Calculator'!$E$14)/IF(A679="Lightning",100,30000))^2+((I679-'Hybrid Calculator'!$E$17)/IF(A679="Lightning",100,30000))^2</x:f>
        <x:v>0.31587822377506086</x:v>
      </x:c>
      <x:c r="K679" s="23" t="n">
        <x:f>RANK(J679,$J$2:$J$1401,1)</x:f>
        <x:v>617</x:v>
      </x:c>
      <x:c r="L679" s="23" t="n">
        <x:f>IF(K679&lt;=7,1,0)</x:f>
        <x:v>0</x:v>
      </x:c>
      <x:c r="M679" s="23" t="n">
        <x:f>IF(L679=1,1/(J679+0.000001),0)</x:f>
        <x:v>0</x:v>
      </x:c>
      <x:c r="N679" s="23" t="n">
        <x:v>0.016721936905363943</x:v>
      </x:c>
      <x:c r="O679" s="23" t="n">
        <x:f>M679</x:f>
        <x:v>0</x:v>
      </x:c>
      <x:c r="P679" s="23" t="n">
        <x:v>-0.08982945866245728</x:v>
      </x:c>
      <x:c r="Q679" s="23" t="n">
        <x:v>1.2958418093492128</x:v>
      </x:c>
    </x:row>
    <x:row r="680">
      <x:c r="A680" s="23" t="str">
        <x:v>Lightning</x:v>
      </x:c>
      <x:c r="B680" s="23" t="n">
        <x:v>1418.464236636646</x:v>
      </x:c>
      <x:c r="C680" s="23" t="n">
        <x:v>898.5571734723635</x:v>
      </x:c>
      <x:c r="D680" s="23" t="n">
        <x:v>646.9958573579788</x:v>
      </x:c>
      <x:c r="E680" s="23" t="n">
        <x:v>282.43498677155003</x:v>
      </x:c>
      <x:c r="F680" s="23" t="n">
        <x:v>21.672815862111747</x:v>
      </x:c>
      <x:c r="G680" s="23" t="n">
        <x:v>0.8314157448685728</x:v>
      </x:c>
      <x:c r="H680" s="23" t="n">
        <x:v>40</x:v>
      </x:c>
      <x:c r="I680" s="23" t="n">
        <x:v>25</x:v>
      </x:c>
      <x:c r="J680" s="23" t="n">
        <x:f>(IF(A680='Hybrid Calculator'!$B$6,0,1))^2+((B680-'Hybrid Calculator'!$B$7)/1500)^2+((C680-'Hybrid Calculator'!$B$8)/1300)^2+((D680-'Hybrid Calculator'!$B$9)/800)^2+((E680-'Hybrid Calculator'!$B$10)/350)^2+((F680-'Hybrid Calculator'!$B$11)/30)^2+(G680-'Hybrid Calculator'!$B$12)^2+((H680-'Hybrid Calculator'!$E$14)/IF(A680="Lightning",100,30000))^2+((I680-'Hybrid Calculator'!$E$17)/IF(A680="Lightning",100,30000))^2</x:f>
        <x:v>0.19966762071604333</x:v>
      </x:c>
      <x:c r="K680" s="23" t="n">
        <x:f>RANK(J680,$J$2:$J$1401,1)</x:f>
        <x:v>446</x:v>
      </x:c>
      <x:c r="L680" s="23" t="n">
        <x:f>IF(K680&lt;=7,1,0)</x:f>
        <x:v>0</x:v>
      </x:c>
      <x:c r="M680" s="23" t="n">
        <x:f>IF(L680=1,1/(J680+0.000001),0)</x:f>
        <x:v>0</x:v>
      </x:c>
      <x:c r="N680" s="23" t="n">
        <x:v>-0.0026807811446791785</x:v>
      </x:c>
      <x:c r="O680" s="23" t="n">
        <x:f>M680</x:f>
        <x:v>0</x:v>
      </x:c>
      <x:c r="P680" s="23" t="n">
        <x:v>-1.0944587901557767</x:v>
      </x:c>
      <x:c r="Q680" s="23" t="n">
        <x:v>-12.332356469647493</x:v>
      </x:c>
    </x:row>
    <x:row r="681">
      <x:c r="A681" s="23" t="str">
        <x:v>Lightning</x:v>
      </x:c>
      <x:c r="B681" s="23" t="n">
        <x:v>1400.5954188178293</x:v>
      </x:c>
      <x:c r="C681" s="23" t="n">
        <x:v>707.9777543433011</x:v>
      </x:c>
      <x:c r="D681" s="23" t="n">
        <x:v>549.9953634105623</x:v>
      </x:c>
      <x:c r="E681" s="23" t="n">
        <x:v>190.44259706977755</x:v>
      </x:c>
      <x:c r="F681" s="23" t="n">
        <x:v>10.015601692255586</x:v>
      </x:c>
      <x:c r="G681" s="23" t="n">
        <x:v>0.7982736726943404</x:v>
      </x:c>
      <x:c r="H681" s="23" t="n">
        <x:v>55</x:v>
      </x:c>
      <x:c r="I681" s="23" t="n">
        <x:v>25</x:v>
      </x:c>
      <x:c r="J681" s="23" t="n">
        <x:f>(IF(A681='Hybrid Calculator'!$B$6,0,1))^2+((B681-'Hybrid Calculator'!$B$7)/1500)^2+((C681-'Hybrid Calculator'!$B$8)/1300)^2+((D681-'Hybrid Calculator'!$B$9)/800)^2+((E681-'Hybrid Calculator'!$B$10)/350)^2+((F681-'Hybrid Calculator'!$B$11)/30)^2+(G681-'Hybrid Calculator'!$B$12)^2+((H681-'Hybrid Calculator'!$E$14)/IF(A681="Lightning",100,30000))^2+((I681-'Hybrid Calculator'!$E$17)/IF(A681="Lightning",100,30000))^2</x:f>
        <x:v>0.11241257844096433</x:v>
      </x:c>
      <x:c r="K681" s="23" t="n">
        <x:f>RANK(J681,$J$2:$J$1401,1)</x:f>
        <x:v>235</x:v>
      </x:c>
      <x:c r="L681" s="23" t="n">
        <x:f>IF(K681&lt;=7,1,0)</x:f>
        <x:v>0</x:v>
      </x:c>
      <x:c r="M681" s="23" t="n">
        <x:f>IF(L681=1,1/(J681+0.000001),0)</x:f>
        <x:v>0</x:v>
      </x:c>
      <x:c r="N681" s="23" t="n">
        <x:v>-0.0026648889210609816</x:v>
      </x:c>
      <x:c r="O681" s="23" t="n">
        <x:f>M681</x:f>
        <x:v>0</x:v>
      </x:c>
      <x:c r="P681" s="23" t="n">
        <x:v>0.2824550866416118</x:v>
      </x:c>
      <x:c r="Q681" s="23" t="n">
        <x:v>9.966984285390481</x:v>
      </x:c>
    </x:row>
    <x:row r="682">
      <x:c r="A682" s="23" t="str">
        <x:v>Lightning</x:v>
      </x:c>
      <x:c r="B682" s="23" t="n">
        <x:v>1449.7610935941339</x:v>
      </x:c>
      <x:c r="C682" s="23" t="n">
        <x:v>902.1415435126983</x:v>
      </x:c>
      <x:c r="D682" s="23" t="n">
        <x:v>599.9444039538503</x:v>
      </x:c>
      <x:c r="E682" s="23" t="n">
        <x:v>82.1365448483266</x:v>
      </x:c>
      <x:c r="F682" s="23" t="n">
        <x:v>20.437097555026412</x:v>
      </x:c>
      <x:c r="G682" s="23" t="n">
        <x:v>0.8504586046305486</x:v>
      </x:c>
      <x:c r="H682" s="23" t="n">
        <x:v>45</x:v>
      </x:c>
      <x:c r="I682" s="23" t="n">
        <x:v>25</x:v>
      </x:c>
      <x:c r="J682" s="23" t="n">
        <x:f>(IF(A682='Hybrid Calculator'!$B$6,0,1))^2+((B682-'Hybrid Calculator'!$B$7)/1500)^2+((C682-'Hybrid Calculator'!$B$8)/1300)^2+((D682-'Hybrid Calculator'!$B$9)/800)^2+((E682-'Hybrid Calculator'!$B$10)/350)^2+((F682-'Hybrid Calculator'!$B$11)/30)^2+(G682-'Hybrid Calculator'!$B$12)^2+((H682-'Hybrid Calculator'!$E$14)/IF(A682="Lightning",100,30000))^2+((I682-'Hybrid Calculator'!$E$17)/IF(A682="Lightning",100,30000))^2</x:f>
        <x:v>0.06268134670248061</x:v>
      </x:c>
      <x:c r="K682" s="23" t="n">
        <x:f>RANK(J682,$J$2:$J$1401,1)</x:f>
        <x:v>90</x:v>
      </x:c>
      <x:c r="L682" s="23" t="n">
        <x:f>IF(K682&lt;=7,1,0)</x:f>
        <x:v>0</x:v>
      </x:c>
      <x:c r="M682" s="23" t="n">
        <x:f>IF(L682=1,1/(J682+0.000001),0)</x:f>
        <x:v>0</x:v>
      </x:c>
      <x:c r="N682" s="23" t="n">
        <x:v>-0.012547070916264946</x:v>
      </x:c>
      <x:c r="O682" s="23" t="n">
        <x:f>M682</x:f>
        <x:v>0</x:v>
      </x:c>
      <x:c r="P682" s="23" t="n">
        <x:v>-0.7755034464185968</x:v>
      </x:c>
      <x:c r="Q682" s="23" t="n">
        <x:v>-4.306328980379021</x:v>
      </x:c>
    </x:row>
    <x:row r="683">
      <x:c r="A683" s="23" t="str">
        <x:v>Lightning</x:v>
      </x:c>
      <x:c r="B683" s="23" t="n">
        <x:v>1419.601675181184</x:v>
      </x:c>
      <x:c r="C683" s="23" t="n">
        <x:v>876.4283433789387</x:v>
      </x:c>
      <x:c r="D683" s="23" t="n">
        <x:v>375.66585252061486</x:v>
      </x:c>
      <x:c r="E683" s="23" t="n">
        <x:v>297.2462909948081</x:v>
      </x:c>
      <x:c r="F683" s="23" t="n">
        <x:v>24.855091099161655</x:v>
      </x:c>
      <x:c r="G683" s="23" t="n">
        <x:v>0.8081533146323636</x:v>
      </x:c>
      <x:c r="H683" s="23" t="n">
        <x:v>45</x:v>
      </x:c>
      <x:c r="I683" s="23" t="n">
        <x:v>25</x:v>
      </x:c>
      <x:c r="J683" s="23" t="n">
        <x:f>(IF(A683='Hybrid Calculator'!$B$6,0,1))^2+((B683-'Hybrid Calculator'!$B$7)/1500)^2+((C683-'Hybrid Calculator'!$B$8)/1300)^2+((D683-'Hybrid Calculator'!$B$9)/800)^2+((E683-'Hybrid Calculator'!$B$10)/350)^2+((F683-'Hybrid Calculator'!$B$11)/30)^2+(G683-'Hybrid Calculator'!$B$12)^2+((H683-'Hybrid Calculator'!$E$14)/IF(A683="Lightning",100,30000))^2+((I683-'Hybrid Calculator'!$E$17)/IF(A683="Lightning",100,30000))^2</x:f>
        <x:v>0.24908748209428483</x:v>
      </x:c>
      <x:c r="K683" s="23" t="n">
        <x:f>RANK(J683,$J$2:$J$1401,1)</x:f>
        <x:v>535</x:v>
      </x:c>
      <x:c r="L683" s="23" t="n">
        <x:f>IF(K683&lt;=7,1,0)</x:f>
        <x:v>0</x:v>
      </x:c>
      <x:c r="M683" s="23" t="n">
        <x:f>IF(L683=1,1/(J683+0.000001),0)</x:f>
        <x:v>0</x:v>
      </x:c>
      <x:c r="N683" s="23" t="n">
        <x:v>-0.0036510777071192546</x:v>
      </x:c>
      <x:c r="O683" s="23" t="n">
        <x:f>M683</x:f>
        <x:v>0</x:v>
      </x:c>
      <x:c r="P683" s="23" t="n">
        <x:v>-0.36132499698191367</x:v>
      </x:c>
      <x:c r="Q683" s="23" t="n">
        <x:v>-2.7897333513767535</x:v>
      </x:c>
    </x:row>
    <x:row r="684">
      <x:c r="A684" s="23" t="str">
        <x:v>Lightning</x:v>
      </x:c>
      <x:c r="B684" s="23" t="n">
        <x:v>1480.0304258940741</x:v>
      </x:c>
      <x:c r="C684" s="23" t="n">
        <x:v>730.3099619806744</x:v>
      </x:c>
      <x:c r="D684" s="23" t="n">
        <x:v>745.6369627267122</x:v>
      </x:c>
      <x:c r="E684" s="23" t="n">
        <x:v>148.63116862950847</x:v>
      </x:c>
      <x:c r="F684" s="23" t="n">
        <x:v>17.23824226949364</x:v>
      </x:c>
      <x:c r="G684" s="23" t="n">
        <x:v>0.8422044864180498</x:v>
      </x:c>
      <x:c r="H684" s="23" t="n">
        <x:v>45</x:v>
      </x:c>
      <x:c r="I684" s="23" t="n">
        <x:v>25</x:v>
      </x:c>
      <x:c r="J684" s="23" t="n">
        <x:f>(IF(A684='Hybrid Calculator'!$B$6,0,1))^2+((B684-'Hybrid Calculator'!$B$7)/1500)^2+((C684-'Hybrid Calculator'!$B$8)/1300)^2+((D684-'Hybrid Calculator'!$B$9)/800)^2+((E684-'Hybrid Calculator'!$B$10)/350)^2+((F684-'Hybrid Calculator'!$B$11)/30)^2+(G684-'Hybrid Calculator'!$B$12)^2+((H684-'Hybrid Calculator'!$E$14)/IF(A684="Lightning",100,30000))^2+((I684-'Hybrid Calculator'!$E$17)/IF(A684="Lightning",100,30000))^2</x:f>
        <x:v>0.10887731181130289</x:v>
      </x:c>
      <x:c r="K684" s="23" t="n">
        <x:f>RANK(J684,$J$2:$J$1401,1)</x:f>
        <x:v>224</x:v>
      </x:c>
      <x:c r="L684" s="23" t="n">
        <x:f>IF(K684&lt;=7,1,0)</x:f>
        <x:v>0</x:v>
      </x:c>
      <x:c r="M684" s="23" t="n">
        <x:f>IF(L684=1,1/(J684+0.000001),0)</x:f>
        <x:v>0</x:v>
      </x:c>
      <x:c r="N684" s="23" t="n">
        <x:v>0.014466536111651829</x:v>
      </x:c>
      <x:c r="O684" s="23" t="n">
        <x:f>M684</x:f>
        <x:v>0</x:v>
      </x:c>
      <x:c r="P684" s="23" t="n">
        <x:v>0.10977600826762313</x:v>
      </x:c>
      <x:c r="Q684" s="23" t="n">
        <x:v>0.8693707800068751</x:v>
      </x:c>
    </x:row>
    <x:row r="685">
      <x:c r="A685" s="23" t="str">
        <x:v>Lightning</x:v>
      </x:c>
      <x:c r="B685" s="23" t="n">
        <x:v>1444.288519991096</x:v>
      </x:c>
      <x:c r="C685" s="23" t="n">
        <x:v>747.9762924369425</x:v>
      </x:c>
      <x:c r="D685" s="23" t="n">
        <x:v>375.6078670732677</x:v>
      </x:c>
      <x:c r="E685" s="23" t="n">
        <x:v>223.35457503329962</x:v>
      </x:c>
      <x:c r="F685" s="23" t="n">
        <x:v>15.306138071697205</x:v>
      </x:c>
      <x:c r="G685" s="23" t="n">
        <x:v>0.8112140956148506</x:v>
      </x:c>
      <x:c r="H685" s="23" t="n">
        <x:v>55</x:v>
      </x:c>
      <x:c r="I685" s="23" t="n">
        <x:v>25</x:v>
      </x:c>
      <x:c r="J685" s="23" t="n">
        <x:f>(IF(A685='Hybrid Calculator'!$B$6,0,1))^2+((B685-'Hybrid Calculator'!$B$7)/1500)^2+((C685-'Hybrid Calculator'!$B$8)/1300)^2+((D685-'Hybrid Calculator'!$B$9)/800)^2+((E685-'Hybrid Calculator'!$B$10)/350)^2+((F685-'Hybrid Calculator'!$B$11)/30)^2+(G685-'Hybrid Calculator'!$B$12)^2+((H685-'Hybrid Calculator'!$E$14)/IF(A685="Lightning",100,30000))^2+((I685-'Hybrid Calculator'!$E$17)/IF(A685="Lightning",100,30000))^2</x:f>
        <x:v>0.08833864701345429</x:v>
      </x:c>
      <x:c r="K685" s="23" t="n">
        <x:f>RANK(J685,$J$2:$J$1401,1)</x:f>
        <x:v>167</x:v>
      </x:c>
      <x:c r="L685" s="23" t="n">
        <x:f>IF(K685&lt;=7,1,0)</x:f>
        <x:v>0</x:v>
      </x:c>
      <x:c r="M685" s="23" t="n">
        <x:f>IF(L685=1,1/(J685+0.000001),0)</x:f>
        <x:v>0</x:v>
      </x:c>
      <x:c r="N685" s="23" t="n">
        <x:v>0.0021131520937802684</x:v>
      </x:c>
      <x:c r="O685" s="23" t="n">
        <x:f>M685</x:f>
        <x:v>0</x:v>
      </x:c>
      <x:c r="P685" s="23" t="n">
        <x:v>-1.19814063176009</x:v>
      </x:c>
      <x:c r="Q685" s="23" t="n">
        <x:v>13.306960144339655</x:v>
      </x:c>
    </x:row>
    <x:row r="686">
      <x:c r="A686" s="23" t="str">
        <x:v>Lightning</x:v>
      </x:c>
      <x:c r="B686" s="23" t="n">
        <x:v>1376.4081919100136</x:v>
      </x:c>
      <x:c r="C686" s="23" t="n">
        <x:v>951.213248714339</x:v>
      </x:c>
      <x:c r="D686" s="23" t="n">
        <x:v>680.0064107403159</x:v>
      </x:c>
      <x:c r="E686" s="23" t="n">
        <x:v>89.54044592799619</x:v>
      </x:c>
      <x:c r="F686" s="23" t="n">
        <x:v>18.540225613862276</x:v>
      </x:c>
      <x:c r="G686" s="23" t="n">
        <x:v>0.7971063029789366</x:v>
      </x:c>
      <x:c r="H686" s="23" t="n">
        <x:v>45</x:v>
      </x:c>
      <x:c r="I686" s="23" t="n">
        <x:v>25</x:v>
      </x:c>
      <x:c r="J686" s="23" t="n">
        <x:f>(IF(A686='Hybrid Calculator'!$B$6,0,1))^2+((B686-'Hybrid Calculator'!$B$7)/1500)^2+((C686-'Hybrid Calculator'!$B$8)/1300)^2+((D686-'Hybrid Calculator'!$B$9)/800)^2+((E686-'Hybrid Calculator'!$B$10)/350)^2+((F686-'Hybrid Calculator'!$B$11)/30)^2+(G686-'Hybrid Calculator'!$B$12)^2+((H686-'Hybrid Calculator'!$E$14)/IF(A686="Lightning",100,30000))^2+((I686-'Hybrid Calculator'!$E$17)/IF(A686="Lightning",100,30000))^2</x:f>
        <x:v>0.09060519649864658</x:v>
      </x:c>
      <x:c r="K686" s="23" t="n">
        <x:f>RANK(J686,$J$2:$J$1401,1)</x:f>
        <x:v>177</x:v>
      </x:c>
      <x:c r="L686" s="23" t="n">
        <x:f>IF(K686&lt;=7,1,0)</x:f>
        <x:v>0</x:v>
      </x:c>
      <x:c r="M686" s="23" t="n">
        <x:f>IF(L686=1,1/(J686+0.000001),0)</x:f>
        <x:v>0</x:v>
      </x:c>
      <x:c r="N686" s="23" t="n">
        <x:v>0.0035592859539212984</x:v>
      </x:c>
      <x:c r="O686" s="23" t="n">
        <x:f>M686</x:f>
        <x:v>0</x:v>
      </x:c>
      <x:c r="P686" s="23" t="n">
        <x:v>0.7603003608168137</x:v>
      </x:c>
      <x:c r="Q686" s="23" t="n">
        <x:v>6.3850947060821</x:v>
      </x:c>
    </x:row>
    <x:row r="687">
      <x:c r="A687" s="23" t="str">
        <x:v>Lightning</x:v>
      </x:c>
      <x:c r="B687" s="23" t="n">
        <x:v>1382.4953096103854</x:v>
      </x:c>
      <x:c r="C687" s="23" t="n">
        <x:v>776.1041653109714</x:v>
      </x:c>
      <x:c r="D687" s="23" t="n">
        <x:v>404.89749358966947</x:v>
      </x:c>
      <x:c r="E687" s="23" t="n">
        <x:v>295.5903335660696</x:v>
      </x:c>
      <x:c r="F687" s="23" t="n">
        <x:v>13.191652859095484</x:v>
      </x:c>
      <x:c r="G687" s="23" t="n">
        <x:v>0.8509915769053623</x:v>
      </x:c>
      <x:c r="H687" s="23" t="n">
        <x:v>50</x:v>
      </x:c>
      <x:c r="I687" s="23" t="n">
        <x:v>25</x:v>
      </x:c>
      <x:c r="J687" s="23" t="n">
        <x:f>(IF(A687='Hybrid Calculator'!$B$6,0,1))^2+((B687-'Hybrid Calculator'!$B$7)/1500)^2+((C687-'Hybrid Calculator'!$B$8)/1300)^2+((D687-'Hybrid Calculator'!$B$9)/800)^2+((E687-'Hybrid Calculator'!$B$10)/350)^2+((F687-'Hybrid Calculator'!$B$11)/30)^2+(G687-'Hybrid Calculator'!$B$12)^2+((H687-'Hybrid Calculator'!$E$14)/IF(A687="Lightning",100,30000))^2+((I687-'Hybrid Calculator'!$E$17)/IF(A687="Lightning",100,30000))^2</x:f>
        <x:v>0.22346908583184583</x:v>
      </x:c>
      <x:c r="K687" s="23" t="n">
        <x:f>RANK(J687,$J$2:$J$1401,1)</x:f>
        <x:v>493</x:v>
      </x:c>
      <x:c r="L687" s="23" t="n">
        <x:f>IF(K687&lt;=7,1,0)</x:f>
        <x:v>0</x:v>
      </x:c>
      <x:c r="M687" s="23" t="n">
        <x:f>IF(L687=1,1/(J687+0.000001),0)</x:f>
        <x:v>0</x:v>
      </x:c>
      <x:c r="N687" s="23" t="n">
        <x:v>0.0038839946207325227</x:v>
      </x:c>
      <x:c r="O687" s="23" t="n">
        <x:f>M687</x:f>
        <x:v>0</x:v>
      </x:c>
      <x:c r="P687" s="23" t="n">
        <x:v>0.5087970764754317</x:v>
      </x:c>
      <x:c r="Q687" s="23" t="n">
        <x:v>5.492393523970122</x:v>
      </x:c>
    </x:row>
    <x:row r="688">
      <x:c r="A688" s="23" t="str">
        <x:v>Lightning</x:v>
      </x:c>
      <x:c r="B688" s="23" t="n">
        <x:v>1355.5733412969857</x:v>
      </x:c>
      <x:c r="C688" s="23" t="n">
        <x:v>1039.107764873188</x:v>
      </x:c>
      <x:c r="D688" s="23" t="n">
        <x:v>661.2429080531001</x:v>
      </x:c>
      <x:c r="E688" s="23" t="n">
        <x:v>139.9714222480543</x:v>
      </x:c>
      <x:c r="F688" s="23" t="n">
        <x:v>29.175830349326134</x:v>
      </x:c>
      <x:c r="G688" s="23" t="n">
        <x:v>0.8161090692714789</x:v>
      </x:c>
      <x:c r="H688" s="23" t="n">
        <x:v>35</x:v>
      </x:c>
      <x:c r="I688" s="23" t="n">
        <x:v>25</x:v>
      </x:c>
      <x:c r="J688" s="23" t="n">
        <x:f>(IF(A688='Hybrid Calculator'!$B$6,0,1))^2+((B688-'Hybrid Calculator'!$B$7)/1500)^2+((C688-'Hybrid Calculator'!$B$8)/1300)^2+((D688-'Hybrid Calculator'!$B$9)/800)^2+((E688-'Hybrid Calculator'!$B$10)/350)^2+((F688-'Hybrid Calculator'!$B$11)/30)^2+(G688-'Hybrid Calculator'!$B$12)^2+((H688-'Hybrid Calculator'!$E$14)/IF(A688="Lightning",100,30000))^2+((I688-'Hybrid Calculator'!$E$17)/IF(A688="Lightning",100,30000))^2</x:f>
        <x:v>0.21390011190259797</x:v>
      </x:c>
      <x:c r="K688" s="23" t="n">
        <x:f>RANK(J688,$J$2:$J$1401,1)</x:f>
        <x:v>477</x:v>
      </x:c>
      <x:c r="L688" s="23" t="n">
        <x:f>IF(K688&lt;=7,1,0)</x:f>
        <x:v>0</x:v>
      </x:c>
      <x:c r="M688" s="23" t="n">
        <x:f>IF(L688=1,1/(J688+0.000001),0)</x:f>
        <x:v>0</x:v>
      </x:c>
      <x:c r="N688" s="23" t="n">
        <x:v>0.010748963630673014</x:v>
      </x:c>
      <x:c r="O688" s="23" t="n">
        <x:f>M688</x:f>
        <x:v>0</x:v>
      </x:c>
      <x:c r="P688" s="23" t="n">
        <x:v>0.3299157916814366</x:v>
      </x:c>
      <x:c r="Q688" s="23" t="n">
        <x:v>-24.106265524969785</x:v>
      </x:c>
    </x:row>
    <x:row r="689">
      <x:c r="A689" s="23" t="str">
        <x:v>Lightning</x:v>
      </x:c>
      <x:c r="B689" s="23" t="n">
        <x:v>1351.3758850400336</x:v>
      </x:c>
      <x:c r="C689" s="23" t="n">
        <x:v>731.9779840996489</x:v>
      </x:c>
      <x:c r="D689" s="23" t="n">
        <x:v>539.1862464137375</x:v>
      </x:c>
      <x:c r="E689" s="23" t="n">
        <x:v>162.02438475564122</x:v>
      </x:c>
      <x:c r="F689" s="23" t="n">
        <x:v>25.428609168622643</x:v>
      </x:c>
      <x:c r="G689" s="23" t="n">
        <x:v>0.8436769450223074</x:v>
      </x:c>
      <x:c r="H689" s="23" t="n">
        <x:v>50</x:v>
      </x:c>
      <x:c r="I689" s="23" t="n">
        <x:v>25</x:v>
      </x:c>
      <x:c r="J689" s="23" t="n">
        <x:f>(IF(A689='Hybrid Calculator'!$B$6,0,1))^2+((B689-'Hybrid Calculator'!$B$7)/1500)^2+((C689-'Hybrid Calculator'!$B$8)/1300)^2+((D689-'Hybrid Calculator'!$B$9)/800)^2+((E689-'Hybrid Calculator'!$B$10)/350)^2+((F689-'Hybrid Calculator'!$B$11)/30)^2+(G689-'Hybrid Calculator'!$B$12)^2+((H689-'Hybrid Calculator'!$E$14)/IF(A689="Lightning",100,30000))^2+((I689-'Hybrid Calculator'!$E$17)/IF(A689="Lightning",100,30000))^2</x:f>
        <x:v>0.06813103267407908</x:v>
      </x:c>
      <x:c r="K689" s="23" t="n">
        <x:f>RANK(J689,$J$2:$J$1401,1)</x:f>
        <x:v>108</x:v>
      </x:c>
      <x:c r="L689" s="23" t="n">
        <x:f>IF(K689&lt;=7,1,0)</x:f>
        <x:v>0</x:v>
      </x:c>
      <x:c r="M689" s="23" t="n">
        <x:f>IF(L689=1,1/(J689+0.000001),0)</x:f>
        <x:v>0</x:v>
      </x:c>
      <x:c r="N689" s="23" t="n">
        <x:v>-0.01010560491848378</x:v>
      </x:c>
      <x:c r="O689" s="23" t="n">
        <x:f>M689</x:f>
        <x:v>0</x:v>
      </x:c>
      <x:c r="P689" s="23" t="n">
        <x:v>-0.700509318151461</x:v>
      </x:c>
      <x:c r="Q689" s="23" t="n">
        <x:v>-7.881227610908127</x:v>
      </x:c>
    </x:row>
    <x:row r="690">
      <x:c r="A690" s="23" t="str">
        <x:v>Lightning</x:v>
      </x:c>
      <x:c r="B690" s="23" t="n">
        <x:v>1397.1637268783525</x:v>
      </x:c>
      <x:c r="C690" s="23" t="n">
        <x:v>764.2003374290653</x:v>
      </x:c>
      <x:c r="D690" s="23" t="n">
        <x:v>639.2943367362022</x:v>
      </x:c>
      <x:c r="E690" s="23" t="n">
        <x:v>173.92688510706648</x:v>
      </x:c>
      <x:c r="F690" s="23" t="n">
        <x:v>26.25558530818671</x:v>
      </x:c>
      <x:c r="G690" s="23" t="n">
        <x:v>0.8578637428185902</x:v>
      </x:c>
      <x:c r="H690" s="23" t="n">
        <x:v>45</x:v>
      </x:c>
      <x:c r="I690" s="23" t="n">
        <x:v>25</x:v>
      </x:c>
      <x:c r="J690" s="23" t="n">
        <x:f>(IF(A690='Hybrid Calculator'!$B$6,0,1))^2+((B690-'Hybrid Calculator'!$B$7)/1500)^2+((C690-'Hybrid Calculator'!$B$8)/1300)^2+((D690-'Hybrid Calculator'!$B$9)/800)^2+((E690-'Hybrid Calculator'!$B$10)/350)^2+((F690-'Hybrid Calculator'!$B$11)/30)^2+(G690-'Hybrid Calculator'!$B$12)^2+((H690-'Hybrid Calculator'!$E$14)/IF(A690="Lightning",100,30000))^2+((I690-'Hybrid Calculator'!$E$17)/IF(A690="Lightning",100,30000))^2</x:f>
        <x:v>0.11045683306845905</x:v>
      </x:c>
      <x:c r="K690" s="23" t="n">
        <x:f>RANK(J690,$J$2:$J$1401,1)</x:f>
        <x:v>231</x:v>
      </x:c>
      <x:c r="L690" s="23" t="n">
        <x:f>IF(K690&lt;=7,1,0)</x:f>
        <x:v>0</x:v>
      </x:c>
      <x:c r="M690" s="23" t="n">
        <x:f>IF(L690=1,1/(J690+0.000001),0)</x:f>
        <x:v>0</x:v>
      </x:c>
      <x:c r="N690" s="23" t="n">
        <x:v>-0.010515441060355624</x:v>
      </x:c>
      <x:c r="O690" s="23" t="n">
        <x:f>M690</x:f>
        <x:v>0</x:v>
      </x:c>
      <x:c r="P690" s="23" t="n">
        <x:v>0.08561789144035004</x:v>
      </x:c>
      <x:c r="Q690" s="23" t="n">
        <x:v>-1.9387307584422615</x:v>
      </x:c>
    </x:row>
    <x:row r="691">
      <x:c r="A691" s="23" t="str">
        <x:v>Lightning</x:v>
      </x:c>
      <x:c r="B691" s="23" t="n">
        <x:v>1482.8241514856927</x:v>
      </x:c>
      <x:c r="C691" s="23" t="n">
        <x:v>1060.034980531782</x:v>
      </x:c>
      <x:c r="D691" s="23" t="n">
        <x:v>491.177751775831</x:v>
      </x:c>
      <x:c r="E691" s="23" t="n">
        <x:v>324.81365887913853</x:v>
      </x:c>
      <x:c r="F691" s="23" t="n">
        <x:v>9.281525631900877</x:v>
      </x:c>
      <x:c r="G691" s="23" t="n">
        <x:v>0.8429643393028527</x:v>
      </x:c>
      <x:c r="H691" s="23" t="n">
        <x:v>40</x:v>
      </x:c>
      <x:c r="I691" s="23" t="n">
        <x:v>25</x:v>
      </x:c>
      <x:c r="J691" s="23" t="n">
        <x:f>(IF(A691='Hybrid Calculator'!$B$6,0,1))^2+((B691-'Hybrid Calculator'!$B$7)/1500)^2+((C691-'Hybrid Calculator'!$B$8)/1300)^2+((D691-'Hybrid Calculator'!$B$9)/800)^2+((E691-'Hybrid Calculator'!$B$10)/350)^2+((F691-'Hybrid Calculator'!$B$11)/30)^2+(G691-'Hybrid Calculator'!$B$12)^2+((H691-'Hybrid Calculator'!$E$14)/IF(A691="Lightning",100,30000))^2+((I691-'Hybrid Calculator'!$E$17)/IF(A691="Lightning",100,30000))^2</x:f>
        <x:v>0.3821288031448868</x:v>
      </x:c>
      <x:c r="K691" s="23" t="n">
        <x:f>RANK(J691,$J$2:$J$1401,1)</x:f>
        <x:v>675</x:v>
      </x:c>
      <x:c r="L691" s="23" t="n">
        <x:f>IF(K691&lt;=7,1,0)</x:f>
        <x:v>0</x:v>
      </x:c>
      <x:c r="M691" s="23" t="n">
        <x:f>IF(L691=1,1/(J691+0.000001),0)</x:f>
        <x:v>0</x:v>
      </x:c>
      <x:c r="N691" s="23" t="n">
        <x:v>0.012179340754122858</x:v>
      </x:c>
      <x:c r="O691" s="23" t="n">
        <x:f>M691</x:f>
        <x:v>0</x:v>
      </x:c>
      <x:c r="P691" s="23" t="n">
        <x:v>1.4464019222613302</x:v>
      </x:c>
      <x:c r="Q691" s="23" t="n">
        <x:v>1.8816909652261984</x:v>
      </x:c>
    </x:row>
    <x:row r="692">
      <x:c r="A692" s="23" t="str">
        <x:v>Lightning</x:v>
      </x:c>
      <x:c r="B692" s="23" t="n">
        <x:v>1406.9719456136227</x:v>
      </x:c>
      <x:c r="C692" s="23" t="n">
        <x:v>873.7917485064827</x:v>
      </x:c>
      <x:c r="D692" s="23" t="n">
        <x:v>450.69349873811007</x:v>
      </x:c>
      <x:c r="E692" s="23" t="n">
        <x:v>167.75890112156048</x:v>
      </x:c>
      <x:c r="F692" s="23" t="n">
        <x:v>25.06375956349075</x:v>
      </x:c>
      <x:c r="G692" s="23" t="n">
        <x:v>0.8013938199472614</x:v>
      </x:c>
      <x:c r="H692" s="23" t="n">
        <x:v>50</x:v>
      </x:c>
      <x:c r="I692" s="23" t="n">
        <x:v>25</x:v>
      </x:c>
      <x:c r="J692" s="23" t="n">
        <x:f>(IF(A692='Hybrid Calculator'!$B$6,0,1))^2+((B692-'Hybrid Calculator'!$B$7)/1500)^2+((C692-'Hybrid Calculator'!$B$8)/1300)^2+((D692-'Hybrid Calculator'!$B$9)/800)^2+((E692-'Hybrid Calculator'!$B$10)/350)^2+((F692-'Hybrid Calculator'!$B$11)/30)^2+(G692-'Hybrid Calculator'!$B$12)^2+((H692-'Hybrid Calculator'!$E$14)/IF(A692="Lightning",100,30000))^2+((I692-'Hybrid Calculator'!$E$17)/IF(A692="Lightning",100,30000))^2</x:f>
        <x:v>0.05506867250482968</x:v>
      </x:c>
      <x:c r="K692" s="23" t="n">
        <x:f>RANK(J692,$J$2:$J$1401,1)</x:f>
        <x:v>68</x:v>
      </x:c>
      <x:c r="L692" s="23" t="n">
        <x:f>IF(K692&lt;=7,1,0)</x:f>
        <x:v>0</x:v>
      </x:c>
      <x:c r="M692" s="23" t="n">
        <x:f>IF(L692=1,1/(J692+0.000001),0)</x:f>
        <x:v>0</x:v>
      </x:c>
      <x:c r="N692" s="23" t="n">
        <x:v>-0.018741762038868792</x:v>
      </x:c>
      <x:c r="O692" s="23" t="n">
        <x:f>M692</x:f>
        <x:v>0</x:v>
      </x:c>
      <x:c r="P692" s="23" t="n">
        <x:v>0.24654543676012963</x:v>
      </x:c>
      <x:c r="Q692" s="23" t="n">
        <x:v>-2.773197844971264</x:v>
      </x:c>
    </x:row>
    <x:row r="693">
      <x:c r="A693" s="23" t="str">
        <x:v>Lightning</x:v>
      </x:c>
      <x:c r="B693" s="23" t="n">
        <x:v>1457.4546410352923</x:v>
      </x:c>
      <x:c r="C693" s="23" t="n">
        <x:v>911.0443519661203</x:v>
      </x:c>
      <x:c r="D693" s="23" t="n">
        <x:v>352.0926699973643</x:v>
      </x:c>
      <x:c r="E693" s="23" t="n">
        <x:v>202.47159495018423</x:v>
      </x:c>
      <x:c r="F693" s="23" t="n">
        <x:v>15.972927477676421</x:v>
      </x:c>
      <x:c r="G693" s="23" t="n">
        <x:v>0.841874056016095</x:v>
      </x:c>
      <x:c r="H693" s="23" t="n">
        <x:v>50</x:v>
      </x:c>
      <x:c r="I693" s="23" t="n">
        <x:v>25</x:v>
      </x:c>
      <x:c r="J693" s="23" t="n">
        <x:f>(IF(A693='Hybrid Calculator'!$B$6,0,1))^2+((B693-'Hybrid Calculator'!$B$7)/1500)^2+((C693-'Hybrid Calculator'!$B$8)/1300)^2+((D693-'Hybrid Calculator'!$B$9)/800)^2+((E693-'Hybrid Calculator'!$B$10)/350)^2+((F693-'Hybrid Calculator'!$B$11)/30)^2+(G693-'Hybrid Calculator'!$B$12)^2+((H693-'Hybrid Calculator'!$E$14)/IF(A693="Lightning",100,30000))^2+((I693-'Hybrid Calculator'!$E$17)/IF(A693="Lightning",100,30000))^2</x:f>
        <x:v>0.06690506201574035</x:v>
      </x:c>
      <x:c r="K693" s="23" t="n">
        <x:f>RANK(J693,$J$2:$J$1401,1)</x:f>
        <x:v>101</x:v>
      </x:c>
      <x:c r="L693" s="23" t="n">
        <x:f>IF(K693&lt;=7,1,0)</x:f>
        <x:v>0</x:v>
      </x:c>
      <x:c r="M693" s="23" t="n">
        <x:f>IF(L693=1,1/(J693+0.000001),0)</x:f>
        <x:v>0</x:v>
      </x:c>
      <x:c r="N693" s="23" t="n">
        <x:v>0.004573372497437944</x:v>
      </x:c>
      <x:c r="O693" s="23" t="n">
        <x:f>M693</x:f>
        <x:v>0</x:v>
      </x:c>
      <x:c r="P693" s="23" t="n">
        <x:v>0.1517079957857419</x:v>
      </x:c>
      <x:c r="Q693" s="23" t="n">
        <x:v>16.011969543461873</x:v>
      </x:c>
    </x:row>
    <x:row r="694">
      <x:c r="A694" s="23" t="str">
        <x:v>Lightning</x:v>
      </x:c>
      <x:c r="B694" s="23" t="n">
        <x:v>1457.5972818536684</x:v>
      </x:c>
      <x:c r="C694" s="23" t="n">
        <x:v>820.9465843276121</x:v>
      </x:c>
      <x:c r="D694" s="23" t="n">
        <x:v>729.5212928205729</x:v>
      </x:c>
      <x:c r="E694" s="23" t="n">
        <x:v>313.974595728796</x:v>
      </x:c>
      <x:c r="F694" s="23" t="n">
        <x:v>18.82157712522894</x:v>
      </x:c>
      <x:c r="G694" s="23" t="n">
        <x:v>0.8054568498837762</x:v>
      </x:c>
      <x:c r="H694" s="23" t="n">
        <x:v>35</x:v>
      </x:c>
      <x:c r="I694" s="23" t="n">
        <x:v>25</x:v>
      </x:c>
      <x:c r="J694" s="23" t="n">
        <x:f>(IF(A694='Hybrid Calculator'!$B$6,0,1))^2+((B694-'Hybrid Calculator'!$B$7)/1500)^2+((C694-'Hybrid Calculator'!$B$8)/1300)^2+((D694-'Hybrid Calculator'!$B$9)/800)^2+((E694-'Hybrid Calculator'!$B$10)/350)^2+((F694-'Hybrid Calculator'!$B$11)/30)^2+(G694-'Hybrid Calculator'!$B$12)^2+((H694-'Hybrid Calculator'!$E$14)/IF(A694="Lightning",100,30000))^2+((I694-'Hybrid Calculator'!$E$17)/IF(A694="Lightning",100,30000))^2</x:f>
        <x:v>0.3256018372959942</x:v>
      </x:c>
      <x:c r="K694" s="23" t="n">
        <x:f>RANK(J694,$J$2:$J$1401,1)</x:f>
        <x:v>631</x:v>
      </x:c>
      <x:c r="L694" s="23" t="n">
        <x:f>IF(K694&lt;=7,1,0)</x:f>
        <x:v>0</x:v>
      </x:c>
      <x:c r="M694" s="23" t="n">
        <x:f>IF(L694=1,1/(J694+0.000001),0)</x:f>
        <x:v>0</x:v>
      </x:c>
      <x:c r="N694" s="23" t="n">
        <x:v>0.008156742819444451</x:v>
      </x:c>
      <x:c r="O694" s="23" t="n">
        <x:f>M694</x:f>
        <x:v>0</x:v>
      </x:c>
      <x:c r="P694" s="23" t="n">
        <x:v>0.8475283184644482</x:v>
      </x:c>
      <x:c r="Q694" s="23" t="n">
        <x:v>-6.152387727012865</x:v>
      </x:c>
    </x:row>
    <x:row r="695">
      <x:c r="A695" s="23" t="str">
        <x:v>Lightning</x:v>
      </x:c>
      <x:c r="B695" s="23" t="n">
        <x:v>1351.4524117461406</x:v>
      </x:c>
      <x:c r="C695" s="23" t="n">
        <x:v>864.6450757514685</x:v>
      </x:c>
      <x:c r="D695" s="23" t="n">
        <x:v>502.7134741656482</x:v>
      </x:c>
      <x:c r="E695" s="23" t="n">
        <x:v>261.25797796528786</x:v>
      </x:c>
      <x:c r="F695" s="23" t="n">
        <x:v>29.54149043140933</x:v>
      </x:c>
      <x:c r="G695" s="23" t="n">
        <x:v>0.8108531177788973</x:v>
      </x:c>
      <x:c r="H695" s="23" t="n">
        <x:v>45</x:v>
      </x:c>
      <x:c r="I695" s="23" t="n">
        <x:v>25</x:v>
      </x:c>
      <x:c r="J695" s="23" t="n">
        <x:f>(IF(A695='Hybrid Calculator'!$B$6,0,1))^2+((B695-'Hybrid Calculator'!$B$7)/1500)^2+((C695-'Hybrid Calculator'!$B$8)/1300)^2+((D695-'Hybrid Calculator'!$B$9)/800)^2+((E695-'Hybrid Calculator'!$B$10)/350)^2+((F695-'Hybrid Calculator'!$B$11)/30)^2+(G695-'Hybrid Calculator'!$B$12)^2+((H695-'Hybrid Calculator'!$E$14)/IF(A695="Lightning",100,30000))^2+((I695-'Hybrid Calculator'!$E$17)/IF(A695="Lightning",100,30000))^2</x:f>
        <x:v>0.2416344124541635</x:v>
      </x:c>
      <x:c r="K695" s="23" t="n">
        <x:f>RANK(J695,$J$2:$J$1401,1)</x:f>
        <x:v>522</x:v>
      </x:c>
      <x:c r="L695" s="23" t="n">
        <x:f>IF(K695&lt;=7,1,0)</x:f>
        <x:v>0</x:v>
      </x:c>
      <x:c r="M695" s="23" t="n">
        <x:f>IF(L695=1,1/(J695+0.000001),0)</x:f>
        <x:v>0</x:v>
      </x:c>
      <x:c r="N695" s="23" t="n">
        <x:v>-0.01677564657588504</x:v>
      </x:c>
      <x:c r="O695" s="23" t="n">
        <x:f>M695</x:f>
        <x:v>0</x:v>
      </x:c>
      <x:c r="P695" s="23" t="n">
        <x:v>0.7168980044001714</x:v>
      </x:c>
      <x:c r="Q695" s="23" t="n">
        <x:v>-9.498284819175524</x:v>
      </x:c>
    </x:row>
    <x:row r="696">
      <x:c r="A696" s="23" t="str">
        <x:v>Lightning</x:v>
      </x:c>
      <x:c r="B696" s="23" t="n">
        <x:v>1484.6002049278468</x:v>
      </x:c>
      <x:c r="C696" s="23" t="n">
        <x:v>779.9101204494946</x:v>
      </x:c>
      <x:c r="D696" s="23" t="n">
        <x:v>532.575616799295</x:v>
      </x:c>
      <x:c r="E696" s="23" t="n">
        <x:v>188.11252222629264</x:v>
      </x:c>
      <x:c r="F696" s="23" t="n">
        <x:v>12.846662741154432</x:v>
      </x:c>
      <x:c r="G696" s="23" t="n">
        <x:v>0.8488404583581723</x:v>
      </x:c>
      <x:c r="H696" s="23" t="n">
        <x:v>50</x:v>
      </x:c>
      <x:c r="I696" s="23" t="n">
        <x:v>25</x:v>
      </x:c>
      <x:c r="J696" s="23" t="n">
        <x:f>(IF(A696='Hybrid Calculator'!$B$6,0,1))^2+((B696-'Hybrid Calculator'!$B$7)/1500)^2+((C696-'Hybrid Calculator'!$B$8)/1300)^2+((D696-'Hybrid Calculator'!$B$9)/800)^2+((E696-'Hybrid Calculator'!$B$10)/350)^2+((F696-'Hybrid Calculator'!$B$11)/30)^2+(G696-'Hybrid Calculator'!$B$12)^2+((H696-'Hybrid Calculator'!$E$14)/IF(A696="Lightning",100,30000))^2+((I696-'Hybrid Calculator'!$E$17)/IF(A696="Lightning",100,30000))^2</x:f>
        <x:v>0.05434448489545853</x:v>
      </x:c>
      <x:c r="K696" s="23" t="n">
        <x:f>RANK(J696,$J$2:$J$1401,1)</x:f>
        <x:v>65</x:v>
      </x:c>
      <x:c r="L696" s="23" t="n">
        <x:f>IF(K696&lt;=7,1,0)</x:f>
        <x:v>0</x:v>
      </x:c>
      <x:c r="M696" s="23" t="n">
        <x:f>IF(L696=1,1/(J696+0.000001),0)</x:f>
        <x:v>0</x:v>
      </x:c>
      <x:c r="N696" s="23" t="n">
        <x:v>-0.002676686319867949</x:v>
      </x:c>
      <x:c r="O696" s="23" t="n">
        <x:f>M696</x:f>
        <x:v>0</x:v>
      </x:c>
      <x:c r="P696" s="23" t="n">
        <x:v>-0.042119527418549296</x:v>
      </x:c>
      <x:c r="Q696" s="23" t="n">
        <x:v>4.570900071720416</x:v>
      </x:c>
    </x:row>
    <x:row r="697">
      <x:c r="A697" s="23" t="str">
        <x:v>Lightning</x:v>
      </x:c>
      <x:c r="B697" s="23" t="n">
        <x:v>1466.6645981487818</x:v>
      </x:c>
      <x:c r="C697" s="23" t="n">
        <x:v>1144.4564535049722</x:v>
      </x:c>
      <x:c r="D697" s="23" t="n">
        <x:v>554.1320283897221</x:v>
      </x:c>
      <x:c r="E697" s="23" t="n">
        <x:v>179.36411958187819</x:v>
      </x:c>
      <x:c r="F697" s="23" t="n">
        <x:v>18.574433671776205</x:v>
      </x:c>
      <x:c r="G697" s="23" t="n">
        <x:v>0.810366845834069</x:v>
      </x:c>
      <x:c r="H697" s="23" t="n">
        <x:v>35</x:v>
      </x:c>
      <x:c r="I697" s="23" t="n">
        <x:v>25</x:v>
      </x:c>
      <x:c r="J697" s="23" t="n">
        <x:f>(IF(A697='Hybrid Calculator'!$B$6,0,1))^2+((B697-'Hybrid Calculator'!$B$7)/1500)^2+((C697-'Hybrid Calculator'!$B$8)/1300)^2+((D697-'Hybrid Calculator'!$B$9)/800)^2+((E697-'Hybrid Calculator'!$B$10)/350)^2+((F697-'Hybrid Calculator'!$B$11)/30)^2+(G697-'Hybrid Calculator'!$B$12)^2+((H697-'Hybrid Calculator'!$E$14)/IF(A697="Lightning",100,30000))^2+((I697-'Hybrid Calculator'!$E$17)/IF(A697="Lightning",100,30000))^2</x:f>
        <x:v>0.08629232571502868</x:v>
      </x:c>
      <x:c r="K697" s="23" t="n">
        <x:f>RANK(J697,$J$2:$J$1401,1)</x:f>
        <x:v>156</x:v>
      </x:c>
      <x:c r="L697" s="23" t="n">
        <x:f>IF(K697&lt;=7,1,0)</x:f>
        <x:v>0</x:v>
      </x:c>
      <x:c r="M697" s="23" t="n">
        <x:f>IF(L697=1,1/(J697+0.000001),0)</x:f>
        <x:v>0</x:v>
      </x:c>
      <x:c r="N697" s="23" t="n">
        <x:v>-0.005221450065139299</x:v>
      </x:c>
      <x:c r="O697" s="23" t="n">
        <x:f>M697</x:f>
        <x:v>0</x:v>
      </x:c>
      <x:c r="P697" s="23" t="n">
        <x:v>0.8816729140652484</x:v>
      </x:c>
      <x:c r="Q697" s="23" t="n">
        <x:v>-11.641406431171845</x:v>
      </x:c>
    </x:row>
    <x:row r="698">
      <x:c r="A698" s="23" t="str">
        <x:v>Lightning</x:v>
      </x:c>
      <x:c r="B698" s="23" t="n">
        <x:v>1424.03317282442</x:v>
      </x:c>
      <x:c r="C698" s="23" t="n">
        <x:v>610.424975969363</x:v>
      </x:c>
      <x:c r="D698" s="23" t="n">
        <x:v>587.8889761865139</x:v>
      </x:c>
      <x:c r="E698" s="23" t="n">
        <x:v>231.57127886777744</x:v>
      </x:c>
      <x:c r="F698" s="23" t="n">
        <x:v>29.293745479546487</x:v>
      </x:c>
      <x:c r="G698" s="23" t="n">
        <x:v>0.8500976648344659</x:v>
      </x:c>
      <x:c r="H698" s="23" t="n">
        <x:v>50</x:v>
      </x:c>
      <x:c r="I698" s="23" t="n">
        <x:v>25</x:v>
      </x:c>
      <x:c r="J698" s="23" t="n">
        <x:f>(IF(A698='Hybrid Calculator'!$B$6,0,1))^2+((B698-'Hybrid Calculator'!$B$7)/1500)^2+((C698-'Hybrid Calculator'!$B$8)/1300)^2+((D698-'Hybrid Calculator'!$B$9)/800)^2+((E698-'Hybrid Calculator'!$B$10)/350)^2+((F698-'Hybrid Calculator'!$B$11)/30)^2+(G698-'Hybrid Calculator'!$B$12)^2+((H698-'Hybrid Calculator'!$E$14)/IF(A698="Lightning",100,30000))^2+((I698-'Hybrid Calculator'!$E$17)/IF(A698="Lightning",100,30000))^2</x:f>
        <x:v>0.23070528641904514</x:v>
      </x:c>
      <x:c r="K698" s="23" t="n">
        <x:f>RANK(J698,$J$2:$J$1401,1)</x:f>
        <x:v>505</x:v>
      </x:c>
      <x:c r="L698" s="23" t="n">
        <x:f>IF(K698&lt;=7,1,0)</x:f>
        <x:v>0</x:v>
      </x:c>
      <x:c r="M698" s="23" t="n">
        <x:f>IF(L698=1,1/(J698+0.000001),0)</x:f>
        <x:v>0</x:v>
      </x:c>
      <x:c r="N698" s="23" t="n">
        <x:v>-0.014816949142187896</x:v>
      </x:c>
      <x:c r="O698" s="23" t="n">
        <x:f>M698</x:f>
        <x:v>0</x:v>
      </x:c>
      <x:c r="P698" s="23" t="n">
        <x:v>-0.5658219906915747</x:v>
      </x:c>
      <x:c r="Q698" s="23" t="n">
        <x:v>-4.64569154943365</x:v>
      </x:c>
    </x:row>
    <x:row r="699">
      <x:c r="A699" s="23" t="str">
        <x:v>Lightning</x:v>
      </x:c>
      <x:c r="B699" s="23" t="n">
        <x:v>1437.2233932721429</x:v>
      </x:c>
      <x:c r="C699" s="23" t="n">
        <x:v>1051.0848745703697</x:v>
      </x:c>
      <x:c r="D699" s="23" t="n">
        <x:v>691.1005704663694</x:v>
      </x:c>
      <x:c r="E699" s="23" t="n">
        <x:v>155.92670165468007</x:v>
      </x:c>
      <x:c r="F699" s="23" t="n">
        <x:v>25.783809961285442</x:v>
      </x:c>
      <x:c r="G699" s="23" t="n">
        <x:v>0.8137659674417228</x:v>
      </x:c>
      <x:c r="H699" s="23" t="n">
        <x:v>35</x:v>
      </x:c>
      <x:c r="I699" s="23" t="n">
        <x:v>25</x:v>
      </x:c>
      <x:c r="J699" s="23" t="n">
        <x:f>(IF(A699='Hybrid Calculator'!$B$6,0,1))^2+((B699-'Hybrid Calculator'!$B$7)/1500)^2+((C699-'Hybrid Calculator'!$B$8)/1300)^2+((D699-'Hybrid Calculator'!$B$9)/800)^2+((E699-'Hybrid Calculator'!$B$10)/350)^2+((F699-'Hybrid Calculator'!$B$11)/30)^2+(G699-'Hybrid Calculator'!$B$12)^2+((H699-'Hybrid Calculator'!$E$14)/IF(A699="Lightning",100,30000))^2+((I699-'Hybrid Calculator'!$E$17)/IF(A699="Lightning",100,30000))^2</x:f>
        <x:v>0.1628284901355889</x:v>
      </x:c>
      <x:c r="K699" s="23" t="n">
        <x:f>RANK(J699,$J$2:$J$1401,1)</x:f>
        <x:v>361</x:v>
      </x:c>
      <x:c r="L699" s="23" t="n">
        <x:f>IF(K699&lt;=7,1,0)</x:f>
        <x:v>0</x:v>
      </x:c>
      <x:c r="M699" s="23" t="n">
        <x:f>IF(L699=1,1/(J699+0.000001),0)</x:f>
        <x:v>0</x:v>
      </x:c>
      <x:c r="N699" s="23" t="n">
        <x:v>0.0012005237750547515</x:v>
      </x:c>
      <x:c r="O699" s="23" t="n">
        <x:f>M699</x:f>
        <x:v>0</x:v>
      </x:c>
      <x:c r="P699" s="23" t="n">
        <x:v>-0.22388874410607684</x:v>
      </x:c>
      <x:c r="Q699" s="23" t="n">
        <x:v>-23.2714754529502</x:v>
      </x:c>
    </x:row>
    <x:row r="700">
      <x:c r="A700" s="23" t="str">
        <x:v>Lightning</x:v>
      </x:c>
      <x:c r="B700" s="23" t="n">
        <x:v>1413.3190616033971</x:v>
      </x:c>
      <x:c r="C700" s="23" t="n">
        <x:v>801.1775589897297</x:v>
      </x:c>
      <x:c r="D700" s="23" t="n">
        <x:v>460.6594229117036</x:v>
      </x:c>
      <x:c r="E700" s="23" t="n">
        <x:v>248.9683078438975</x:v>
      </x:c>
      <x:c r="F700" s="23" t="n">
        <x:v>10.783515388146043</x:v>
      </x:c>
      <x:c r="G700" s="23" t="n">
        <x:v>0.8350066565279849</x:v>
      </x:c>
      <x:c r="H700" s="23" t="n">
        <x:v>50</x:v>
      </x:c>
      <x:c r="I700" s="23" t="n">
        <x:v>25</x:v>
      </x:c>
      <x:c r="J700" s="23" t="n">
        <x:f>(IF(A700='Hybrid Calculator'!$B$6,0,1))^2+((B700-'Hybrid Calculator'!$B$7)/1500)^2+((C700-'Hybrid Calculator'!$B$8)/1300)^2+((D700-'Hybrid Calculator'!$B$9)/800)^2+((E700-'Hybrid Calculator'!$B$10)/350)^2+((F700-'Hybrid Calculator'!$B$11)/30)^2+(G700-'Hybrid Calculator'!$B$12)^2+((H700-'Hybrid Calculator'!$E$14)/IF(A700="Lightning",100,30000))^2+((I700-'Hybrid Calculator'!$E$17)/IF(A700="Lightning",100,30000))^2</x:f>
        <x:v>0.15023162195705023</x:v>
      </x:c>
      <x:c r="K700" s="23" t="n">
        <x:f>RANK(J700,$J$2:$J$1401,1)</x:f>
        <x:v>327</x:v>
      </x:c>
      <x:c r="L700" s="23" t="n">
        <x:f>IF(K700&lt;=7,1,0)</x:f>
        <x:v>0</x:v>
      </x:c>
      <x:c r="M700" s="23" t="n">
        <x:f>IF(L700=1,1/(J700+0.000001),0)</x:f>
        <x:v>0</x:v>
      </x:c>
      <x:c r="N700" s="23" t="n">
        <x:v>-0.001262292730327852</x:v>
      </x:c>
      <x:c r="O700" s="23" t="n">
        <x:f>M700</x:f>
        <x:v>0</x:v>
      </x:c>
      <x:c r="P700" s="23" t="n">
        <x:v>-0.8658013072555804</x:v>
      </x:c>
      <x:c r="Q700" s="23" t="n">
        <x:v>9.128299949473558</x:v>
      </x:c>
    </x:row>
    <x:row r="701">
      <x:c r="A701" s="23" t="str">
        <x:v>Lightning</x:v>
      </x:c>
      <x:c r="B701" s="23" t="n">
        <x:v>1358.003594877664</x:v>
      </x:c>
      <x:c r="C701" s="23" t="n">
        <x:v>1116.4204049156979</x:v>
      </x:c>
      <x:c r="D701" s="23" t="n">
        <x:v>582.5762980617583</x:v>
      </x:c>
      <x:c r="E701" s="23" t="n">
        <x:v>303.09902333654463</x:v>
      </x:c>
      <x:c r="F701" s="23" t="n">
        <x:v>26.55359045462683</x:v>
      </x:c>
      <x:c r="G701" s="23" t="n">
        <x:v>0.7974613099405542</x:v>
      </x:c>
      <x:c r="H701" s="23" t="n">
        <x:v>35</x:v>
      </x:c>
      <x:c r="I701" s="23" t="n">
        <x:v>25</x:v>
      </x:c>
      <x:c r="J701" s="23" t="n">
        <x:f>(IF(A701='Hybrid Calculator'!$B$6,0,1))^2+((B701-'Hybrid Calculator'!$B$7)/1500)^2+((C701-'Hybrid Calculator'!$B$8)/1300)^2+((D701-'Hybrid Calculator'!$B$9)/800)^2+((E701-'Hybrid Calculator'!$B$10)/350)^2+((F701-'Hybrid Calculator'!$B$11)/30)^2+(G701-'Hybrid Calculator'!$B$12)^2+((H701-'Hybrid Calculator'!$E$14)/IF(A701="Lightning",100,30000))^2+((I701-'Hybrid Calculator'!$E$17)/IF(A701="Lightning",100,30000))^2</x:f>
        <x:v>0.3410655707654077</x:v>
      </x:c>
      <x:c r="K701" s="23" t="n">
        <x:f>RANK(J701,$J$2:$J$1401,1)</x:f>
        <x:v>640</x:v>
      </x:c>
      <x:c r="L701" s="23" t="n">
        <x:f>IF(K701&lt;=7,1,0)</x:f>
        <x:v>0</x:v>
      </x:c>
      <x:c r="M701" s="23" t="n">
        <x:f>IF(L701=1,1/(J701+0.000001),0)</x:f>
        <x:v>0</x:v>
      </x:c>
      <x:c r="N701" s="23" t="n">
        <x:v>-0.004115302031410417</x:v>
      </x:c>
      <x:c r="O701" s="23" t="n">
        <x:f>M701</x:f>
        <x:v>0</x:v>
      </x:c>
      <x:c r="P701" s="23" t="n">
        <x:v>0.475068223712249</x:v>
      </x:c>
      <x:c r="Q701" s="23" t="n">
        <x:v>-16.211658122217614</x:v>
      </x:c>
    </x:row>
    <x:row r="702">
      <x:c r="A702" s="23" t="str">
        <x:v>Switching</x:v>
      </x:c>
      <x:c r="B702" s="23" t="n">
        <x:v>1031.5097128972411</x:v>
      </x:c>
      <x:c r="C702" s="23" t="n">
        <x:v>1207.838730176445</x:v>
      </x:c>
      <x:c r="D702" s="23" t="n">
        <x:v>482.7945413067937</x:v>
      </x:c>
      <x:c r="E702" s="23" t="n">
        <x:v>285.184924940113</x:v>
      </x:c>
      <x:c r="F702" s="23" t="n">
        <x:v>29.665858259424567</x:v>
      </x:c>
      <x:c r="G702" s="23" t="n">
        <x:v>0.8597224311647006</x:v>
      </x:c>
      <x:c r="H702" s="23" t="n">
        <x:v>12630</x:v>
      </x:c>
      <x:c r="I702" s="23" t="n">
        <x:v>1200</x:v>
      </x:c>
      <x:c r="J702" s="23" t="n">
        <x:f>(IF(A702='Hybrid Calculator'!$B$6,0,1))^2+((B702-'Hybrid Calculator'!$B$7)/1500)^2+((C702-'Hybrid Calculator'!$B$8)/1300)^2+((D702-'Hybrid Calculator'!$B$9)/800)^2+((E702-'Hybrid Calculator'!$B$10)/350)^2+((F702-'Hybrid Calculator'!$B$11)/30)^2+(G702-'Hybrid Calculator'!$B$12)^2+((H702-'Hybrid Calculator'!$E$14)/IF(A702="Lightning",100,30000))^2+((I702-'Hybrid Calculator'!$E$17)/IF(A702="Lightning",100,30000))^2</x:f>
        <x:v>1.61171134648373</x:v>
      </x:c>
      <x:c r="K702" s="23" t="n">
        <x:f>RANK(J702,$J$2:$J$1401,1)</x:f>
        <x:v>1360</x:v>
      </x:c>
      <x:c r="L702" s="23" t="n">
        <x:f>IF(K702&lt;=7,1,0)</x:f>
        <x:v>0</x:v>
      </x:c>
      <x:c r="M702" s="23" t="n">
        <x:f>IF(L702=1,1/(J702+0.000001),0)</x:f>
        <x:v>0</x:v>
      </x:c>
      <x:c r="N702" s="23" t="n">
        <x:v>3.083893298707352</x:v>
      </x:c>
      <x:c r="O702" s="23" t="n">
        <x:f>M702</x:f>
        <x:v>0</x:v>
      </x:c>
      <x:c r="P702" s="23" t="n">
        <x:v>36.85096307628646</x:v>
      </x:c>
      <x:c r="Q702" s="23" t="n">
        <x:v>-11.535571186875131</x:v>
      </x:c>
    </x:row>
    <x:row r="703">
      <x:c r="A703" s="23" t="str">
        <x:v>Switching</x:v>
      </x:c>
      <x:c r="B703" s="23" t="n">
        <x:v>951.1921946541406</x:v>
      </x:c>
      <x:c r="C703" s="23" t="n">
        <x:v>1133.9398104930297</x:v>
      </x:c>
      <x:c r="D703" s="23" t="n">
        <x:v>514.003133866936</x:v>
      </x:c>
      <x:c r="E703" s="23" t="n">
        <x:v>211.76690670661628</x:v>
      </x:c>
      <x:c r="F703" s="23" t="n">
        <x:v>18.507448483724147</x:v>
      </x:c>
      <x:c r="G703" s="23" t="n">
        <x:v>0.8023482110770419</x:v>
      </x:c>
      <x:c r="H703" s="23" t="n">
        <x:v>13415</x:v>
      </x:c>
      <x:c r="I703" s="23" t="n">
        <x:v>1200</x:v>
      </x:c>
      <x:c r="J703" s="23" t="n">
        <x:f>(IF(A703='Hybrid Calculator'!$B$6,0,1))^2+((B703-'Hybrid Calculator'!$B$7)/1500)^2+((C703-'Hybrid Calculator'!$B$8)/1300)^2+((D703-'Hybrid Calculator'!$B$9)/800)^2+((E703-'Hybrid Calculator'!$B$10)/350)^2+((F703-'Hybrid Calculator'!$B$11)/30)^2+(G703-'Hybrid Calculator'!$B$12)^2+((H703-'Hybrid Calculator'!$E$14)/IF(A703="Lightning",100,30000))^2+((I703-'Hybrid Calculator'!$E$17)/IF(A703="Lightning",100,30000))^2</x:f>
        <x:v>1.379246655027402</x:v>
      </x:c>
      <x:c r="K703" s="23" t="n">
        <x:f>RANK(J703,$J$2:$J$1401,1)</x:f>
        <x:v>913</x:v>
      </x:c>
      <x:c r="L703" s="23" t="n">
        <x:f>IF(K703&lt;=7,1,0)</x:f>
        <x:v>0</x:v>
      </x:c>
      <x:c r="M703" s="23" t="n">
        <x:f>IF(L703=1,1/(J703+0.000001),0)</x:f>
        <x:v>0</x:v>
      </x:c>
      <x:c r="N703" s="23" t="n">
        <x:v>1.2255416742465286</x:v>
      </x:c>
      <x:c r="O703" s="23" t="n">
        <x:f>M703</x:f>
        <x:v>0</x:v>
      </x:c>
      <x:c r="P703" s="23" t="n">
        <x:v>63.941753617474205</x:v>
      </x:c>
      <x:c r="Q703" s="23" t="n">
        <x:v>-4.34700602303576</x:v>
      </x:c>
    </x:row>
    <x:row r="704">
      <x:c r="A704" s="23" t="str">
        <x:v>Switching</x:v>
      </x:c>
      <x:c r="B704" s="23" t="n">
        <x:v>1093.2033142773435</x:v>
      </x:c>
      <x:c r="C704" s="23" t="n">
        <x:v>955.7999944896437</x:v>
      </x:c>
      <x:c r="D704" s="23" t="n">
        <x:v>589.5520348101854</x:v>
      </x:c>
      <x:c r="E704" s="23" t="n">
        <x:v>108.2310081529431</x:v>
      </x:c>
      <x:c r="F704" s="23" t="n">
        <x:v>10.451923833228648</x:v>
      </x:c>
      <x:c r="G704" s="23" t="n">
        <x:v>0.8145381828281097</x:v>
      </x:c>
      <x:c r="H704" s="23" t="n">
        <x:v>12935</x:v>
      </x:c>
      <x:c r="I704" s="23" t="n">
        <x:v>1200</x:v>
      </x:c>
      <x:c r="J704" s="23" t="n">
        <x:f>(IF(A704='Hybrid Calculator'!$B$6,0,1))^2+((B704-'Hybrid Calculator'!$B$7)/1500)^2+((C704-'Hybrid Calculator'!$B$8)/1300)^2+((D704-'Hybrid Calculator'!$B$9)/800)^2+((E704-'Hybrid Calculator'!$B$10)/350)^2+((F704-'Hybrid Calculator'!$B$11)/30)^2+(G704-'Hybrid Calculator'!$B$12)^2+((H704-'Hybrid Calculator'!$E$14)/IF(A704="Lightning",100,30000))^2+((I704-'Hybrid Calculator'!$E$17)/IF(A704="Lightning",100,30000))^2</x:f>
        <x:v>1.340326996703053</x:v>
      </x:c>
      <x:c r="K704" s="23" t="n">
        <x:f>RANK(J704,$J$2:$J$1401,1)</x:f>
        <x:v>802</x:v>
      </x:c>
      <x:c r="L704" s="23" t="n">
        <x:f>IF(K704&lt;=7,1,0)</x:f>
        <x:v>0</x:v>
      </x:c>
      <x:c r="M704" s="23" t="n">
        <x:f>IF(L704=1,1/(J704+0.000001),0)</x:f>
        <x:v>0</x:v>
      </x:c>
      <x:c r="N704" s="23" t="n">
        <x:v>4.365247897273548</x:v>
      </x:c>
      <x:c r="O704" s="23" t="n">
        <x:f>M704</x:f>
        <x:v>0</x:v>
      </x:c>
      <x:c r="P704" s="23" t="n">
        <x:v>-19.49563542949727</x:v>
      </x:c>
      <x:c r="Q704" s="23" t="n">
        <x:v>7.969322025083102</x:v>
      </x:c>
    </x:row>
    <x:row r="705">
      <x:c r="A705" s="23" t="str">
        <x:v>Switching</x:v>
      </x:c>
      <x:c r="B705" s="23" t="n">
        <x:v>1085.1878991699778</x:v>
      </x:c>
      <x:c r="C705" s="23" t="n">
        <x:v>1134.196446975693</x:v>
      </x:c>
      <x:c r="D705" s="23" t="n">
        <x:v>592.6747064106166</x:v>
      </x:c>
      <x:c r="E705" s="23" t="n">
        <x:v>211.32207549642771</x:v>
      </x:c>
      <x:c r="F705" s="23" t="n">
        <x:v>24.432476240675896</x:v>
      </x:c>
      <x:c r="G705" s="23" t="n">
        <x:v>0.7986163841560483</x:v>
      </x:c>
      <x:c r="H705" s="23" t="n">
        <x:v>11035</x:v>
      </x:c>
      <x:c r="I705" s="23" t="n">
        <x:v>1195</x:v>
      </x:c>
      <x:c r="J705" s="23" t="n">
        <x:f>(IF(A705='Hybrid Calculator'!$B$6,0,1))^2+((B705-'Hybrid Calculator'!$B$7)/1500)^2+((C705-'Hybrid Calculator'!$B$8)/1300)^2+((D705-'Hybrid Calculator'!$B$9)/800)^2+((E705-'Hybrid Calculator'!$B$10)/350)^2+((F705-'Hybrid Calculator'!$B$11)/30)^2+(G705-'Hybrid Calculator'!$B$12)^2+((H705-'Hybrid Calculator'!$E$14)/IF(A705="Lightning",100,30000))^2+((I705-'Hybrid Calculator'!$E$17)/IF(A705="Lightning",100,30000))^2</x:f>
        <x:v>1.3183903409385993</x:v>
      </x:c>
      <x:c r="K705" s="23" t="n">
        <x:f>RANK(J705,$J$2:$J$1401,1)</x:f>
        <x:v>759</x:v>
      </x:c>
      <x:c r="L705" s="23" t="n">
        <x:f>IF(K705&lt;=7,1,0)</x:f>
        <x:v>0</x:v>
      </x:c>
      <x:c r="M705" s="23" t="n">
        <x:f>IF(L705=1,1/(J705+0.000001),0)</x:f>
        <x:v>0</x:v>
      </x:c>
      <x:c r="N705" s="23" t="n">
        <x:v>1.219133142358345</x:v>
      </x:c>
      <x:c r="O705" s="23" t="n">
        <x:f>M705</x:f>
        <x:v>0</x:v>
      </x:c>
      <x:c r="P705" s="23" t="n">
        <x:v>34.74989914968819</x:v>
      </x:c>
      <x:c r="Q705" s="23" t="n">
        <x:v>-10.71499341975732</x:v>
      </x:c>
    </x:row>
    <x:row r="706">
      <x:c r="A706" s="23" t="str">
        <x:v>Switching</x:v>
      </x:c>
      <x:c r="B706" s="23" t="n">
        <x:v>1000.0206758733839</x:v>
      </x:c>
      <x:c r="C706" s="23" t="n">
        <x:v>820.6461409921758</x:v>
      </x:c>
      <x:c r="D706" s="23" t="n">
        <x:v>578.4794976934791</x:v>
      </x:c>
      <x:c r="E706" s="23" t="n">
        <x:v>286.45339210750535</x:v>
      </x:c>
      <x:c r="F706" s="23" t="n">
        <x:v>20.45329699292779</x:v>
      </x:c>
      <x:c r="G706" s="23" t="n">
        <x:v>0.8261793362372555</x:v>
      </x:c>
      <x:c r="H706" s="23" t="n">
        <x:v>12685</x:v>
      </x:c>
      <x:c r="I706" s="23" t="n">
        <x:v>1200</x:v>
      </x:c>
      <x:c r="J706" s="23" t="n">
        <x:f>(IF(A706='Hybrid Calculator'!$B$6,0,1))^2+((B706-'Hybrid Calculator'!$B$7)/1500)^2+((C706-'Hybrid Calculator'!$B$8)/1300)^2+((D706-'Hybrid Calculator'!$B$9)/800)^2+((E706-'Hybrid Calculator'!$B$10)/350)^2+((F706-'Hybrid Calculator'!$B$11)/30)^2+(G706-'Hybrid Calculator'!$B$12)^2+((H706-'Hybrid Calculator'!$E$14)/IF(A706="Lightning",100,30000))^2+((I706-'Hybrid Calculator'!$E$17)/IF(A706="Lightning",100,30000))^2</x:f>
        <x:v>1.4255923262421542</x:v>
      </x:c>
      <x:c r="K706" s="23" t="n">
        <x:f>RANK(J706,$J$2:$J$1401,1)</x:f>
        <x:v>1050</x:v>
      </x:c>
      <x:c r="L706" s="23" t="n">
        <x:f>IF(K706&lt;=7,1,0)</x:f>
        <x:v>0</x:v>
      </x:c>
      <x:c r="M706" s="23" t="n">
        <x:f>IF(L706=1,1/(J706+0.000001),0)</x:f>
        <x:v>0</x:v>
      </x:c>
      <x:c r="N706" s="23" t="n">
        <x:v>-2.4046149441555826</x:v>
      </x:c>
      <x:c r="O706" s="23" t="n">
        <x:f>M706</x:f>
        <x:v>0</x:v>
      </x:c>
      <x:c r="P706" s="23" t="n">
        <x:v>29.32763474989133</x:v>
      </x:c>
      <x:c r="Q706" s="23" t="n">
        <x:v>-4.794997721071923</x:v>
      </x:c>
    </x:row>
    <x:row r="707">
      <x:c r="A707" s="23" t="str">
        <x:v>Switching</x:v>
      </x:c>
      <x:c r="B707" s="23" t="n">
        <x:v>1099.187308375258</x:v>
      </x:c>
      <x:c r="C707" s="23" t="n">
        <x:v>1206.1619297368452</x:v>
      </x:c>
      <x:c r="D707" s="23" t="n">
        <x:v>497.40886436775327</x:v>
      </x:c>
      <x:c r="E707" s="23" t="n">
        <x:v>226.4930772781372</x:v>
      </x:c>
      <x:c r="F707" s="23" t="n">
        <x:v>25.46565784001723</x:v>
      </x:c>
      <x:c r="G707" s="23" t="n">
        <x:v>0.8514397957129405</x:v>
      </x:c>
      <x:c r="H707" s="23" t="n">
        <x:v>11080</x:v>
      </x:c>
      <x:c r="I707" s="23" t="n">
        <x:v>1195</x:v>
      </x:c>
      <x:c r="J707" s="23" t="n">
        <x:f>(IF(A707='Hybrid Calculator'!$B$6,0,1))^2+((B707-'Hybrid Calculator'!$B$7)/1500)^2+((C707-'Hybrid Calculator'!$B$8)/1300)^2+((D707-'Hybrid Calculator'!$B$9)/800)^2+((E707-'Hybrid Calculator'!$B$10)/350)^2+((F707-'Hybrid Calculator'!$B$11)/30)^2+(G707-'Hybrid Calculator'!$B$12)^2+((H707-'Hybrid Calculator'!$E$14)/IF(A707="Lightning",100,30000))^2+((I707-'Hybrid Calculator'!$E$17)/IF(A707="Lightning",100,30000))^2</x:f>
        <x:v>1.3616145644097868</x:v>
      </x:c>
      <x:c r="K707" s="23" t="n">
        <x:f>RANK(J707,$J$2:$J$1401,1)</x:f>
        <x:v>859</x:v>
      </x:c>
      <x:c r="L707" s="23" t="n">
        <x:f>IF(K707&lt;=7,1,0)</x:f>
        <x:v>0</x:v>
      </x:c>
      <x:c r="M707" s="23" t="n">
        <x:f>IF(L707=1,1/(J707+0.000001),0)</x:f>
        <x:v>0</x:v>
      </x:c>
      <x:c r="N707" s="23" t="n">
        <x:v>1.8298033324867333</x:v>
      </x:c>
      <x:c r="O707" s="23" t="n">
        <x:f>M707</x:f>
        <x:v>0</x:v>
      </x:c>
      <x:c r="P707" s="23" t="n">
        <x:v>50.13845288610855</x:v>
      </x:c>
      <x:c r="Q707" s="23" t="n">
        <x:v>-17.233704256428837</x:v>
      </x:c>
    </x:row>
    <x:row r="708">
      <x:c r="A708" s="23" t="str">
        <x:v>Switching</x:v>
      </x:c>
      <x:c r="B708" s="23" t="n">
        <x:v>1067.857681424357</x:v>
      </x:c>
      <x:c r="C708" s="23" t="n">
        <x:v>784.5266529475339</x:v>
      </x:c>
      <x:c r="D708" s="23" t="n">
        <x:v>553.3487237989902</x:v>
      </x:c>
      <x:c r="E708" s="23" t="n">
        <x:v>285.56793961441144</x:v>
      </x:c>
      <x:c r="F708" s="23" t="n">
        <x:v>10.965923084877431</x:v>
      </x:c>
      <x:c r="G708" s="23" t="n">
        <x:v>0.835552025937941</x:v>
      </x:c>
      <x:c r="H708" s="23" t="n">
        <x:v>13175</x:v>
      </x:c>
      <x:c r="I708" s="23" t="n">
        <x:v>1200</x:v>
      </x:c>
      <x:c r="J708" s="23" t="n">
        <x:f>(IF(A708='Hybrid Calculator'!$B$6,0,1))^2+((B708-'Hybrid Calculator'!$B$7)/1500)^2+((C708-'Hybrid Calculator'!$B$8)/1300)^2+((D708-'Hybrid Calculator'!$B$9)/800)^2+((E708-'Hybrid Calculator'!$B$10)/350)^2+((F708-'Hybrid Calculator'!$B$11)/30)^2+(G708-'Hybrid Calculator'!$B$12)^2+((H708-'Hybrid Calculator'!$E$14)/IF(A708="Lightning",100,30000))^2+((I708-'Hybrid Calculator'!$E$17)/IF(A708="Lightning",100,30000))^2</x:f>
        <x:v>1.469954035930611</x:v>
      </x:c>
      <x:c r="K708" s="23" t="n">
        <x:f>RANK(J708,$J$2:$J$1401,1)</x:f>
        <x:v>1159</x:v>
      </x:c>
      <x:c r="L708" s="23" t="n">
        <x:f>IF(K708&lt;=7,1,0)</x:f>
        <x:v>0</x:v>
      </x:c>
      <x:c r="M708" s="23" t="n">
        <x:f>IF(L708=1,1/(J708+0.000001),0)</x:f>
        <x:v>0</x:v>
      </x:c>
      <x:c r="N708" s="23" t="n">
        <x:v>2.2207865619631946</x:v>
      </x:c>
      <x:c r="O708" s="23" t="n">
        <x:f>M708</x:f>
        <x:v>0</x:v>
      </x:c>
      <x:c r="P708" s="23" t="n">
        <x:v>-10.815084894937627</x:v>
      </x:c>
      <x:c r="Q708" s="23" t="n">
        <x:v>6.566465981044757</x:v>
      </x:c>
    </x:row>
    <x:row r="709">
      <x:c r="A709" s="23" t="str">
        <x:v>Switching</x:v>
      </x:c>
      <x:c r="B709" s="23" t="n">
        <x:v>1053.2479654881172</x:v>
      </x:c>
      <x:c r="C709" s="23" t="n">
        <x:v>1055.711984820664</x:v>
      </x:c>
      <x:c r="D709" s="23" t="n">
        <x:v>746.9094141386449</x:v>
      </x:c>
      <x:c r="E709" s="23" t="n">
        <x:v>165.6226981850341</x:v>
      </x:c>
      <x:c r="F709" s="23" t="n">
        <x:v>23.902782463934273</x:v>
      </x:c>
      <x:c r="G709" s="23" t="n">
        <x:v>0.8160090587195009</x:v>
      </x:c>
      <x:c r="H709" s="23" t="n">
        <x:v>10865</x:v>
      </x:c>
      <x:c r="I709" s="23" t="n">
        <x:v>1195</x:v>
      </x:c>
      <x:c r="J709" s="23" t="n">
        <x:f>(IF(A709='Hybrid Calculator'!$B$6,0,1))^2+((B709-'Hybrid Calculator'!$B$7)/1500)^2+((C709-'Hybrid Calculator'!$B$8)/1300)^2+((D709-'Hybrid Calculator'!$B$9)/800)^2+((E709-'Hybrid Calculator'!$B$10)/350)^2+((F709-'Hybrid Calculator'!$B$11)/30)^2+(G709-'Hybrid Calculator'!$B$12)^2+((H709-'Hybrid Calculator'!$E$14)/IF(A709="Lightning",100,30000))^2+((I709-'Hybrid Calculator'!$E$17)/IF(A709="Lightning",100,30000))^2</x:f>
        <x:v>1.3476415549918646</x:v>
      </x:c>
      <x:c r="K709" s="23" t="n">
        <x:f>RANK(J709,$J$2:$J$1401,1)</x:f>
        <x:v>825</x:v>
      </x:c>
      <x:c r="L709" s="23" t="n">
        <x:f>IF(K709&lt;=7,1,0)</x:f>
        <x:v>0</x:v>
      </x:c>
      <x:c r="M709" s="23" t="n">
        <x:f>IF(L709=1,1/(J709+0.000001),0)</x:f>
        <x:v>0</x:v>
      </x:c>
      <x:c r="N709" s="23" t="n">
        <x:v>2.427235772578655</x:v>
      </x:c>
      <x:c r="O709" s="23" t="n">
        <x:f>M709</x:f>
        <x:v>0</x:v>
      </x:c>
      <x:c r="P709" s="23" t="n">
        <x:v>25.83096469993916</x:v>
      </x:c>
      <x:c r="Q709" s="23" t="n">
        <x:v>-11.642794800769707</x:v>
      </x:c>
    </x:row>
    <x:row r="710">
      <x:c r="A710" s="23" t="str">
        <x:v>Switching</x:v>
      </x:c>
      <x:c r="B710" s="23" t="n">
        <x:v>1089.169078785926</x:v>
      </x:c>
      <x:c r="C710" s="23" t="n">
        <x:v>800.5308048217557</x:v>
      </x:c>
      <x:c r="D710" s="23" t="n">
        <x:v>375.440070964396</x:v>
      </x:c>
      <x:c r="E710" s="23" t="n">
        <x:v>160.3432502434589</x:v>
      </x:c>
      <x:c r="F710" s="23" t="n">
        <x:v>21.871306823566556</x:v>
      </x:c>
      <x:c r="G710" s="23" t="n">
        <x:v>0.8224036125768908</x:v>
      </x:c>
      <x:c r="H710" s="23" t="n">
        <x:v>16005</x:v>
      </x:c>
      <x:c r="I710" s="23" t="n">
        <x:v>1200</x:v>
      </x:c>
      <x:c r="J710" s="23" t="n">
        <x:f>(IF(A710='Hybrid Calculator'!$B$6,0,1))^2+((B710-'Hybrid Calculator'!$B$7)/1500)^2+((C710-'Hybrid Calculator'!$B$8)/1300)^2+((D710-'Hybrid Calculator'!$B$9)/800)^2+((E710-'Hybrid Calculator'!$B$10)/350)^2+((F710-'Hybrid Calculator'!$B$11)/30)^2+(G710-'Hybrid Calculator'!$B$12)^2+((H710-'Hybrid Calculator'!$E$14)/IF(A710="Lightning",100,30000))^2+((I710-'Hybrid Calculator'!$E$17)/IF(A710="Lightning",100,30000))^2</x:f>
        <x:v>1.373704420071041</x:v>
      </x:c>
      <x:c r="K710" s="23" t="n">
        <x:f>RANK(J710,$J$2:$J$1401,1)</x:f>
        <x:v>901</x:v>
      </x:c>
      <x:c r="L710" s="23" t="n">
        <x:f>IF(K710&lt;=7,1,0)</x:f>
        <x:v>0</x:v>
      </x:c>
      <x:c r="M710" s="23" t="n">
        <x:f>IF(L710=1,1/(J710+0.000001),0)</x:f>
        <x:v>0</x:v>
      </x:c>
      <x:c r="N710" s="23" t="n">
        <x:v>-2.5413306007850167</x:v>
      </x:c>
      <x:c r="O710" s="23" t="n">
        <x:f>M710</x:f>
        <x:v>0</x:v>
      </x:c>
      <x:c r="P710" s="23" t="n">
        <x:v>23.93186584667592</x:v>
      </x:c>
      <x:c r="Q710" s="23" t="n">
        <x:v>-2.2472812741784765</x:v>
      </x:c>
    </x:row>
    <x:row r="711">
      <x:c r="A711" s="23" t="str">
        <x:v>Switching</x:v>
      </x:c>
      <x:c r="B711" s="23" t="n">
        <x:v>957.216496730689</x:v>
      </x:c>
      <x:c r="C711" s="23" t="n">
        <x:v>923.4003325225785</x:v>
      </x:c>
      <x:c r="D711" s="23" t="n">
        <x:v>468.1146630086005</x:v>
      </x:c>
      <x:c r="E711" s="23" t="n">
        <x:v>144.91973740048707</x:v>
      </x:c>
      <x:c r="F711" s="23" t="n">
        <x:v>15.472391427028924</x:v>
      </x:c>
      <x:c r="G711" s="23" t="n">
        <x:v>0.7948795432085172</x:v>
      </x:c>
      <x:c r="H711" s="23" t="n">
        <x:v>13920</x:v>
      </x:c>
      <x:c r="I711" s="23" t="n">
        <x:v>1200</x:v>
      </x:c>
      <x:c r="J711" s="23" t="n">
        <x:f>(IF(A711='Hybrid Calculator'!$B$6,0,1))^2+((B711-'Hybrid Calculator'!$B$7)/1500)^2+((C711-'Hybrid Calculator'!$B$8)/1300)^2+((D711-'Hybrid Calculator'!$B$9)/800)^2+((E711-'Hybrid Calculator'!$B$10)/350)^2+((F711-'Hybrid Calculator'!$B$11)/30)^2+(G711-'Hybrid Calculator'!$B$12)^2+((H711-'Hybrid Calculator'!$E$14)/IF(A711="Lightning",100,30000))^2+((I711-'Hybrid Calculator'!$E$17)/IF(A711="Lightning",100,30000))^2</x:f>
        <x:v>1.3283432132308814</x:v>
      </x:c>
      <x:c r="K711" s="23" t="n">
        <x:f>RANK(J711,$J$2:$J$1401,1)</x:f>
        <x:v>772</x:v>
      </x:c>
      <x:c r="L711" s="23" t="n">
        <x:f>IF(K711&lt;=7,1,0)</x:f>
        <x:v>0</x:v>
      </x:c>
      <x:c r="M711" s="23" t="n">
        <x:f>IF(L711=1,1/(J711+0.000001),0)</x:f>
        <x:v>0</x:v>
      </x:c>
      <x:c r="N711" s="23" t="n">
        <x:v>0.7291954835627337</x:v>
      </x:c>
      <x:c r="O711" s="23" t="n">
        <x:f>M711</x:f>
        <x:v>0</x:v>
      </x:c>
      <x:c r="P711" s="23" t="n">
        <x:v>31.856175127075858</x:v>
      </x:c>
      <x:c r="Q711" s="23" t="n">
        <x:v>5.146884463726451</x:v>
      </x:c>
    </x:row>
    <x:row r="712">
      <x:c r="A712" s="23" t="str">
        <x:v>Switching</x:v>
      </x:c>
      <x:c r="B712" s="23" t="n">
        <x:v>1077.4069374194369</x:v>
      </x:c>
      <x:c r="C712" s="23" t="n">
        <x:v>1110.9792310395278</x:v>
      </x:c>
      <x:c r="D712" s="23" t="n">
        <x:v>662.6093860715628</x:v>
      </x:c>
      <x:c r="E712" s="23" t="n">
        <x:v>225.48622322035953</x:v>
      </x:c>
      <x:c r="F712" s="23" t="n">
        <x:v>9.295611870475113</x:v>
      </x:c>
      <x:c r="G712" s="23" t="n">
        <x:v>0.8267251754249446</x:v>
      </x:c>
      <x:c r="H712" s="23" t="n">
        <x:v>10700</x:v>
      </x:c>
      <x:c r="I712" s="23" t="n">
        <x:v>1195</x:v>
      </x:c>
      <x:c r="J712" s="23" t="n">
        <x:f>(IF(A712='Hybrid Calculator'!$B$6,0,1))^2+((B712-'Hybrid Calculator'!$B$7)/1500)^2+((C712-'Hybrid Calculator'!$B$8)/1300)^2+((D712-'Hybrid Calculator'!$B$9)/800)^2+((E712-'Hybrid Calculator'!$B$10)/350)^2+((F712-'Hybrid Calculator'!$B$11)/30)^2+(G712-'Hybrid Calculator'!$B$12)^2+((H712-'Hybrid Calculator'!$E$14)/IF(A712="Lightning",100,30000))^2+((I712-'Hybrid Calculator'!$E$17)/IF(A712="Lightning",100,30000))^2</x:f>
        <x:v>1.4035564747923113</x:v>
      </x:c>
      <x:c r="K712" s="23" t="n">
        <x:f>RANK(J712,$J$2:$J$1401,1)</x:f>
        <x:v>986</x:v>
      </x:c>
      <x:c r="L712" s="23" t="n">
        <x:f>IF(K712&lt;=7,1,0)</x:f>
        <x:v>0</x:v>
      </x:c>
      <x:c r="M712" s="23" t="n">
        <x:f>IF(L712=1,1/(J712+0.000001),0)</x:f>
        <x:v>0</x:v>
      </x:c>
      <x:c r="N712" s="23" t="n">
        <x:v>3.813941531578081</x:v>
      </x:c>
      <x:c r="O712" s="23" t="n">
        <x:f>M712</x:f>
        <x:v>0</x:v>
      </x:c>
      <x:c r="P712" s="23" t="n">
        <x:v>35.89576796350275</x:v>
      </x:c>
      <x:c r="Q712" s="23" t="n">
        <x:v>-2.2248317881574167</x:v>
      </x:c>
    </x:row>
    <x:row r="713">
      <x:c r="A713" s="23" t="str">
        <x:v>Switching</x:v>
      </x:c>
      <x:c r="B713" s="23" t="n">
        <x:v>1038.39132724097</x:v>
      </x:c>
      <x:c r="C713" s="23" t="n">
        <x:v>640.6725431326777</x:v>
      </x:c>
      <x:c r="D713" s="23" t="n">
        <x:v>668.9551400952041</x:v>
      </x:c>
      <x:c r="E713" s="23" t="n">
        <x:v>141.87134922947735</x:v>
      </x:c>
      <x:c r="F713" s="23" t="n">
        <x:v>27.06020063115284</x:v>
      </x:c>
      <x:c r="G713" s="23" t="n">
        <x:v>0.8143379343487323</x:v>
      </x:c>
      <x:c r="H713" s="23" t="n">
        <x:v>14735</x:v>
      </x:c>
      <x:c r="I713" s="23" t="n">
        <x:v>1200</x:v>
      </x:c>
      <x:c r="J713" s="23" t="n">
        <x:f>(IF(A713='Hybrid Calculator'!$B$6,0,1))^2+((B713-'Hybrid Calculator'!$B$7)/1500)^2+((C713-'Hybrid Calculator'!$B$8)/1300)^2+((D713-'Hybrid Calculator'!$B$9)/800)^2+((E713-'Hybrid Calculator'!$B$10)/350)^2+((F713-'Hybrid Calculator'!$B$11)/30)^2+(G713-'Hybrid Calculator'!$B$12)^2+((H713-'Hybrid Calculator'!$E$14)/IF(A713="Lightning",100,30000))^2+((I713-'Hybrid Calculator'!$E$17)/IF(A713="Lightning",100,30000))^2</x:f>
        <x:v>1.4600947786254217</x:v>
      </x:c>
      <x:c r="K713" s="23" t="n">
        <x:f>RANK(J713,$J$2:$J$1401,1)</x:f>
        <x:v>1133</x:v>
      </x:c>
      <x:c r="L713" s="23" t="n">
        <x:f>IF(K713&lt;=7,1,0)</x:f>
        <x:v>0</x:v>
      </x:c>
      <x:c r="M713" s="23" t="n">
        <x:f>IF(L713=1,1/(J713+0.000001),0)</x:f>
        <x:v>0</x:v>
      </x:c>
      <x:c r="N713" s="23" t="n">
        <x:v>-3.832526572286696</x:v>
      </x:c>
      <x:c r="O713" s="23" t="n">
        <x:f>M713</x:f>
        <x:v>0</x:v>
      </x:c>
      <x:c r="P713" s="23" t="n">
        <x:v>-66.01608040252995</x:v>
      </x:c>
      <x:c r="Q713" s="23" t="n">
        <x:v>-9.632068013529988</x:v>
      </x:c>
    </x:row>
    <x:row r="714">
      <x:c r="A714" s="23" t="str">
        <x:v>Switching</x:v>
      </x:c>
      <x:c r="B714" s="23" t="n">
        <x:v>998.4761652071029</x:v>
      </x:c>
      <x:c r="C714" s="23" t="n">
        <x:v>705.3067117813043</x:v>
      </x:c>
      <x:c r="D714" s="23" t="n">
        <x:v>539.4596664234996</x:v>
      </x:c>
      <x:c r="E714" s="23" t="n">
        <x:v>108.55047798948362</x:v>
      </x:c>
      <x:c r="F714" s="23" t="n">
        <x:v>11.818534582853317</x:v>
      </x:c>
      <x:c r="G714" s="23" t="n">
        <x:v>0.82013187965611</x:v>
      </x:c>
      <x:c r="H714" s="23" t="n">
        <x:v>15800</x:v>
      </x:c>
      <x:c r="I714" s="23" t="n">
        <x:v>1200</x:v>
      </x:c>
      <x:c r="J714" s="23" t="n">
        <x:f>(IF(A714='Hybrid Calculator'!$B$6,0,1))^2+((B714-'Hybrid Calculator'!$B$7)/1500)^2+((C714-'Hybrid Calculator'!$B$8)/1300)^2+((D714-'Hybrid Calculator'!$B$9)/800)^2+((E714-'Hybrid Calculator'!$B$10)/350)^2+((F714-'Hybrid Calculator'!$B$11)/30)^2+(G714-'Hybrid Calculator'!$B$12)^2+((H714-'Hybrid Calculator'!$E$14)/IF(A714="Lightning",100,30000))^2+((I714-'Hybrid Calculator'!$E$17)/IF(A714="Lightning",100,30000))^2</x:f>
        <x:v>1.4364618966377374</x:v>
      </x:c>
      <x:c r="K714" s="23" t="n">
        <x:f>RANK(J714,$J$2:$J$1401,1)</x:f>
        <x:v>1073</x:v>
      </x:c>
      <x:c r="L714" s="23" t="n">
        <x:f>IF(K714&lt;=7,1,0)</x:f>
        <x:v>0</x:v>
      </x:c>
      <x:c r="M714" s="23" t="n">
        <x:f>IF(L714=1,1/(J714+0.000001),0)</x:f>
        <x:v>0</x:v>
      </x:c>
      <x:c r="N714" s="23" t="n">
        <x:v>-2.603324201187746</x:v>
      </x:c>
      <x:c r="O714" s="23" t="n">
        <x:f>M714</x:f>
        <x:v>0</x:v>
      </x:c>
      <x:c r="P714" s="23" t="n">
        <x:v>-3.3909381842036055</x:v>
      </x:c>
      <x:c r="Q714" s="23" t="n">
        <x:v>10.709431828741799</x:v>
      </x:c>
    </x:row>
    <x:row r="715">
      <x:c r="A715" s="23" t="str">
        <x:v>Switching</x:v>
      </x:c>
      <x:c r="B715" s="23" t="n">
        <x:v>1041.4569729124196</x:v>
      </x:c>
      <x:c r="C715" s="23" t="n">
        <x:v>614.0713782748207</x:v>
      </x:c>
      <x:c r="D715" s="23" t="n">
        <x:v>481.9182020612061</x:v>
      </x:c>
      <x:c r="E715" s="23" t="n">
        <x:v>104.82069889083505</x:v>
      </x:c>
      <x:c r="F715" s="23" t="n">
        <x:v>28.489766916725785</x:v>
      </x:c>
      <x:c r="G715" s="23" t="n">
        <x:v>0.8360426857834682</x:v>
      </x:c>
      <x:c r="H715" s="23" t="n">
        <x:v>17810</x:v>
      </x:c>
      <x:c r="I715" s="23" t="n">
        <x:v>1200</x:v>
      </x:c>
      <x:c r="J715" s="23" t="n">
        <x:f>(IF(A715='Hybrid Calculator'!$B$6,0,1))^2+((B715-'Hybrid Calculator'!$B$7)/1500)^2+((C715-'Hybrid Calculator'!$B$8)/1300)^2+((D715-'Hybrid Calculator'!$B$9)/800)^2+((E715-'Hybrid Calculator'!$B$10)/350)^2+((F715-'Hybrid Calculator'!$B$11)/30)^2+(G715-'Hybrid Calculator'!$B$12)^2+((H715-'Hybrid Calculator'!$E$14)/IF(A715="Lightning",100,30000))^2+((I715-'Hybrid Calculator'!$E$17)/IF(A715="Lightning",100,30000))^2</x:f>
        <x:v>1.5786290823787783</x:v>
      </x:c>
      <x:c r="K715" s="23" t="n">
        <x:f>RANK(J715,$J$2:$J$1401,1)</x:f>
        <x:v>1333</x:v>
      </x:c>
      <x:c r="L715" s="23" t="n">
        <x:f>IF(K715&lt;=7,1,0)</x:f>
        <x:v>0</x:v>
      </x:c>
      <x:c r="M715" s="23" t="n">
        <x:f>IF(L715=1,1/(J715+0.000001),0)</x:f>
        <x:v>0</x:v>
      </x:c>
      <x:c r="N715" s="23" t="n">
        <x:v>-0.6228559678669683</x:v>
      </x:c>
      <x:c r="O715" s="23" t="n">
        <x:f>M715</x:f>
        <x:v>0</x:v>
      </x:c>
      <x:c r="P715" s="23" t="n">
        <x:v>-12.254319415540522</x:v>
      </x:c>
      <x:c r="Q715" s="23" t="n">
        <x:v>-5.165575955456234</x:v>
      </x:c>
    </x:row>
    <x:row r="716">
      <x:c r="A716" s="23" t="str">
        <x:v>Switching</x:v>
      </x:c>
      <x:c r="B716" s="23" t="n">
        <x:v>987.9093203227967</x:v>
      </x:c>
      <x:c r="C716" s="23" t="n">
        <x:v>1019.5554961333983</x:v>
      </x:c>
      <x:c r="D716" s="23" t="n">
        <x:v>421.16653975099325</x:v>
      </x:c>
      <x:c r="E716" s="23" t="n">
        <x:v>191.87888198764995</x:v>
      </x:c>
      <x:c r="F716" s="23" t="n">
        <x:v>8.445058789104223</x:v>
      </x:c>
      <x:c r="G716" s="23" t="n">
        <x:v>0.8239640926220455</x:v>
      </x:c>
      <x:c r="H716" s="23" t="n">
        <x:v>15280</x:v>
      </x:c>
      <x:c r="I716" s="23" t="n">
        <x:v>1200</x:v>
      </x:c>
      <x:c r="J716" s="23" t="n">
        <x:f>(IF(A716='Hybrid Calculator'!$B$6,0,1))^2+((B716-'Hybrid Calculator'!$B$7)/1500)^2+((C716-'Hybrid Calculator'!$B$8)/1300)^2+((D716-'Hybrid Calculator'!$B$9)/800)^2+((E716-'Hybrid Calculator'!$B$10)/350)^2+((F716-'Hybrid Calculator'!$B$11)/30)^2+(G716-'Hybrid Calculator'!$B$12)^2+((H716-'Hybrid Calculator'!$E$14)/IF(A716="Lightning",100,30000))^2+((I716-'Hybrid Calculator'!$E$17)/IF(A716="Lightning",100,30000))^2</x:f>
        <x:v>1.4975597464254402</x:v>
      </x:c>
      <x:c r="K716" s="23" t="n">
        <x:f>RANK(J716,$J$2:$J$1401,1)</x:f>
        <x:v>1206</x:v>
      </x:c>
      <x:c r="L716" s="23" t="n">
        <x:f>IF(K716&lt;=7,1,0)</x:f>
        <x:v>0</x:v>
      </x:c>
      <x:c r="M716" s="23" t="n">
        <x:f>IF(L716=1,1/(J716+0.000001),0)</x:f>
        <x:v>0</x:v>
      </x:c>
      <x:c r="N716" s="23" t="n">
        <x:v>4.4680219415649844</x:v>
      </x:c>
      <x:c r="O716" s="23" t="n">
        <x:f>M716</x:f>
        <x:v>0</x:v>
      </x:c>
      <x:c r="P716" s="23" t="n">
        <x:v>23.015126480008348</x:v>
      </x:c>
      <x:c r="Q716" s="23" t="n">
        <x:v>8.919943612420184</x:v>
      </x:c>
    </x:row>
    <x:row r="717">
      <x:c r="A717" s="23" t="str">
        <x:v>Switching</x:v>
      </x:c>
      <x:c r="B717" s="23" t="n">
        <x:v>969.8545474675484</x:v>
      </x:c>
      <x:c r="C717" s="23" t="n">
        <x:v>1146.1456733522937</x:v>
      </x:c>
      <x:c r="D717" s="23" t="n">
        <x:v>461.00363628938794</x:v>
      </x:c>
      <x:c r="E717" s="23" t="n">
        <x:v>93.8261141255498</x:v>
      </x:c>
      <x:c r="F717" s="23" t="n">
        <x:v>27.50360051030293</x:v>
      </x:c>
      <x:c r="G717" s="23" t="n">
        <x:v>0.7958319780556485</x:v>
      </x:c>
      <x:c r="H717" s="23" t="n">
        <x:v>12575</x:v>
      </x:c>
      <x:c r="I717" s="23" t="n">
        <x:v>1200</x:v>
      </x:c>
      <x:c r="J717" s="23" t="n">
        <x:f>(IF(A717='Hybrid Calculator'!$B$6,0,1))^2+((B717-'Hybrid Calculator'!$B$7)/1500)^2+((C717-'Hybrid Calculator'!$B$8)/1300)^2+((D717-'Hybrid Calculator'!$B$9)/800)^2+((E717-'Hybrid Calculator'!$B$10)/350)^2+((F717-'Hybrid Calculator'!$B$11)/30)^2+(G717-'Hybrid Calculator'!$B$12)^2+((H717-'Hybrid Calculator'!$E$14)/IF(A717="Lightning",100,30000))^2+((I717-'Hybrid Calculator'!$E$17)/IF(A717="Lightning",100,30000))^2</x:f>
        <x:v>1.4385965195118278</x:v>
      </x:c>
      <x:c r="K717" s="23" t="n">
        <x:f>RANK(J717,$J$2:$J$1401,1)</x:f>
        <x:v>1080</x:v>
      </x:c>
      <x:c r="L717" s="23" t="n">
        <x:f>IF(K717&lt;=7,1,0)</x:f>
        <x:v>0</x:v>
      </x:c>
      <x:c r="M717" s="23" t="n">
        <x:f>IF(L717=1,1/(J717+0.000001),0)</x:f>
        <x:v>0</x:v>
      </x:c>
      <x:c r="N717" s="23" t="n">
        <x:v>-1.389159465305795</x:v>
      </x:c>
      <x:c r="O717" s="23" t="n">
        <x:f>M717</x:f>
        <x:v>0</x:v>
      </x:c>
      <x:c r="P717" s="23" t="n">
        <x:v>57.4884390478951</x:v>
      </x:c>
      <x:c r="Q717" s="23" t="n">
        <x:v>-14.54676882915362</x:v>
      </x:c>
    </x:row>
    <x:row r="718">
      <x:c r="A718" s="23" t="str">
        <x:v>Switching</x:v>
      </x:c>
      <x:c r="B718" s="23" t="n">
        <x:v>1096.4431300992146</x:v>
      </x:c>
      <x:c r="C718" s="23" t="n">
        <x:v>758.3338949014433</x:v>
      </x:c>
      <x:c r="D718" s="23" t="n">
        <x:v>706.8338505923748</x:v>
      </x:c>
      <x:c r="E718" s="23" t="n">
        <x:v>179.7402886277996</x:v>
      </x:c>
      <x:c r="F718" s="23" t="n">
        <x:v>9.139175958000124</x:v>
      </x:c>
      <x:c r="G718" s="23" t="n">
        <x:v>0.8283567722304724</x:v>
      </x:c>
      <x:c r="H718" s="23" t="n">
        <x:v>13000</x:v>
      </x:c>
      <x:c r="I718" s="23" t="n">
        <x:v>1200</x:v>
      </x:c>
      <x:c r="J718" s="23" t="n">
        <x:f>(IF(A718='Hybrid Calculator'!$B$6,0,1))^2+((B718-'Hybrid Calculator'!$B$7)/1500)^2+((C718-'Hybrid Calculator'!$B$8)/1300)^2+((D718-'Hybrid Calculator'!$B$9)/800)^2+((E718-'Hybrid Calculator'!$B$10)/350)^2+((F718-'Hybrid Calculator'!$B$11)/30)^2+(G718-'Hybrid Calculator'!$B$12)^2+((H718-'Hybrid Calculator'!$E$14)/IF(A718="Lightning",100,30000))^2+((I718-'Hybrid Calculator'!$E$17)/IF(A718="Lightning",100,30000))^2</x:f>
        <x:v>1.4123151312981852</x:v>
      </x:c>
      <x:c r="K718" s="23" t="n">
        <x:f>RANK(J718,$J$2:$J$1401,1)</x:f>
        <x:v>1014</x:v>
      </x:c>
      <x:c r="L718" s="23" t="n">
        <x:f>IF(K718&lt;=7,1,0)</x:f>
        <x:v>0</x:v>
      </x:c>
      <x:c r="M718" s="23" t="n">
        <x:f>IF(L718=1,1/(J718+0.000001),0)</x:f>
        <x:v>0</x:v>
      </x:c>
      <x:c r="N718" s="23" t="n">
        <x:v>-0.15924487109262486</x:v>
      </x:c>
      <x:c r="O718" s="23" t="n">
        <x:f>M718</x:f>
        <x:v>0</x:v>
      </x:c>
      <x:c r="P718" s="23" t="n">
        <x:v>-44.65165652041014</x:v>
      </x:c>
      <x:c r="Q718" s="23" t="n">
        <x:v>7.603738514471388</x:v>
      </x:c>
    </x:row>
    <x:row r="719">
      <x:c r="A719" s="23" t="str">
        <x:v>Switching</x:v>
      </x:c>
      <x:c r="B719" s="23" t="n">
        <x:v>971.2971286731772</x:v>
      </x:c>
      <x:c r="C719" s="23" t="n">
        <x:v>1200.2313036471605</x:v>
      </x:c>
      <x:c r="D719" s="23" t="n">
        <x:v>420.2445982955396</x:v>
      </x:c>
      <x:c r="E719" s="23" t="n">
        <x:v>320.25317013729364</x:v>
      </x:c>
      <x:c r="F719" s="23" t="n">
        <x:v>27.099499927368015</x:v>
      </x:c>
      <x:c r="G719" s="23" t="n">
        <x:v>0.8418957652430982</x:v>
      </x:c>
      <x:c r="H719" s="23" t="n">
        <x:v>12855</x:v>
      </x:c>
      <x:c r="I719" s="23" t="n">
        <x:v>1200</x:v>
      </x:c>
      <x:c r="J719" s="23" t="n">
        <x:f>(IF(A719='Hybrid Calculator'!$B$6,0,1))^2+((B719-'Hybrid Calculator'!$B$7)/1500)^2+((C719-'Hybrid Calculator'!$B$8)/1300)^2+((D719-'Hybrid Calculator'!$B$9)/800)^2+((E719-'Hybrid Calculator'!$B$10)/350)^2+((F719-'Hybrid Calculator'!$B$11)/30)^2+(G719-'Hybrid Calculator'!$B$12)^2+((H719-'Hybrid Calculator'!$E$14)/IF(A719="Lightning",100,30000))^2+((I719-'Hybrid Calculator'!$E$17)/IF(A719="Lightning",100,30000))^2</x:f>
        <x:v>1.676997166074413</x:v>
      </x:c>
      <x:c r="K719" s="23" t="n">
        <x:f>RANK(J719,$J$2:$J$1401,1)</x:f>
        <x:v>1388</x:v>
      </x:c>
      <x:c r="L719" s="23" t="n">
        <x:f>IF(K719&lt;=7,1,0)</x:f>
        <x:v>0</x:v>
      </x:c>
      <x:c r="M719" s="23" t="n">
        <x:f>IF(L719=1,1/(J719+0.000001),0)</x:f>
        <x:v>0</x:v>
      </x:c>
      <x:c r="N719" s="23" t="n">
        <x:v>2.8305460563528584</x:v>
      </x:c>
      <x:c r="O719" s="23" t="n">
        <x:f>M719</x:f>
        <x:v>0</x:v>
      </x:c>
      <x:c r="P719" s="23" t="n">
        <x:v>30.844985606892806</x:v>
      </x:c>
      <x:c r="Q719" s="23" t="n">
        <x:v>-15.423828236923214</x:v>
      </x:c>
    </x:row>
    <x:row r="720">
      <x:c r="A720" s="23" t="str">
        <x:v>Switching</x:v>
      </x:c>
      <x:c r="B720" s="23" t="n">
        <x:v>1060.8208189718425</x:v>
      </x:c>
      <x:c r="C720" s="23" t="n">
        <x:v>856.1403091414832</x:v>
      </x:c>
      <x:c r="D720" s="23" t="n">
        <x:v>474.01102129369974</x:v>
      </x:c>
      <x:c r="E720" s="23" t="n">
        <x:v>292.27880293736234</x:v>
      </x:c>
      <x:c r="F720" s="23" t="n">
        <x:v>24.145914951339364</x:v>
      </x:c>
      <x:c r="G720" s="23" t="n">
        <x:v>0.848156870410312</x:v>
      </x:c>
      <x:c r="H720" s="23" t="n">
        <x:v>13180</x:v>
      </x:c>
      <x:c r="I720" s="23" t="n">
        <x:v>1200</x:v>
      </x:c>
      <x:c r="J720" s="23" t="n">
        <x:f>(IF(A720='Hybrid Calculator'!$B$6,0,1))^2+((B720-'Hybrid Calculator'!$B$7)/1500)^2+((C720-'Hybrid Calculator'!$B$8)/1300)^2+((D720-'Hybrid Calculator'!$B$9)/800)^2+((E720-'Hybrid Calculator'!$B$10)/350)^2+((F720-'Hybrid Calculator'!$B$11)/30)^2+(G720-'Hybrid Calculator'!$B$12)^2+((H720-'Hybrid Calculator'!$E$14)/IF(A720="Lightning",100,30000))^2+((I720-'Hybrid Calculator'!$E$17)/IF(A720="Lightning",100,30000))^2</x:f>
        <x:v>1.45457096977846</x:v>
      </x:c>
      <x:c r="K720" s="23" t="n">
        <x:f>RANK(J720,$J$2:$J$1401,1)</x:f>
        <x:v>1114</x:v>
      </x:c>
      <x:c r="L720" s="23" t="n">
        <x:f>IF(K720&lt;=7,1,0)</x:f>
        <x:v>0</x:v>
      </x:c>
      <x:c r="M720" s="23" t="n">
        <x:f>IF(L720=1,1/(J720+0.000001),0)</x:f>
        <x:v>0</x:v>
      </x:c>
      <x:c r="N720" s="23" t="n">
        <x:v>-2.216032233522782</x:v>
      </x:c>
      <x:c r="O720" s="23" t="n">
        <x:f>M720</x:f>
        <x:v>0</x:v>
      </x:c>
      <x:c r="P720" s="23" t="n">
        <x:v>-25.424613687159308</x:v>
      </x:c>
      <x:c r="Q720" s="23" t="n">
        <x:v>-6.549535677309223</x:v>
      </x:c>
    </x:row>
    <x:row r="721">
      <x:c r="A721" s="23" t="str">
        <x:v>Switching</x:v>
      </x:c>
      <x:c r="B721" s="23" t="n">
        <x:v>955.9361939900555</x:v>
      </x:c>
      <x:c r="C721" s="23" t="n">
        <x:v>724.4164697127417</x:v>
      </x:c>
      <x:c r="D721" s="23" t="n">
        <x:v>705.5032514967024</x:v>
      </x:c>
      <x:c r="E721" s="23" t="n">
        <x:v>170.0779610965401</x:v>
      </x:c>
      <x:c r="F721" s="23" t="n">
        <x:v>14.794586621690542</x:v>
      </x:c>
      <x:c r="G721" s="23" t="n">
        <x:v>0.8042862517992035</x:v>
      </x:c>
      <x:c r="H721" s="23" t="n">
        <x:v>15595</x:v>
      </x:c>
      <x:c r="I721" s="23" t="n">
        <x:v>1200</x:v>
      </x:c>
      <x:c r="J721" s="23" t="n">
        <x:f>(IF(A721='Hybrid Calculator'!$B$6,0,1))^2+((B721-'Hybrid Calculator'!$B$7)/1500)^2+((C721-'Hybrid Calculator'!$B$8)/1300)^2+((D721-'Hybrid Calculator'!$B$9)/800)^2+((E721-'Hybrid Calculator'!$B$10)/350)^2+((F721-'Hybrid Calculator'!$B$11)/30)^2+(G721-'Hybrid Calculator'!$B$12)^2+((H721-'Hybrid Calculator'!$E$14)/IF(A721="Lightning",100,30000))^2+((I721-'Hybrid Calculator'!$E$17)/IF(A721="Lightning",100,30000))^2</x:f>
        <x:v>1.4619300948437242</x:v>
      </x:c>
      <x:c r="K721" s="23" t="n">
        <x:f>RANK(J721,$J$2:$J$1401,1)</x:f>
        <x:v>1140</x:v>
      </x:c>
      <x:c r="L721" s="23" t="n">
        <x:f>IF(K721&lt;=7,1,0)</x:f>
        <x:v>0</x:v>
      </x:c>
      <x:c r="M721" s="23" t="n">
        <x:f>IF(L721=1,1/(J721+0.000001),0)</x:f>
        <x:v>0</x:v>
      </x:c>
      <x:c r="N721" s="23" t="n">
        <x:v>3.921231011817383</x:v>
      </x:c>
      <x:c r="O721" s="23" t="n">
        <x:f>M721</x:f>
        <x:v>0</x:v>
      </x:c>
      <x:c r="P721" s="23" t="n">
        <x:v>-52.666152841001804</x:v>
      </x:c>
      <x:c r="Q721" s="23" t="n">
        <x:v>7.285841013538061</x:v>
      </x:c>
    </x:row>
    <x:row r="722">
      <x:c r="A722" s="23" t="str">
        <x:v>Switching</x:v>
      </x:c>
      <x:c r="B722" s="23" t="n">
        <x:v>992.8178015863523</x:v>
      </x:c>
      <x:c r="C722" s="23" t="n">
        <x:v>758.5814488702454</x:v>
      </x:c>
      <x:c r="D722" s="23" t="n">
        <x:v>682.0768784731627</x:v>
      </x:c>
      <x:c r="E722" s="23" t="n">
        <x:v>305.354831374716</x:v>
      </x:c>
      <x:c r="F722" s="23" t="n">
        <x:v>13.254567329771817</x:v>
      </x:c>
      <x:c r="G722" s="23" t="n">
        <x:v>0.8596120849321597</x:v>
      </x:c>
      <x:c r="H722" s="23" t="n">
        <x:v>14290</x:v>
      </x:c>
      <x:c r="I722" s="23" t="n">
        <x:v>1200</x:v>
      </x:c>
      <x:c r="J722" s="23" t="n">
        <x:f>(IF(A722='Hybrid Calculator'!$B$6,0,1))^2+((B722-'Hybrid Calculator'!$B$7)/1500)^2+((C722-'Hybrid Calculator'!$B$8)/1300)^2+((D722-'Hybrid Calculator'!$B$9)/800)^2+((E722-'Hybrid Calculator'!$B$10)/350)^2+((F722-'Hybrid Calculator'!$B$11)/30)^2+(G722-'Hybrid Calculator'!$B$12)^2+((H722-'Hybrid Calculator'!$E$14)/IF(A722="Lightning",100,30000))^2+((I722-'Hybrid Calculator'!$E$17)/IF(A722="Lightning",100,30000))^2</x:f>
        <x:v>1.595763885766983</x:v>
      </x:c>
      <x:c r="K722" s="23" t="n">
        <x:f>RANK(J722,$J$2:$J$1401,1)</x:f>
        <x:v>1347</x:v>
      </x:c>
      <x:c r="L722" s="23" t="n">
        <x:f>IF(K722&lt;=7,1,0)</x:f>
        <x:v>0</x:v>
      </x:c>
      <x:c r="M722" s="23" t="n">
        <x:f>IF(L722=1,1/(J722+0.000001),0)</x:f>
        <x:v>0</x:v>
      </x:c>
      <x:c r="N722" s="23" t="n">
        <x:v>-0.8257220341029097</x:v>
      </x:c>
      <x:c r="O722" s="23" t="n">
        <x:f>M722</x:f>
        <x:v>0</x:v>
      </x:c>
      <x:c r="P722" s="23" t="n">
        <x:v>5.360843473364184</x:v>
      </x:c>
      <x:c r="Q722" s="23" t="n">
        <x:v>4.1910678402900885</x:v>
      </x:c>
    </x:row>
    <x:row r="723">
      <x:c r="A723" s="23" t="str">
        <x:v>Switching</x:v>
      </x:c>
      <x:c r="B723" s="23" t="n">
        <x:v>1027.5372057571076</x:v>
      </x:c>
      <x:c r="C723" s="23" t="n">
        <x:v>1045.5665301997215</x:v>
      </x:c>
      <x:c r="D723" s="23" t="n">
        <x:v>523.6153068952262</x:v>
      </x:c>
      <x:c r="E723" s="23" t="n">
        <x:v>275.7106034969911</x:v>
      </x:c>
      <x:c r="F723" s="23" t="n">
        <x:v>8.114648364018649</x:v>
      </x:c>
      <x:c r="G723" s="23" t="n">
        <x:v>0.8290142249129713</x:v>
      </x:c>
      <x:c r="H723" s="23" t="n">
        <x:v>11590</x:v>
      </x:c>
      <x:c r="I723" s="23" t="n">
        <x:v>1195</x:v>
      </x:c>
      <x:c r="J723" s="23" t="n">
        <x:f>(IF(A723='Hybrid Calculator'!$B$6,0,1))^2+((B723-'Hybrid Calculator'!$B$7)/1500)^2+((C723-'Hybrid Calculator'!$B$8)/1300)^2+((D723-'Hybrid Calculator'!$B$9)/800)^2+((E723-'Hybrid Calculator'!$B$10)/350)^2+((F723-'Hybrid Calculator'!$B$11)/30)^2+(G723-'Hybrid Calculator'!$B$12)^2+((H723-'Hybrid Calculator'!$E$14)/IF(A723="Lightning",100,30000))^2+((I723-'Hybrid Calculator'!$E$17)/IF(A723="Lightning",100,30000))^2</x:f>
        <x:v>1.4921296921320624</x:v>
      </x:c>
      <x:c r="K723" s="23" t="n">
        <x:f>RANK(J723,$J$2:$J$1401,1)</x:f>
        <x:v>1194</x:v>
      </x:c>
      <x:c r="L723" s="23" t="n">
        <x:f>IF(K723&lt;=7,1,0)</x:f>
        <x:v>0</x:v>
      </x:c>
      <x:c r="M723" s="23" t="n">
        <x:f>IF(L723=1,1/(J723+0.000001),0)</x:f>
        <x:v>0</x:v>
      </x:c>
      <x:c r="N723" s="23" t="n">
        <x:v>3.9633509038925467</x:v>
      </x:c>
      <x:c r="O723" s="23" t="n">
        <x:f>M723</x:f>
        <x:v>0</x:v>
      </x:c>
      <x:c r="P723" s="23" t="n">
        <x:v>8.695600670651402</x:v>
      </x:c>
      <x:c r="Q723" s="23" t="n">
        <x:v>2.5335365110936436</x:v>
      </x:c>
    </x:row>
    <x:row r="724">
      <x:c r="A724" s="23" t="str">
        <x:v>Switching</x:v>
      </x:c>
      <x:c r="B724" s="23" t="n">
        <x:v>1015.2858356479555</x:v>
      </x:c>
      <x:c r="C724" s="23" t="n">
        <x:v>777.6324728387408</x:v>
      </x:c>
      <x:c r="D724" s="23" t="n">
        <x:v>685.5668229982257</x:v>
      </x:c>
      <x:c r="E724" s="23" t="n">
        <x:v>242.79894422041252</x:v>
      </x:c>
      <x:c r="F724" s="23" t="n">
        <x:v>27.504801832139492</x:v>
      </x:c>
      <x:c r="G724" s="23" t="n">
        <x:v>0.8582918007881382</x:v>
      </x:c>
      <x:c r="H724" s="23" t="n">
        <x:v>14625</x:v>
      </x:c>
      <x:c r="I724" s="23" t="n">
        <x:v>1200</x:v>
      </x:c>
      <x:c r="J724" s="23" t="n">
        <x:f>(IF(A724='Hybrid Calculator'!$B$6,0,1))^2+((B724-'Hybrid Calculator'!$B$7)/1500)^2+((C724-'Hybrid Calculator'!$B$8)/1300)^2+((D724-'Hybrid Calculator'!$B$9)/800)^2+((E724-'Hybrid Calculator'!$B$10)/350)^2+((F724-'Hybrid Calculator'!$B$11)/30)^2+(G724-'Hybrid Calculator'!$B$12)^2+((H724-'Hybrid Calculator'!$E$14)/IF(A724="Lightning",100,30000))^2+((I724-'Hybrid Calculator'!$E$17)/IF(A724="Lightning",100,30000))^2</x:f>
        <x:v>1.530940101654548</x:v>
      </x:c>
      <x:c r="K724" s="23" t="n">
        <x:f>RANK(J724,$J$2:$J$1401,1)</x:f>
        <x:v>1265</x:v>
      </x:c>
      <x:c r="L724" s="23" t="n">
        <x:f>IF(K724&lt;=7,1,0)</x:f>
        <x:v>0</x:v>
      </x:c>
      <x:c r="M724" s="23" t="n">
        <x:f>IF(L724=1,1/(J724+0.000001),0)</x:f>
        <x:v>0</x:v>
      </x:c>
      <x:c r="N724" s="23" t="n">
        <x:v>-3.3824789095171752</x:v>
      </x:c>
      <x:c r="O724" s="23" t="n">
        <x:f>M724</x:f>
        <x:v>0</x:v>
      </x:c>
      <x:c r="P724" s="23" t="n">
        <x:v>14.384961972039036</x:v>
      </x:c>
      <x:c r="Q724" s="23" t="n">
        <x:v>-10.325991256881025</x:v>
      </x:c>
    </x:row>
    <x:row r="725">
      <x:c r="A725" s="23" t="str">
        <x:v>Switching</x:v>
      </x:c>
      <x:c r="B725" s="23" t="n">
        <x:v>1046.188332058955</x:v>
      </x:c>
      <x:c r="C725" s="23" t="n">
        <x:v>681.5993878757581</x:v>
      </x:c>
      <x:c r="D725" s="23" t="n">
        <x:v>580.4911253042519</x:v>
      </x:c>
      <x:c r="E725" s="23" t="n">
        <x:v>289.2339056544006</x:v>
      </x:c>
      <x:c r="F725" s="23" t="n">
        <x:v>19.072721822652966</x:v>
      </x:c>
      <x:c r="G725" s="23" t="n">
        <x:v>0.8519988308241592</x:v>
      </x:c>
      <x:c r="H725" s="23" t="n">
        <x:v>13785</x:v>
      </x:c>
      <x:c r="I725" s="23" t="n">
        <x:v>1200</x:v>
      </x:c>
      <x:c r="J725" s="23" t="n">
        <x:f>(IF(A725='Hybrid Calculator'!$B$6,0,1))^2+((B725-'Hybrid Calculator'!$B$7)/1500)^2+((C725-'Hybrid Calculator'!$B$8)/1300)^2+((D725-'Hybrid Calculator'!$B$9)/800)^2+((E725-'Hybrid Calculator'!$B$10)/350)^2+((F725-'Hybrid Calculator'!$B$11)/30)^2+(G725-'Hybrid Calculator'!$B$12)^2+((H725-'Hybrid Calculator'!$E$14)/IF(A725="Lightning",100,30000))^2+((I725-'Hybrid Calculator'!$E$17)/IF(A725="Lightning",100,30000))^2</x:f>
        <x:v>1.4614679946173568</x:v>
      </x:c>
      <x:c r="K725" s="23" t="n">
        <x:f>RANK(J725,$J$2:$J$1401,1)</x:f>
        <x:v>1137</x:v>
      </x:c>
      <x:c r="L725" s="23" t="n">
        <x:f>IF(K725&lt;=7,1,0)</x:f>
        <x:v>0</x:v>
      </x:c>
      <x:c r="M725" s="23" t="n">
        <x:f>IF(L725=1,1/(J725+0.000001),0)</x:f>
        <x:v>0</x:v>
      </x:c>
      <x:c r="N725" s="23" t="n">
        <x:v>-3.2851059951321133</x:v>
      </x:c>
      <x:c r="O725" s="23" t="n">
        <x:f>M725</x:f>
        <x:v>0</x:v>
      </x:c>
      <x:c r="P725" s="23" t="n">
        <x:v>-23.8743913846979</x:v>
      </x:c>
      <x:c r="Q725" s="23" t="n">
        <x:v>8.366359606211972</x:v>
      </x:c>
    </x:row>
    <x:row r="726">
      <x:c r="A726" s="23" t="str">
        <x:v>Switching</x:v>
      </x:c>
      <x:c r="B726" s="23" t="n">
        <x:v>1096.5801879065111</x:v>
      </x:c>
      <x:c r="C726" s="23" t="n">
        <x:v>698.3028859016486</x:v>
      </x:c>
      <x:c r="D726" s="23" t="n">
        <x:v>358.9843839406967</x:v>
      </x:c>
      <x:c r="E726" s="23" t="n">
        <x:v>96.31629833718762</x:v>
      </x:c>
      <x:c r="F726" s="23" t="n">
        <x:v>25.20458963792771</x:v>
      </x:c>
      <x:c r="G726" s="23" t="n">
        <x:v>0.8178745314455591</x:v>
      </x:c>
      <x:c r="H726" s="23" t="n">
        <x:v>18540</x:v>
      </x:c>
      <x:c r="I726" s="23" t="n">
        <x:v>1200</x:v>
      </x:c>
      <x:c r="J726" s="23" t="n">
        <x:f>(IF(A726='Hybrid Calculator'!$B$6,0,1))^2+((B726-'Hybrid Calculator'!$B$7)/1500)^2+((C726-'Hybrid Calculator'!$B$8)/1300)^2+((D726-'Hybrid Calculator'!$B$9)/800)^2+((E726-'Hybrid Calculator'!$B$10)/350)^2+((F726-'Hybrid Calculator'!$B$11)/30)^2+(G726-'Hybrid Calculator'!$B$12)^2+((H726-'Hybrid Calculator'!$E$14)/IF(A726="Lightning",100,30000))^2+((I726-'Hybrid Calculator'!$E$17)/IF(A726="Lightning",100,30000))^2</x:f>
        <x:v>1.5475026066253446</x:v>
      </x:c>
      <x:c r="K726" s="23" t="n">
        <x:f>RANK(J726,$J$2:$J$1401,1)</x:f>
        <x:v>1297</x:v>
      </x:c>
      <x:c r="L726" s="23" t="n">
        <x:f>IF(K726&lt;=7,1,0)</x:f>
        <x:v>0</x:v>
      </x:c>
      <x:c r="M726" s="23" t="n">
        <x:f>IF(L726=1,1/(J726+0.000001),0)</x:f>
        <x:v>0</x:v>
      </x:c>
      <x:c r="N726" s="23" t="n">
        <x:v>-2.0789654694444835</x:v>
      </x:c>
      <x:c r="O726" s="23" t="n">
        <x:f>M726</x:f>
        <x:v>0</x:v>
      </x:c>
      <x:c r="P726" s="23" t="n">
        <x:v>-25.223242045629377</x:v>
      </x:c>
      <x:c r="Q726" s="23" t="n">
        <x:v>-1.6626198575731905</x:v>
      </x:c>
    </x:row>
    <x:row r="727">
      <x:c r="A727" s="23" t="str">
        <x:v>Switching</x:v>
      </x:c>
      <x:c r="B727" s="23" t="n">
        <x:v>1061.275357462</x:v>
      </x:c>
      <x:c r="C727" s="23" t="n">
        <x:v>815.7550704665482</x:v>
      </x:c>
      <x:c r="D727" s="23" t="n">
        <x:v>542.069239076227</x:v>
      </x:c>
      <x:c r="E727" s="23" t="n">
        <x:v>170.37534112576395</x:v>
      </x:c>
      <x:c r="F727" s="23" t="n">
        <x:v>14.485983279999346</x:v>
      </x:c>
      <x:c r="G727" s="23" t="n">
        <x:v>0.8043583882693202</x:v>
      </x:c>
      <x:c r="H727" s="23" t="n">
        <x:v>13995</x:v>
      </x:c>
      <x:c r="I727" s="23" t="n">
        <x:v>1200</x:v>
      </x:c>
      <x:c r="J727" s="23" t="n">
        <x:f>(IF(A727='Hybrid Calculator'!$B$6,0,1))^2+((B727-'Hybrid Calculator'!$B$7)/1500)^2+((C727-'Hybrid Calculator'!$B$8)/1300)^2+((D727-'Hybrid Calculator'!$B$9)/800)^2+((E727-'Hybrid Calculator'!$B$10)/350)^2+((F727-'Hybrid Calculator'!$B$11)/30)^2+(G727-'Hybrid Calculator'!$B$12)^2+((H727-'Hybrid Calculator'!$E$14)/IF(A727="Lightning",100,30000))^2+((I727-'Hybrid Calculator'!$E$17)/IF(A727="Lightning",100,30000))^2</x:f>
        <x:v>1.3013976320658194</x:v>
      </x:c>
      <x:c r="K727" s="23" t="n">
        <x:f>RANK(J727,$J$2:$J$1401,1)</x:f>
        <x:v>732</x:v>
      </x:c>
      <x:c r="L727" s="23" t="n">
        <x:f>IF(K727&lt;=7,1,0)</x:f>
        <x:v>0</x:v>
      </x:c>
      <x:c r="M727" s="23" t="n">
        <x:f>IF(L727=1,1/(J727+0.000001),0)</x:f>
        <x:v>0</x:v>
      </x:c>
      <x:c r="N727" s="23" t="n">
        <x:v>-0.440421877880965</x:v>
      </x:c>
      <x:c r="O727" s="23" t="n">
        <x:f>M727</x:f>
        <x:v>0</x:v>
      </x:c>
      <x:c r="P727" s="23" t="n">
        <x:v>25.34657810581666</x:v>
      </x:c>
      <x:c r="Q727" s="23" t="n">
        <x:v>7.272560598378959</x:v>
      </x:c>
    </x:row>
    <x:row r="728">
      <x:c r="A728" s="23" t="str">
        <x:v>Switching</x:v>
      </x:c>
      <x:c r="B728" s="23" t="n">
        <x:v>1057.9779805615544</x:v>
      </x:c>
      <x:c r="C728" s="23" t="n">
        <x:v>1178.5191417089663</x:v>
      </x:c>
      <x:c r="D728" s="23" t="n">
        <x:v>551.7214151099324</x:v>
      </x:c>
      <x:c r="E728" s="23" t="n">
        <x:v>100.57065587723628</x:v>
      </x:c>
      <x:c r="F728" s="23" t="n">
        <x:v>23.839212393388152</x:v>
      </x:c>
      <x:c r="G728" s="23" t="n">
        <x:v>0.8351900903251954</x:v>
      </x:c>
      <x:c r="H728" s="23" t="n">
        <x:v>11680</x:v>
      </x:c>
      <x:c r="I728" s="23" t="n">
        <x:v>1195</x:v>
      </x:c>
      <x:c r="J728" s="23" t="n">
        <x:f>(IF(A728='Hybrid Calculator'!$B$6,0,1))^2+((B728-'Hybrid Calculator'!$B$7)/1500)^2+((C728-'Hybrid Calculator'!$B$8)/1300)^2+((D728-'Hybrid Calculator'!$B$9)/800)^2+((E728-'Hybrid Calculator'!$B$10)/350)^2+((F728-'Hybrid Calculator'!$B$11)/30)^2+(G728-'Hybrid Calculator'!$B$12)^2+((H728-'Hybrid Calculator'!$E$14)/IF(A728="Lightning",100,30000))^2+((I728-'Hybrid Calculator'!$E$17)/IF(A728="Lightning",100,30000))^2</x:f>
        <x:v>1.3315664743059012</x:v>
      </x:c>
      <x:c r="K728" s="23" t="n">
        <x:f>RANK(J728,$J$2:$J$1401,1)</x:f>
        <x:v>779</x:v>
      </x:c>
      <x:c r="L728" s="23" t="n">
        <x:f>IF(K728&lt;=7,1,0)</x:f>
        <x:v>0</x:v>
      </x:c>
      <x:c r="M728" s="23" t="n">
        <x:f>IF(L728=1,1/(J728+0.000001),0)</x:f>
        <x:v>0</x:v>
      </x:c>
      <x:c r="N728" s="23" t="n">
        <x:v>-1.9027836587570732</x:v>
      </x:c>
      <x:c r="O728" s="23" t="n">
        <x:f>M728</x:f>
        <x:v>0</x:v>
      </x:c>
      <x:c r="P728" s="23" t="n">
        <x:v>68.20121387931204</x:v>
      </x:c>
      <x:c r="Q728" s="23" t="n">
        <x:v>-12.075685916936209</x:v>
      </x:c>
    </x:row>
    <x:row r="729">
      <x:c r="A729" s="23" t="str">
        <x:v>Switching</x:v>
      </x:c>
      <x:c r="B729" s="23" t="n">
        <x:v>965.8761188969947</x:v>
      </x:c>
      <x:c r="C729" s="23" t="n">
        <x:v>1172.9412697488442</x:v>
      </x:c>
      <x:c r="D729" s="23" t="n">
        <x:v>608.7525398470461</x:v>
      </x:c>
      <x:c r="E729" s="23" t="n">
        <x:v>183.63505850546062</x:v>
      </x:c>
      <x:c r="F729" s="23" t="n">
        <x:v>26.020269964355975</x:v>
      </x:c>
      <x:c r="G729" s="23" t="n">
        <x:v>0.85699609328527</x:v>
      </x:c>
      <x:c r="H729" s="23" t="n">
        <x:v>12695</x:v>
      </x:c>
      <x:c r="I729" s="23" t="n">
        <x:v>1200</x:v>
      </x:c>
      <x:c r="J729" s="23" t="n">
        <x:f>(IF(A729='Hybrid Calculator'!$B$6,0,1))^2+((B729-'Hybrid Calculator'!$B$7)/1500)^2+((C729-'Hybrid Calculator'!$B$8)/1300)^2+((D729-'Hybrid Calculator'!$B$9)/800)^2+((E729-'Hybrid Calculator'!$B$10)/350)^2+((F729-'Hybrid Calculator'!$B$11)/30)^2+(G729-'Hybrid Calculator'!$B$12)^2+((H729-'Hybrid Calculator'!$E$14)/IF(A729="Lightning",100,30000))^2+((I729-'Hybrid Calculator'!$E$17)/IF(A729="Lightning",100,30000))^2</x:f>
        <x:v>1.4265156260493395</x:v>
      </x:c>
      <x:c r="K729" s="23" t="n">
        <x:f>RANK(J729,$J$2:$J$1401,1)</x:f>
        <x:v>1053</x:v>
      </x:c>
      <x:c r="L729" s="23" t="n">
        <x:f>IF(K729&lt;=7,1,0)</x:f>
        <x:v>0</x:v>
      </x:c>
      <x:c r="M729" s="23" t="n">
        <x:f>IF(L729=1,1/(J729+0.000001),0)</x:f>
        <x:v>0</x:v>
      </x:c>
      <x:c r="N729" s="23" t="n">
        <x:v>0.7426127268675486</x:v>
      </x:c>
      <x:c r="O729" s="23" t="n">
        <x:f>M729</x:f>
        <x:v>0</x:v>
      </x:c>
      <x:c r="P729" s="23" t="n">
        <x:v>55.380435942438</x:v>
      </x:c>
      <x:c r="Q729" s="23" t="n">
        <x:v>-18.92580454898416</x:v>
      </x:c>
    </x:row>
    <x:row r="730">
      <x:c r="A730" s="23" t="str">
        <x:v>Switching</x:v>
      </x:c>
      <x:c r="B730" s="23" t="n">
        <x:v>987.3006188310683</x:v>
      </x:c>
      <x:c r="C730" s="23" t="n">
        <x:v>1241.2032460211776</x:v>
      </x:c>
      <x:c r="D730" s="23" t="n">
        <x:v>526.3246664777398</x:v>
      </x:c>
      <x:c r="E730" s="23" t="n">
        <x:v>148.68503062287346</x:v>
      </x:c>
      <x:c r="F730" s="23" t="n">
        <x:v>8.846078785136342</x:v>
      </x:c>
      <x:c r="G730" s="23" t="n">
        <x:v>0.842446941502858</x:v>
      </x:c>
      <x:c r="H730" s="23" t="n">
        <x:v>13020</x:v>
      </x:c>
      <x:c r="I730" s="23" t="n">
        <x:v>1200</x:v>
      </x:c>
      <x:c r="J730" s="23" t="n">
        <x:f>(IF(A730='Hybrid Calculator'!$B$6,0,1))^2+((B730-'Hybrid Calculator'!$B$7)/1500)^2+((C730-'Hybrid Calculator'!$B$8)/1300)^2+((D730-'Hybrid Calculator'!$B$9)/800)^2+((E730-'Hybrid Calculator'!$B$10)/350)^2+((F730-'Hybrid Calculator'!$B$11)/30)^2+(G730-'Hybrid Calculator'!$B$12)^2+((H730-'Hybrid Calculator'!$E$14)/IF(A730="Lightning",100,30000))^2+((I730-'Hybrid Calculator'!$E$17)/IF(A730="Lightning",100,30000))^2</x:f>
        <x:v>1.4693036634297185</x:v>
      </x:c>
      <x:c r="K730" s="23" t="n">
        <x:f>RANK(J730,$J$2:$J$1401,1)</x:f>
        <x:v>1157</x:v>
      </x:c>
      <x:c r="L730" s="23" t="n">
        <x:f>IF(K730&lt;=7,1,0)</x:f>
        <x:v>0</x:v>
      </x:c>
      <x:c r="M730" s="23" t="n">
        <x:f>IF(L730=1,1/(J730+0.000001),0)</x:f>
        <x:v>0</x:v>
      </x:c>
      <x:c r="N730" s="23" t="n">
        <x:v>1.972779191004065</x:v>
      </x:c>
      <x:c r="O730" s="23" t="n">
        <x:f>M730</x:f>
        <x:v>0</x:v>
      </x:c>
      <x:c r="P730" s="23" t="n">
        <x:v>37.6598928258104</x:v>
      </x:c>
      <x:c r="Q730" s="23" t="n">
        <x:v>0.006082951548478377</x:v>
      </x:c>
    </x:row>
    <x:row r="731">
      <x:c r="A731" s="23" t="str">
        <x:v>Switching</x:v>
      </x:c>
      <x:c r="B731" s="23" t="n">
        <x:v>1084.664243052248</x:v>
      </x:c>
      <x:c r="C731" s="23" t="n">
        <x:v>1183.1658684881404</x:v>
      </x:c>
      <x:c r="D731" s="23" t="n">
        <x:v>701.1934795416892</x:v>
      </x:c>
      <x:c r="E731" s="23" t="n">
        <x:v>93.10082455165684</x:v>
      </x:c>
      <x:c r="F731" s="23" t="n">
        <x:v>26.392337903846055</x:v>
      </x:c>
      <x:c r="G731" s="23" t="n">
        <x:v>0.8391364833200351</x:v>
      </x:c>
      <x:c r="H731" s="23" t="n">
        <x:v>10815</x:v>
      </x:c>
      <x:c r="I731" s="23" t="n">
        <x:v>1195</x:v>
      </x:c>
      <x:c r="J731" s="23" t="n">
        <x:f>(IF(A731='Hybrid Calculator'!$B$6,0,1))^2+((B731-'Hybrid Calculator'!$B$7)/1500)^2+((C731-'Hybrid Calculator'!$B$8)/1300)^2+((D731-'Hybrid Calculator'!$B$9)/800)^2+((E731-'Hybrid Calculator'!$B$10)/350)^2+((F731-'Hybrid Calculator'!$B$11)/30)^2+(G731-'Hybrid Calculator'!$B$12)^2+((H731-'Hybrid Calculator'!$E$14)/IF(A731="Lightning",100,30000))^2+((I731-'Hybrid Calculator'!$E$17)/IF(A731="Lightning",100,30000))^2</x:f>
        <x:v>1.4066948933513301</x:v>
      </x:c>
      <x:c r="K731" s="23" t="n">
        <x:f>RANK(J731,$J$2:$J$1401,1)</x:f>
        <x:v>997</x:v>
      </x:c>
      <x:c r="L731" s="23" t="n">
        <x:f>IF(K731&lt;=7,1,0)</x:f>
        <x:v>0</x:v>
      </x:c>
      <x:c r="M731" s="23" t="n">
        <x:f>IF(L731=1,1/(J731+0.000001),0)</x:f>
        <x:v>0</x:v>
      </x:c>
      <x:c r="N731" s="23" t="n">
        <x:v>-1.5765604218948681</x:v>
      </x:c>
      <x:c r="O731" s="23" t="n">
        <x:f>M731</x:f>
        <x:v>0</x:v>
      </x:c>
      <x:c r="P731" s="23" t="n">
        <x:v>61.911795696639274</x:v>
      </x:c>
      <x:c r="Q731" s="23" t="n">
        <x:v>-18.63432737372341</x:v>
      </x:c>
    </x:row>
    <x:row r="732">
      <x:c r="A732" s="23" t="str">
        <x:v>Switching</x:v>
      </x:c>
      <x:c r="B732" s="23" t="n">
        <x:v>1016.3391770562157</x:v>
      </x:c>
      <x:c r="C732" s="23" t="n">
        <x:v>617.7653379389085</x:v>
      </x:c>
      <x:c r="D732" s="23" t="n">
        <x:v>690.047350153327</x:v>
      </x:c>
      <x:c r="E732" s="23" t="n">
        <x:v>211.21322233928367</x:v>
      </x:c>
      <x:c r="F732" s="23" t="n">
        <x:v>29.817953464575112</x:v>
      </x:c>
      <x:c r="G732" s="23" t="n">
        <x:v>0.8287676459248178</x:v>
      </x:c>
      <x:c r="H732" s="23" t="n">
        <x:v>14080</x:v>
      </x:c>
      <x:c r="I732" s="23" t="n">
        <x:v>1200</x:v>
      </x:c>
      <x:c r="J732" s="23" t="n">
        <x:f>(IF(A732='Hybrid Calculator'!$B$6,0,1))^2+((B732-'Hybrid Calculator'!$B$7)/1500)^2+((C732-'Hybrid Calculator'!$B$8)/1300)^2+((D732-'Hybrid Calculator'!$B$9)/800)^2+((E732-'Hybrid Calculator'!$B$10)/350)^2+((F732-'Hybrid Calculator'!$B$11)/30)^2+(G732-'Hybrid Calculator'!$B$12)^2+((H732-'Hybrid Calculator'!$E$14)/IF(A732="Lightning",100,30000))^2+((I732-'Hybrid Calculator'!$E$17)/IF(A732="Lightning",100,30000))^2</x:f>
        <x:v>1.5558114126619658</x:v>
      </x:c>
      <x:c r="K732" s="23" t="n">
        <x:f>RANK(J732,$J$2:$J$1401,1)</x:f>
        <x:v>1312</x:v>
      </x:c>
      <x:c r="L732" s="23" t="n">
        <x:f>IF(K732&lt;=7,1,0)</x:f>
        <x:v>0</x:v>
      </x:c>
      <x:c r="M732" s="23" t="n">
        <x:f>IF(L732=1,1/(J732+0.000001),0)</x:f>
        <x:v>0</x:v>
      </x:c>
      <x:c r="N732" s="23" t="n">
        <x:v>-2.971875832503031</x:v>
      </x:c>
      <x:c r="O732" s="23" t="n">
        <x:f>M732</x:f>
        <x:v>0</x:v>
      </x:c>
      <x:c r="P732" s="23" t="n">
        <x:v>11.704780000493429</x:v>
      </x:c>
      <x:c r="Q732" s="23" t="n">
        <x:v>-8.545433395292662</x:v>
      </x:c>
    </x:row>
    <x:row r="733">
      <x:c r="A733" s="23" t="str">
        <x:v>Switching</x:v>
      </x:c>
      <x:c r="B733" s="23" t="n">
        <x:v>1092.8026383160613</x:v>
      </x:c>
      <x:c r="C733" s="23" t="n">
        <x:v>803.464031079784</x:v>
      </x:c>
      <x:c r="D733" s="23" t="n">
        <x:v>546.7860060743988</x:v>
      </x:c>
      <x:c r="E733" s="23" t="n">
        <x:v>155.74261107947677</x:v>
      </x:c>
      <x:c r="F733" s="23" t="n">
        <x:v>10.52771721733734</x:v>
      </x:c>
      <x:c r="G733" s="23" t="n">
        <x:v>0.8526649031229317</x:v>
      </x:c>
      <x:c r="H733" s="23" t="n">
        <x:v>14200</x:v>
      </x:c>
      <x:c r="I733" s="23" t="n">
        <x:v>1200</x:v>
      </x:c>
      <x:c r="J733" s="23" t="n">
        <x:f>(IF(A733='Hybrid Calculator'!$B$6,0,1))^2+((B733-'Hybrid Calculator'!$B$7)/1500)^2+((C733-'Hybrid Calculator'!$B$8)/1300)^2+((D733-'Hybrid Calculator'!$B$9)/800)^2+((E733-'Hybrid Calculator'!$B$10)/350)^2+((F733-'Hybrid Calculator'!$B$11)/30)^2+(G733-'Hybrid Calculator'!$B$12)^2+((H733-'Hybrid Calculator'!$E$14)/IF(A733="Lightning",100,30000))^2+((I733-'Hybrid Calculator'!$E$17)/IF(A733="Lightning",100,30000))^2</x:f>
        <x:v>1.3497072141212507</x:v>
      </x:c>
      <x:c r="K733" s="23" t="n">
        <x:f>RANK(J733,$J$2:$J$1401,1)</x:f>
        <x:v>832</x:v>
      </x:c>
      <x:c r="L733" s="23" t="n">
        <x:f>IF(K733&lt;=7,1,0)</x:f>
        <x:v>0</x:v>
      </x:c>
      <x:c r="M733" s="23" t="n">
        <x:f>IF(L733=1,1/(J733+0.000001),0)</x:f>
        <x:v>0</x:v>
      </x:c>
      <x:c r="N733" s="23" t="n">
        <x:v>0.9156303908457062</x:v>
      </x:c>
      <x:c r="O733" s="23" t="n">
        <x:f>M733</x:f>
        <x:v>0</x:v>
      </x:c>
      <x:c r="P733" s="23" t="n">
        <x:v>-25.97695532730131</x:v>
      </x:c>
      <x:c r="Q733" s="23" t="n">
        <x:v>6.50081686549629</x:v>
      </x:c>
    </x:row>
    <x:row r="734">
      <x:c r="A734" s="23" t="str">
        <x:v>Switching</x:v>
      </x:c>
      <x:c r="B734" s="23" t="n">
        <x:v>972.9371689725667</x:v>
      </x:c>
      <x:c r="C734" s="23" t="n">
        <x:v>715.241782728117</x:v>
      </x:c>
      <x:c r="D734" s="23" t="n">
        <x:v>461.9013546034694</x:v>
      </x:c>
      <x:c r="E734" s="23" t="n">
        <x:v>265.43658062117174</x:v>
      </x:c>
      <x:c r="F734" s="23" t="n">
        <x:v>19.737039521336555</x:v>
      </x:c>
      <x:c r="G734" s="23" t="n">
        <x:v>0.8119632895127871</x:v>
      </x:c>
      <x:c r="H734" s="23" t="n">
        <x:v>17295</x:v>
      </x:c>
      <x:c r="I734" s="23" t="n">
        <x:v>1200</x:v>
      </x:c>
      <x:c r="J734" s="23" t="n">
        <x:f>(IF(A734='Hybrid Calculator'!$B$6,0,1))^2+((B734-'Hybrid Calculator'!$B$7)/1500)^2+((C734-'Hybrid Calculator'!$B$8)/1300)^2+((D734-'Hybrid Calculator'!$B$9)/800)^2+((E734-'Hybrid Calculator'!$B$10)/350)^2+((F734-'Hybrid Calculator'!$B$11)/30)^2+(G734-'Hybrid Calculator'!$B$12)^2+((H734-'Hybrid Calculator'!$E$14)/IF(A734="Lightning",100,30000))^2+((I734-'Hybrid Calculator'!$E$17)/IF(A734="Lightning",100,30000))^2</x:f>
        <x:v>1.5463531492659461</x:v>
      </x:c>
      <x:c r="K734" s="23" t="n">
        <x:f>RANK(J734,$J$2:$J$1401,1)</x:f>
        <x:v>1294</x:v>
      </x:c>
      <x:c r="L734" s="23" t="n">
        <x:f>IF(K734&lt;=7,1,0)</x:f>
        <x:v>0</x:v>
      </x:c>
      <x:c r="M734" s="23" t="n">
        <x:f>IF(L734=1,1/(J734+0.000001),0)</x:f>
        <x:v>0</x:v>
      </x:c>
      <x:c r="N734" s="23" t="n">
        <x:v>0.31000749681004436</x:v>
      </x:c>
      <x:c r="O734" s="23" t="n">
        <x:f>M734</x:f>
        <x:v>0</x:v>
      </x:c>
      <x:c r="P734" s="23" t="n">
        <x:v>-56.95607255169216</x:v>
      </x:c>
      <x:c r="Q734" s="23" t="n">
        <x:v>3.5342382054653854</x:v>
      </x:c>
    </x:row>
    <x:row r="735">
      <x:c r="A735" s="23" t="str">
        <x:v>Switching</x:v>
      </x:c>
      <x:c r="B735" s="23" t="n">
        <x:v>983.5958515410312</x:v>
      </x:c>
      <x:c r="C735" s="23" t="n">
        <x:v>1120.8516334882006</x:v>
      </x:c>
      <x:c r="D735" s="23" t="n">
        <x:v>392.26223351433873</x:v>
      </x:c>
      <x:c r="E735" s="23" t="n">
        <x:v>229.16727738454938</x:v>
      </x:c>
      <x:c r="F735" s="23" t="n">
        <x:v>27.483684903476387</x:v>
      </x:c>
      <x:c r="G735" s="23" t="n">
        <x:v>0.8084782641148195</x:v>
      </x:c>
      <x:c r="H735" s="23" t="n">
        <x:v>12275</x:v>
      </x:c>
      <x:c r="I735" s="23" t="n">
        <x:v>1200</x:v>
      </x:c>
      <x:c r="J735" s="23" t="n">
        <x:f>(IF(A735='Hybrid Calculator'!$B$6,0,1))^2+((B735-'Hybrid Calculator'!$B$7)/1500)^2+((C735-'Hybrid Calculator'!$B$8)/1300)^2+((D735-'Hybrid Calculator'!$B$9)/800)^2+((E735-'Hybrid Calculator'!$B$10)/350)^2+((F735-'Hybrid Calculator'!$B$11)/30)^2+(G735-'Hybrid Calculator'!$B$12)^2+((H735-'Hybrid Calculator'!$E$14)/IF(A735="Lightning",100,30000))^2+((I735-'Hybrid Calculator'!$E$17)/IF(A735="Lightning",100,30000))^2</x:f>
        <x:v>1.4566996887251886</x:v>
      </x:c>
      <x:c r="K735" s="23" t="n">
        <x:f>RANK(J735,$J$2:$J$1401,1)</x:f>
        <x:v>1121</x:v>
      </x:c>
      <x:c r="L735" s="23" t="n">
        <x:f>IF(K735&lt;=7,1,0)</x:f>
        <x:v>0</x:v>
      </x:c>
      <x:c r="M735" s="23" t="n">
        <x:f>IF(L735=1,1/(J735+0.000001),0)</x:f>
        <x:v>0</x:v>
      </x:c>
      <x:c r="N735" s="23" t="n">
        <x:v>-0.37360637820574993</x:v>
      </x:c>
      <x:c r="O735" s="23" t="n">
        <x:f>M735</x:f>
        <x:v>0</x:v>
      </x:c>
      <x:c r="P735" s="23" t="n">
        <x:v>41.62774130555954</x:v>
      </x:c>
      <x:c r="Q735" s="23" t="n">
        <x:v>-5.095009313266587</x:v>
      </x:c>
    </x:row>
    <x:row r="736">
      <x:c r="A736" s="23" t="str">
        <x:v>Switching</x:v>
      </x:c>
      <x:c r="B736" s="23" t="n">
        <x:v>1026.1154306354001</x:v>
      </x:c>
      <x:c r="C736" s="23" t="n">
        <x:v>914.5505363238044</x:v>
      </x:c>
      <x:c r="D736" s="23" t="n">
        <x:v>617.642192542553</x:v>
      </x:c>
      <x:c r="E736" s="23" t="n">
        <x:v>89.35567630222067</x:v>
      </x:c>
      <x:c r="F736" s="23" t="n">
        <x:v>13.818027342669666</x:v>
      </x:c>
      <x:c r="G736" s="23" t="n">
        <x:v>0.8254965310893022</x:v>
      </x:c>
      <x:c r="H736" s="23" t="n">
        <x:v>13190</x:v>
      </x:c>
      <x:c r="I736" s="23" t="n">
        <x:v>1200</x:v>
      </x:c>
      <x:c r="J736" s="23" t="n">
        <x:f>(IF(A736='Hybrid Calculator'!$B$6,0,1))^2+((B736-'Hybrid Calculator'!$B$7)/1500)^2+((C736-'Hybrid Calculator'!$B$8)/1300)^2+((D736-'Hybrid Calculator'!$B$9)/800)^2+((E736-'Hybrid Calculator'!$B$10)/350)^2+((F736-'Hybrid Calculator'!$B$11)/30)^2+(G736-'Hybrid Calculator'!$B$12)^2+((H736-'Hybrid Calculator'!$E$14)/IF(A736="Lightning",100,30000))^2+((I736-'Hybrid Calculator'!$E$17)/IF(A736="Lightning",100,30000))^2</x:f>
        <x:v>1.342592198404948</x:v>
      </x:c>
      <x:c r="K736" s="23" t="n">
        <x:f>RANK(J736,$J$2:$J$1401,1)</x:f>
        <x:v>810</x:v>
      </x:c>
      <x:c r="L736" s="23" t="n">
        <x:f>IF(K736&lt;=7,1,0)</x:f>
        <x:v>0</x:v>
      </x:c>
      <x:c r="M736" s="23" t="n">
        <x:f>IF(L736=1,1/(J736+0.000001),0)</x:f>
        <x:v>0</x:v>
      </x:c>
      <x:c r="N736" s="23" t="n">
        <x:v>2.5127339922208307</x:v>
      </x:c>
      <x:c r="O736" s="23" t="n">
        <x:f>M736</x:f>
        <x:v>0</x:v>
      </x:c>
      <x:c r="P736" s="23" t="n">
        <x:v>-37.63674040715614</x:v>
      </x:c>
      <x:c r="Q736" s="23" t="n">
        <x:v>0.2883245516970874</x:v>
      </x:c>
    </x:row>
    <x:row r="737">
      <x:c r="A737" s="23" t="str">
        <x:v>Switching</x:v>
      </x:c>
      <x:c r="B737" s="23" t="n">
        <x:v>972.8671024437062</x:v>
      </x:c>
      <x:c r="C737" s="23" t="n">
        <x:v>1029.4563262723386</x:v>
      </x:c>
      <x:c r="D737" s="23" t="n">
        <x:v>469.9585518799722</x:v>
      </x:c>
      <x:c r="E737" s="23" t="n">
        <x:v>144.371999935247</x:v>
      </x:c>
      <x:c r="F737" s="23" t="n">
        <x:v>17.874410500284284</x:v>
      </x:c>
      <x:c r="G737" s="23" t="n">
        <x:v>0.816509258048609</x:v>
      </x:c>
      <x:c r="H737" s="23" t="n">
        <x:v>15180</x:v>
      </x:c>
      <x:c r="I737" s="23" t="n">
        <x:v>1200</x:v>
      </x:c>
      <x:c r="J737" s="23" t="n">
        <x:f>(IF(A737='Hybrid Calculator'!$B$6,0,1))^2+((B737-'Hybrid Calculator'!$B$7)/1500)^2+((C737-'Hybrid Calculator'!$B$8)/1300)^2+((D737-'Hybrid Calculator'!$B$9)/800)^2+((E737-'Hybrid Calculator'!$B$10)/350)^2+((F737-'Hybrid Calculator'!$B$11)/30)^2+(G737-'Hybrid Calculator'!$B$12)^2+((H737-'Hybrid Calculator'!$E$14)/IF(A737="Lightning",100,30000))^2+((I737-'Hybrid Calculator'!$E$17)/IF(A737="Lightning",100,30000))^2</x:f>
        <x:v>1.367913017223752</x:v>
      </x:c>
      <x:c r="K737" s="23" t="n">
        <x:f>RANK(J737,$J$2:$J$1401,1)</x:f>
        <x:v>877</x:v>
      </x:c>
      <x:c r="L737" s="23" t="n">
        <x:f>IF(K737&lt;=7,1,0)</x:f>
        <x:v>0</x:v>
      </x:c>
      <x:c r="M737" s="23" t="n">
        <x:f>IF(L737=1,1/(J737+0.000001),0)</x:f>
        <x:v>0</x:v>
      </x:c>
      <x:c r="N737" s="23" t="n">
        <x:v>3.4182296610823073</x:v>
      </x:c>
      <x:c r="O737" s="23" t="n">
        <x:f>M737</x:f>
        <x:v>0</x:v>
      </x:c>
      <x:c r="P737" s="23" t="n">
        <x:v>29.69975243994213</x:v>
      </x:c>
      <x:c r="Q737" s="23" t="n">
        <x:v>-0.6547107505277836</x:v>
      </x:c>
    </x:row>
    <x:row r="738">
      <x:c r="A738" s="23" t="str">
        <x:v>Switching</x:v>
      </x:c>
      <x:c r="B738" s="23" t="n">
        <x:v>983.429904282093</x:v>
      </x:c>
      <x:c r="C738" s="23" t="n">
        <x:v>802.9531697160564</x:v>
      </x:c>
      <x:c r="D738" s="23" t="n">
        <x:v>459.70203150063753</x:v>
      </x:c>
      <x:c r="E738" s="23" t="n">
        <x:v>247.75674239033833</x:v>
      </x:c>
      <x:c r="F738" s="23" t="n">
        <x:v>16.856695858761668</x:v>
      </x:c>
      <x:c r="G738" s="23" t="n">
        <x:v>0.8500339112174697</x:v>
      </x:c>
      <x:c r="H738" s="23" t="n">
        <x:v>16520</x:v>
      </x:c>
      <x:c r="I738" s="23" t="n">
        <x:v>1200</x:v>
      </x:c>
      <x:c r="J738" s="23" t="n">
        <x:f>(IF(A738='Hybrid Calculator'!$B$6,0,1))^2+((B738-'Hybrid Calculator'!$B$7)/1500)^2+((C738-'Hybrid Calculator'!$B$8)/1300)^2+((D738-'Hybrid Calculator'!$B$9)/800)^2+((E738-'Hybrid Calculator'!$B$10)/350)^2+((F738-'Hybrid Calculator'!$B$11)/30)^2+(G738-'Hybrid Calculator'!$B$12)^2+((H738-'Hybrid Calculator'!$E$14)/IF(A738="Lightning",100,30000))^2+((I738-'Hybrid Calculator'!$E$17)/IF(A738="Lightning",100,30000))^2</x:f>
        <x:v>1.4753555462245789</x:v>
      </x:c>
      <x:c r="K738" s="23" t="n">
        <x:f>RANK(J738,$J$2:$J$1401,1)</x:f>
        <x:v>1168</x:v>
      </x:c>
      <x:c r="L738" s="23" t="n">
        <x:f>IF(K738&lt;=7,1,0)</x:f>
        <x:v>0</x:v>
      </x:c>
      <x:c r="M738" s="23" t="n">
        <x:f>IF(L738=1,1/(J738+0.000001),0)</x:f>
        <x:v>0</x:v>
      </x:c>
      <x:c r="N738" s="23" t="n">
        <x:v>-1.0579621318779004</x:v>
      </x:c>
      <x:c r="O738" s="23" t="n">
        <x:f>M738</x:f>
        <x:v>0</x:v>
      </x:c>
      <x:c r="P738" s="23" t="n">
        <x:v>11.938338297370137</x:v>
      </x:c>
      <x:c r="Q738" s="23" t="n">
        <x:v>4.76563317217699</x:v>
      </x:c>
    </x:row>
    <x:row r="739">
      <x:c r="A739" s="23" t="str">
        <x:v>Switching</x:v>
      </x:c>
      <x:c r="B739" s="23" t="n">
        <x:v>993.9193523139693</x:v>
      </x:c>
      <x:c r="C739" s="23" t="n">
        <x:v>1229.7226244816557</x:v>
      </x:c>
      <x:c r="D739" s="23" t="n">
        <x:v>660.7443139888346</x:v>
      </x:c>
      <x:c r="E739" s="23" t="n">
        <x:v>188.54340880177915</x:v>
      </x:c>
      <x:c r="F739" s="23" t="n">
        <x:v>10.336644169408828</x:v>
      </x:c>
      <x:c r="G739" s="23" t="n">
        <x:v>0.808548665647395</x:v>
      </x:c>
      <x:c r="H739" s="23" t="n">
        <x:v>10285</x:v>
      </x:c>
      <x:c r="I739" s="23" t="n">
        <x:v>1195</x:v>
      </x:c>
      <x:c r="J739" s="23" t="n">
        <x:f>(IF(A739='Hybrid Calculator'!$B$6,0,1))^2+((B739-'Hybrid Calculator'!$B$7)/1500)^2+((C739-'Hybrid Calculator'!$B$8)/1300)^2+((D739-'Hybrid Calculator'!$B$9)/800)^2+((E739-'Hybrid Calculator'!$B$10)/350)^2+((F739-'Hybrid Calculator'!$B$11)/30)^2+(G739-'Hybrid Calculator'!$B$12)^2+((H739-'Hybrid Calculator'!$E$14)/IF(A739="Lightning",100,30000))^2+((I739-'Hybrid Calculator'!$E$17)/IF(A739="Lightning",100,30000))^2</x:f>
        <x:v>1.4125024558973378</x:v>
      </x:c>
      <x:c r="K739" s="23" t="n">
        <x:f>RANK(J739,$J$2:$J$1401,1)</x:f>
        <x:v>1016</x:v>
      </x:c>
      <x:c r="L739" s="23" t="n">
        <x:f>IF(K739&lt;=7,1,0)</x:f>
        <x:v>0</x:v>
      </x:c>
      <x:c r="M739" s="23" t="n">
        <x:f>IF(L739=1,1/(J739+0.000001),0)</x:f>
        <x:v>0</x:v>
      </x:c>
      <x:c r="N739" s="23" t="n">
        <x:v>4.53063714962056</x:v>
      </x:c>
      <x:c r="O739" s="23" t="n">
        <x:f>M739</x:f>
        <x:v>0</x:v>
      </x:c>
      <x:c r="P739" s="23" t="n">
        <x:v>-8.19736213062788</x:v>
      </x:c>
      <x:c r="Q739" s="23" t="n">
        <x:v>-2.300003414139269</x:v>
      </x:c>
    </x:row>
    <x:row r="740">
      <x:c r="A740" s="23" t="str">
        <x:v>Switching</x:v>
      </x:c>
      <x:c r="B740" s="23" t="n">
        <x:v>1032.4529425008222</x:v>
      </x:c>
      <x:c r="C740" s="23" t="n">
        <x:v>1117.947633995209</x:v>
      </x:c>
      <x:c r="D740" s="23" t="n">
        <x:v>558.5661891847849</x:v>
      </x:c>
      <x:c r="E740" s="23" t="n">
        <x:v>161.54999575344846</x:v>
      </x:c>
      <x:c r="F740" s="23" t="n">
        <x:v>13.781468176282942</x:v>
      </x:c>
      <x:c r="G740" s="23" t="n">
        <x:v>0.8202578906225972</x:v>
      </x:c>
      <x:c r="H740" s="23" t="n">
        <x:v>11635</x:v>
      </x:c>
      <x:c r="I740" s="23" t="n">
        <x:v>1195</x:v>
      </x:c>
      <x:c r="J740" s="23" t="n">
        <x:f>(IF(A740='Hybrid Calculator'!$B$6,0,1))^2+((B740-'Hybrid Calculator'!$B$7)/1500)^2+((C740-'Hybrid Calculator'!$B$8)/1300)^2+((D740-'Hybrid Calculator'!$B$9)/800)^2+((E740-'Hybrid Calculator'!$B$10)/350)^2+((F740-'Hybrid Calculator'!$B$11)/30)^2+(G740-'Hybrid Calculator'!$B$12)^2+((H740-'Hybrid Calculator'!$E$14)/IF(A740="Lightning",100,30000))^2+((I740-'Hybrid Calculator'!$E$17)/IF(A740="Lightning",100,30000))^2</x:f>
        <x:v>1.292801178251</x:v>
      </x:c>
      <x:c r="K740" s="23" t="n">
        <x:f>RANK(J740,$J$2:$J$1401,1)</x:f>
        <x:v>721</x:v>
      </x:c>
      <x:c r="L740" s="23" t="n">
        <x:f>IF(K740&lt;=7,1,0)</x:f>
        <x:v>0</x:v>
      </x:c>
      <x:c r="M740" s="23" t="n">
        <x:f>IF(L740=1,1/(J740+0.000001),0)</x:f>
        <x:v>0</x:v>
      </x:c>
      <x:c r="N740" s="23" t="n">
        <x:v>2.101791547357493</x:v>
      </x:c>
      <x:c r="O740" s="23" t="n">
        <x:f>M740</x:f>
        <x:v>0</x:v>
      </x:c>
      <x:c r="P740" s="23" t="n">
        <x:v>-5.379258429779384</x:v>
      </x:c>
      <x:c r="Q740" s="23" t="n">
        <x:v>0.4956831022800543</x:v>
      </x:c>
    </x:row>
    <x:row r="741">
      <x:c r="A741" s="23" t="str">
        <x:v>Switching</x:v>
      </x:c>
      <x:c r="B741" s="23" t="n">
        <x:v>1079.3917455128394</x:v>
      </x:c>
      <x:c r="C741" s="23" t="n">
        <x:v>1165.976471407339</x:v>
      </x:c>
      <x:c r="D741" s="23" t="n">
        <x:v>405.0852204672992</x:v>
      </x:c>
      <x:c r="E741" s="23" t="n">
        <x:v>93.14095023553818</x:v>
      </x:c>
      <x:c r="F741" s="23" t="n">
        <x:v>29.93028661189601</x:v>
      </x:c>
      <x:c r="G741" s="23" t="n">
        <x:v>0.8393696051090956</x:v>
      </x:c>
      <x:c r="H741" s="23" t="n">
        <x:v>12850</x:v>
      </x:c>
      <x:c r="I741" s="23" t="n">
        <x:v>1200</x:v>
      </x:c>
      <x:c r="J741" s="23" t="n">
        <x:f>(IF(A741='Hybrid Calculator'!$B$6,0,1))^2+((B741-'Hybrid Calculator'!$B$7)/1500)^2+((C741-'Hybrid Calculator'!$B$8)/1300)^2+((D741-'Hybrid Calculator'!$B$9)/800)^2+((E741-'Hybrid Calculator'!$B$10)/350)^2+((F741-'Hybrid Calculator'!$B$11)/30)^2+(G741-'Hybrid Calculator'!$B$12)^2+((H741-'Hybrid Calculator'!$E$14)/IF(A741="Lightning",100,30000))^2+((I741-'Hybrid Calculator'!$E$17)/IF(A741="Lightning",100,30000))^2</x:f>
        <x:v>1.4817539368335573</x:v>
      </x:c>
      <x:c r="K741" s="23" t="n">
        <x:f>RANK(J741,$J$2:$J$1401,1)</x:f>
        <x:v>1179</x:v>
      </x:c>
      <x:c r="L741" s="23" t="n">
        <x:f>IF(K741&lt;=7,1,0)</x:f>
        <x:v>0</x:v>
      </x:c>
      <x:c r="M741" s="23" t="n">
        <x:f>IF(L741=1,1/(J741+0.000001),0)</x:f>
        <x:v>0</x:v>
      </x:c>
      <x:c r="N741" s="23" t="n">
        <x:v>-0.7983376172269914</x:v>
      </x:c>
      <x:c r="O741" s="23" t="n">
        <x:f>M741</x:f>
        <x:v>0</x:v>
      </x:c>
      <x:c r="P741" s="23" t="n">
        <x:v>4.684966959161102</x:v>
      </x:c>
      <x:c r="Q741" s="23" t="n">
        <x:v>-12.492585561486976</x:v>
      </x:c>
    </x:row>
    <x:row r="742">
      <x:c r="A742" s="23" t="str">
        <x:v>Switching</x:v>
      </x:c>
      <x:c r="B742" s="23" t="n">
        <x:v>1087.899601412937</x:v>
      </x:c>
      <x:c r="C742" s="23" t="n">
        <x:v>684.2922815005295</x:v>
      </x:c>
      <x:c r="D742" s="23" t="n">
        <x:v>573.5746776685119</x:v>
      </x:c>
      <x:c r="E742" s="23" t="n">
        <x:v>164.2333555337973</x:v>
      </x:c>
      <x:c r="F742" s="23" t="n">
        <x:v>15.492046069353819</x:v>
      </x:c>
      <x:c r="G742" s="23" t="n">
        <x:v>0.8001089118071832</x:v>
      </x:c>
      <x:c r="H742" s="23" t="n">
        <x:v>15040</x:v>
      </x:c>
      <x:c r="I742" s="23" t="n">
        <x:v>1200</x:v>
      </x:c>
      <x:c r="J742" s="23" t="n">
        <x:f>(IF(A742='Hybrid Calculator'!$B$6,0,1))^2+((B742-'Hybrid Calculator'!$B$7)/1500)^2+((C742-'Hybrid Calculator'!$B$8)/1300)^2+((D742-'Hybrid Calculator'!$B$9)/800)^2+((E742-'Hybrid Calculator'!$B$10)/350)^2+((F742-'Hybrid Calculator'!$B$11)/30)^2+(G742-'Hybrid Calculator'!$B$12)^2+((H742-'Hybrid Calculator'!$E$14)/IF(A742="Lightning",100,30000))^2+((I742-'Hybrid Calculator'!$E$17)/IF(A742="Lightning",100,30000))^2</x:f>
        <x:v>1.3385146651706838</x:v>
      </x:c>
      <x:c r="K742" s="23" t="n">
        <x:f>RANK(J742,$J$2:$J$1401,1)</x:f>
        <x:v>797</x:v>
      </x:c>
      <x:c r="L742" s="23" t="n">
        <x:f>IF(K742&lt;=7,1,0)</x:f>
        <x:v>0</x:v>
      </x:c>
      <x:c r="M742" s="23" t="n">
        <x:f>IF(L742=1,1/(J742+0.000001),0)</x:f>
        <x:v>0</x:v>
      </x:c>
      <x:c r="N742" s="23" t="n">
        <x:v>-1.1820258534894492</x:v>
      </x:c>
      <x:c r="O742" s="23" t="n">
        <x:f>M742</x:f>
        <x:v>0</x:v>
      </x:c>
      <x:c r="P742" s="23" t="n">
        <x:v>-54.37834361348905</x:v>
      </x:c>
      <x:c r="Q742" s="23" t="n">
        <x:v>11.74078445146506</x:v>
      </x:c>
    </x:row>
    <x:row r="743">
      <x:c r="A743" s="23" t="str">
        <x:v>Switching</x:v>
      </x:c>
      <x:c r="B743" s="23" t="n">
        <x:v>1079.2694628355093</x:v>
      </x:c>
      <x:c r="C743" s="23" t="n">
        <x:v>1198.1580457417294</x:v>
      </x:c>
      <x:c r="D743" s="23" t="n">
        <x:v>734.3276520259678</x:v>
      </x:c>
      <x:c r="E743" s="23" t="n">
        <x:v>254.63482078164816</x:v>
      </x:c>
      <x:c r="F743" s="23" t="n">
        <x:v>15.398913817945868</x:v>
      </x:c>
      <x:c r="G743" s="23" t="n">
        <x:v>0.8415973555622622</x:v>
      </x:c>
      <x:c r="H743" s="23" t="n">
        <x:v>9780</x:v>
      </x:c>
      <x:c r="I743" s="23" t="n">
        <x:v>1195</x:v>
      </x:c>
      <x:c r="J743" s="23" t="n">
        <x:f>(IF(A743='Hybrid Calculator'!$B$6,0,1))^2+((B743-'Hybrid Calculator'!$B$7)/1500)^2+((C743-'Hybrid Calculator'!$B$8)/1300)^2+((D743-'Hybrid Calculator'!$B$9)/800)^2+((E743-'Hybrid Calculator'!$B$10)/350)^2+((F743-'Hybrid Calculator'!$B$11)/30)^2+(G743-'Hybrid Calculator'!$B$12)^2+((H743-'Hybrid Calculator'!$E$14)/IF(A743="Lightning",100,30000))^2+((I743-'Hybrid Calculator'!$E$17)/IF(A743="Lightning",100,30000))^2</x:f>
        <x:v>1.4178844425726707</x:v>
      </x:c>
      <x:c r="K743" s="23" t="n">
        <x:f>RANK(J743,$J$2:$J$1401,1)</x:f>
        <x:v>1033</x:v>
      </x:c>
      <x:c r="L743" s="23" t="n">
        <x:f>IF(K743&lt;=7,1,0)</x:f>
        <x:v>0</x:v>
      </x:c>
      <x:c r="M743" s="23" t="n">
        <x:f>IF(L743=1,1/(J743+0.000001),0)</x:f>
        <x:v>0</x:v>
      </x:c>
      <x:c r="N743" s="23" t="n">
        <x:v>0.8301760072693583</x:v>
      </x:c>
      <x:c r="O743" s="23" t="n">
        <x:f>M743</x:f>
        <x:v>0</x:v>
      </x:c>
      <x:c r="P743" s="23" t="n">
        <x:v>41.82649784537216</x:v>
      </x:c>
      <x:c r="Q743" s="23" t="n">
        <x:v>-0.9778852177344106</x:v>
      </x:c>
    </x:row>
    <x:row r="744">
      <x:c r="A744" s="23" t="str">
        <x:v>Switching</x:v>
      </x:c>
      <x:c r="B744" s="23" t="n">
        <x:v>1045.9228104446083</x:v>
      </x:c>
      <x:c r="C744" s="23" t="n">
        <x:v>1039.6838663029484</x:v>
      </x:c>
      <x:c r="D744" s="23" t="n">
        <x:v>375.23206006735563</x:v>
      </x:c>
      <x:c r="E744" s="23" t="n">
        <x:v>260.7567526702769</x:v>
      </x:c>
      <x:c r="F744" s="23" t="n">
        <x:v>24.962482757866383</x:v>
      </x:c>
      <x:c r="G744" s="23" t="n">
        <x:v>0.8275646502734162</x:v>
      </x:c>
      <x:c r="H744" s="23" t="n">
        <x:v>12760</x:v>
      </x:c>
      <x:c r="I744" s="23" t="n">
        <x:v>1200</x:v>
      </x:c>
      <x:c r="J744" s="23" t="n">
        <x:f>(IF(A744='Hybrid Calculator'!$B$6,0,1))^2+((B744-'Hybrid Calculator'!$B$7)/1500)^2+((C744-'Hybrid Calculator'!$B$8)/1300)^2+((D744-'Hybrid Calculator'!$B$9)/800)^2+((E744-'Hybrid Calculator'!$B$10)/350)^2+((F744-'Hybrid Calculator'!$B$11)/30)^2+(G744-'Hybrid Calculator'!$B$12)^2+((H744-'Hybrid Calculator'!$E$14)/IF(A744="Lightning",100,30000))^2+((I744-'Hybrid Calculator'!$E$17)/IF(A744="Lightning",100,30000))^2</x:f>
        <x:v>1.437107912078093</x:v>
      </x:c>
      <x:c r="K744" s="23" t="n">
        <x:f>RANK(J744,$J$2:$J$1401,1)</x:f>
        <x:v>1076</x:v>
      </x:c>
      <x:c r="L744" s="23" t="n">
        <x:f>IF(K744&lt;=7,1,0)</x:f>
        <x:v>0</x:v>
      </x:c>
      <x:c r="M744" s="23" t="n">
        <x:f>IF(L744=1,1/(J744+0.000001),0)</x:f>
        <x:v>0</x:v>
      </x:c>
      <x:c r="N744" s="23" t="n">
        <x:v>-1.6376525474397852</x:v>
      </x:c>
      <x:c r="O744" s="23" t="n">
        <x:f>M744</x:f>
        <x:v>0</x:v>
      </x:c>
      <x:c r="P744" s="23" t="n">
        <x:v>14.9037872980889</x:v>
      </x:c>
      <x:c r="Q744" s="23" t="n">
        <x:v>-3.8462166015394814</x:v>
      </x:c>
    </x:row>
    <x:row r="745">
      <x:c r="A745" s="23" t="str">
        <x:v>Switching</x:v>
      </x:c>
      <x:c r="B745" s="23" t="n">
        <x:v>1075.4774744738825</x:v>
      </x:c>
      <x:c r="C745" s="23" t="n">
        <x:v>1157.3049522703514</x:v>
      </x:c>
      <x:c r="D745" s="23" t="n">
        <x:v>367.92122395709157</x:v>
      </x:c>
      <x:c r="E745" s="23" t="n">
        <x:v>92.33397936448455</x:v>
      </x:c>
      <x:c r="F745" s="23" t="n">
        <x:v>10.289642243180424</x:v>
      </x:c>
      <x:c r="G745" s="23" t="n">
        <x:v>0.7961992168566212</x:v>
      </x:c>
      <x:c r="H745" s="23" t="n">
        <x:v>13220</x:v>
      </x:c>
      <x:c r="I745" s="23" t="n">
        <x:v>1200</x:v>
      </x:c>
      <x:c r="J745" s="23" t="n">
        <x:f>(IF(A745='Hybrid Calculator'!$B$6,0,1))^2+((B745-'Hybrid Calculator'!$B$7)/1500)^2+((C745-'Hybrid Calculator'!$B$8)/1300)^2+((D745-'Hybrid Calculator'!$B$9)/800)^2+((E745-'Hybrid Calculator'!$B$10)/350)^2+((F745-'Hybrid Calculator'!$B$11)/30)^2+(G745-'Hybrid Calculator'!$B$12)^2+((H745-'Hybrid Calculator'!$E$14)/IF(A745="Lightning",100,30000))^2+((I745-'Hybrid Calculator'!$E$17)/IF(A745="Lightning",100,30000))^2</x:f>
        <x:v>1.434300344105276</x:v>
      </x:c>
      <x:c r="K745" s="23" t="n">
        <x:f>RANK(J745,$J$2:$J$1401,1)</x:f>
        <x:v>1068</x:v>
      </x:c>
      <x:c r="L745" s="23" t="n">
        <x:f>IF(K745&lt;=7,1,0)</x:f>
        <x:v>0</x:v>
      </x:c>
      <x:c r="M745" s="23" t="n">
        <x:f>IF(L745=1,1/(J745+0.000001),0)</x:f>
        <x:v>0</x:v>
      </x:c>
      <x:c r="N745" s="23" t="n">
        <x:v>4.40515258734834</x:v>
      </x:c>
      <x:c r="O745" s="23" t="n">
        <x:f>M745</x:f>
        <x:v>0</x:v>
      </x:c>
      <x:c r="P745" s="23" t="n">
        <x:v>-4.0870775278999645</x:v>
      </x:c>
      <x:c r="Q745" s="23" t="n">
        <x:v>10.161085321906967</x:v>
      </x:c>
    </x:row>
    <x:row r="746">
      <x:c r="A746" s="23" t="str">
        <x:v>Switching</x:v>
      </x:c>
      <x:c r="B746" s="23" t="n">
        <x:v>974.900672887452</x:v>
      </x:c>
      <x:c r="C746" s="23" t="n">
        <x:v>1154.4421214726754</x:v>
      </x:c>
      <x:c r="D746" s="23" t="n">
        <x:v>704.2698383331299</x:v>
      </x:c>
      <x:c r="E746" s="23" t="n">
        <x:v>265.67415134748444</x:v>
      </x:c>
      <x:c r="F746" s="23" t="n">
        <x:v>14.669402497820556</x:v>
      </x:c>
      <x:c r="G746" s="23" t="n">
        <x:v>0.8421378459758125</x:v>
      </x:c>
      <x:c r="H746" s="23" t="n">
        <x:v>11745</x:v>
      </x:c>
      <x:c r="I746" s="23" t="n">
        <x:v>1195</x:v>
      </x:c>
      <x:c r="J746" s="23" t="n">
        <x:f>(IF(A746='Hybrid Calculator'!$B$6,0,1))^2+((B746-'Hybrid Calculator'!$B$7)/1500)^2+((C746-'Hybrid Calculator'!$B$8)/1300)^2+((D746-'Hybrid Calculator'!$B$9)/800)^2+((E746-'Hybrid Calculator'!$B$10)/350)^2+((F746-'Hybrid Calculator'!$B$11)/30)^2+(G746-'Hybrid Calculator'!$B$12)^2+((H746-'Hybrid Calculator'!$E$14)/IF(A746="Lightning",100,30000))^2+((I746-'Hybrid Calculator'!$E$17)/IF(A746="Lightning",100,30000))^2</x:f>
        <x:v>1.4895936922044273</x:v>
      </x:c>
      <x:c r="K746" s="23" t="n">
        <x:f>RANK(J746,$J$2:$J$1401,1)</x:f>
        <x:v>1190</x:v>
      </x:c>
      <x:c r="L746" s="23" t="n">
        <x:f>IF(K746&lt;=7,1,0)</x:f>
        <x:v>0</x:v>
      </x:c>
      <x:c r="M746" s="23" t="n">
        <x:f>IF(L746=1,1/(J746+0.000001),0)</x:f>
        <x:v>0</x:v>
      </x:c>
      <x:c r="N746" s="23" t="n">
        <x:v>2.482472923144286</x:v>
      </x:c>
      <x:c r="O746" s="23" t="n">
        <x:f>M746</x:f>
        <x:v>0</x:v>
      </x:c>
      <x:c r="P746" s="23" t="n">
        <x:v>65.18366887325965</x:v>
      </x:c>
      <x:c r="Q746" s="23" t="n">
        <x:v>-4.375159899288178</x:v>
      </x:c>
    </x:row>
    <x:row r="747">
      <x:c r="A747" s="23" t="str">
        <x:v>Switching</x:v>
      </x:c>
      <x:c r="B747" s="23" t="n">
        <x:v>1066.8602541903965</x:v>
      </x:c>
      <x:c r="C747" s="23" t="n">
        <x:v>600.0713513232768</x:v>
      </x:c>
      <x:c r="D747" s="23" t="n">
        <x:v>731.2341905198991</x:v>
      </x:c>
      <x:c r="E747" s="23" t="n">
        <x:v>289.6264526480809</x:v>
      </x:c>
      <x:c r="F747" s="23" t="n">
        <x:v>10.649771524127573</x:v>
      </x:c>
      <x:c r="G747" s="23" t="n">
        <x:v>0.828626298615709</x:v>
      </x:c>
      <x:c r="H747" s="23" t="n">
        <x:v>13195</x:v>
      </x:c>
      <x:c r="I747" s="23" t="n">
        <x:v>1200</x:v>
      </x:c>
      <x:c r="J747" s="23" t="n">
        <x:f>(IF(A747='Hybrid Calculator'!$B$6,0,1))^2+((B747-'Hybrid Calculator'!$B$7)/1500)^2+((C747-'Hybrid Calculator'!$B$8)/1300)^2+((D747-'Hybrid Calculator'!$B$9)/800)^2+((E747-'Hybrid Calculator'!$B$10)/350)^2+((F747-'Hybrid Calculator'!$B$11)/30)^2+(G747-'Hybrid Calculator'!$B$12)^2+((H747-'Hybrid Calculator'!$E$14)/IF(A747="Lightning",100,30000))^2+((I747-'Hybrid Calculator'!$E$17)/IF(A747="Lightning",100,30000))^2</x:f>
        <x:v>1.598732318115171</x:v>
      </x:c>
      <x:c r="K747" s="23" t="n">
        <x:f>RANK(J747,$J$2:$J$1401,1)</x:f>
        <x:v>1351</x:v>
      </x:c>
      <x:c r="L747" s="23" t="n">
        <x:f>IF(K747&lt;=7,1,0)</x:f>
        <x:v>0</x:v>
      </x:c>
      <x:c r="M747" s="23" t="n">
        <x:f>IF(L747=1,1/(J747+0.000001),0)</x:f>
        <x:v>0</x:v>
      </x:c>
      <x:c r="N747" s="23" t="n">
        <x:v>-0.02657976020498154</x:v>
      </x:c>
      <x:c r="O747" s="23" t="n">
        <x:f>M747</x:f>
        <x:v>0</x:v>
      </x:c>
      <x:c r="P747" s="23" t="n">
        <x:v>-40.50786388297092</x:v>
      </x:c>
      <x:c r="Q747" s="23" t="n">
        <x:v>9.319186365700943</x:v>
      </x:c>
    </x:row>
    <x:row r="748">
      <x:c r="A748" s="23" t="str">
        <x:v>Switching</x:v>
      </x:c>
      <x:c r="B748" s="23" t="n">
        <x:v>1067.0015899464488</x:v>
      </x:c>
      <x:c r="C748" s="23" t="n">
        <x:v>846.635170688387</x:v>
      </x:c>
      <x:c r="D748" s="23" t="n">
        <x:v>541.3441659882665</x:v>
      </x:c>
      <x:c r="E748" s="23" t="n">
        <x:v>106.44925523782149</x:v>
      </x:c>
      <x:c r="F748" s="23" t="n">
        <x:v>8.492072066292167</x:v>
      </x:c>
      <x:c r="G748" s="23" t="n">
        <x:v>0.826430673908908</x:v>
      </x:c>
      <x:c r="H748" s="23" t="n">
        <x:v>14310</x:v>
      </x:c>
      <x:c r="I748" s="23" t="n">
        <x:v>1200</x:v>
      </x:c>
      <x:c r="J748" s="23" t="n">
        <x:f>(IF(A748='Hybrid Calculator'!$B$6,0,1))^2+((B748-'Hybrid Calculator'!$B$7)/1500)^2+((C748-'Hybrid Calculator'!$B$8)/1300)^2+((D748-'Hybrid Calculator'!$B$9)/800)^2+((E748-'Hybrid Calculator'!$B$10)/350)^2+((F748-'Hybrid Calculator'!$B$11)/30)^2+(G748-'Hybrid Calculator'!$B$12)^2+((H748-'Hybrid Calculator'!$E$14)/IF(A748="Lightning",100,30000))^2+((I748-'Hybrid Calculator'!$E$17)/IF(A748="Lightning",100,30000))^2</x:f>
        <x:v>1.4139263304290681</x:v>
      </x:c>
      <x:c r="K748" s="23" t="n">
        <x:f>RANK(J748,$J$2:$J$1401,1)</x:f>
        <x:v>1021</x:v>
      </x:c>
      <x:c r="L748" s="23" t="n">
        <x:f>IF(K748&lt;=7,1,0)</x:f>
        <x:v>0</x:v>
      </x:c>
      <x:c r="M748" s="23" t="n">
        <x:f>IF(L748=1,1/(J748+0.000001),0)</x:f>
        <x:v>0</x:v>
      </x:c>
      <x:c r="N748" s="23" t="n">
        <x:v>1.6856581876878067</x:v>
      </x:c>
      <x:c r="O748" s="23" t="n">
        <x:f>M748</x:f>
        <x:v>0</x:v>
      </x:c>
      <x:c r="P748" s="23" t="n">
        <x:v>22.62309274508152</x:v>
      </x:c>
      <x:c r="Q748" s="23" t="n">
        <x:v>9.83974049562039</x:v>
      </x:c>
    </x:row>
    <x:row r="749">
      <x:c r="A749" s="23" t="str">
        <x:v>Switching</x:v>
      </x:c>
      <x:c r="B749" s="23" t="n">
        <x:v>1010.7908990816213</x:v>
      </x:c>
      <x:c r="C749" s="23" t="n">
        <x:v>1062.3841371620074</x:v>
      </x:c>
      <x:c r="D749" s="23" t="n">
        <x:v>386.52539858594537</x:v>
      </x:c>
      <x:c r="E749" s="23" t="n">
        <x:v>288.4427874069661</x:v>
      </x:c>
      <x:c r="F749" s="23" t="n">
        <x:v>11.49585046293214</x:v>
      </x:c>
      <x:c r="G749" s="23" t="n">
        <x:v>0.795362342116423</x:v>
      </x:c>
      <x:c r="H749" s="23" t="n">
        <x:v>12310</x:v>
      </x:c>
      <x:c r="I749" s="23" t="n">
        <x:v>1200</x:v>
      </x:c>
      <x:c r="J749" s="23" t="n">
        <x:f>(IF(A749='Hybrid Calculator'!$B$6,0,1))^2+((B749-'Hybrid Calculator'!$B$7)/1500)^2+((C749-'Hybrid Calculator'!$B$8)/1300)^2+((D749-'Hybrid Calculator'!$B$9)/800)^2+((E749-'Hybrid Calculator'!$B$10)/350)^2+((F749-'Hybrid Calculator'!$B$11)/30)^2+(G749-'Hybrid Calculator'!$B$12)^2+((H749-'Hybrid Calculator'!$E$14)/IF(A749="Lightning",100,30000))^2+((I749-'Hybrid Calculator'!$E$17)/IF(A749="Lightning",100,30000))^2</x:f>
        <x:v>1.5031819724992077</x:v>
      </x:c>
      <x:c r="K749" s="23" t="n">
        <x:f>RANK(J749,$J$2:$J$1401,1)</x:f>
        <x:v>1216</x:v>
      </x:c>
      <x:c r="L749" s="23" t="n">
        <x:f>IF(K749&lt;=7,1,0)</x:f>
        <x:v>0</x:v>
      </x:c>
      <x:c r="M749" s="23" t="n">
        <x:f>IF(L749=1,1/(J749+0.000001),0)</x:f>
        <x:v>0</x:v>
      </x:c>
      <x:c r="N749" s="23" t="n">
        <x:v>5.0651050142953125</x:v>
      </x:c>
      <x:c r="O749" s="23" t="n">
        <x:f>M749</x:f>
        <x:v>0</x:v>
      </x:c>
      <x:c r="P749" s="23" t="n">
        <x:v>31.278638375812534</x:v>
      </x:c>
      <x:c r="Q749" s="23" t="n">
        <x:v>6.600492279868263</x:v>
      </x:c>
    </x:row>
    <x:row r="750">
      <x:c r="A750" s="23" t="str">
        <x:v>Switching</x:v>
      </x:c>
      <x:c r="B750" s="23" t="n">
        <x:v>993.1523873237893</x:v>
      </x:c>
      <x:c r="C750" s="23" t="n">
        <x:v>655.9880806715228</x:v>
      </x:c>
      <x:c r="D750" s="23" t="n">
        <x:v>727.4916607886553</x:v>
      </x:c>
      <x:c r="E750" s="23" t="n">
        <x:v>80.68839098094031</x:v>
      </x:c>
      <x:c r="F750" s="23" t="n">
        <x:v>21.465279773809016</x:v>
      </x:c>
      <x:c r="G750" s="23" t="n">
        <x:v>0.8154831654462033</x:v>
      </x:c>
      <x:c r="H750" s="23" t="n">
        <x:v>14605</x:v>
      </x:c>
      <x:c r="I750" s="23" t="n">
        <x:v>1200</x:v>
      </x:c>
      <x:c r="J750" s="23" t="n">
        <x:f>(IF(A750='Hybrid Calculator'!$B$6,0,1))^2+((B750-'Hybrid Calculator'!$B$7)/1500)^2+((C750-'Hybrid Calculator'!$B$8)/1300)^2+((D750-'Hybrid Calculator'!$B$9)/800)^2+((E750-'Hybrid Calculator'!$B$10)/350)^2+((F750-'Hybrid Calculator'!$B$11)/30)^2+(G750-'Hybrid Calculator'!$B$12)^2+((H750-'Hybrid Calculator'!$E$14)/IF(A750="Lightning",100,30000))^2+((I750-'Hybrid Calculator'!$E$17)/IF(A750="Lightning",100,30000))^2</x:f>
        <x:v>1.4719493958978314</x:v>
      </x:c>
      <x:c r="K750" s="23" t="n">
        <x:f>RANK(J750,$J$2:$J$1401,1)</x:f>
        <x:v>1163</x:v>
      </x:c>
      <x:c r="L750" s="23" t="n">
        <x:f>IF(K750&lt;=7,1,0)</x:f>
        <x:v>0</x:v>
      </x:c>
      <x:c r="M750" s="23" t="n">
        <x:f>IF(L750=1,1/(J750+0.000001),0)</x:f>
        <x:v>0</x:v>
      </x:c>
      <x:c r="N750" s="23" t="n">
        <x:v>-0.7197455623764313</x:v>
      </x:c>
      <x:c r="O750" s="23" t="n">
        <x:f>M750</x:f>
        <x:v>0</x:v>
      </x:c>
      <x:c r="P750" s="23" t="n">
        <x:v>-25.097086360793583</x:v>
      </x:c>
      <x:c r="Q750" s="23" t="n">
        <x:v>2.447405844496757</x:v>
      </x:c>
    </x:row>
    <x:row r="751">
      <x:c r="A751" s="23" t="str">
        <x:v>Switching</x:v>
      </x:c>
      <x:c r="B751" s="23" t="n">
        <x:v>1027.5419725454412</x:v>
      </x:c>
      <x:c r="C751" s="23" t="n">
        <x:v>978.1327181961387</x:v>
      </x:c>
      <x:c r="D751" s="23" t="n">
        <x:v>513.8151447288692</x:v>
      </x:c>
      <x:c r="E751" s="23" t="n">
        <x:v>141.37938133906573</x:v>
      </x:c>
      <x:c r="F751" s="23" t="n">
        <x:v>14.489155340474099</x:v>
      </x:c>
      <x:c r="G751" s="23" t="n">
        <x:v>0.8042755392566323</x:v>
      </x:c>
      <x:c r="H751" s="23" t="n">
        <x:v>13095</x:v>
      </x:c>
      <x:c r="I751" s="23" t="n">
        <x:v>1200</x:v>
      </x:c>
      <x:c r="J751" s="23" t="n">
        <x:f>(IF(A751='Hybrid Calculator'!$B$6,0,1))^2+((B751-'Hybrid Calculator'!$B$7)/1500)^2+((C751-'Hybrid Calculator'!$B$8)/1300)^2+((D751-'Hybrid Calculator'!$B$9)/800)^2+((E751-'Hybrid Calculator'!$B$10)/350)^2+((F751-'Hybrid Calculator'!$B$11)/30)^2+(G751-'Hybrid Calculator'!$B$12)^2+((H751-'Hybrid Calculator'!$E$14)/IF(A751="Lightning",100,30000))^2+((I751-'Hybrid Calculator'!$E$17)/IF(A751="Lightning",100,30000))^2</x:f>
        <x:v>1.2895654487426855</x:v>
      </x:c>
      <x:c r="K751" s="23" t="n">
        <x:f>RANK(J751,$J$2:$J$1401,1)</x:f>
        <x:v>716</x:v>
      </x:c>
      <x:c r="L751" s="23" t="n">
        <x:f>IF(K751&lt;=7,1,0)</x:f>
        <x:v>0</x:v>
      </x:c>
      <x:c r="M751" s="23" t="n">
        <x:f>IF(L751=1,1/(J751+0.000001),0)</x:f>
        <x:v>0</x:v>
      </x:c>
      <x:c r="N751" s="23" t="n">
        <x:v>-0.23634902869767416</x:v>
      </x:c>
      <x:c r="O751" s="23" t="n">
        <x:f>M751</x:f>
        <x:v>0</x:v>
      </x:c>
      <x:c r="P751" s="23" t="n">
        <x:v>36.0677088209186</x:v>
      </x:c>
      <x:c r="Q751" s="23" t="n">
        <x:v>5.264481956568488</x:v>
      </x:c>
    </x:row>
    <x:row r="752">
      <x:c r="A752" s="23" t="str">
        <x:v>Switching</x:v>
      </x:c>
      <x:c r="B752" s="23" t="n">
        <x:v>1091.9552785810083</x:v>
      </x:c>
      <x:c r="C752" s="23" t="n">
        <x:v>797.1244114334695</x:v>
      </x:c>
      <x:c r="D752" s="23" t="n">
        <x:v>728.0833711847663</x:v>
      </x:c>
      <x:c r="E752" s="23" t="n">
        <x:v>153.6553201568313</x:v>
      </x:c>
      <x:c r="F752" s="23" t="n">
        <x:v>23.91049176827073</x:v>
      </x:c>
      <x:c r="G752" s="23" t="n">
        <x:v>0.8361493334942498</x:v>
      </x:c>
      <x:c r="H752" s="23" t="n">
        <x:v>12740</x:v>
      </x:c>
      <x:c r="I752" s="23" t="n">
        <x:v>1200</x:v>
      </x:c>
      <x:c r="J752" s="23" t="n">
        <x:f>(IF(A752='Hybrid Calculator'!$B$6,0,1))^2+((B752-'Hybrid Calculator'!$B$7)/1500)^2+((C752-'Hybrid Calculator'!$B$8)/1300)^2+((D752-'Hybrid Calculator'!$B$9)/800)^2+((E752-'Hybrid Calculator'!$B$10)/350)^2+((F752-'Hybrid Calculator'!$B$11)/30)^2+(G752-'Hybrid Calculator'!$B$12)^2+((H752-'Hybrid Calculator'!$E$14)/IF(A752="Lightning",100,30000))^2+((I752-'Hybrid Calculator'!$E$17)/IF(A752="Lightning",100,30000))^2</x:f>
        <x:v>1.3455949119224977</x:v>
      </x:c>
      <x:c r="K752" s="23" t="n">
        <x:f>RANK(J752,$J$2:$J$1401,1)</x:f>
        <x:v>818</x:v>
      </x:c>
      <x:c r="L752" s="23" t="n">
        <x:f>IF(K752&lt;=7,1,0)</x:f>
        <x:v>0</x:v>
      </x:c>
      <x:c r="M752" s="23" t="n">
        <x:f>IF(L752=1,1/(J752+0.000001),0)</x:f>
        <x:v>0</x:v>
      </x:c>
      <x:c r="N752" s="23" t="n">
        <x:v>1.9509411299090402</x:v>
      </x:c>
      <x:c r="O752" s="23" t="n">
        <x:f>M752</x:f>
        <x:v>0</x:v>
      </x:c>
      <x:c r="P752" s="23" t="n">
        <x:v>-37.12921013968071</x:v>
      </x:c>
      <x:c r="Q752" s="23" t="n">
        <x:v>-10.422730564644326</x:v>
      </x:c>
    </x:row>
    <x:row r="753">
      <x:c r="A753" s="23" t="str">
        <x:v>Switching</x:v>
      </x:c>
      <x:c r="B753" s="23" t="n">
        <x:v>995.2067753416486</x:v>
      </x:c>
      <x:c r="C753" s="23" t="n">
        <x:v>786.921598832123</x:v>
      </x:c>
      <x:c r="D753" s="23" t="n">
        <x:v>551.6862903721631</x:v>
      </x:c>
      <x:c r="E753" s="23" t="n">
        <x:v>309.3180711567402</x:v>
      </x:c>
      <x:c r="F753" s="23" t="n">
        <x:v>27.484006623271853</x:v>
      </x:c>
      <x:c r="G753" s="23" t="n">
        <x:v>0.8323757631285117</x:v>
      </x:c>
      <x:c r="H753" s="23" t="n">
        <x:v>15140</x:v>
      </x:c>
      <x:c r="I753" s="23" t="n">
        <x:v>1200</x:v>
      </x:c>
      <x:c r="J753" s="23" t="n">
        <x:f>(IF(A753='Hybrid Calculator'!$B$6,0,1))^2+((B753-'Hybrid Calculator'!$B$7)/1500)^2+((C753-'Hybrid Calculator'!$B$8)/1300)^2+((D753-'Hybrid Calculator'!$B$9)/800)^2+((E753-'Hybrid Calculator'!$B$10)/350)^2+((F753-'Hybrid Calculator'!$B$11)/30)^2+(G753-'Hybrid Calculator'!$B$12)^2+((H753-'Hybrid Calculator'!$E$14)/IF(A753="Lightning",100,30000))^2+((I753-'Hybrid Calculator'!$E$17)/IF(A753="Lightning",100,30000))^2</x:f>
        <x:v>1.6402059350468965</x:v>
      </x:c>
      <x:c r="K753" s="23" t="n">
        <x:f>RANK(J753,$J$2:$J$1401,1)</x:f>
        <x:v>1372</x:v>
      </x:c>
      <x:c r="L753" s="23" t="n">
        <x:f>IF(K753&lt;=7,1,0)</x:f>
        <x:v>0</x:v>
      </x:c>
      <x:c r="M753" s="23" t="n">
        <x:f>IF(L753=1,1/(J753+0.000001),0)</x:f>
        <x:v>0</x:v>
      </x:c>
      <x:c r="N753" s="23" t="n">
        <x:v>-1.3432784438022338</x:v>
      </x:c>
      <x:c r="O753" s="23" t="n">
        <x:f>M753</x:f>
        <x:v>0</x:v>
      </x:c>
      <x:c r="P753" s="23" t="n">
        <x:v>20.714112252612722</x:v>
      </x:c>
      <x:c r="Q753" s="23" t="n">
        <x:v>-4.074054955903421</x:v>
      </x:c>
    </x:row>
    <x:row r="754">
      <x:c r="A754" s="23" t="str">
        <x:v>Switching</x:v>
      </x:c>
      <x:c r="B754" s="23" t="n">
        <x:v>1088.0231121787801</x:v>
      </x:c>
      <x:c r="C754" s="23" t="n">
        <x:v>1060.2415130590089</x:v>
      </x:c>
      <x:c r="D754" s="23" t="n">
        <x:v>447.2115255892277</x:v>
      </x:c>
      <x:c r="E754" s="23" t="n">
        <x:v>273.1616239598952</x:v>
      </x:c>
      <x:c r="F754" s="23" t="n">
        <x:v>22.180217727087438</x:v>
      </x:c>
      <x:c r="G754" s="23" t="n">
        <x:v>0.841245331519749</x:v>
      </x:c>
      <x:c r="H754" s="23" t="n">
        <x:v>12010</x:v>
      </x:c>
      <x:c r="I754" s="23" t="n">
        <x:v>1200</x:v>
      </x:c>
      <x:c r="J754" s="23" t="n">
        <x:f>(IF(A754='Hybrid Calculator'!$B$6,0,1))^2+((B754-'Hybrid Calculator'!$B$7)/1500)^2+((C754-'Hybrid Calculator'!$B$8)/1300)^2+((D754-'Hybrid Calculator'!$B$9)/800)^2+((E754-'Hybrid Calculator'!$B$10)/350)^2+((F754-'Hybrid Calculator'!$B$11)/30)^2+(G754-'Hybrid Calculator'!$B$12)^2+((H754-'Hybrid Calculator'!$E$14)/IF(A754="Lightning",100,30000))^2+((I754-'Hybrid Calculator'!$E$17)/IF(A754="Lightning",100,30000))^2</x:f>
        <x:v>1.3807732325658477</x:v>
      </x:c>
      <x:c r="K754" s="23" t="n">
        <x:f>RANK(J754,$J$2:$J$1401,1)</x:f>
        <x:v>919</x:v>
      </x:c>
      <x:c r="L754" s="23" t="n">
        <x:f>IF(K754&lt;=7,1,0)</x:f>
        <x:v>0</x:v>
      </x:c>
      <x:c r="M754" s="23" t="n">
        <x:f>IF(L754=1,1/(J754+0.000001),0)</x:f>
        <x:v>0</x:v>
      </x:c>
      <x:c r="N754" s="23" t="n">
        <x:v>-0.9478985872060264</x:v>
      </x:c>
      <x:c r="O754" s="23" t="n">
        <x:f>M754</x:f>
        <x:v>0</x:v>
      </x:c>
      <x:c r="P754" s="23" t="n">
        <x:v>39.258267650743164</x:v>
      </x:c>
      <x:c r="Q754" s="23" t="n">
        <x:v>-2.436178469301467</x:v>
      </x:c>
    </x:row>
    <x:row r="755">
      <x:c r="A755" s="23" t="str">
        <x:v>Switching</x:v>
      </x:c>
      <x:c r="B755" s="23" t="n">
        <x:v>1087.0535287889652</x:v>
      </x:c>
      <x:c r="C755" s="23" t="n">
        <x:v>861.8098089471459</x:v>
      </x:c>
      <x:c r="D755" s="23" t="n">
        <x:v>673.4965725801885</x:v>
      </x:c>
      <x:c r="E755" s="23" t="n">
        <x:v>221.8132671387866</x:v>
      </x:c>
      <x:c r="F755" s="23" t="n">
        <x:v>11.300104015972465</x:v>
      </x:c>
      <x:c r="G755" s="23" t="n">
        <x:v>0.8499158062692732</x:v>
      </x:c>
      <x:c r="H755" s="23" t="n">
        <x:v>12170</x:v>
      </x:c>
      <x:c r="I755" s="23" t="n">
        <x:v>1200</x:v>
      </x:c>
      <x:c r="J755" s="23" t="n">
        <x:f>(IF(A755='Hybrid Calculator'!$B$6,0,1))^2+((B755-'Hybrid Calculator'!$B$7)/1500)^2+((C755-'Hybrid Calculator'!$B$8)/1300)^2+((D755-'Hybrid Calculator'!$B$9)/800)^2+((E755-'Hybrid Calculator'!$B$10)/350)^2+((F755-'Hybrid Calculator'!$B$11)/30)^2+(G755-'Hybrid Calculator'!$B$12)^2+((H755-'Hybrid Calculator'!$E$14)/IF(A755="Lightning",100,30000))^2+((I755-'Hybrid Calculator'!$E$17)/IF(A755="Lightning",100,30000))^2</x:f>
        <x:v>1.3632169294713368</x:v>
      </x:c>
      <x:c r="K755" s="23" t="n">
        <x:f>RANK(J755,$J$2:$J$1401,1)</x:f>
        <x:v>864</x:v>
      </x:c>
      <x:c r="L755" s="23" t="n">
        <x:f>IF(K755&lt;=7,1,0)</x:f>
        <x:v>0</x:v>
      </x:c>
      <x:c r="M755" s="23" t="n">
        <x:f>IF(L755=1,1/(J755+0.000001),0)</x:f>
        <x:v>0</x:v>
      </x:c>
      <x:c r="N755" s="23" t="n">
        <x:v>4.748088565968402</x:v>
      </x:c>
      <x:c r="O755" s="23" t="n">
        <x:f>M755</x:f>
        <x:v>0</x:v>
      </x:c>
      <x:c r="P755" s="23" t="n">
        <x:v>-7.204453758465206</x:v>
      </x:c>
      <x:c r="Q755" s="23" t="n">
        <x:v>2.534325940762983</x:v>
      </x:c>
    </x:row>
    <x:row r="756">
      <x:c r="A756" s="23" t="str">
        <x:v>Switching</x:v>
      </x:c>
      <x:c r="B756" s="23" t="n">
        <x:v>979.6681036241353</x:v>
      </x:c>
      <x:c r="C756" s="23" t="n">
        <x:v>754.2456918745302</x:v>
      </x:c>
      <x:c r="D756" s="23" t="n">
        <x:v>666.1302367225289</x:v>
      </x:c>
      <x:c r="E756" s="23" t="n">
        <x:v>315.4423478827812</x:v>
      </x:c>
      <x:c r="F756" s="23" t="n">
        <x:v>28.515139000490308</x:v>
      </x:c>
      <x:c r="G756" s="23" t="n">
        <x:v>0.8120763662387618</x:v>
      </x:c>
      <x:c r="H756" s="23" t="n">
        <x:v>12320</x:v>
      </x:c>
      <x:c r="I756" s="23" t="n">
        <x:v>1200</x:v>
      </x:c>
      <x:c r="J756" s="23" t="n">
        <x:f>(IF(A756='Hybrid Calculator'!$B$6,0,1))^2+((B756-'Hybrid Calculator'!$B$7)/1500)^2+((C756-'Hybrid Calculator'!$B$8)/1300)^2+((D756-'Hybrid Calculator'!$B$9)/800)^2+((E756-'Hybrid Calculator'!$B$10)/350)^2+((F756-'Hybrid Calculator'!$B$11)/30)^2+(G756-'Hybrid Calculator'!$B$12)^2+((H756-'Hybrid Calculator'!$E$14)/IF(A756="Lightning",100,30000))^2+((I756-'Hybrid Calculator'!$E$17)/IF(A756="Lightning",100,30000))^2</x:f>
        <x:v>1.6404553836188662</x:v>
      </x:c>
      <x:c r="K756" s="23" t="n">
        <x:f>RANK(J756,$J$2:$J$1401,1)</x:f>
        <x:v>1373</x:v>
      </x:c>
      <x:c r="L756" s="23" t="n">
        <x:f>IF(K756&lt;=7,1,0)</x:f>
        <x:v>0</x:v>
      </x:c>
      <x:c r="M756" s="23" t="n">
        <x:f>IF(L756=1,1/(J756+0.000001),0)</x:f>
        <x:v>0</x:v>
      </x:c>
      <x:c r="N756" s="23" t="n">
        <x:v>-0.3387506982505215</x:v>
      </x:c>
      <x:c r="O756" s="23" t="n">
        <x:f>M756</x:f>
        <x:v>0</x:v>
      </x:c>
      <x:c r="P756" s="23" t="n">
        <x:v>19.899723541465846</x:v>
      </x:c>
      <x:c r="Q756" s="23" t="n">
        <x:v>-9.060966809874571</x:v>
      </x:c>
    </x:row>
    <x:row r="757">
      <x:c r="A757" s="23" t="str">
        <x:v>Switching</x:v>
      </x:c>
      <x:c r="B757" s="23" t="n">
        <x:v>982.2277940460481</x:v>
      </x:c>
      <x:c r="C757" s="23" t="n">
        <x:v>1051.9436744274572</x:v>
      </x:c>
      <x:c r="D757" s="23" t="n">
        <x:v>379.6126433648169</x:v>
      </x:c>
      <x:c r="E757" s="23" t="n">
        <x:v>254.765006871894</x:v>
      </x:c>
      <x:c r="F757" s="23" t="n">
        <x:v>10.823078066576272</x:v>
      </x:c>
      <x:c r="G757" s="23" t="n">
        <x:v>0.8574935649568215</x:v>
      </x:c>
      <x:c r="H757" s="23" t="n">
        <x:v>14795</x:v>
      </x:c>
      <x:c r="I757" s="23" t="n">
        <x:v>1200</x:v>
      </x:c>
      <x:c r="J757" s="23" t="n">
        <x:f>(IF(A757='Hybrid Calculator'!$B$6,0,1))^2+((B757-'Hybrid Calculator'!$B$7)/1500)^2+((C757-'Hybrid Calculator'!$B$8)/1300)^2+((D757-'Hybrid Calculator'!$B$9)/800)^2+((E757-'Hybrid Calculator'!$B$10)/350)^2+((F757-'Hybrid Calculator'!$B$11)/30)^2+(G757-'Hybrid Calculator'!$B$12)^2+((H757-'Hybrid Calculator'!$E$14)/IF(A757="Lightning",100,30000))^2+((I757-'Hybrid Calculator'!$E$17)/IF(A757="Lightning",100,30000))^2</x:f>
        <x:v>1.5335016383640574</x:v>
      </x:c>
      <x:c r="K757" s="23" t="n">
        <x:f>RANK(J757,$J$2:$J$1401,1)</x:f>
        <x:v>1271</x:v>
      </x:c>
      <x:c r="L757" s="23" t="n">
        <x:f>IF(K757&lt;=7,1,0)</x:f>
        <x:v>0</x:v>
      </x:c>
      <x:c r="M757" s="23" t="n">
        <x:f>IF(L757=1,1/(J757+0.000001),0)</x:f>
        <x:v>0</x:v>
      </x:c>
      <x:c r="N757" s="23" t="n">
        <x:v>4.302934147464072</x:v>
      </x:c>
      <x:c r="O757" s="23" t="n">
        <x:f>M757</x:f>
        <x:v>0</x:v>
      </x:c>
      <x:c r="P757" s="23" t="n">
        <x:v>34.380883240597086</x:v>
      </x:c>
      <x:c r="Q757" s="23" t="n">
        <x:v>-1.7083088771327084</x:v>
      </x:c>
    </x:row>
    <x:row r="758">
      <x:c r="A758" s="23" t="str">
        <x:v>Switching</x:v>
      </x:c>
      <x:c r="B758" s="23" t="n">
        <x:v>954.7066789120436</x:v>
      </x:c>
      <x:c r="C758" s="23" t="n">
        <x:v>903.8804827607237</x:v>
      </x:c>
      <x:c r="D758" s="23" t="n">
        <x:v>635.5455236509442</x:v>
      </x:c>
      <x:c r="E758" s="23" t="n">
        <x:v>178.23892317945138</x:v>
      </x:c>
      <x:c r="F758" s="23" t="n">
        <x:v>25.830759717151523</x:v>
      </x:c>
      <x:c r="G758" s="23" t="n">
        <x:v>0.8298099133116194</x:v>
      </x:c>
      <x:c r="H758" s="23" t="n">
        <x:v>14525</x:v>
      </x:c>
      <x:c r="I758" s="23" t="n">
        <x:v>1200</x:v>
      </x:c>
      <x:c r="J758" s="23" t="n">
        <x:f>(IF(A758='Hybrid Calculator'!$B$6,0,1))^2+((B758-'Hybrid Calculator'!$B$7)/1500)^2+((C758-'Hybrid Calculator'!$B$8)/1300)^2+((D758-'Hybrid Calculator'!$B$9)/800)^2+((E758-'Hybrid Calculator'!$B$10)/350)^2+((F758-'Hybrid Calculator'!$B$11)/30)^2+(G758-'Hybrid Calculator'!$B$12)^2+((H758-'Hybrid Calculator'!$E$14)/IF(A758="Lightning",100,30000))^2+((I758-'Hybrid Calculator'!$E$17)/IF(A758="Lightning",100,30000))^2</x:f>
        <x:v>1.4293826973475046</x:v>
      </x:c>
      <x:c r="K758" s="23" t="n">
        <x:f>RANK(J758,$J$2:$J$1401,1)</x:f>
        <x:v>1059</x:v>
      </x:c>
      <x:c r="L758" s="23" t="n">
        <x:f>IF(K758&lt;=7,1,0)</x:f>
        <x:v>0</x:v>
      </x:c>
      <x:c r="M758" s="23" t="n">
        <x:f>IF(L758=1,1/(J758+0.000001),0)</x:f>
        <x:v>0</x:v>
      </x:c>
      <x:c r="N758" s="23" t="n">
        <x:v>-1.8176708796791559</x:v>
      </x:c>
      <x:c r="O758" s="23" t="n">
        <x:f>M758</x:f>
        <x:v>0</x:v>
      </x:c>
      <x:c r="P758" s="23" t="n">
        <x:v>-13.223851620487494</x:v>
      </x:c>
      <x:c r="Q758" s="23" t="n">
        <x:v>-3.9341433907737837</x:v>
      </x:c>
    </x:row>
    <x:row r="759">
      <x:c r="A759" s="23" t="str">
        <x:v>Switching</x:v>
      </x:c>
      <x:c r="B759" s="23" t="n">
        <x:v>1077.0460265339352</x:v>
      </x:c>
      <x:c r="C759" s="23" t="n">
        <x:v>1131.8152426043525</x:v>
      </x:c>
      <x:c r="D759" s="23" t="n">
        <x:v>670.0862721540034</x:v>
      </x:c>
      <x:c r="E759" s="23" t="n">
        <x:v>140.36520726047456</x:v>
      </x:c>
      <x:c r="F759" s="23" t="n">
        <x:v>26.095636647660285</x:v>
      </x:c>
      <x:c r="G759" s="23" t="n">
        <x:v>0.8052232249872759</x:v>
      </x:c>
      <x:c r="H759" s="23" t="n">
        <x:v>11010</x:v>
      </x:c>
      <x:c r="I759" s="23" t="n">
        <x:v>1195</x:v>
      </x:c>
      <x:c r="J759" s="23" t="n">
        <x:f>(IF(A759='Hybrid Calculator'!$B$6,0,1))^2+((B759-'Hybrid Calculator'!$B$7)/1500)^2+((C759-'Hybrid Calculator'!$B$8)/1300)^2+((D759-'Hybrid Calculator'!$B$9)/800)^2+((E759-'Hybrid Calculator'!$B$10)/350)^2+((F759-'Hybrid Calculator'!$B$11)/30)^2+(G759-'Hybrid Calculator'!$B$12)^2+((H759-'Hybrid Calculator'!$E$14)/IF(A759="Lightning",100,30000))^2+((I759-'Hybrid Calculator'!$E$17)/IF(A759="Lightning",100,30000))^2</x:f>
        <x:v>1.3460755338560393</x:v>
      </x:c>
      <x:c r="K759" s="23" t="n">
        <x:f>RANK(J759,$J$2:$J$1401,1)</x:f>
        <x:v>822</x:v>
      </x:c>
      <x:c r="L759" s="23" t="n">
        <x:f>IF(K759&lt;=7,1,0)</x:f>
        <x:v>0</x:v>
      </x:c>
      <x:c r="M759" s="23" t="n">
        <x:f>IF(L759=1,1/(J759+0.000001),0)</x:f>
        <x:v>0</x:v>
      </x:c>
      <x:c r="N759" s="23" t="n">
        <x:v>-1.3853270771788004</x:v>
      </x:c>
      <x:c r="O759" s="23" t="n">
        <x:f>M759</x:f>
        <x:v>0</x:v>
      </x:c>
      <x:c r="P759" s="23" t="n">
        <x:v>39.170327354557685</x:v>
      </x:c>
      <x:c r="Q759" s="23" t="n">
        <x:v>-20.251230421760965</x:v>
      </x:c>
    </x:row>
    <x:row r="760">
      <x:c r="A760" s="23" t="str">
        <x:v>Switching</x:v>
      </x:c>
      <x:c r="B760" s="23" t="n">
        <x:v>1081.1620962573215</x:v>
      </x:c>
      <x:c r="C760" s="23" t="n">
        <x:v>702.6259609148838</x:v>
      </x:c>
      <x:c r="D760" s="23" t="n">
        <x:v>584.4837103039026</x:v>
      </x:c>
      <x:c r="E760" s="23" t="n">
        <x:v>137.7004954102449</x:v>
      </x:c>
      <x:c r="F760" s="23" t="n">
        <x:v>27.90029633883387</x:v>
      </x:c>
      <x:c r="G760" s="23" t="n">
        <x:v>0.8025901136058383</x:v>
      </x:c>
      <x:c r="H760" s="23" t="n">
        <x:v>15010</x:v>
      </x:c>
      <x:c r="I760" s="23" t="n">
        <x:v>1200</x:v>
      </x:c>
      <x:c r="J760" s="23" t="n">
        <x:f>(IF(A760='Hybrid Calculator'!$B$6,0,1))^2+((B760-'Hybrid Calculator'!$B$7)/1500)^2+((C760-'Hybrid Calculator'!$B$8)/1300)^2+((D760-'Hybrid Calculator'!$B$9)/800)^2+((E760-'Hybrid Calculator'!$B$10)/350)^2+((F760-'Hybrid Calculator'!$B$11)/30)^2+(G760-'Hybrid Calculator'!$B$12)^2+((H760-'Hybrid Calculator'!$E$14)/IF(A760="Lightning",100,30000))^2+((I760-'Hybrid Calculator'!$E$17)/IF(A760="Lightning",100,30000))^2</x:f>
        <x:v>1.426472571756565</x:v>
      </x:c>
      <x:c r="K760" s="23" t="n">
        <x:f>RANK(J760,$J$2:$J$1401,1)</x:f>
        <x:v>1052</x:v>
      </x:c>
      <x:c r="L760" s="23" t="n">
        <x:f>IF(K760&lt;=7,1,0)</x:f>
        <x:v>0</x:v>
      </x:c>
      <x:c r="M760" s="23" t="n">
        <x:f>IF(L760=1,1/(J760+0.000001),0)</x:f>
        <x:v>0</x:v>
      </x:c>
      <x:c r="N760" s="23" t="n">
        <x:v>-1.5395016037056166</x:v>
      </x:c>
      <x:c r="O760" s="23" t="n">
        <x:f>M760</x:f>
        <x:v>0</x:v>
      </x:c>
      <x:c r="P760" s="23" t="n">
        <x:v>-10.566222178651515</x:v>
      </x:c>
      <x:c r="Q760" s="23" t="n">
        <x:v>1.6987720649417497</x:v>
      </x:c>
    </x:row>
    <x:row r="761">
      <x:c r="A761" s="23" t="str">
        <x:v>Switching</x:v>
      </x:c>
      <x:c r="B761" s="23" t="n">
        <x:v>988.7010205886327</x:v>
      </x:c>
      <x:c r="C761" s="23" t="n">
        <x:v>607.3904554825276</x:v>
      </x:c>
      <x:c r="D761" s="23" t="n">
        <x:v>658.5269148461521</x:v>
      </x:c>
      <x:c r="E761" s="23" t="n">
        <x:v>115.85092525463551</x:v>
      </x:c>
      <x:c r="F761" s="23" t="n">
        <x:v>14.193128954153508</x:v>
      </x:c>
      <x:c r="G761" s="23" t="n">
        <x:v>0.8446187974512578</x:v>
      </x:c>
      <x:c r="H761" s="23" t="n">
        <x:v>18055</x:v>
      </x:c>
      <x:c r="I761" s="23" t="n">
        <x:v>1200</x:v>
      </x:c>
      <x:c r="J761" s="23" t="n">
        <x:f>(IF(A761='Hybrid Calculator'!$B$6,0,1))^2+((B761-'Hybrid Calculator'!$B$7)/1500)^2+((C761-'Hybrid Calculator'!$B$8)/1300)^2+((D761-'Hybrid Calculator'!$B$9)/800)^2+((E761-'Hybrid Calculator'!$B$10)/350)^2+((F761-'Hybrid Calculator'!$B$11)/30)^2+(G761-'Hybrid Calculator'!$B$12)^2+((H761-'Hybrid Calculator'!$E$14)/IF(A761="Lightning",100,30000))^2+((I761-'Hybrid Calculator'!$E$17)/IF(A761="Lightning",100,30000))^2</x:f>
        <x:v>1.5511678741625952</x:v>
      </x:c>
      <x:c r="K761" s="23" t="n">
        <x:f>RANK(J761,$J$2:$J$1401,1)</x:f>
        <x:v>1303</x:v>
      </x:c>
      <x:c r="L761" s="23" t="n">
        <x:f>IF(K761&lt;=7,1,0)</x:f>
        <x:v>0</x:v>
      </x:c>
      <x:c r="M761" s="23" t="n">
        <x:f>IF(L761=1,1/(J761+0.000001),0)</x:f>
        <x:v>0</x:v>
      </x:c>
      <x:c r="N761" s="23" t="n">
        <x:v>1.2188933153605603</x:v>
      </x:c>
      <x:c r="O761" s="23" t="n">
        <x:f>M761</x:f>
        <x:v>0</x:v>
      </x:c>
      <x:c r="P761" s="23" t="n">
        <x:v>-48.18779174923611</x:v>
      </x:c>
      <x:c r="Q761" s="23" t="n">
        <x:v>8.083132181062524</x:v>
      </x:c>
    </x:row>
    <x:row r="762">
      <x:c r="A762" s="23" t="str">
        <x:v>Switching</x:v>
      </x:c>
      <x:c r="B762" s="23" t="n">
        <x:v>1046.1372103076428</x:v>
      </x:c>
      <x:c r="C762" s="23" t="n">
        <x:v>1143.3892753790133</x:v>
      </x:c>
      <x:c r="D762" s="23" t="n">
        <x:v>618.9504211768508</x:v>
      </x:c>
      <x:c r="E762" s="23" t="n">
        <x:v>326.3978666928597</x:v>
      </x:c>
      <x:c r="F762" s="23" t="n">
        <x:v>27.19050544127822</x:v>
      </x:c>
      <x:c r="G762" s="23" t="n">
        <x:v>0.8067463514604606</x:v>
      </x:c>
      <x:c r="H762" s="23" t="n">
        <x:v>10240</x:v>
      </x:c>
      <x:c r="I762" s="23" t="n">
        <x:v>1195</x:v>
      </x:c>
      <x:c r="J762" s="23" t="n">
        <x:f>(IF(A762='Hybrid Calculator'!$B$6,0,1))^2+((B762-'Hybrid Calculator'!$B$7)/1500)^2+((C762-'Hybrid Calculator'!$B$8)/1300)^2+((D762-'Hybrid Calculator'!$B$9)/800)^2+((E762-'Hybrid Calculator'!$B$10)/350)^2+((F762-'Hybrid Calculator'!$B$11)/30)^2+(G762-'Hybrid Calculator'!$B$12)^2+((H762-'Hybrid Calculator'!$E$14)/IF(A762="Lightning",100,30000))^2+((I762-'Hybrid Calculator'!$E$17)/IF(A762="Lightning",100,30000))^2</x:f>
        <x:v>1.5918321498786463</x:v>
      </x:c>
      <x:c r="K762" s="23" t="n">
        <x:f>RANK(J762,$J$2:$J$1401,1)</x:f>
        <x:v>1342</x:v>
      </x:c>
      <x:c r="L762" s="23" t="n">
        <x:f>IF(K762&lt;=7,1,0)</x:f>
        <x:v>0</x:v>
      </x:c>
      <x:c r="M762" s="23" t="n">
        <x:f>IF(L762=1,1/(J762+0.000001),0)</x:f>
        <x:v>0</x:v>
      </x:c>
      <x:c r="N762" s="23" t="n">
        <x:v>1.0043187284691442</x:v>
      </x:c>
      <x:c r="O762" s="23" t="n">
        <x:f>M762</x:f>
        <x:v>0</x:v>
      </x:c>
      <x:c r="P762" s="23" t="n">
        <x:v>2.6980236518302263</x:v>
      </x:c>
      <x:c r="Q762" s="23" t="n">
        <x:v>-21.34094449406757</x:v>
      </x:c>
    </x:row>
    <x:row r="763">
      <x:c r="A763" s="23" t="str">
        <x:v>Switching</x:v>
      </x:c>
      <x:c r="B763" s="23" t="n">
        <x:v>1022.4178891745396</x:v>
      </x:c>
      <x:c r="C763" s="23" t="n">
        <x:v>913.6832679389045</x:v>
      </x:c>
      <x:c r="D763" s="23" t="n">
        <x:v>654.6216537244618</x:v>
      </x:c>
      <x:c r="E763" s="23" t="n">
        <x:v>112.87056181579828</x:v>
      </x:c>
      <x:c r="F763" s="23" t="n">
        <x:v>23.921262266580015</x:v>
      </x:c>
      <x:c r="G763" s="23" t="n">
        <x:v>0.8290338279632852</x:v>
      </x:c>
      <x:c r="H763" s="23" t="n">
        <x:v>12720</x:v>
      </x:c>
      <x:c r="I763" s="23" t="n">
        <x:v>1200</x:v>
      </x:c>
      <x:c r="J763" s="23" t="n">
        <x:f>(IF(A763='Hybrid Calculator'!$B$6,0,1))^2+((B763-'Hybrid Calculator'!$B$7)/1500)^2+((C763-'Hybrid Calculator'!$B$8)/1300)^2+((D763-'Hybrid Calculator'!$B$9)/800)^2+((E763-'Hybrid Calculator'!$B$10)/350)^2+((F763-'Hybrid Calculator'!$B$11)/30)^2+(G763-'Hybrid Calculator'!$B$12)^2+((H763-'Hybrid Calculator'!$E$14)/IF(A763="Lightning",100,30000))^2+((I763-'Hybrid Calculator'!$E$17)/IF(A763="Lightning",100,30000))^2</x:f>
        <x:v>1.3356784917043423</x:v>
      </x:c>
      <x:c r="K763" s="23" t="n">
        <x:f>RANK(J763,$J$2:$J$1401,1)</x:f>
        <x:v>790</x:v>
      </x:c>
      <x:c r="L763" s="23" t="n">
        <x:f>IF(K763&lt;=7,1,0)</x:f>
        <x:v>0</x:v>
      </x:c>
      <x:c r="M763" s="23" t="n">
        <x:f>IF(L763=1,1/(J763+0.000001),0)</x:f>
        <x:v>0</x:v>
      </x:c>
      <x:c r="N763" s="23" t="n">
        <x:v>1.3749205417709334</x:v>
      </x:c>
      <x:c r="O763" s="23" t="n">
        <x:f>M763</x:f>
        <x:v>0</x:v>
      </x:c>
      <x:c r="P763" s="23" t="n">
        <x:v>39.01862188130508</x:v>
      </x:c>
      <x:c r="Q763" s="23" t="n">
        <x:v>-3.254643650713888</x:v>
      </x:c>
    </x:row>
    <x:row r="764">
      <x:c r="A764" s="23" t="str">
        <x:v>Switching</x:v>
      </x:c>
      <x:c r="B764" s="23" t="n">
        <x:v>1085.8693011337891</x:v>
      </x:c>
      <x:c r="C764" s="23" t="n">
        <x:v>746.8129704822786</x:v>
      </x:c>
      <x:c r="D764" s="23" t="n">
        <x:v>358.08381363749504</x:v>
      </x:c>
      <x:c r="E764" s="23" t="n">
        <x:v>207.70133785670623</x:v>
      </x:c>
      <x:c r="F764" s="23" t="n">
        <x:v>19.300337589345872</x:v>
      </x:c>
      <x:c r="G764" s="23" t="n">
        <x:v>0.8142435497208499</x:v>
      </x:c>
      <x:c r="H764" s="23" t="n">
        <x:v>16295</x:v>
      </x:c>
      <x:c r="I764" s="23" t="n">
        <x:v>1200</x:v>
      </x:c>
      <x:c r="J764" s="23" t="n">
        <x:f>(IF(A764='Hybrid Calculator'!$B$6,0,1))^2+((B764-'Hybrid Calculator'!$B$7)/1500)^2+((C764-'Hybrid Calculator'!$B$8)/1300)^2+((D764-'Hybrid Calculator'!$B$9)/800)^2+((E764-'Hybrid Calculator'!$B$10)/350)^2+((F764-'Hybrid Calculator'!$B$11)/30)^2+(G764-'Hybrid Calculator'!$B$12)^2+((H764-'Hybrid Calculator'!$E$14)/IF(A764="Lightning",100,30000))^2+((I764-'Hybrid Calculator'!$E$17)/IF(A764="Lightning",100,30000))^2</x:f>
        <x:v>1.4115650571390335</x:v>
      </x:c>
      <x:c r="K764" s="23" t="n">
        <x:f>RANK(J764,$J$2:$J$1401,1)</x:f>
        <x:v>1012</x:v>
      </x:c>
      <x:c r="L764" s="23" t="n">
        <x:f>IF(K764&lt;=7,1,0)</x:f>
        <x:v>0</x:v>
      </x:c>
      <x:c r="M764" s="23" t="n">
        <x:f>IF(L764=1,1/(J764+0.000001),0)</x:f>
        <x:v>0</x:v>
      </x:c>
      <x:c r="N764" s="23" t="n">
        <x:v>0.6485500382496241</x:v>
      </x:c>
      <x:c r="O764" s="23" t="n">
        <x:f>M764</x:f>
        <x:v>0</x:v>
      </x:c>
      <x:c r="P764" s="23" t="n">
        <x:v>-58.25157449603421</x:v>
      </x:c>
      <x:c r="Q764" s="23" t="n">
        <x:v>7.946792996586055</x:v>
      </x:c>
    </x:row>
    <x:row r="765">
      <x:c r="A765" s="23" t="str">
        <x:v>Switching</x:v>
      </x:c>
      <x:c r="B765" s="23" t="n">
        <x:v>1077.0667174714617</x:v>
      </x:c>
      <x:c r="C765" s="23" t="n">
        <x:v>874.3406500667334</x:v>
      </x:c>
      <x:c r="D765" s="23" t="n">
        <x:v>703.2286225818098</x:v>
      </x:c>
      <x:c r="E765" s="23" t="n">
        <x:v>309.6438600169495</x:v>
      </x:c>
      <x:c r="F765" s="23" t="n">
        <x:v>8.449830131139606</x:v>
      </x:c>
      <x:c r="G765" s="23" t="n">
        <x:v>0.8240216881316156</x:v>
      </x:c>
      <x:c r="H765" s="23" t="n">
        <x:v>11330</x:v>
      </x:c>
      <x:c r="I765" s="23" t="n">
        <x:v>1195</x:v>
      </x:c>
      <x:c r="J765" s="23" t="n">
        <x:f>(IF(A765='Hybrid Calculator'!$B$6,0,1))^2+((B765-'Hybrid Calculator'!$B$7)/1500)^2+((C765-'Hybrid Calculator'!$B$8)/1300)^2+((D765-'Hybrid Calculator'!$B$9)/800)^2+((E765-'Hybrid Calculator'!$B$10)/350)^2+((F765-'Hybrid Calculator'!$B$11)/30)^2+(G765-'Hybrid Calculator'!$B$12)^2+((H765-'Hybrid Calculator'!$E$14)/IF(A765="Lightning",100,30000))^2+((I765-'Hybrid Calculator'!$E$17)/IF(A765="Lightning",100,30000))^2</x:f>
        <x:v>1.58188038311652</x:v>
      </x:c>
      <x:c r="K765" s="23" t="n">
        <x:f>RANK(J765,$J$2:$J$1401,1)</x:f>
        <x:v>1336</x:v>
      </x:c>
      <x:c r="L765" s="23" t="n">
        <x:f>IF(K765&lt;=7,1,0)</x:f>
        <x:v>0</x:v>
      </x:c>
      <x:c r="M765" s="23" t="n">
        <x:f>IF(L765=1,1/(J765+0.000001),0)</x:f>
        <x:v>0</x:v>
      </x:c>
      <x:c r="N765" s="23" t="n">
        <x:v>3.1255938991167795</x:v>
      </x:c>
      <x:c r="O765" s="23" t="n">
        <x:f>M765</x:f>
        <x:v>0</x:v>
      </x:c>
      <x:c r="P765" s="23" t="n">
        <x:v>27.439415914710025</x:v>
      </x:c>
      <x:c r="Q765" s="23" t="n">
        <x:v>-4.362821161062584</x:v>
      </x:c>
    </x:row>
    <x:row r="766">
      <x:c r="A766" s="23" t="str">
        <x:v>Switching</x:v>
      </x:c>
      <x:c r="B766" s="23" t="n">
        <x:v>968.0518212728202</x:v>
      </x:c>
      <x:c r="C766" s="23" t="n">
        <x:v>787.2621271177195</x:v>
      </x:c>
      <x:c r="D766" s="23" t="n">
        <x:v>562.667571939528</x:v>
      </x:c>
      <x:c r="E766" s="23" t="n">
        <x:v>195.38114497670904</x:v>
      </x:c>
      <x:c r="F766" s="23" t="n">
        <x:v>17.623622784391046</x:v>
      </x:c>
      <x:c r="G766" s="23" t="n">
        <x:v>0.8406185397063383</x:v>
      </x:c>
      <x:c r="H766" s="23" t="n">
        <x:v>16145</x:v>
      </x:c>
      <x:c r="I766" s="23" t="n">
        <x:v>1200</x:v>
      </x:c>
      <x:c r="J766" s="23" t="n">
        <x:f>(IF(A766='Hybrid Calculator'!$B$6,0,1))^2+((B766-'Hybrid Calculator'!$B$7)/1500)^2+((C766-'Hybrid Calculator'!$B$8)/1300)^2+((D766-'Hybrid Calculator'!$B$9)/800)^2+((E766-'Hybrid Calculator'!$B$10)/350)^2+((F766-'Hybrid Calculator'!$B$11)/30)^2+(G766-'Hybrid Calculator'!$B$12)^2+((H766-'Hybrid Calculator'!$E$14)/IF(A766="Lightning",100,30000))^2+((I766-'Hybrid Calculator'!$E$17)/IF(A766="Lightning",100,30000))^2</x:f>
        <x:v>1.408722634019746</x:v>
      </x:c>
      <x:c r="K766" s="23" t="n">
        <x:f>RANK(J766,$J$2:$J$1401,1)</x:f>
        <x:v>1000</x:v>
      </x:c>
      <x:c r="L766" s="23" t="n">
        <x:f>IF(K766&lt;=7,1,0)</x:f>
        <x:v>0</x:v>
      </x:c>
      <x:c r="M766" s="23" t="n">
        <x:f>IF(L766=1,1/(J766+0.000001),0)</x:f>
        <x:v>0</x:v>
      </x:c>
      <x:c r="N766" s="23" t="n">
        <x:v>2.2648838898333565</x:v>
      </x:c>
      <x:c r="O766" s="23" t="n">
        <x:f>M766</x:f>
        <x:v>0</x:v>
      </x:c>
      <x:c r="P766" s="23" t="n">
        <x:v>20.49876987910193</x:v>
      </x:c>
      <x:c r="Q766" s="23" t="n">
        <x:v>4.573669379895819</x:v>
      </x:c>
    </x:row>
    <x:row r="767">
      <x:c r="A767" s="23" t="str">
        <x:v>Switching</x:v>
      </x:c>
      <x:c r="B767" s="23" t="n">
        <x:v>1043.2675806456245</x:v>
      </x:c>
      <x:c r="C767" s="23" t="n">
        <x:v>622.0322012202814</x:v>
      </x:c>
      <x:c r="D767" s="23" t="n">
        <x:v>536.5725361742079</x:v>
      </x:c>
      <x:c r="E767" s="23" t="n">
        <x:v>295.75160161592066</x:v>
      </x:c>
      <x:c r="F767" s="23" t="n">
        <x:v>29.445312552619725</x:v>
      </x:c>
      <x:c r="G767" s="23" t="n">
        <x:v>0.8220413696626202</x:v>
      </x:c>
      <x:c r="H767" s="23" t="n">
        <x:v>14705</x:v>
      </x:c>
      <x:c r="I767" s="23" t="n">
        <x:v>1200</x:v>
      </x:c>
      <x:c r="J767" s="23" t="n">
        <x:f>(IF(A767='Hybrid Calculator'!$B$6,0,1))^2+((B767-'Hybrid Calculator'!$B$7)/1500)^2+((C767-'Hybrid Calculator'!$B$8)/1300)^2+((D767-'Hybrid Calculator'!$B$9)/800)^2+((E767-'Hybrid Calculator'!$B$10)/350)^2+((F767-'Hybrid Calculator'!$B$11)/30)^2+(G767-'Hybrid Calculator'!$B$12)^2+((H767-'Hybrid Calculator'!$E$14)/IF(A767="Lightning",100,30000))^2+((I767-'Hybrid Calculator'!$E$17)/IF(A767="Lightning",100,30000))^2</x:f>
        <x:v>1.6443032567325897</x:v>
      </x:c>
      <x:c r="K767" s="23" t="n">
        <x:f>RANK(J767,$J$2:$J$1401,1)</x:f>
        <x:v>1377</x:v>
      </x:c>
      <x:c r="L767" s="23" t="n">
        <x:f>IF(K767&lt;=7,1,0)</x:f>
        <x:v>0</x:v>
      </x:c>
      <x:c r="M767" s="23" t="n">
        <x:f>IF(L767=1,1/(J767+0.000001),0)</x:f>
        <x:v>0</x:v>
      </x:c>
      <x:c r="N767" s="23" t="n">
        <x:v>-1.1913094365304175</x:v>
      </x:c>
      <x:c r="O767" s="23" t="n">
        <x:f>M767</x:f>
        <x:v>0</x:v>
      </x:c>
      <x:c r="P767" s="23" t="n">
        <x:v>-64.07784253931686</x:v>
      </x:c>
      <x:c r="Q767" s="23" t="n">
        <x:v>-5.303334199617211</x:v>
      </x:c>
    </x:row>
    <x:row r="768">
      <x:c r="A768" s="23" t="str">
        <x:v>Switching</x:v>
      </x:c>
      <x:c r="B768" s="23" t="n">
        <x:v>1028.3077653264627</x:v>
      </x:c>
      <x:c r="C768" s="23" t="n">
        <x:v>896.7909803264774</x:v>
      </x:c>
      <x:c r="D768" s="23" t="n">
        <x:v>694.5982228964567</x:v>
      </x:c>
      <x:c r="E768" s="23" t="n">
        <x:v>112.12119609816</x:v>
      </x:c>
      <x:c r="F768" s="23" t="n">
        <x:v>16.179800902493298</x:v>
      </x:c>
      <x:c r="G768" s="23" t="n">
        <x:v>0.8481977392802946</x:v>
      </x:c>
      <x:c r="H768" s="23" t="n">
        <x:v>12555</x:v>
      </x:c>
      <x:c r="I768" s="23" t="n">
        <x:v>1200</x:v>
      </x:c>
      <x:c r="J768" s="23" t="n">
        <x:f>(IF(A768='Hybrid Calculator'!$B$6,0,1))^2+((B768-'Hybrid Calculator'!$B$7)/1500)^2+((C768-'Hybrid Calculator'!$B$8)/1300)^2+((D768-'Hybrid Calculator'!$B$9)/800)^2+((E768-'Hybrid Calculator'!$B$10)/350)^2+((F768-'Hybrid Calculator'!$B$11)/30)^2+(G768-'Hybrid Calculator'!$B$12)^2+((H768-'Hybrid Calculator'!$E$14)/IF(A768="Lightning",100,30000))^2+((I768-'Hybrid Calculator'!$E$17)/IF(A768="Lightning",100,30000))^2</x:f>
        <x:v>1.3241781848410183</x:v>
      </x:c>
      <x:c r="K768" s="23" t="n">
        <x:f>RANK(J768,$J$2:$J$1401,1)</x:f>
        <x:v>766</x:v>
      </x:c>
      <x:c r="L768" s="23" t="n">
        <x:f>IF(K768&lt;=7,1,0)</x:f>
        <x:v>0</x:v>
      </x:c>
      <x:c r="M768" s="23" t="n">
        <x:f>IF(L768=1,1/(J768+0.000001),0)</x:f>
        <x:v>0</x:v>
      </x:c>
      <x:c r="N768" s="23" t="n">
        <x:v>-1.0679186516599941</x:v>
      </x:c>
      <x:c r="O768" s="23" t="n">
        <x:f>M768</x:f>
        <x:v>0</x:v>
      </x:c>
      <x:c r="P768" s="23" t="n">
        <x:v>-42.02173537442195</x:v>
      </x:c>
      <x:c r="Q768" s="23" t="n">
        <x:v>5.354053486788644</x:v>
      </x:c>
    </x:row>
    <x:row r="769">
      <x:c r="A769" s="23" t="str">
        <x:v>Switching</x:v>
      </x:c>
      <x:c r="B769" s="23" t="n">
        <x:v>1019.6555546834134</x:v>
      </x:c>
      <x:c r="C769" s="23" t="n">
        <x:v>806.1349530238658</x:v>
      </x:c>
      <x:c r="D769" s="23" t="n">
        <x:v>433.76998929306865</x:v>
      </x:c>
      <x:c r="E769" s="23" t="n">
        <x:v>164.9095213925466</x:v>
      </x:c>
      <x:c r="F769" s="23" t="n">
        <x:v>15.049937121104449</x:v>
      </x:c>
      <x:c r="G769" s="23" t="n">
        <x:v>0.7956636420451105</x:v>
      </x:c>
      <x:c r="H769" s="23" t="n">
        <x:v>15225</x:v>
      </x:c>
      <x:c r="I769" s="23" t="n">
        <x:v>1200</x:v>
      </x:c>
      <x:c r="J769" s="23" t="n">
        <x:f>(IF(A769='Hybrid Calculator'!$B$6,0,1))^2+((B769-'Hybrid Calculator'!$B$7)/1500)^2+((C769-'Hybrid Calculator'!$B$8)/1300)^2+((D769-'Hybrid Calculator'!$B$9)/800)^2+((E769-'Hybrid Calculator'!$B$10)/350)^2+((F769-'Hybrid Calculator'!$B$11)/30)^2+(G769-'Hybrid Calculator'!$B$12)^2+((H769-'Hybrid Calculator'!$E$14)/IF(A769="Lightning",100,30000))^2+((I769-'Hybrid Calculator'!$E$17)/IF(A769="Lightning",100,30000))^2</x:f>
        <x:v>1.3540501439617127</x:v>
      </x:c>
      <x:c r="K769" s="23" t="n">
        <x:f>RANK(J769,$J$2:$J$1401,1)</x:f>
        <x:v>842</x:v>
      </x:c>
      <x:c r="L769" s="23" t="n">
        <x:f>IF(K769&lt;=7,1,0)</x:f>
        <x:v>0</x:v>
      </x:c>
      <x:c r="M769" s="23" t="n">
        <x:f>IF(L769=1,1/(J769+0.000001),0)</x:f>
        <x:v>0</x:v>
      </x:c>
      <x:c r="N769" s="23" t="n">
        <x:v>0.30900637821932264</x:v>
      </x:c>
      <x:c r="O769" s="23" t="n">
        <x:f>M769</x:f>
        <x:v>0</x:v>
      </x:c>
      <x:c r="P769" s="23" t="n">
        <x:v>-3.469735370059425</x:v>
      </x:c>
      <x:c r="Q769" s="23" t="n">
        <x:v>11.224858923583952</x:v>
      </x:c>
    </x:row>
    <x:row r="770">
      <x:c r="A770" s="23" t="str">
        <x:v>Switching</x:v>
      </x:c>
      <x:c r="B770" s="23" t="n">
        <x:v>955.1547082606703</x:v>
      </x:c>
      <x:c r="C770" s="23" t="n">
        <x:v>713.4370820480399</x:v>
      </x:c>
      <x:c r="D770" s="23" t="n">
        <x:v>665.3478128835559</x:v>
      </x:c>
      <x:c r="E770" s="23" t="n">
        <x:v>87.91699375258759</x:v>
      </x:c>
      <x:c r="F770" s="23" t="n">
        <x:v>16.187785677611828</x:v>
      </x:c>
      <x:c r="G770" s="23" t="n">
        <x:v>0.8572907525510528</x:v>
      </x:c>
      <x:c r="H770" s="23" t="n">
        <x:v>17010</x:v>
      </x:c>
      <x:c r="I770" s="23" t="n">
        <x:v>1200</x:v>
      </x:c>
      <x:c r="J770" s="23" t="n">
        <x:f>(IF(A770='Hybrid Calculator'!$B$6,0,1))^2+((B770-'Hybrid Calculator'!$B$7)/1500)^2+((C770-'Hybrid Calculator'!$B$8)/1300)^2+((D770-'Hybrid Calculator'!$B$9)/800)^2+((E770-'Hybrid Calculator'!$B$10)/350)^2+((F770-'Hybrid Calculator'!$B$11)/30)^2+(G770-'Hybrid Calculator'!$B$12)^2+((H770-'Hybrid Calculator'!$E$14)/IF(A770="Lightning",100,30000))^2+((I770-'Hybrid Calculator'!$E$17)/IF(A770="Lightning",100,30000))^2</x:f>
        <x:v>1.5117973621099803</x:v>
      </x:c>
      <x:c r="K770" s="23" t="n">
        <x:f>RANK(J770,$J$2:$J$1401,1)</x:f>
        <x:v>1232</x:v>
      </x:c>
      <x:c r="L770" s="23" t="n">
        <x:f>IF(K770&lt;=7,1,0)</x:f>
        <x:v>0</x:v>
      </x:c>
      <x:c r="M770" s="23" t="n">
        <x:f>IF(L770=1,1/(J770+0.000001),0)</x:f>
        <x:v>0</x:v>
      </x:c>
      <x:c r="N770" s="23" t="n">
        <x:v>-1.6641848028827155</x:v>
      </x:c>
      <x:c r="O770" s="23" t="n">
        <x:f>M770</x:f>
        <x:v>0</x:v>
      </x:c>
      <x:c r="P770" s="23" t="n">
        <x:v>-13.138097840771934</x:v>
      </x:c>
      <x:c r="Q770" s="23" t="n">
        <x:v>2.7401696050458213</x:v>
      </x:c>
    </x:row>
    <x:row r="771">
      <x:c r="A771" s="23" t="str">
        <x:v>Switching</x:v>
      </x:c>
      <x:c r="B771" s="23" t="n">
        <x:v>1059.024725027848</x:v>
      </x:c>
      <x:c r="C771" s="23" t="n">
        <x:v>885.2944236015901</x:v>
      </x:c>
      <x:c r="D771" s="23" t="n">
        <x:v>506.2397656030953</x:v>
      </x:c>
      <x:c r="E771" s="23" t="n">
        <x:v>261.4173008315265</x:v>
      </x:c>
      <x:c r="F771" s="23" t="n">
        <x:v>24.868155910167843</x:v>
      </x:c>
      <x:c r="G771" s="23" t="n">
        <x:v>0.8422132148733363</x:v>
      </x:c>
      <x:c r="H771" s="23" t="n">
        <x:v>12940</x:v>
      </x:c>
      <x:c r="I771" s="23" t="n">
        <x:v>1200</x:v>
      </x:c>
      <x:c r="J771" s="23" t="n">
        <x:f>(IF(A771='Hybrid Calculator'!$B$6,0,1))^2+((B771-'Hybrid Calculator'!$B$7)/1500)^2+((C771-'Hybrid Calculator'!$B$8)/1300)^2+((D771-'Hybrid Calculator'!$B$9)/800)^2+((E771-'Hybrid Calculator'!$B$10)/350)^2+((F771-'Hybrid Calculator'!$B$11)/30)^2+(G771-'Hybrid Calculator'!$B$12)^2+((H771-'Hybrid Calculator'!$E$14)/IF(A771="Lightning",100,30000))^2+((I771-'Hybrid Calculator'!$E$17)/IF(A771="Lightning",100,30000))^2</x:f>
        <x:v>1.3933633981843976</x:v>
      </x:c>
      <x:c r="K771" s="23" t="n">
        <x:f>RANK(J771,$J$2:$J$1401,1)</x:f>
        <x:v>958</x:v>
      </x:c>
      <x:c r="L771" s="23" t="n">
        <x:f>IF(K771&lt;=7,1,0)</x:f>
        <x:v>0</x:v>
      </x:c>
      <x:c r="M771" s="23" t="n">
        <x:f>IF(L771=1,1/(J771+0.000001),0)</x:f>
        <x:v>0</x:v>
      </x:c>
      <x:c r="N771" s="23" t="n">
        <x:v>-0.7196547695870379</x:v>
      </x:c>
      <x:c r="O771" s="23" t="n">
        <x:f>M771</x:f>
        <x:v>0</x:v>
      </x:c>
      <x:c r="P771" s="23" t="n">
        <x:v>-40.436845808138514</x:v>
      </x:c>
      <x:c r="Q771" s="23" t="n">
        <x:v>-10.89296814932959</x:v>
      </x:c>
    </x:row>
    <x:row r="772">
      <x:c r="A772" s="23" t="str">
        <x:v>Switching</x:v>
      </x:c>
      <x:c r="B772" s="23" t="n">
        <x:v>1008.4097215440124</x:v>
      </x:c>
      <x:c r="C772" s="23" t="n">
        <x:v>717.7073872531764</x:v>
      </x:c>
      <x:c r="D772" s="23" t="n">
        <x:v>437.5149389728904</x:v>
      </x:c>
      <x:c r="E772" s="23" t="n">
        <x:v>141.38814968289807</x:v>
      </x:c>
      <x:c r="F772" s="23" t="n">
        <x:v>22.86037688329816</x:v>
      </x:c>
      <x:c r="G772" s="23" t="n">
        <x:v>0.8409891685866752</x:v>
      </x:c>
      <x:c r="H772" s="23" t="n">
        <x:v>19245</x:v>
      </x:c>
      <x:c r="I772" s="23" t="n">
        <x:v>1200</x:v>
      </x:c>
      <x:c r="J772" s="23" t="n">
        <x:f>(IF(A772='Hybrid Calculator'!$B$6,0,1))^2+((B772-'Hybrid Calculator'!$B$7)/1500)^2+((C772-'Hybrid Calculator'!$B$8)/1300)^2+((D772-'Hybrid Calculator'!$B$9)/800)^2+((E772-'Hybrid Calculator'!$B$10)/350)^2+((F772-'Hybrid Calculator'!$B$11)/30)^2+(G772-'Hybrid Calculator'!$B$12)^2+((H772-'Hybrid Calculator'!$E$14)/IF(A772="Lightning",100,30000))^2+((I772-'Hybrid Calculator'!$E$17)/IF(A772="Lightning",100,30000))^2</x:f>
        <x:v>1.526680739517945</x:v>
      </x:c>
      <x:c r="K772" s="23" t="n">
        <x:f>RANK(J772,$J$2:$J$1401,1)</x:f>
        <x:v>1259</x:v>
      </x:c>
      <x:c r="L772" s="23" t="n">
        <x:f>IF(K772&lt;=7,1,0)</x:f>
        <x:v>0</x:v>
      </x:c>
      <x:c r="M772" s="23" t="n">
        <x:f>IF(L772=1,1/(J772+0.000001),0)</x:f>
        <x:v>0</x:v>
      </x:c>
      <x:c r="N772" s="23" t="n">
        <x:v>-5.27788350869838</x:v>
      </x:c>
      <x:c r="O772" s="23" t="n">
        <x:f>M772</x:f>
        <x:v>0</x:v>
      </x:c>
      <x:c r="P772" s="23" t="n">
        <x:v>18.084825026846374</x:v>
      </x:c>
      <x:c r="Q772" s="23" t="n">
        <x:v>2.3073808053392213</x:v>
      </x:c>
    </x:row>
    <x:row r="773">
      <x:c r="A773" s="23" t="str">
        <x:v>Switching</x:v>
      </x:c>
      <x:c r="B773" s="23" t="n">
        <x:v>1004.5513333869167</x:v>
      </x:c>
      <x:c r="C773" s="23" t="n">
        <x:v>789.002898032777</x:v>
      </x:c>
      <x:c r="D773" s="23" t="n">
        <x:v>474.48750184848905</x:v>
      </x:c>
      <x:c r="E773" s="23" t="n">
        <x:v>238.40096585452557</x:v>
      </x:c>
      <x:c r="F773" s="23" t="n">
        <x:v>23.55012776935473</x:v>
      </x:c>
      <x:c r="G773" s="23" t="n">
        <x:v>0.8206052109552547</x:v>
      </x:c>
      <x:c r="H773" s="23" t="n">
        <x:v>14240</x:v>
      </x:c>
      <x:c r="I773" s="23" t="n">
        <x:v>1200</x:v>
      </x:c>
      <x:c r="J773" s="23" t="n">
        <x:f>(IF(A773='Hybrid Calculator'!$B$6,0,1))^2+((B773-'Hybrid Calculator'!$B$7)/1500)^2+((C773-'Hybrid Calculator'!$B$8)/1300)^2+((D773-'Hybrid Calculator'!$B$9)/800)^2+((E773-'Hybrid Calculator'!$B$10)/350)^2+((F773-'Hybrid Calculator'!$B$11)/30)^2+(G773-'Hybrid Calculator'!$B$12)^2+((H773-'Hybrid Calculator'!$E$14)/IF(A773="Lightning",100,30000))^2+((I773-'Hybrid Calculator'!$E$17)/IF(A773="Lightning",100,30000))^2</x:f>
        <x:v>1.3991808289969445</x:v>
      </x:c>
      <x:c r="K773" s="23" t="n">
        <x:f>RANK(J773,$J$2:$J$1401,1)</x:f>
        <x:v>974</x:v>
      </x:c>
      <x:c r="L773" s="23" t="n">
        <x:f>IF(K773&lt;=7,1,0)</x:f>
        <x:v>0</x:v>
      </x:c>
      <x:c r="M773" s="23" t="n">
        <x:f>IF(L773=1,1/(J773+0.000001),0)</x:f>
        <x:v>0</x:v>
      </x:c>
      <x:c r="N773" s="23" t="n">
        <x:v>-2.419979861228711</x:v>
      </x:c>
      <x:c r="O773" s="23" t="n">
        <x:f>M773</x:f>
        <x:v>0</x:v>
      </x:c>
      <x:c r="P773" s="23" t="n">
        <x:v>-1.9830810246376132</x:v>
      </x:c>
      <x:c r="Q773" s="23" t="n">
        <x:v>-7.003184995349216</x:v>
      </x:c>
    </x:row>
    <x:row r="774">
      <x:c r="A774" s="23" t="str">
        <x:v>Switching</x:v>
      </x:c>
      <x:c r="B774" s="23" t="n">
        <x:v>980.6064045289531</x:v>
      </x:c>
      <x:c r="C774" s="23" t="n">
        <x:v>863.93792378949</x:v>
      </x:c>
      <x:c r="D774" s="23" t="n">
        <x:v>550.6399281322956</x:v>
      </x:c>
      <x:c r="E774" s="23" t="n">
        <x:v>249.25099905347452</x:v>
      </x:c>
      <x:c r="F774" s="23" t="n">
        <x:v>14.88305005338043</x:v>
      </x:c>
      <x:c r="G774" s="23" t="n">
        <x:v>0.815720540562179</x:v>
      </x:c>
      <x:c r="H774" s="23" t="n">
        <x:v>12855</x:v>
      </x:c>
      <x:c r="I774" s="23" t="n">
        <x:v>1200</x:v>
      </x:c>
      <x:c r="J774" s="23" t="n">
        <x:f>(IF(A774='Hybrid Calculator'!$B$6,0,1))^2+((B774-'Hybrid Calculator'!$B$7)/1500)^2+((C774-'Hybrid Calculator'!$B$8)/1300)^2+((D774-'Hybrid Calculator'!$B$9)/800)^2+((E774-'Hybrid Calculator'!$B$10)/350)^2+((F774-'Hybrid Calculator'!$B$11)/30)^2+(G774-'Hybrid Calculator'!$B$12)^2+((H774-'Hybrid Calculator'!$E$14)/IF(A774="Lightning",100,30000))^2+((I774-'Hybrid Calculator'!$E$17)/IF(A774="Lightning",100,30000))^2</x:f>
        <x:v>1.370582565397453</x:v>
      </x:c>
      <x:c r="K774" s="23" t="n">
        <x:f>RANK(J774,$J$2:$J$1401,1)</x:f>
        <x:v>891</x:v>
      </x:c>
      <x:c r="L774" s="23" t="n">
        <x:f>IF(K774&lt;=7,1,0)</x:f>
        <x:v>0</x:v>
      </x:c>
      <x:c r="M774" s="23" t="n">
        <x:f>IF(L774=1,1/(J774+0.000001),0)</x:f>
        <x:v>0</x:v>
      </x:c>
      <x:c r="N774" s="23" t="n">
        <x:v>-0.9360106913582911</x:v>
      </x:c>
      <x:c r="O774" s="23" t="n">
        <x:f>M774</x:f>
        <x:v>0</x:v>
      </x:c>
      <x:c r="P774" s="23" t="n">
        <x:v>26.57352213683589</x:v>
      </x:c>
      <x:c r="Q774" s="23" t="n">
        <x:v>-1.7628428097972346</x:v>
      </x:c>
    </x:row>
    <x:row r="775">
      <x:c r="A775" s="23" t="str">
        <x:v>Switching</x:v>
      </x:c>
      <x:c r="B775" s="23" t="n">
        <x:v>973.2541248085909</x:v>
      </x:c>
      <x:c r="C775" s="23" t="n">
        <x:v>849.1979343816638</x:v>
      </x:c>
      <x:c r="D775" s="23" t="n">
        <x:v>439.33589002117515</x:v>
      </x:c>
      <x:c r="E775" s="23" t="n">
        <x:v>277.9779285611585</x:v>
      </x:c>
      <x:c r="F775" s="23" t="n">
        <x:v>9.808862486388534</x:v>
      </x:c>
      <x:c r="G775" s="23" t="n">
        <x:v>0.8028025267925114</x:v>
      </x:c>
      <x:c r="H775" s="23" t="n">
        <x:v>13650</x:v>
      </x:c>
      <x:c r="I775" s="23" t="n">
        <x:v>1200</x:v>
      </x:c>
      <x:c r="J775" s="23" t="n">
        <x:f>(IF(A775='Hybrid Calculator'!$B$6,0,1))^2+((B775-'Hybrid Calculator'!$B$7)/1500)^2+((C775-'Hybrid Calculator'!$B$8)/1300)^2+((D775-'Hybrid Calculator'!$B$9)/800)^2+((E775-'Hybrid Calculator'!$B$10)/350)^2+((F775-'Hybrid Calculator'!$B$11)/30)^2+(G775-'Hybrid Calculator'!$B$12)^2+((H775-'Hybrid Calculator'!$E$14)/IF(A775="Lightning",100,30000))^2+((I775-'Hybrid Calculator'!$E$17)/IF(A775="Lightning",100,30000))^2</x:f>
        <x:v>1.5214207509747535</x:v>
      </x:c>
      <x:c r="K775" s="23" t="n">
        <x:f>RANK(J775,$J$2:$J$1401,1)</x:f>
        <x:v>1249</x:v>
      </x:c>
      <x:c r="L775" s="23" t="n">
        <x:f>IF(K775&lt;=7,1,0)</x:f>
        <x:v>0</x:v>
      </x:c>
      <x:c r="M775" s="23" t="n">
        <x:f>IF(L775=1,1/(J775+0.000001),0)</x:f>
        <x:v>0</x:v>
      </x:c>
      <x:c r="N775" s="23" t="n">
        <x:v>1.9524783227597027</x:v>
      </x:c>
      <x:c r="O775" s="23" t="n">
        <x:f>M775</x:f>
        <x:v>0</x:v>
      </x:c>
      <x:c r="P775" s="23" t="n">
        <x:v>20.54754020488008</x:v>
      </x:c>
      <x:c r="Q775" s="23" t="n">
        <x:v>3.963460293061644</x:v>
      </x:c>
    </x:row>
    <x:row r="776">
      <x:c r="A776" s="23" t="str">
        <x:v>Switching</x:v>
      </x:c>
      <x:c r="B776" s="23" t="n">
        <x:v>1000.005664024502</x:v>
      </x:c>
      <x:c r="C776" s="23" t="n">
        <x:v>1091.0558474599384</x:v>
      </x:c>
      <x:c r="D776" s="23" t="n">
        <x:v>681.0384223237634</x:v>
      </x:c>
      <x:c r="E776" s="23" t="n">
        <x:v>220.21603210130706</x:v>
      </x:c>
      <x:c r="F776" s="23" t="n">
        <x:v>21.186837079003453</x:v>
      </x:c>
      <x:c r="G776" s="23" t="n">
        <x:v>0.812853166081477</x:v>
      </x:c>
      <x:c r="H776" s="23" t="n">
        <x:v>10735</x:v>
      </x:c>
      <x:c r="I776" s="23" t="n">
        <x:v>1195</x:v>
      </x:c>
      <x:c r="J776" s="23" t="n">
        <x:f>(IF(A776='Hybrid Calculator'!$B$6,0,1))^2+((B776-'Hybrid Calculator'!$B$7)/1500)^2+((C776-'Hybrid Calculator'!$B$8)/1300)^2+((D776-'Hybrid Calculator'!$B$9)/800)^2+((E776-'Hybrid Calculator'!$B$10)/350)^2+((F776-'Hybrid Calculator'!$B$11)/30)^2+(G776-'Hybrid Calculator'!$B$12)^2+((H776-'Hybrid Calculator'!$E$14)/IF(A776="Lightning",100,30000))^2+((I776-'Hybrid Calculator'!$E$17)/IF(A776="Lightning",100,30000))^2</x:f>
        <x:v>1.342565082517944</x:v>
      </x:c>
      <x:c r="K776" s="23" t="n">
        <x:f>RANK(J776,$J$2:$J$1401,1)</x:f>
        <x:v>809</x:v>
      </x:c>
      <x:c r="L776" s="23" t="n">
        <x:f>IF(K776&lt;=7,1,0)</x:f>
        <x:v>0</x:v>
      </x:c>
      <x:c r="M776" s="23" t="n">
        <x:f>IF(L776=1,1/(J776+0.000001),0)</x:f>
        <x:v>0</x:v>
      </x:c>
      <x:c r="N776" s="23" t="n">
        <x:v>-1.3983876578146806</x:v>
      </x:c>
      <x:c r="O776" s="23" t="n">
        <x:f>M776</x:f>
        <x:v>0</x:v>
      </x:c>
      <x:c r="P776" s="23" t="n">
        <x:v>36.991126877702754</x:v>
      </x:c>
      <x:c r="Q776" s="23" t="n">
        <x:v>-5.6751084871724515</x:v>
      </x:c>
    </x:row>
    <x:row r="777">
      <x:c r="A777" s="23" t="str">
        <x:v>Switching</x:v>
      </x:c>
      <x:c r="B777" s="23" t="n">
        <x:v>1087.4742883839644</x:v>
      </x:c>
      <x:c r="C777" s="23" t="n">
        <x:v>926.2242288561538</x:v>
      </x:c>
      <x:c r="D777" s="23" t="n">
        <x:v>650.2959826029837</x:v>
      </x:c>
      <x:c r="E777" s="23" t="n">
        <x:v>245.54338787682354</x:v>
      </x:c>
      <x:c r="F777" s="23" t="n">
        <x:v>22.671594337094575</x:v>
      </x:c>
      <x:c r="G777" s="23" t="n">
        <x:v>0.8178646064782515</x:v>
      </x:c>
      <x:c r="H777" s="23" t="n">
        <x:v>11735</x:v>
      </x:c>
      <x:c r="I777" s="23" t="n">
        <x:v>1195</x:v>
      </x:c>
      <x:c r="J777" s="23" t="n">
        <x:f>(IF(A777='Hybrid Calculator'!$B$6,0,1))^2+((B777-'Hybrid Calculator'!$B$7)/1500)^2+((C777-'Hybrid Calculator'!$B$8)/1300)^2+((D777-'Hybrid Calculator'!$B$9)/800)^2+((E777-'Hybrid Calculator'!$B$10)/350)^2+((F777-'Hybrid Calculator'!$B$11)/30)^2+(G777-'Hybrid Calculator'!$B$12)^2+((H777-'Hybrid Calculator'!$E$14)/IF(A777="Lightning",100,30000))^2+((I777-'Hybrid Calculator'!$E$17)/IF(A777="Lightning",100,30000))^2</x:f>
        <x:v>1.336456063431679</x:v>
      </x:c>
      <x:c r="K777" s="23" t="n">
        <x:f>RANK(J777,$J$2:$J$1401,1)</x:f>
        <x:v>792</x:v>
      </x:c>
      <x:c r="L777" s="23" t="n">
        <x:f>IF(K777&lt;=7,1,0)</x:f>
        <x:v>0</x:v>
      </x:c>
      <x:c r="M777" s="23" t="n">
        <x:f>IF(L777=1,1/(J777+0.000001),0)</x:f>
        <x:v>0</x:v>
      </x:c>
      <x:c r="N777" s="23" t="n">
        <x:v>1.6135375353249515</x:v>
      </x:c>
      <x:c r="O777" s="23" t="n">
        <x:f>M777</x:f>
        <x:v>0</x:v>
      </x:c>
      <x:c r="P777" s="23" t="n">
        <x:v>-22.609556532280294</x:v>
      </x:c>
      <x:c r="Q777" s="23" t="n">
        <x:v>-14.14923112578299</x:v>
      </x:c>
    </x:row>
    <x:row r="778">
      <x:c r="A778" s="23" t="str">
        <x:v>Switching</x:v>
      </x:c>
      <x:c r="B778" s="23" t="n">
        <x:v>971.6903144260868</x:v>
      </x:c>
      <x:c r="C778" s="23" t="n">
        <x:v>626.131205225829</x:v>
      </x:c>
      <x:c r="D778" s="23" t="n">
        <x:v>440.96781872212887</x:v>
      </x:c>
      <x:c r="E778" s="23" t="n">
        <x:v>269.30352543247864</x:v>
      </x:c>
      <x:c r="F778" s="23" t="n">
        <x:v>8.85249909479171</x:v>
      </x:c>
      <x:c r="G778" s="23" t="n">
        <x:v>0.825793079554569</x:v>
      </x:c>
      <x:c r="H778" s="23" t="n">
        <x:v>18670</x:v>
      </x:c>
      <x:c r="I778" s="23" t="n">
        <x:v>1200</x:v>
      </x:c>
      <x:c r="J778" s="23" t="n">
        <x:f>(IF(A778='Hybrid Calculator'!$B$6,0,1))^2+((B778-'Hybrid Calculator'!$B$7)/1500)^2+((C778-'Hybrid Calculator'!$B$8)/1300)^2+((D778-'Hybrid Calculator'!$B$9)/800)^2+((E778-'Hybrid Calculator'!$B$10)/350)^2+((F778-'Hybrid Calculator'!$B$11)/30)^2+(G778-'Hybrid Calculator'!$B$12)^2+((H778-'Hybrid Calculator'!$E$14)/IF(A778="Lightning",100,30000))^2+((I778-'Hybrid Calculator'!$E$17)/IF(A778="Lightning",100,30000))^2</x:f>
        <x:v>1.732829927169308</x:v>
      </x:c>
      <x:c r="K778" s="23" t="n">
        <x:f>RANK(J778,$J$2:$J$1401,1)</x:f>
        <x:v>1395</x:v>
      </x:c>
      <x:c r="L778" s="23" t="n">
        <x:f>IF(K778&lt;=7,1,0)</x:f>
        <x:v>0</x:v>
      </x:c>
      <x:c r="M778" s="23" t="n">
        <x:f>IF(L778=1,1/(J778+0.000001),0)</x:f>
        <x:v>0</x:v>
      </x:c>
      <x:c r="N778" s="23" t="n">
        <x:v>-0.9648803459253088</x:v>
      </x:c>
      <x:c r="O778" s="23" t="n">
        <x:f>M778</x:f>
        <x:v>0</x:v>
      </x:c>
      <x:c r="P778" s="23" t="n">
        <x:v>-4.7878378965879165</x:v>
      </x:c>
      <x:c r="Q778" s="23" t="n">
        <x:v>8.200572037281745</x:v>
      </x:c>
    </x:row>
    <x:row r="779">
      <x:c r="A779" s="23" t="str">
        <x:v>Switching</x:v>
      </x:c>
      <x:c r="B779" s="23" t="n">
        <x:v>1005.4865447222255</x:v>
      </x:c>
      <x:c r="C779" s="23" t="n">
        <x:v>713.8104862067848</x:v>
      </x:c>
      <x:c r="D779" s="23" t="n">
        <x:v>351.8446343950927</x:v>
      </x:c>
      <x:c r="E779" s="23" t="n">
        <x:v>164.05855053570122</x:v>
      </x:c>
      <x:c r="F779" s="23" t="n">
        <x:v>18.370573952328414</x:v>
      </x:c>
      <x:c r="G779" s="23" t="n">
        <x:v>0.8052774836309254</x:v>
      </x:c>
      <x:c r="H779" s="23" t="n">
        <x:v>17390</x:v>
      </x:c>
      <x:c r="I779" s="23" t="n">
        <x:v>1200</x:v>
      </x:c>
      <x:c r="J779" s="23" t="n">
        <x:f>(IF(A779='Hybrid Calculator'!$B$6,0,1))^2+((B779-'Hybrid Calculator'!$B$7)/1500)^2+((C779-'Hybrid Calculator'!$B$8)/1300)^2+((D779-'Hybrid Calculator'!$B$9)/800)^2+((E779-'Hybrid Calculator'!$B$10)/350)^2+((F779-'Hybrid Calculator'!$B$11)/30)^2+(G779-'Hybrid Calculator'!$B$12)^2+((H779-'Hybrid Calculator'!$E$14)/IF(A779="Lightning",100,30000))^2+((I779-'Hybrid Calculator'!$E$17)/IF(A779="Lightning",100,30000))^2</x:f>
        <x:v>1.4609570613013396</x:v>
      </x:c>
      <x:c r="K779" s="23" t="n">
        <x:f>RANK(J779,$J$2:$J$1401,1)</x:f>
        <x:v>1135</x:v>
      </x:c>
      <x:c r="L779" s="23" t="n">
        <x:f>IF(K779&lt;=7,1,0)</x:f>
        <x:v>0</x:v>
      </x:c>
      <x:c r="M779" s="23" t="n">
        <x:f>IF(L779=1,1/(J779+0.000001),0)</x:f>
        <x:v>0</x:v>
      </x:c>
      <x:c r="N779" s="23" t="n">
        <x:v>-2.1533933583562543</x:v>
      </x:c>
      <x:c r="O779" s="23" t="n">
        <x:f>M779</x:f>
        <x:v>0</x:v>
      </x:c>
      <x:c r="P779" s="23" t="n">
        <x:v>-37.91609144658378</x:v>
      </x:c>
      <x:c r="Q779" s="23" t="n">
        <x:v>14.776467831840705</x:v>
      </x:c>
    </x:row>
    <x:row r="780">
      <x:c r="A780" s="23" t="str">
        <x:v>Switching</x:v>
      </x:c>
      <x:c r="B780" s="23" t="n">
        <x:v>975.2983645070344</x:v>
      </x:c>
      <x:c r="C780" s="23" t="n">
        <x:v>1230.895492050331</x:v>
      </x:c>
      <x:c r="D780" s="23" t="n">
        <x:v>456.0610828921199</x:v>
      </x:c>
      <x:c r="E780" s="23" t="n">
        <x:v>216.51762186782435</x:v>
      </x:c>
      <x:c r="F780" s="23" t="n">
        <x:v>12.712974950671196</x:v>
      </x:c>
      <x:c r="G780" s="23" t="n">
        <x:v>0.8594376498297789</x:v>
      </x:c>
      <x:c r="H780" s="23" t="n">
        <x:v>13110</x:v>
      </x:c>
      <x:c r="I780" s="23" t="n">
        <x:v>1200</x:v>
      </x:c>
      <x:c r="J780" s="23" t="n">
        <x:f>(IF(A780='Hybrid Calculator'!$B$6,0,1))^2+((B780-'Hybrid Calculator'!$B$7)/1500)^2+((C780-'Hybrid Calculator'!$B$8)/1300)^2+((D780-'Hybrid Calculator'!$B$9)/800)^2+((E780-'Hybrid Calculator'!$B$10)/350)^2+((F780-'Hybrid Calculator'!$B$11)/30)^2+(G780-'Hybrid Calculator'!$B$12)^2+((H780-'Hybrid Calculator'!$E$14)/IF(A780="Lightning",100,30000))^2+((I780-'Hybrid Calculator'!$E$17)/IF(A780="Lightning",100,30000))^2</x:f>
        <x:v>1.444678602758101</x:v>
      </x:c>
      <x:c r="K780" s="23" t="n">
        <x:f>RANK(J780,$J$2:$J$1401,1)</x:f>
        <x:v>1096</x:v>
      </x:c>
      <x:c r="L780" s="23" t="n">
        <x:f>IF(K780&lt;=7,1,0)</x:f>
        <x:v>0</x:v>
      </x:c>
      <x:c r="M780" s="23" t="n">
        <x:f>IF(L780=1,1/(J780+0.000001),0)</x:f>
        <x:v>0</x:v>
      </x:c>
      <x:c r="N780" s="23" t="n">
        <x:v>0.740985192365514</x:v>
      </x:c>
      <x:c r="O780" s="23" t="n">
        <x:f>M780</x:f>
        <x:v>0</x:v>
      </x:c>
      <x:c r="P780" s="23" t="n">
        <x:v>12.049655244283713</x:v>
      </x:c>
      <x:c r="Q780" s="23" t="n">
        <x:v>2.056992557418994</x:v>
      </x:c>
    </x:row>
    <x:row r="781">
      <x:c r="A781" s="23" t="str">
        <x:v>Switching</x:v>
      </x:c>
      <x:c r="B781" s="23" t="n">
        <x:v>996.581160754431</x:v>
      </x:c>
      <x:c r="C781" s="23" t="n">
        <x:v>998.7315160920843</x:v>
      </x:c>
      <x:c r="D781" s="23" t="n">
        <x:v>737.8568363375962</x:v>
      </x:c>
      <x:c r="E781" s="23" t="n">
        <x:v>264.33251651003957</x:v>
      </x:c>
      <x:c r="F781" s="23" t="n">
        <x:v>20.413356280419976</x:v>
      </x:c>
      <x:c r="G781" s="23" t="n">
        <x:v>0.8315423319255933</x:v>
      </x:c>
      <x:c r="H781" s="23" t="n">
        <x:v>12470</x:v>
      </x:c>
      <x:c r="I781" s="23" t="n">
        <x:v>1200</x:v>
      </x:c>
      <x:c r="J781" s="23" t="n">
        <x:f>(IF(A781='Hybrid Calculator'!$B$6,0,1))^2+((B781-'Hybrid Calculator'!$B$7)/1500)^2+((C781-'Hybrid Calculator'!$B$8)/1300)^2+((D781-'Hybrid Calculator'!$B$9)/800)^2+((E781-'Hybrid Calculator'!$B$10)/350)^2+((F781-'Hybrid Calculator'!$B$11)/30)^2+(G781-'Hybrid Calculator'!$B$12)^2+((H781-'Hybrid Calculator'!$E$14)/IF(A781="Lightning",100,30000))^2+((I781-'Hybrid Calculator'!$E$17)/IF(A781="Lightning",100,30000))^2</x:f>
        <x:v>1.466904267194233</x:v>
      </x:c>
      <x:c r="K781" s="23" t="n">
        <x:f>RANK(J781,$J$2:$J$1401,1)</x:f>
        <x:v>1146</x:v>
      </x:c>
      <x:c r="L781" s="23" t="n">
        <x:f>IF(K781&lt;=7,1,0)</x:f>
        <x:v>0</x:v>
      </x:c>
      <x:c r="M781" s="23" t="n">
        <x:f>IF(L781=1,1/(J781+0.000001),0)</x:f>
        <x:v>0</x:v>
      </x:c>
      <x:c r="N781" s="23" t="n">
        <x:v>0.8571769740454727</x:v>
      </x:c>
      <x:c r="O781" s="23" t="n">
        <x:f>M781</x:f>
        <x:v>0</x:v>
      </x:c>
      <x:c r="P781" s="23" t="n">
        <x:v>20.70524756138275</x:v>
      </x:c>
      <x:c r="Q781" s="23" t="n">
        <x:v>-4.88628828193805</x:v>
      </x:c>
    </x:row>
    <x:row r="782">
      <x:c r="A782" s="23" t="str">
        <x:v>Switching</x:v>
      </x:c>
      <x:c r="B782" s="23" t="n">
        <x:v>951.1530642630532</x:v>
      </x:c>
      <x:c r="C782" s="23" t="n">
        <x:v>988.711503345985</x:v>
      </x:c>
      <x:c r="D782" s="23" t="n">
        <x:v>607.5699433684349</x:v>
      </x:c>
      <x:c r="E782" s="23" t="n">
        <x:v>145.25783328106627</x:v>
      </x:c>
      <x:c r="F782" s="23" t="n">
        <x:v>17.14840608369559</x:v>
      </x:c>
      <x:c r="G782" s="23" t="n">
        <x:v>0.8403680507442914</x:v>
      </x:c>
      <x:c r="H782" s="23" t="n">
        <x:v>14325</x:v>
      </x:c>
      <x:c r="I782" s="23" t="n">
        <x:v>1200</x:v>
      </x:c>
      <x:c r="J782" s="23" t="n">
        <x:f>(IF(A782='Hybrid Calculator'!$B$6,0,1))^2+((B782-'Hybrid Calculator'!$B$7)/1500)^2+((C782-'Hybrid Calculator'!$B$8)/1300)^2+((D782-'Hybrid Calculator'!$B$9)/800)^2+((E782-'Hybrid Calculator'!$B$10)/350)^2+((F782-'Hybrid Calculator'!$B$11)/30)^2+(G782-'Hybrid Calculator'!$B$12)^2+((H782-'Hybrid Calculator'!$E$14)/IF(A782="Lightning",100,30000))^2+((I782-'Hybrid Calculator'!$E$17)/IF(A782="Lightning",100,30000))^2</x:f>
        <x:v>1.3598364086343473</x:v>
      </x:c>
      <x:c r="K782" s="23" t="n">
        <x:f>RANK(J782,$J$2:$J$1401,1)</x:f>
        <x:v>854</x:v>
      </x:c>
      <x:c r="L782" s="23" t="n">
        <x:f>IF(K782&lt;=7,1,0)</x:f>
        <x:v>0</x:v>
      </x:c>
      <x:c r="M782" s="23" t="n">
        <x:f>IF(L782=1,1/(J782+0.000001),0)</x:f>
        <x:v>0</x:v>
      </x:c>
      <x:c r="N782" s="23" t="n">
        <x:v>1.2796571173228983</x:v>
      </x:c>
      <x:c r="O782" s="23" t="n">
        <x:f>M782</x:f>
        <x:v>0</x:v>
      </x:c>
      <x:c r="P782" s="23" t="n">
        <x:v>-10.4278812372836</x:v>
      </x:c>
      <x:c r="Q782" s="23" t="n">
        <x:v>2.702634757435817</x:v>
      </x:c>
    </x:row>
    <x:row r="783">
      <x:c r="A783" s="23" t="str">
        <x:v>Switching</x:v>
      </x:c>
      <x:c r="B783" s="23" t="n">
        <x:v>1070.1997491414659</x:v>
      </x:c>
      <x:c r="C783" s="23" t="n">
        <x:v>1132.3495424352586</x:v>
      </x:c>
      <x:c r="D783" s="23" t="n">
        <x:v>365.7330653630197</x:v>
      </x:c>
      <x:c r="E783" s="23" t="n">
        <x:v>189.40660594496876</x:v>
      </x:c>
      <x:c r="F783" s="23" t="n">
        <x:v>15.900423725601286</x:v>
      </x:c>
      <x:c r="G783" s="23" t="n">
        <x:v>0.7963488468993456</x:v>
      </x:c>
      <x:c r="H783" s="23" t="n">
        <x:v>12675</x:v>
      </x:c>
      <x:c r="I783" s="23" t="n">
        <x:v>1200</x:v>
      </x:c>
      <x:c r="J783" s="23" t="n">
        <x:f>(IF(A783='Hybrid Calculator'!$B$6,0,1))^2+((B783-'Hybrid Calculator'!$B$7)/1500)^2+((C783-'Hybrid Calculator'!$B$8)/1300)^2+((D783-'Hybrid Calculator'!$B$9)/800)^2+((E783-'Hybrid Calculator'!$B$10)/350)^2+((F783-'Hybrid Calculator'!$B$11)/30)^2+(G783-'Hybrid Calculator'!$B$12)^2+((H783-'Hybrid Calculator'!$E$14)/IF(A783="Lightning",100,30000))^2+((I783-'Hybrid Calculator'!$E$17)/IF(A783="Lightning",100,30000))^2</x:f>
        <x:v>1.3306679213815222</x:v>
      </x:c>
      <x:c r="K783" s="23" t="n">
        <x:f>RANK(J783,$J$2:$J$1401,1)</x:f>
        <x:v>777</x:v>
      </x:c>
      <x:c r="L783" s="23" t="n">
        <x:f>IF(K783&lt;=7,1,0)</x:f>
        <x:v>0</x:v>
      </x:c>
      <x:c r="M783" s="23" t="n">
        <x:f>IF(L783=1,1/(J783+0.000001),0)</x:f>
        <x:v>0</x:v>
      </x:c>
      <x:c r="N783" s="23" t="n">
        <x:v>-1.7415731450036276</x:v>
      </x:c>
      <x:c r="O783" s="23" t="n">
        <x:f>M783</x:f>
        <x:v>0</x:v>
      </x:c>
      <x:c r="P783" s="23" t="n">
        <x:v>21.50926779307838</x:v>
      </x:c>
      <x:c r="Q783" s="23" t="n">
        <x:v>7.4918739355189246</x:v>
      </x:c>
    </x:row>
    <x:row r="784">
      <x:c r="A784" s="23" t="str">
        <x:v>Switching</x:v>
      </x:c>
      <x:c r="B784" s="23" t="n">
        <x:v>963.8274915516376</x:v>
      </x:c>
      <x:c r="C784" s="23" t="n">
        <x:v>993.4024708694778</x:v>
      </x:c>
      <x:c r="D784" s="23" t="n">
        <x:v>473.85735381394625</x:v>
      </x:c>
      <x:c r="E784" s="23" t="n">
        <x:v>177.67771750921384</x:v>
      </x:c>
      <x:c r="F784" s="23" t="n">
        <x:v>13.434353528544307</x:v>
      </x:c>
      <x:c r="G784" s="23" t="n">
        <x:v>0.8361382587742993</x:v>
      </x:c>
      <x:c r="H784" s="23" t="n">
        <x:v>15170</x:v>
      </x:c>
      <x:c r="I784" s="23" t="n">
        <x:v>1200</x:v>
      </x:c>
      <x:c r="J784" s="23" t="n">
        <x:f>(IF(A784='Hybrid Calculator'!$B$6,0,1))^2+((B784-'Hybrid Calculator'!$B$7)/1500)^2+((C784-'Hybrid Calculator'!$B$8)/1300)^2+((D784-'Hybrid Calculator'!$B$9)/800)^2+((E784-'Hybrid Calculator'!$B$10)/350)^2+((F784-'Hybrid Calculator'!$B$11)/30)^2+(G784-'Hybrid Calculator'!$B$12)^2+((H784-'Hybrid Calculator'!$E$14)/IF(A784="Lightning",100,30000))^2+((I784-'Hybrid Calculator'!$E$17)/IF(A784="Lightning",100,30000))^2</x:f>
        <x:v>1.3983365204569367</x:v>
      </x:c>
      <x:c r="K784" s="23" t="n">
        <x:f>RANK(J784,$J$2:$J$1401,1)</x:f>
        <x:v>970</x:v>
      </x:c>
      <x:c r="L784" s="23" t="n">
        <x:f>IF(K784&lt;=7,1,0)</x:f>
        <x:v>0</x:v>
      </x:c>
      <x:c r="M784" s="23" t="n">
        <x:f>IF(L784=1,1/(J784+0.000001),0)</x:f>
        <x:v>0</x:v>
      </x:c>
      <x:c r="N784" s="23" t="n">
        <x:v>1.9961938952216371</x:v>
      </x:c>
      <x:c r="O784" s="23" t="n">
        <x:f>M784</x:f>
        <x:v>0</x:v>
      </x:c>
      <x:c r="P784" s="23" t="n">
        <x:v>-9.878783670245866</x:v>
      </x:c>
      <x:c r="Q784" s="23" t="n">
        <x:v>3.747991093005112</x:v>
      </x:c>
    </x:row>
    <x:row r="785">
      <x:c r="A785" s="23" t="str">
        <x:v>Switching</x:v>
      </x:c>
      <x:c r="B785" s="23" t="n">
        <x:v>1007.6917647034861</x:v>
      </x:c>
      <x:c r="C785" s="23" t="n">
        <x:v>686.8974866578355</x:v>
      </x:c>
      <x:c r="D785" s="23" t="n">
        <x:v>745.3374252654612</x:v>
      </x:c>
      <x:c r="E785" s="23" t="n">
        <x:v>281.3857380952686</x:v>
      </x:c>
      <x:c r="F785" s="23" t="n">
        <x:v>21.61536177666858</x:v>
      </x:c>
      <x:c r="G785" s="23" t="n">
        <x:v>0.8321743784891442</x:v>
      </x:c>
      <x:c r="H785" s="23" t="n">
        <x:v>12480</x:v>
      </x:c>
      <x:c r="I785" s="23" t="n">
        <x:v>1200</x:v>
      </x:c>
      <x:c r="J785" s="23" t="n">
        <x:f>(IF(A785='Hybrid Calculator'!$B$6,0,1))^2+((B785-'Hybrid Calculator'!$B$7)/1500)^2+((C785-'Hybrid Calculator'!$B$8)/1300)^2+((D785-'Hybrid Calculator'!$B$9)/800)^2+((E785-'Hybrid Calculator'!$B$10)/350)^2+((F785-'Hybrid Calculator'!$B$11)/30)^2+(G785-'Hybrid Calculator'!$B$12)^2+((H785-'Hybrid Calculator'!$E$14)/IF(A785="Lightning",100,30000))^2+((I785-'Hybrid Calculator'!$E$17)/IF(A785="Lightning",100,30000))^2</x:f>
        <x:v>1.5122411968405283</x:v>
      </x:c>
      <x:c r="K785" s="23" t="n">
        <x:f>RANK(J785,$J$2:$J$1401,1)</x:f>
        <x:v>1233</x:v>
      </x:c>
      <x:c r="L785" s="23" t="n">
        <x:f>IF(K785&lt;=7,1,0)</x:f>
        <x:v>0</x:v>
      </x:c>
      <x:c r="M785" s="23" t="n">
        <x:f>IF(L785=1,1/(J785+0.000001),0)</x:f>
        <x:v>0</x:v>
      </x:c>
      <x:c r="N785" s="23" t="n">
        <x:v>1.56244944574172</x:v>
      </x:c>
      <x:c r="O785" s="23" t="n">
        <x:f>M785</x:f>
        <x:v>0</x:v>
      </x:c>
      <x:c r="P785" s="23" t="n">
        <x:v>-7.880080800304313</x:v>
      </x:c>
      <x:c r="Q785" s="23" t="n">
        <x:v>-3.6177875780596196</x:v>
      </x:c>
    </x:row>
    <x:row r="786">
      <x:c r="A786" s="23" t="str">
        <x:v>Switching</x:v>
      </x:c>
      <x:c r="B786" s="23" t="n">
        <x:v>1070.2493279241025</x:v>
      </x:c>
      <x:c r="C786" s="23" t="n">
        <x:v>1241.2166050984524</x:v>
      </x:c>
      <x:c r="D786" s="23" t="n">
        <x:v>610.3358054533601</x:v>
      </x:c>
      <x:c r="E786" s="23" t="n">
        <x:v>299.3746520788409</x:v>
      </x:c>
      <x:c r="F786" s="23" t="n">
        <x:v>21.355630272999406</x:v>
      </x:c>
      <x:c r="G786" s="23" t="n">
        <x:v>0.8080525537137874</x:v>
      </x:c>
      <x:c r="H786" s="23" t="n">
        <x:v>9945</x:v>
      </x:c>
      <x:c r="I786" s="23" t="n">
        <x:v>1195</x:v>
      </x:c>
      <x:c r="J786" s="23" t="n">
        <x:f>(IF(A786='Hybrid Calculator'!$B$6,0,1))^2+((B786-'Hybrid Calculator'!$B$7)/1500)^2+((C786-'Hybrid Calculator'!$B$8)/1300)^2+((D786-'Hybrid Calculator'!$B$9)/800)^2+((E786-'Hybrid Calculator'!$B$10)/350)^2+((F786-'Hybrid Calculator'!$B$11)/30)^2+(G786-'Hybrid Calculator'!$B$12)^2+((H786-'Hybrid Calculator'!$E$14)/IF(A786="Lightning",100,30000))^2+((I786-'Hybrid Calculator'!$E$17)/IF(A786="Lightning",100,30000))^2</x:f>
        <x:v>1.4671763673954645</x:v>
      </x:c>
      <x:c r="K786" s="23" t="n">
        <x:f>RANK(J786,$J$2:$J$1401,1)</x:f>
        <x:v>1147</x:v>
      </x:c>
      <x:c r="L786" s="23" t="n">
        <x:f>IF(K786&lt;=7,1,0)</x:f>
        <x:v>0</x:v>
      </x:c>
      <x:c r="M786" s="23" t="n">
        <x:f>IF(L786=1,1/(J786+0.000001),0)</x:f>
        <x:v>0</x:v>
      </x:c>
      <x:c r="N786" s="23" t="n">
        <x:v>2.6152668569432933</x:v>
      </x:c>
      <x:c r="O786" s="23" t="n">
        <x:f>M786</x:f>
        <x:v>0</x:v>
      </x:c>
      <x:c r="P786" s="23" t="n">
        <x:v>31.690196184291835</x:v>
      </x:c>
      <x:c r="Q786" s="23" t="n">
        <x:v>-17.519900100902078</x:v>
      </x:c>
    </x:row>
    <x:row r="787">
      <x:c r="A787" s="23" t="str">
        <x:v>Switching</x:v>
      </x:c>
      <x:c r="B787" s="23" t="n">
        <x:v>1032.8006455325522</x:v>
      </x:c>
      <x:c r="C787" s="23" t="n">
        <x:v>729.6328249620274</x:v>
      </x:c>
      <x:c r="D787" s="23" t="n">
        <x:v>738.5625236667693</x:v>
      </x:c>
      <x:c r="E787" s="23" t="n">
        <x:v>160.70851140655577</x:v>
      </x:c>
      <x:c r="F787" s="23" t="n">
        <x:v>20.669007160235196</x:v>
      </x:c>
      <x:c r="G787" s="23" t="n">
        <x:v>0.8037991823861376</x:v>
      </x:c>
      <x:c r="H787" s="23" t="n">
        <x:v>13130</x:v>
      </x:c>
      <x:c r="I787" s="23" t="n">
        <x:v>1200</x:v>
      </x:c>
      <x:c r="J787" s="23" t="n">
        <x:f>(IF(A787='Hybrid Calculator'!$B$6,0,1))^2+((B787-'Hybrid Calculator'!$B$7)/1500)^2+((C787-'Hybrid Calculator'!$B$8)/1300)^2+((D787-'Hybrid Calculator'!$B$9)/800)^2+((E787-'Hybrid Calculator'!$B$10)/350)^2+((F787-'Hybrid Calculator'!$B$11)/30)^2+(G787-'Hybrid Calculator'!$B$12)^2+((H787-'Hybrid Calculator'!$E$14)/IF(A787="Lightning",100,30000))^2+((I787-'Hybrid Calculator'!$E$17)/IF(A787="Lightning",100,30000))^2</x:f>
        <x:v>1.3639185656764206</x:v>
      </x:c>
      <x:c r="K787" s="23" t="n">
        <x:f>RANK(J787,$J$2:$J$1401,1)</x:f>
        <x:v>869</x:v>
      </x:c>
      <x:c r="L787" s="23" t="n">
        <x:f>IF(K787&lt;=7,1,0)</x:f>
        <x:v>0</x:v>
      </x:c>
      <x:c r="M787" s="23" t="n">
        <x:f>IF(L787=1,1/(J787+0.000001),0)</x:f>
        <x:v>0</x:v>
      </x:c>
      <x:c r="N787" s="23" t="n">
        <x:v>-3.2408737191167063</x:v>
      </x:c>
      <x:c r="O787" s="23" t="n">
        <x:f>M787</x:f>
        <x:v>0</x:v>
      </x:c>
      <x:c r="P787" s="23" t="n">
        <x:v>2.406458141557323</x:v>
      </x:c>
      <x:c r="Q787" s="23" t="n">
        <x:v>-2.4068928806923395</x:v>
      </x:c>
    </x:row>
    <x:row r="788">
      <x:c r="A788" s="23" t="str">
        <x:v>Switching</x:v>
      </x:c>
      <x:c r="B788" s="23" t="n">
        <x:v>1050.6331734126434</x:v>
      </x:c>
      <x:c r="C788" s="23" t="n">
        <x:v>1113.0011299275793</x:v>
      </x:c>
      <x:c r="D788" s="23" t="n">
        <x:v>540.2996223419905</x:v>
      </x:c>
      <x:c r="E788" s="23" t="n">
        <x:v>188.31624426646158</x:v>
      </x:c>
      <x:c r="F788" s="23" t="n">
        <x:v>21.68440701533109</x:v>
      </x:c>
      <x:c r="G788" s="23" t="n">
        <x:v>0.8306658298592083</x:v>
      </x:c>
      <x:c r="H788" s="23" t="n">
        <x:v>11610</x:v>
      </x:c>
      <x:c r="I788" s="23" t="n">
        <x:v>1195</x:v>
      </x:c>
      <x:c r="J788" s="23" t="n">
        <x:f>(IF(A788='Hybrid Calculator'!$B$6,0,1))^2+((B788-'Hybrid Calculator'!$B$7)/1500)^2+((C788-'Hybrid Calculator'!$B$8)/1300)^2+((D788-'Hybrid Calculator'!$B$9)/800)^2+((E788-'Hybrid Calculator'!$B$10)/350)^2+((F788-'Hybrid Calculator'!$B$11)/30)^2+(G788-'Hybrid Calculator'!$B$12)^2+((H788-'Hybrid Calculator'!$E$14)/IF(A788="Lightning",100,30000))^2+((I788-'Hybrid Calculator'!$E$17)/IF(A788="Lightning",100,30000))^2</x:f>
        <x:v>1.2791239417212366</x:v>
      </x:c>
      <x:c r="K788" s="23" t="n">
        <x:f>RANK(J788,$J$2:$J$1401,1)</x:f>
        <x:v>708</x:v>
      </x:c>
      <x:c r="L788" s="23" t="n">
        <x:f>IF(K788&lt;=7,1,0)</x:f>
        <x:v>0</x:v>
      </x:c>
      <x:c r="M788" s="23" t="n">
        <x:f>IF(L788=1,1/(J788+0.000001),0)</x:f>
        <x:v>0</x:v>
      </x:c>
      <x:c r="N788" s="23" t="n">
        <x:v>-1.8231960493187955</x:v>
      </x:c>
      <x:c r="O788" s="23" t="n">
        <x:f>M788</x:f>
        <x:v>0</x:v>
      </x:c>
      <x:c r="P788" s="23" t="n">
        <x:v>55.963611067591046</x:v>
      </x:c>
      <x:c r="Q788" s="23" t="n">
        <x:v>-8.937311630739941</x:v>
      </x:c>
    </x:row>
    <x:row r="789">
      <x:c r="A789" s="23" t="str">
        <x:v>Switching</x:v>
      </x:c>
      <x:c r="B789" s="23" t="n">
        <x:v>1025.0413063331507</x:v>
      </x:c>
      <x:c r="C789" s="23" t="n">
        <x:v>668.6156623531133</x:v>
      </x:c>
      <x:c r="D789" s="23" t="n">
        <x:v>650.8138450793922</x:v>
      </x:c>
      <x:c r="E789" s="23" t="n">
        <x:v>242.44247776921839</x:v>
      </x:c>
      <x:c r="F789" s="23" t="n">
        <x:v>18.940670527052134</x:v>
      </x:c>
      <x:c r="G789" s="23" t="n">
        <x:v>0.8498262536339463</x:v>
      </x:c>
      <x:c r="H789" s="23" t="n">
        <x:v>13690</x:v>
      </x:c>
      <x:c r="I789" s="23" t="n">
        <x:v>1200</x:v>
      </x:c>
      <x:c r="J789" s="23" t="n">
        <x:f>(IF(A789='Hybrid Calculator'!$B$6,0,1))^2+((B789-'Hybrid Calculator'!$B$7)/1500)^2+((C789-'Hybrid Calculator'!$B$8)/1300)^2+((D789-'Hybrid Calculator'!$B$9)/800)^2+((E789-'Hybrid Calculator'!$B$10)/350)^2+((F789-'Hybrid Calculator'!$B$11)/30)^2+(G789-'Hybrid Calculator'!$B$12)^2+((H789-'Hybrid Calculator'!$E$14)/IF(A789="Lightning",100,30000))^2+((I789-'Hybrid Calculator'!$E$17)/IF(A789="Lightning",100,30000))^2</x:f>
        <x:v>1.405224093728326</x:v>
      </x:c>
      <x:c r="K789" s="23" t="n">
        <x:f>RANK(J789,$J$2:$J$1401,1)</x:f>
        <x:v>994</x:v>
      </x:c>
      <x:c r="L789" s="23" t="n">
        <x:f>IF(K789&lt;=7,1,0)</x:f>
        <x:v>0</x:v>
      </x:c>
      <x:c r="M789" s="23" t="n">
        <x:f>IF(L789=1,1/(J789+0.000001),0)</x:f>
        <x:v>0</x:v>
      </x:c>
      <x:c r="N789" s="23" t="n">
        <x:v>-0.5419994898926461</x:v>
      </x:c>
      <x:c r="O789" s="23" t="n">
        <x:f>M789</x:f>
        <x:v>0</x:v>
      </x:c>
      <x:c r="P789" s="23" t="n">
        <x:v>6.990188452455641</x:v>
      </x:c>
      <x:c r="Q789" s="23" t="n">
        <x:v>5.928945694778349</x:v>
      </x:c>
    </x:row>
    <x:row r="790">
      <x:c r="A790" s="23" t="str">
        <x:v>Switching</x:v>
      </x:c>
      <x:c r="B790" s="23" t="n">
        <x:v>972.3211287055165</x:v>
      </x:c>
      <x:c r="C790" s="23" t="n">
        <x:v>652.7312314021401</x:v>
      </x:c>
      <x:c r="D790" s="23" t="n">
        <x:v>661.6269720718265</x:v>
      </x:c>
      <x:c r="E790" s="23" t="n">
        <x:v>192.57190379546955</x:v>
      </x:c>
      <x:c r="F790" s="23" t="n">
        <x:v>13.032028950750828</x:v>
      </x:c>
      <x:c r="G790" s="23" t="n">
        <x:v>0.8383087306679227</x:v>
      </x:c>
      <x:c r="H790" s="23" t="n">
        <x:v>16555</x:v>
      </x:c>
      <x:c r="I790" s="23" t="n">
        <x:v>1200</x:v>
      </x:c>
      <x:c r="J790" s="23" t="n">
        <x:f>(IF(A790='Hybrid Calculator'!$B$6,0,1))^2+((B790-'Hybrid Calculator'!$B$7)/1500)^2+((C790-'Hybrid Calculator'!$B$8)/1300)^2+((D790-'Hybrid Calculator'!$B$9)/800)^2+((E790-'Hybrid Calculator'!$B$10)/350)^2+((F790-'Hybrid Calculator'!$B$11)/30)^2+(G790-'Hybrid Calculator'!$B$12)^2+((H790-'Hybrid Calculator'!$E$14)/IF(A790="Lightning",100,30000))^2+((I790-'Hybrid Calculator'!$E$17)/IF(A790="Lightning",100,30000))^2</x:f>
        <x:v>1.507487184867061</x:v>
      </x:c>
      <x:c r="K790" s="23" t="n">
        <x:f>RANK(J790,$J$2:$J$1401,1)</x:f>
        <x:v>1224</x:v>
      </x:c>
      <x:c r="L790" s="23" t="n">
        <x:f>IF(K790&lt;=7,1,0)</x:f>
        <x:v>0</x:v>
      </x:c>
      <x:c r="M790" s="23" t="n">
        <x:f>IF(L790=1,1/(J790+0.000001),0)</x:f>
        <x:v>0</x:v>
      </x:c>
      <x:c r="N790" s="23" t="n">
        <x:v>-1.7133200633640797</x:v>
      </x:c>
      <x:c r="O790" s="23" t="n">
        <x:f>M790</x:f>
        <x:v>0</x:v>
      </x:c>
      <x:c r="P790" s="23" t="n">
        <x:v>-38.38802054407506</x:v>
      </x:c>
      <x:c r="Q790" s="23" t="n">
        <x:v>3.053846873991688</x:v>
      </x:c>
    </x:row>
    <x:row r="791">
      <x:c r="A791" s="23" t="str">
        <x:v>Switching</x:v>
      </x:c>
      <x:c r="B791" s="23" t="n">
        <x:v>1049.1433161427267</x:v>
      </x:c>
      <x:c r="C791" s="23" t="n">
        <x:v>659.4215616350994</x:v>
      </x:c>
      <x:c r="D791" s="23" t="n">
        <x:v>521.2768283672631</x:v>
      </x:c>
      <x:c r="E791" s="23" t="n">
        <x:v>240.7282548211515</x:v>
      </x:c>
      <x:c r="F791" s="23" t="n">
        <x:v>8.648838995490223</x:v>
      </x:c>
      <x:c r="G791" s="23" t="n">
        <x:v>0.8279351119836793</x:v>
      </x:c>
      <x:c r="H791" s="23" t="n">
        <x:v>15045</x:v>
      </x:c>
      <x:c r="I791" s="23" t="n">
        <x:v>1200</x:v>
      </x:c>
      <x:c r="J791" s="23" t="n">
        <x:f>(IF(A791='Hybrid Calculator'!$B$6,0,1))^2+((B791-'Hybrid Calculator'!$B$7)/1500)^2+((C791-'Hybrid Calculator'!$B$8)/1300)^2+((D791-'Hybrid Calculator'!$B$9)/800)^2+((E791-'Hybrid Calculator'!$B$10)/350)^2+((F791-'Hybrid Calculator'!$B$11)/30)^2+(G791-'Hybrid Calculator'!$B$12)^2+((H791-'Hybrid Calculator'!$E$14)/IF(A791="Lightning",100,30000))^2+((I791-'Hybrid Calculator'!$E$17)/IF(A791="Lightning",100,30000))^2</x:f>
        <x:v>1.5114398587524787</x:v>
      </x:c>
      <x:c r="K791" s="23" t="n">
        <x:f>RANK(J791,$J$2:$J$1401,1)</x:f>
        <x:v>1231</x:v>
      </x:c>
      <x:c r="L791" s="23" t="n">
        <x:f>IF(K791&lt;=7,1,0)</x:f>
        <x:v>0</x:v>
      </x:c>
      <x:c r="M791" s="23" t="n">
        <x:f>IF(L791=1,1/(J791+0.000001),0)</x:f>
        <x:v>0</x:v>
      </x:c>
      <x:c r="N791" s="23" t="n">
        <x:v>0.8642336657942735</x:v>
      </x:c>
      <x:c r="O791" s="23" t="n">
        <x:f>M791</x:f>
        <x:v>0</x:v>
      </x:c>
      <x:c r="P791" s="23" t="n">
        <x:v>-51.435456842526946</x:v>
      </x:c>
      <x:c r="Q791" s="23" t="n">
        <x:v>10.408821215421312</x:v>
      </x:c>
    </x:row>
    <x:row r="792">
      <x:c r="A792" s="23" t="str">
        <x:v>Switching</x:v>
      </x:c>
      <x:c r="B792" s="23" t="n">
        <x:v>1085.2314564632252</x:v>
      </x:c>
      <x:c r="C792" s="23" t="n">
        <x:v>710.4117985931225</x:v>
      </x:c>
      <x:c r="D792" s="23" t="n">
        <x:v>597.6907074451447</x:v>
      </x:c>
      <x:c r="E792" s="23" t="n">
        <x:v>248.27332408865914</x:v>
      </x:c>
      <x:c r="F792" s="23" t="n">
        <x:v>26.814018833450973</x:v>
      </x:c>
      <x:c r="G792" s="23" t="n">
        <x:v>0.8023844171292149</x:v>
      </x:c>
      <x:c r="H792" s="23" t="n">
        <x:v>13740</x:v>
      </x:c>
      <x:c r="I792" s="23" t="n">
        <x:v>1200</x:v>
      </x:c>
      <x:c r="J792" s="23" t="n">
        <x:f>(IF(A792='Hybrid Calculator'!$B$6,0,1))^2+((B792-'Hybrid Calculator'!$B$7)/1500)^2+((C792-'Hybrid Calculator'!$B$8)/1300)^2+((D792-'Hybrid Calculator'!$B$9)/800)^2+((E792-'Hybrid Calculator'!$B$10)/350)^2+((F792-'Hybrid Calculator'!$B$11)/30)^2+(G792-'Hybrid Calculator'!$B$12)^2+((H792-'Hybrid Calculator'!$E$14)/IF(A792="Lightning",100,30000))^2+((I792-'Hybrid Calculator'!$E$17)/IF(A792="Lightning",100,30000))^2</x:f>
        <x:v>1.4434746438593118</x:v>
      </x:c>
      <x:c r="K792" s="23" t="n">
        <x:f>RANK(J792,$J$2:$J$1401,1)</x:f>
        <x:v>1093</x:v>
      </x:c>
      <x:c r="L792" s="23" t="n">
        <x:f>IF(K792&lt;=7,1,0)</x:f>
        <x:v>0</x:v>
      </x:c>
      <x:c r="M792" s="23" t="n">
        <x:f>IF(L792=1,1/(J792+0.000001),0)</x:f>
        <x:v>0</x:v>
      </x:c>
      <x:c r="N792" s="23" t="n">
        <x:v>-2.254008095570299</x:v>
      </x:c>
      <x:c r="O792" s="23" t="n">
        <x:f>M792</x:f>
        <x:v>0</x:v>
      </x:c>
      <x:c r="P792" s="23" t="n">
        <x:v>8.536689216809009</x:v>
      </x:c>
      <x:c r="Q792" s="23" t="n">
        <x:v>-10.536638665666032</x:v>
      </x:c>
    </x:row>
    <x:row r="793">
      <x:c r="A793" s="23" t="str">
        <x:v>Switching</x:v>
      </x:c>
      <x:c r="B793" s="23" t="n">
        <x:v>977.3419239441864</x:v>
      </x:c>
      <x:c r="C793" s="23" t="n">
        <x:v>605.9080355800688</x:v>
      </x:c>
      <x:c r="D793" s="23" t="n">
        <x:v>581.6111362539232</x:v>
      </x:c>
      <x:c r="E793" s="23" t="n">
        <x:v>218.1251566344872</x:v>
      </x:c>
      <x:c r="F793" s="23" t="n">
        <x:v>15.512033147271723</x:v>
      </x:c>
      <x:c r="G793" s="23" t="n">
        <x:v>0.8159889568481594</x:v>
      </x:c>
      <x:c r="H793" s="23" t="n">
        <x:v>17750</x:v>
      </x:c>
      <x:c r="I793" s="23" t="n">
        <x:v>1200</x:v>
      </x:c>
      <x:c r="J793" s="23" t="n">
        <x:f>(IF(A793='Hybrid Calculator'!$B$6,0,1))^2+((B793-'Hybrid Calculator'!$B$7)/1500)^2+((C793-'Hybrid Calculator'!$B$8)/1300)^2+((D793-'Hybrid Calculator'!$B$9)/800)^2+((E793-'Hybrid Calculator'!$B$10)/350)^2+((F793-'Hybrid Calculator'!$B$11)/30)^2+(G793-'Hybrid Calculator'!$B$12)^2+((H793-'Hybrid Calculator'!$E$14)/IF(A793="Lightning",100,30000))^2+((I793-'Hybrid Calculator'!$E$17)/IF(A793="Lightning",100,30000))^2</x:f>
        <x:v>1.5321835429431645</x:v>
      </x:c>
      <x:c r="K793" s="23" t="n">
        <x:f>RANK(J793,$J$2:$J$1401,1)</x:f>
        <x:v>1269</x:v>
      </x:c>
      <x:c r="L793" s="23" t="n">
        <x:f>IF(K793&lt;=7,1,0)</x:f>
        <x:v>0</x:v>
      </x:c>
      <x:c r="M793" s="23" t="n">
        <x:f>IF(L793=1,1/(J793+0.000001),0)</x:f>
        <x:v>0</x:v>
      </x:c>
      <x:c r="N793" s="23" t="n">
        <x:v>1.4708780263717642</x:v>
      </x:c>
      <x:c r="O793" s="23" t="n">
        <x:f>M793</x:f>
        <x:v>0</x:v>
      </x:c>
      <x:c r="P793" s="23" t="n">
        <x:v>-71.37893010865218</x:v>
      </x:c>
      <x:c r="Q793" s="23" t="n">
        <x:v>6.208495072924279</x:v>
      </x:c>
    </x:row>
    <x:row r="794">
      <x:c r="A794" s="23" t="str">
        <x:v>Switching</x:v>
      </x:c>
      <x:c r="B794" s="23" t="n">
        <x:v>1030.1513573154807</x:v>
      </x:c>
      <x:c r="C794" s="23" t="n">
        <x:v>918.2649013004266</x:v>
      </x:c>
      <x:c r="D794" s="23" t="n">
        <x:v>527.4038614705205</x:v>
      </x:c>
      <x:c r="E794" s="23" t="n">
        <x:v>115.58837954187766</x:v>
      </x:c>
      <x:c r="F794" s="23" t="n">
        <x:v>12.969706466421485</x:v>
      </x:c>
      <x:c r="G794" s="23" t="n">
        <x:v>0.8149757315334865</x:v>
      </x:c>
      <x:c r="H794" s="23" t="n">
        <x:v>13700</x:v>
      </x:c>
      <x:c r="I794" s="23" t="n">
        <x:v>1200</x:v>
      </x:c>
      <x:c r="J794" s="23" t="n">
        <x:f>(IF(A794='Hybrid Calculator'!$B$6,0,1))^2+((B794-'Hybrid Calculator'!$B$7)/1500)^2+((C794-'Hybrid Calculator'!$B$8)/1300)^2+((D794-'Hybrid Calculator'!$B$9)/800)^2+((E794-'Hybrid Calculator'!$B$10)/350)^2+((F794-'Hybrid Calculator'!$B$11)/30)^2+(G794-'Hybrid Calculator'!$B$12)^2+((H794-'Hybrid Calculator'!$E$14)/IF(A794="Lightning",100,30000))^2+((I794-'Hybrid Calculator'!$E$17)/IF(A794="Lightning",100,30000))^2</x:f>
        <x:v>1.325455423540851</x:v>
      </x:c>
      <x:c r="K794" s="23" t="n">
        <x:f>RANK(J794,$J$2:$J$1401,1)</x:f>
        <x:v>769</x:v>
      </x:c>
      <x:c r="L794" s="23" t="n">
        <x:f>IF(K794&lt;=7,1,0)</x:f>
        <x:v>0</x:v>
      </x:c>
      <x:c r="M794" s="23" t="n">
        <x:f>IF(L794=1,1/(J794+0.000001),0)</x:f>
        <x:v>0</x:v>
      </x:c>
      <x:c r="N794" s="23" t="n">
        <x:v>0.2689527451682636</x:v>
      </x:c>
      <x:c r="O794" s="23" t="n">
        <x:f>M794</x:f>
        <x:v>0</x:v>
      </x:c>
      <x:c r="P794" s="23" t="n">
        <x:v>40.78433005876968</x:v>
      </x:c>
      <x:c r="Q794" s="23" t="n">
        <x:v>8.238693600279476</x:v>
      </x:c>
    </x:row>
    <x:row r="795">
      <x:c r="A795" s="23" t="str">
        <x:v>Switching</x:v>
      </x:c>
      <x:c r="B795" s="23" t="n">
        <x:v>954.0815819636919</x:v>
      </x:c>
      <x:c r="C795" s="23" t="n">
        <x:v>1166.0560105228797</x:v>
      </x:c>
      <x:c r="D795" s="23" t="n">
        <x:v>678.836786840111</x:v>
      </x:c>
      <x:c r="E795" s="23" t="n">
        <x:v>296.90139058046043</x:v>
      </x:c>
      <x:c r="F795" s="23" t="n">
        <x:v>16.463218201417476</x:v>
      </x:c>
      <x:c r="G795" s="23" t="n">
        <x:v>0.8074052130850032</x:v>
      </x:c>
      <x:c r="H795" s="23" t="n">
        <x:v>11650</x:v>
      </x:c>
      <x:c r="I795" s="23" t="n">
        <x:v>1195</x:v>
      </x:c>
      <x:c r="J795" s="23" t="n">
        <x:f>(IF(A795='Hybrid Calculator'!$B$6,0,1))^2+((B795-'Hybrid Calculator'!$B$7)/1500)^2+((C795-'Hybrid Calculator'!$B$8)/1300)^2+((D795-'Hybrid Calculator'!$B$9)/800)^2+((E795-'Hybrid Calculator'!$B$10)/350)^2+((F795-'Hybrid Calculator'!$B$11)/30)^2+(G795-'Hybrid Calculator'!$B$12)^2+((H795-'Hybrid Calculator'!$E$14)/IF(A795="Lightning",100,30000))^2+((I795-'Hybrid Calculator'!$E$17)/IF(A795="Lightning",100,30000))^2</x:f>
        <x:v>1.5396055712741052</x:v>
      </x:c>
      <x:c r="K795" s="23" t="n">
        <x:f>RANK(J795,$J$2:$J$1401,1)</x:f>
        <x:v>1281</x:v>
      </x:c>
      <x:c r="L795" s="23" t="n">
        <x:f>IF(K795&lt;=7,1,0)</x:f>
        <x:v>0</x:v>
      </x:c>
      <x:c r="M795" s="23" t="n">
        <x:f>IF(L795=1,1/(J795+0.000001),0)</x:f>
        <x:v>0</x:v>
      </x:c>
      <x:c r="N795" s="23" t="n">
        <x:v>3.376829931646114</x:v>
      </x:c>
      <x:c r="O795" s="23" t="n">
        <x:f>M795</x:f>
        <x:v>0</x:v>
      </x:c>
      <x:c r="P795" s="23" t="n">
        <x:v>41.553044751513426</x:v>
      </x:c>
      <x:c r="Q795" s="23" t="n">
        <x:v>-1.9729523265685884</x:v>
      </x:c>
    </x:row>
    <x:row r="796">
      <x:c r="A796" s="23" t="str">
        <x:v>Switching</x:v>
      </x:c>
      <x:c r="B796" s="23" t="n">
        <x:v>1065.0266236392781</x:v>
      </x:c>
      <x:c r="C796" s="23" t="n">
        <x:v>929.8679164261557</x:v>
      </x:c>
      <x:c r="D796" s="23" t="n">
        <x:v>563.5590333491564</x:v>
      </x:c>
      <x:c r="E796" s="23" t="n">
        <x:v>107.75793353794143</x:v>
      </x:c>
      <x:c r="F796" s="23" t="n">
        <x:v>15.333852694369853</x:v>
      </x:c>
      <x:c r="G796" s="23" t="n">
        <x:v>0.8038396089407616</x:v>
      </x:c>
      <x:c r="H796" s="23" t="n">
        <x:v>13355</x:v>
      </x:c>
      <x:c r="I796" s="23" t="n">
        <x:v>1200</x:v>
      </x:c>
      <x:c r="J796" s="23" t="n">
        <x:f>(IF(A796='Hybrid Calculator'!$B$6,0,1))^2+((B796-'Hybrid Calculator'!$B$7)/1500)^2+((C796-'Hybrid Calculator'!$B$8)/1300)^2+((D796-'Hybrid Calculator'!$B$9)/800)^2+((E796-'Hybrid Calculator'!$B$10)/350)^2+((F796-'Hybrid Calculator'!$B$11)/30)^2+(G796-'Hybrid Calculator'!$B$12)^2+((H796-'Hybrid Calculator'!$E$14)/IF(A796="Lightning",100,30000))^2+((I796-'Hybrid Calculator'!$E$17)/IF(A796="Lightning",100,30000))^2</x:f>
        <x:v>1.2918703024984888</x:v>
      </x:c>
      <x:c r="K796" s="23" t="n">
        <x:f>RANK(J796,$J$2:$J$1401,1)</x:f>
        <x:v>718</x:v>
      </x:c>
      <x:c r="L796" s="23" t="n">
        <x:f>IF(K796&lt;=7,1,0)</x:f>
        <x:v>0</x:v>
      </x:c>
      <x:c r="M796" s="23" t="n">
        <x:f>IF(L796=1,1/(J796+0.000001),0)</x:f>
        <x:v>0</x:v>
      </x:c>
      <x:c r="N796" s="23" t="n">
        <x:v>-0.31291929707148824</x:v>
      </x:c>
      <x:c r="O796" s="23" t="n">
        <x:f>M796</x:f>
        <x:v>0</x:v>
      </x:c>
      <x:c r="P796" s="23" t="n">
        <x:v>37.82551990139564</x:v>
      </x:c>
      <x:c r="Q796" s="23" t="n">
        <x:v>4.812403387432369</x:v>
      </x:c>
    </x:row>
    <x:row r="797">
      <x:c r="A797" s="23" t="str">
        <x:v>Switching</x:v>
      </x:c>
      <x:c r="B797" s="23" t="n">
        <x:v>1026.2793695903383</x:v>
      </x:c>
      <x:c r="C797" s="23" t="n">
        <x:v>1046.6693998780102</x:v>
      </x:c>
      <x:c r="D797" s="23" t="n">
        <x:v>618.477616738528</x:v>
      </x:c>
      <x:c r="E797" s="23" t="n">
        <x:v>204.64305467437953</x:v>
      </x:c>
      <x:c r="F797" s="23" t="n">
        <x:v>11.484700101893395</x:v>
      </x:c>
      <x:c r="G797" s="23" t="n">
        <x:v>0.8206428166106343</x:v>
      </x:c>
      <x:c r="H797" s="23" t="n">
        <x:v>11440</x:v>
      </x:c>
      <x:c r="I797" s="23" t="n">
        <x:v>1195</x:v>
      </x:c>
      <x:c r="J797" s="23" t="n">
        <x:f>(IF(A797='Hybrid Calculator'!$B$6,0,1))^2+((B797-'Hybrid Calculator'!$B$7)/1500)^2+((C797-'Hybrid Calculator'!$B$8)/1300)^2+((D797-'Hybrid Calculator'!$B$9)/800)^2+((E797-'Hybrid Calculator'!$B$10)/350)^2+((F797-'Hybrid Calculator'!$B$11)/30)^2+(G797-'Hybrid Calculator'!$B$12)^2+((H797-'Hybrid Calculator'!$E$14)/IF(A797="Lightning",100,30000))^2+((I797-'Hybrid Calculator'!$E$17)/IF(A797="Lightning",100,30000))^2</x:f>
        <x:v>1.3402018636353206</x:v>
      </x:c>
      <x:c r="K797" s="23" t="n">
        <x:f>RANK(J797,$J$2:$J$1401,1)</x:f>
        <x:v>801</x:v>
      </x:c>
      <x:c r="L797" s="23" t="n">
        <x:f>IF(K797&lt;=7,1,0)</x:f>
        <x:v>0</x:v>
      </x:c>
      <x:c r="M797" s="23" t="n">
        <x:f>IF(L797=1,1/(J797+0.000001),0)</x:f>
        <x:v>0</x:v>
      </x:c>
      <x:c r="N797" s="23" t="n">
        <x:v>3.3094621690780173</x:v>
      </x:c>
      <x:c r="O797" s="23" t="n">
        <x:f>M797</x:f>
        <x:v>0</x:v>
      </x:c>
      <x:c r="P797" s="23" t="n">
        <x:v>30.952326555183845</x:v>
      </x:c>
      <x:c r="Q797" s="23" t="n">
        <x:v>-3.7331345721686375</x:v>
      </x:c>
    </x:row>
    <x:row r="798">
      <x:c r="A798" s="23" t="str">
        <x:v>Switching</x:v>
      </x:c>
      <x:c r="B798" s="23" t="n">
        <x:v>981.8083917256445</x:v>
      </x:c>
      <x:c r="C798" s="23" t="n">
        <x:v>1027.4717385764234</x:v>
      </x:c>
      <x:c r="D798" s="23" t="n">
        <x:v>410.9834482893348</x:v>
      </x:c>
      <x:c r="E798" s="23" t="n">
        <x:v>185.4318713140674</x:v>
      </x:c>
      <x:c r="F798" s="23" t="n">
        <x:v>11.926211629062891</x:v>
      </x:c>
      <x:c r="G798" s="23" t="n">
        <x:v>0.8110170587175526</x:v>
      </x:c>
      <x:c r="H798" s="23" t="n">
        <x:v>13170</x:v>
      </x:c>
      <x:c r="I798" s="23" t="n">
        <x:v>1200</x:v>
      </x:c>
      <x:c r="J798" s="23" t="n">
        <x:f>(IF(A798='Hybrid Calculator'!$B$6,0,1))^2+((B798-'Hybrid Calculator'!$B$7)/1500)^2+((C798-'Hybrid Calculator'!$B$8)/1300)^2+((D798-'Hybrid Calculator'!$B$9)/800)^2+((E798-'Hybrid Calculator'!$B$10)/350)^2+((F798-'Hybrid Calculator'!$B$11)/30)^2+(G798-'Hybrid Calculator'!$B$12)^2+((H798-'Hybrid Calculator'!$E$14)/IF(A798="Lightning",100,30000))^2+((I798-'Hybrid Calculator'!$E$17)/IF(A798="Lightning",100,30000))^2</x:f>
        <x:v>1.3694550247088846</x:v>
      </x:c>
      <x:c r="K798" s="23" t="n">
        <x:f>RANK(J798,$J$2:$J$1401,1)</x:f>
        <x:v>885</x:v>
      </x:c>
      <x:c r="L798" s="23" t="n">
        <x:f>IF(K798&lt;=7,1,0)</x:f>
        <x:v>0</x:v>
      </x:c>
      <x:c r="M798" s="23" t="n">
        <x:f>IF(L798=1,1/(J798+0.000001),0)</x:f>
        <x:v>0</x:v>
      </x:c>
      <x:c r="N798" s="23" t="n">
        <x:v>0.7457068495547787</x:v>
      </x:c>
      <x:c r="O798" s="23" t="n">
        <x:f>M798</x:f>
        <x:v>0</x:v>
      </x:c>
      <x:c r="P798" s="23" t="n">
        <x:v>-0.33436601450375747</x:v>
      </x:c>
      <x:c r="Q798" s="23" t="n">
        <x:v>10.077910995312322</x:v>
      </x:c>
    </x:row>
    <x:row r="799">
      <x:c r="A799" s="23" t="str">
        <x:v>Switching</x:v>
      </x:c>
      <x:c r="B799" s="23" t="n">
        <x:v>1062.0367510360666</x:v>
      </x:c>
      <x:c r="C799" s="23" t="n">
        <x:v>853.1901866896078</x:v>
      </x:c>
      <x:c r="D799" s="23" t="n">
        <x:v>595.5038164742291</x:v>
      </x:c>
      <x:c r="E799" s="23" t="n">
        <x:v>164.0899720788002</x:v>
      </x:c>
      <x:c r="F799" s="23" t="n">
        <x:v>22.94164831424132</x:v>
      </x:c>
      <x:c r="G799" s="23" t="n">
        <x:v>0.8420346843404696</x:v>
      </x:c>
      <x:c r="H799" s="23" t="n">
        <x:v>13260</x:v>
      </x:c>
      <x:c r="I799" s="23" t="n">
        <x:v>1200</x:v>
      </x:c>
      <x:c r="J799" s="23" t="n">
        <x:f>(IF(A799='Hybrid Calculator'!$B$6,0,1))^2+((B799-'Hybrid Calculator'!$B$7)/1500)^2+((C799-'Hybrid Calculator'!$B$8)/1300)^2+((D799-'Hybrid Calculator'!$B$9)/800)^2+((E799-'Hybrid Calculator'!$B$10)/350)^2+((F799-'Hybrid Calculator'!$B$11)/30)^2+(G799-'Hybrid Calculator'!$B$12)^2+((H799-'Hybrid Calculator'!$E$14)/IF(A799="Lightning",100,30000))^2+((I799-'Hybrid Calculator'!$E$17)/IF(A799="Lightning",100,30000))^2</x:f>
        <x:v>1.2922635910087346</x:v>
      </x:c>
      <x:c r="K799" s="23" t="n">
        <x:f>RANK(J799,$J$2:$J$1401,1)</x:f>
        <x:v>719</x:v>
      </x:c>
      <x:c r="L799" s="23" t="n">
        <x:f>IF(K799&lt;=7,1,0)</x:f>
        <x:v>0</x:v>
      </x:c>
      <x:c r="M799" s="23" t="n">
        <x:f>IF(L799=1,1/(J799+0.000001),0)</x:f>
        <x:v>0</x:v>
      </x:c>
      <x:c r="N799" s="23" t="n">
        <x:v>-2.206726304285297</x:v>
      </x:c>
      <x:c r="O799" s="23" t="n">
        <x:f>M799</x:f>
        <x:v>0</x:v>
      </x:c>
      <x:c r="P799" s="23" t="n">
        <x:v>-14.411132493773948</x:v>
      </x:c>
      <x:c r="Q799" s="23" t="n">
        <x:v>-5.242160263379219</x:v>
      </x:c>
    </x:row>
    <x:row r="800">
      <x:c r="A800" s="23" t="str">
        <x:v>Switching</x:v>
      </x:c>
      <x:c r="B800" s="23" t="n">
        <x:v>1086.8777554947883</x:v>
      </x:c>
      <x:c r="C800" s="23" t="n">
        <x:v>1169.2923530819826</x:v>
      </x:c>
      <x:c r="D800" s="23" t="n">
        <x:v>539.2049042508006</x:v>
      </x:c>
      <x:c r="E800" s="23" t="n">
        <x:v>322.29703313903883</x:v>
      </x:c>
      <x:c r="F800" s="23" t="n">
        <x:v>10.473042160272598</x:v>
      </x:c>
      <x:c r="G800" s="23" t="n">
        <x:v>0.8017578463838436</x:v>
      </x:c>
      <x:c r="H800" s="23" t="n">
        <x:v>10530</x:v>
      </x:c>
      <x:c r="I800" s="23" t="n">
        <x:v>1195</x:v>
      </x:c>
      <x:c r="J800" s="23" t="n">
        <x:f>(IF(A800='Hybrid Calculator'!$B$6,0,1))^2+((B800-'Hybrid Calculator'!$B$7)/1500)^2+((C800-'Hybrid Calculator'!$B$8)/1300)^2+((D800-'Hybrid Calculator'!$B$9)/800)^2+((E800-'Hybrid Calculator'!$B$10)/350)^2+((F800-'Hybrid Calculator'!$B$11)/30)^2+(G800-'Hybrid Calculator'!$B$12)^2+((H800-'Hybrid Calculator'!$E$14)/IF(A800="Lightning",100,30000))^2+((I800-'Hybrid Calculator'!$E$17)/IF(A800="Lightning",100,30000))^2</x:f>
        <x:v>1.5513530755123013</x:v>
      </x:c>
      <x:c r="K800" s="23" t="n">
        <x:f>RANK(J800,$J$2:$J$1401,1)</x:f>
        <x:v>1304</x:v>
      </x:c>
      <x:c r="L800" s="23" t="n">
        <x:f>IF(K800&lt;=7,1,0)</x:f>
        <x:v>0</x:v>
      </x:c>
      <x:c r="M800" s="23" t="n">
        <x:f>IF(L800=1,1/(J800+0.000001),0)</x:f>
        <x:v>0</x:v>
      </x:c>
      <x:c r="N800" s="23" t="n">
        <x:v>1.9116039740392807</x:v>
      </x:c>
      <x:c r="O800" s="23" t="n">
        <x:f>M800</x:f>
        <x:v>0</x:v>
      </x:c>
      <x:c r="P800" s="23" t="n">
        <x:v>3.5125831539212413</x:v>
      </x:c>
      <x:c r="Q800" s="23" t="n">
        <x:v>-4.575829059279158</x:v>
      </x:c>
    </x:row>
    <x:row r="801">
      <x:c r="A801" s="23" t="str">
        <x:v>Switching</x:v>
      </x:c>
      <x:c r="B801" s="23" t="n">
        <x:v>1097.0540561829694</x:v>
      </x:c>
      <x:c r="C801" s="23" t="n">
        <x:v>982.5386630138382</x:v>
      </x:c>
      <x:c r="D801" s="23" t="n">
        <x:v>424.767563957721</x:v>
      </x:c>
      <x:c r="E801" s="23" t="n">
        <x:v>188.63994667306542</x:v>
      </x:c>
      <x:c r="F801" s="23" t="n">
        <x:v>27.03026201436296</x:v>
      </x:c>
      <x:c r="G801" s="23" t="n">
        <x:v>0.802959395623766</x:v>
      </x:c>
      <x:c r="H801" s="23" t="n">
        <x:v>13400</x:v>
      </x:c>
      <x:c r="I801" s="23" t="n">
        <x:v>1200</x:v>
      </x:c>
      <x:c r="J801" s="23" t="n">
        <x:f>(IF(A801='Hybrid Calculator'!$B$6,0,1))^2+((B801-'Hybrid Calculator'!$B$7)/1500)^2+((C801-'Hybrid Calculator'!$B$8)/1300)^2+((D801-'Hybrid Calculator'!$B$9)/800)^2+((E801-'Hybrid Calculator'!$B$10)/350)^2+((F801-'Hybrid Calculator'!$B$11)/30)^2+(G801-'Hybrid Calculator'!$B$12)^2+((H801-'Hybrid Calculator'!$E$14)/IF(A801="Lightning",100,30000))^2+((I801-'Hybrid Calculator'!$E$17)/IF(A801="Lightning",100,30000))^2</x:f>
        <x:v>1.3599253006629288</x:v>
      </x:c>
      <x:c r="K801" s="23" t="n">
        <x:f>RANK(J801,$J$2:$J$1401,1)</x:f>
        <x:v>856</x:v>
      </x:c>
      <x:c r="L801" s="23" t="n">
        <x:f>IF(K801&lt;=7,1,0)</x:f>
        <x:v>0</x:v>
      </x:c>
      <x:c r="M801" s="23" t="n">
        <x:f>IF(L801=1,1/(J801+0.000001),0)</x:f>
        <x:v>0</x:v>
      </x:c>
      <x:c r="N801" s="23" t="n">
        <x:v>0.18372877933896348</x:v>
      </x:c>
      <x:c r="O801" s="23" t="n">
        <x:f>M801</x:f>
        <x:v>0</x:v>
      </x:c>
      <x:c r="P801" s="23" t="n">
        <x:v>53.519964412031186</x:v>
      </x:c>
      <x:c r="Q801" s="23" t="n">
        <x:v>-12.190892428229972</x:v>
      </x:c>
    </x:row>
    <x:row r="802">
      <x:c r="A802" s="23" t="str">
        <x:v>Switching</x:v>
      </x:c>
      <x:c r="B802" s="23" t="n">
        <x:v>950.6654084892944</x:v>
      </x:c>
      <x:c r="C802" s="23" t="n">
        <x:v>706.0619672876783</x:v>
      </x:c>
      <x:c r="D802" s="23" t="n">
        <x:v>565.1038184762001</x:v>
      </x:c>
      <x:c r="E802" s="23" t="n">
        <x:v>191.17267882218584</x:v>
      </x:c>
      <x:c r="F802" s="23" t="n">
        <x:v>9.076547305099666</x:v>
      </x:c>
      <x:c r="G802" s="23" t="n">
        <x:v>0.7934889158955776</x:v>
      </x:c>
      <x:c r="H802" s="23" t="n">
        <x:v>17060</x:v>
      </x:c>
      <x:c r="I802" s="23" t="n">
        <x:v>1200</x:v>
      </x:c>
      <x:c r="J802" s="23" t="n">
        <x:f>(IF(A802='Hybrid Calculator'!$B$6,0,1))^2+((B802-'Hybrid Calculator'!$B$7)/1500)^2+((C802-'Hybrid Calculator'!$B$8)/1300)^2+((D802-'Hybrid Calculator'!$B$9)/800)^2+((E802-'Hybrid Calculator'!$B$10)/350)^2+((F802-'Hybrid Calculator'!$B$11)/30)^2+(G802-'Hybrid Calculator'!$B$12)^2+((H802-'Hybrid Calculator'!$E$14)/IF(A802="Lightning",100,30000))^2+((I802-'Hybrid Calculator'!$E$17)/IF(A802="Lightning",100,30000))^2</x:f>
        <x:v>1.5551113929311522</x:v>
      </x:c>
      <x:c r="K802" s="23" t="n">
        <x:f>RANK(J802,$J$2:$J$1401,1)</x:f>
        <x:v>1310</x:v>
      </x:c>
      <x:c r="L802" s="23" t="n">
        <x:f>IF(K802&lt;=7,1,0)</x:f>
        <x:v>0</x:v>
      </x:c>
      <x:c r="M802" s="23" t="n">
        <x:f>IF(L802=1,1/(J802+0.000001),0)</x:f>
        <x:v>0</x:v>
      </x:c>
      <x:c r="N802" s="23" t="n">
        <x:v>3.2672999266756335</x:v>
      </x:c>
      <x:c r="O802" s="23" t="n">
        <x:f>M802</x:f>
        <x:v>0</x:v>
      </x:c>
      <x:c r="P802" s="23" t="n">
        <x:v>-32.268789569354794</x:v>
      </x:c>
      <x:c r="Q802" s="23" t="n">
        <x:v>10.017622882433443</x:v>
      </x:c>
    </x:row>
    <x:row r="803">
      <x:c r="A803" s="23" t="str">
        <x:v>Switching</x:v>
      </x:c>
      <x:c r="B803" s="23" t="n">
        <x:v>1023.061500384938</x:v>
      </x:c>
      <x:c r="C803" s="23" t="n">
        <x:v>943.7998841516674</x:v>
      </x:c>
      <x:c r="D803" s="23" t="n">
        <x:v>599.6072224341333</x:v>
      </x:c>
      <x:c r="E803" s="23" t="n">
        <x:v>302.7183530339971</x:v>
      </x:c>
      <x:c r="F803" s="23" t="n">
        <x:v>14.652879839297384</x:v>
      </x:c>
      <x:c r="G803" s="23" t="n">
        <x:v>0.834570915075019</x:v>
      </x:c>
      <x:c r="H803" s="23" t="n">
        <x:v>11585</x:v>
      </x:c>
      <x:c r="I803" s="23" t="n">
        <x:v>1195</x:v>
      </x:c>
      <x:c r="J803" s="23" t="n">
        <x:f>(IF(A803='Hybrid Calculator'!$B$6,0,1))^2+((B803-'Hybrid Calculator'!$B$7)/1500)^2+((C803-'Hybrid Calculator'!$B$8)/1300)^2+((D803-'Hybrid Calculator'!$B$9)/800)^2+((E803-'Hybrid Calculator'!$B$10)/350)^2+((F803-'Hybrid Calculator'!$B$11)/30)^2+(G803-'Hybrid Calculator'!$B$12)^2+((H803-'Hybrid Calculator'!$E$14)/IF(A803="Lightning",100,30000))^2+((I803-'Hybrid Calculator'!$E$17)/IF(A803="Lightning",100,30000))^2</x:f>
        <x:v>1.4489200473398596</x:v>
      </x:c>
      <x:c r="K803" s="23" t="n">
        <x:f>RANK(J803,$J$2:$J$1401,1)</x:f>
        <x:v>1105</x:v>
      </x:c>
      <x:c r="L803" s="23" t="n">
        <x:f>IF(K803&lt;=7,1,0)</x:f>
        <x:v>0</x:v>
      </x:c>
      <x:c r="M803" s="23" t="n">
        <x:f>IF(L803=1,1/(J803+0.000001),0)</x:f>
        <x:v>0</x:v>
      </x:c>
      <x:c r="N803" s="23" t="n">
        <x:v>4.301333642742634</x:v>
      </x:c>
      <x:c r="O803" s="23" t="n">
        <x:f>M803</x:f>
        <x:v>0</x:v>
      </x:c>
      <x:c r="P803" s="23" t="n">
        <x:v>-5.666584484386476</x:v>
      </x:c>
      <x:c r="Q803" s="23" t="n">
        <x:v>2.3484047351726076</x:v>
      </x:c>
    </x:row>
    <x:row r="804">
      <x:c r="A804" s="23" t="str">
        <x:v>Switching</x:v>
      </x:c>
      <x:c r="B804" s="23" t="n">
        <x:v>1034.1749105602503</x:v>
      </x:c>
      <x:c r="C804" s="23" t="n">
        <x:v>723.1121516204439</x:v>
      </x:c>
      <x:c r="D804" s="23" t="n">
        <x:v>662.3816626146436</x:v>
      </x:c>
      <x:c r="E804" s="23" t="n">
        <x:v>318.3692679577507</x:v>
      </x:c>
      <x:c r="F804" s="23" t="n">
        <x:v>22.49926440231502</x:v>
      </x:c>
      <x:c r="G804" s="23" t="n">
        <x:v>0.8513224144023843</x:v>
      </x:c>
      <x:c r="H804" s="23" t="n">
        <x:v>12550</x:v>
      </x:c>
      <x:c r="I804" s="23" t="n">
        <x:v>1200</x:v>
      </x:c>
      <x:c r="J804" s="23" t="n">
        <x:f>(IF(A804='Hybrid Calculator'!$B$6,0,1))^2+((B804-'Hybrid Calculator'!$B$7)/1500)^2+((C804-'Hybrid Calculator'!$B$8)/1300)^2+((D804-'Hybrid Calculator'!$B$9)/800)^2+((E804-'Hybrid Calculator'!$B$10)/350)^2+((F804-'Hybrid Calculator'!$B$11)/30)^2+(G804-'Hybrid Calculator'!$B$12)^2+((H804-'Hybrid Calculator'!$E$14)/IF(A804="Lightning",100,30000))^2+((I804-'Hybrid Calculator'!$E$17)/IF(A804="Lightning",100,30000))^2</x:f>
        <x:v>1.5439244010291406</x:v>
      </x:c>
      <x:c r="K804" s="23" t="n">
        <x:f>RANK(J804,$J$2:$J$1401,1)</x:f>
        <x:v>1289</x:v>
      </x:c>
      <x:c r="L804" s="23" t="n">
        <x:f>IF(K804&lt;=7,1,0)</x:f>
        <x:v>0</x:v>
      </x:c>
      <x:c r="M804" s="23" t="n">
        <x:f>IF(L804=1,1/(J804+0.000001),0)</x:f>
        <x:v>0</x:v>
      </x:c>
      <x:c r="N804" s="23" t="n">
        <x:v>-0.009645555422764573</x:v>
      </x:c>
      <x:c r="O804" s="23" t="n">
        <x:f>M804</x:f>
        <x:v>0</x:v>
      </x:c>
      <x:c r="P804" s="23" t="n">
        <x:v>-1.8104986668090532</x:v>
      </x:c>
      <x:c r="Q804" s="23" t="n">
        <x:v>-7.572687789189786</x:v>
      </x:c>
    </x:row>
    <x:row r="805">
      <x:c r="A805" s="23" t="str">
        <x:v>Switching</x:v>
      </x:c>
      <x:c r="B805" s="23" t="n">
        <x:v>982.603392994497</x:v>
      </x:c>
      <x:c r="C805" s="23" t="n">
        <x:v>1025.2488976577297</x:v>
      </x:c>
      <x:c r="D805" s="23" t="n">
        <x:v>703.7341014482081</x:v>
      </x:c>
      <x:c r="E805" s="23" t="n">
        <x:v>173.52516732178628</x:v>
      </x:c>
      <x:c r="F805" s="23" t="n">
        <x:v>11.357489478308707</x:v>
      </x:c>
      <x:c r="G805" s="23" t="n">
        <x:v>0.8357143820123747</x:v>
      </x:c>
      <x:c r="H805" s="23" t="n">
        <x:v>13115</x:v>
      </x:c>
      <x:c r="I805" s="23" t="n">
        <x:v>1200</x:v>
      </x:c>
      <x:c r="J805" s="23" t="n">
        <x:f>(IF(A805='Hybrid Calculator'!$B$6,0,1))^2+((B805-'Hybrid Calculator'!$B$7)/1500)^2+((C805-'Hybrid Calculator'!$B$8)/1300)^2+((D805-'Hybrid Calculator'!$B$9)/800)^2+((E805-'Hybrid Calculator'!$B$10)/350)^2+((F805-'Hybrid Calculator'!$B$11)/30)^2+(G805-'Hybrid Calculator'!$B$12)^2+((H805-'Hybrid Calculator'!$E$14)/IF(A805="Lightning",100,30000))^2+((I805-'Hybrid Calculator'!$E$17)/IF(A805="Lightning",100,30000))^2</x:f>
        <x:v>1.422655706932533</x:v>
      </x:c>
      <x:c r="K805" s="23" t="n">
        <x:f>RANK(J805,$J$2:$J$1401,1)</x:f>
        <x:v>1044</x:v>
      </x:c>
      <x:c r="L805" s="23" t="n">
        <x:f>IF(K805&lt;=7,1,0)</x:f>
        <x:v>0</x:v>
      </x:c>
      <x:c r="M805" s="23" t="n">
        <x:f>IF(L805=1,1/(J805+0.000001),0)</x:f>
        <x:v>0</x:v>
      </x:c>
      <x:c r="N805" s="23" t="n">
        <x:v>1.5336708038712459</x:v>
      </x:c>
      <x:c r="O805" s="23" t="n">
        <x:f>M805</x:f>
        <x:v>0</x:v>
      </x:c>
      <x:c r="P805" s="23" t="n">
        <x:v>38.333433052298005</x:v>
      </x:c>
      <x:c r="Q805" s="23" t="n">
        <x:v>-2.0446527635398297</x:v>
      </x:c>
    </x:row>
    <x:row r="806">
      <x:c r="A806" s="23" t="str">
        <x:v>Switching</x:v>
      </x:c>
      <x:c r="B806" s="23" t="n">
        <x:v>1098.8664393080398</x:v>
      </x:c>
      <x:c r="C806" s="23" t="n">
        <x:v>796.2974474416114</x:v>
      </x:c>
      <x:c r="D806" s="23" t="n">
        <x:v>449.78272654116154</x:v>
      </x:c>
      <x:c r="E806" s="23" t="n">
        <x:v>165.82694752840325</x:v>
      </x:c>
      <x:c r="F806" s="23" t="n">
        <x:v>21.978950359858572</x:v>
      </x:c>
      <x:c r="G806" s="23" t="n">
        <x:v>0.8458130331593566</x:v>
      </x:c>
      <x:c r="H806" s="23" t="n">
        <x:v>15145</x:v>
      </x:c>
      <x:c r="I806" s="23" t="n">
        <x:v>1200</x:v>
      </x:c>
      <x:c r="J806" s="23" t="n">
        <x:f>(IF(A806='Hybrid Calculator'!$B$6,0,1))^2+((B806-'Hybrid Calculator'!$B$7)/1500)^2+((C806-'Hybrid Calculator'!$B$8)/1300)^2+((D806-'Hybrid Calculator'!$B$9)/800)^2+((E806-'Hybrid Calculator'!$B$10)/350)^2+((F806-'Hybrid Calculator'!$B$11)/30)^2+(G806-'Hybrid Calculator'!$B$12)^2+((H806-'Hybrid Calculator'!$E$14)/IF(A806="Lightning",100,30000))^2+((I806-'Hybrid Calculator'!$E$17)/IF(A806="Lightning",100,30000))^2</x:f>
        <x:v>1.3237890027815786</x:v>
      </x:c>
      <x:c r="K806" s="23" t="n">
        <x:f>RANK(J806,$J$2:$J$1401,1)</x:f>
        <x:v>765</x:v>
      </x:c>
      <x:c r="L806" s="23" t="n">
        <x:f>IF(K806&lt;=7,1,0)</x:f>
        <x:v>0</x:v>
      </x:c>
      <x:c r="M806" s="23" t="n">
        <x:f>IF(L806=1,1/(J806+0.000001),0)</x:f>
        <x:v>0</x:v>
      </x:c>
      <x:c r="N806" s="23" t="n">
        <x:v>-2.555033611195171</x:v>
      </x:c>
      <x:c r="O806" s="23" t="n">
        <x:f>M806</x:f>
        <x:v>0</x:v>
      </x:c>
      <x:c r="P806" s="23" t="n">
        <x:v>-40.116629275599735</x:v>
      </x:c>
      <x:c r="Q806" s="23" t="n">
        <x:v>-0.21303280545021153</x:v>
      </x:c>
    </x:row>
    <x:row r="807">
      <x:c r="A807" s="23" t="str">
        <x:v>Switching</x:v>
      </x:c>
      <x:c r="B807" s="23" t="n">
        <x:v>974.4575273594819</x:v>
      </x:c>
      <x:c r="C807" s="23" t="n">
        <x:v>821.5990293305367</x:v>
      </x:c>
      <x:c r="D807" s="23" t="n">
        <x:v>643.9942116849124</x:v>
      </x:c>
      <x:c r="E807" s="23" t="n">
        <x:v>86.0200112638995</x:v>
      </x:c>
      <x:c r="F807" s="23" t="n">
        <x:v>9.607411127071828</x:v>
      </x:c>
      <x:c r="G807" s="23" t="n">
        <x:v>0.812908405661583</x:v>
      </x:c>
      <x:c r="H807" s="23" t="n">
        <x:v>16080</x:v>
      </x:c>
      <x:c r="I807" s="23" t="n">
        <x:v>1200</x:v>
      </x:c>
      <x:c r="J807" s="23" t="n">
        <x:f>(IF(A807='Hybrid Calculator'!$B$6,0,1))^2+((B807-'Hybrid Calculator'!$B$7)/1500)^2+((C807-'Hybrid Calculator'!$B$8)/1300)^2+((D807-'Hybrid Calculator'!$B$9)/800)^2+((E807-'Hybrid Calculator'!$B$10)/350)^2+((F807-'Hybrid Calculator'!$B$11)/30)^2+(G807-'Hybrid Calculator'!$B$12)^2+((H807-'Hybrid Calculator'!$E$14)/IF(A807="Lightning",100,30000))^2+((I807-'Hybrid Calculator'!$E$17)/IF(A807="Lightning",100,30000))^2</x:f>
        <x:v>1.5314686565660298</x:v>
      </x:c>
      <x:c r="K807" s="23" t="n">
        <x:f>RANK(J807,$J$2:$J$1401,1)</x:f>
        <x:v>1266</x:v>
      </x:c>
      <x:c r="L807" s="23" t="n">
        <x:f>IF(K807&lt;=7,1,0)</x:f>
        <x:v>0</x:v>
      </x:c>
      <x:c r="M807" s="23" t="n">
        <x:f>IF(L807=1,1/(J807+0.000001),0)</x:f>
        <x:v>0</x:v>
      </x:c>
      <x:c r="N807" s="23" t="n">
        <x:v>1.7049321854140373</x:v>
      </x:c>
      <x:c r="O807" s="23" t="n">
        <x:f>M807</x:f>
        <x:v>0</x:v>
      </x:c>
      <x:c r="P807" s="23" t="n">
        <x:v>-8.421838305004712</x:v>
      </x:c>
      <x:c r="Q807" s="23" t="n">
        <x:v>2.5368917503009243</x:v>
      </x:c>
    </x:row>
    <x:row r="808">
      <x:c r="A808" s="23" t="str">
        <x:v>Switching</x:v>
      </x:c>
      <x:c r="B808" s="23" t="n">
        <x:v>967.2128099482507</x:v>
      </x:c>
      <x:c r="C808" s="23" t="n">
        <x:v>1197.5203339825384</x:v>
      </x:c>
      <x:c r="D808" s="23" t="n">
        <x:v>711.4562874659896</x:v>
      </x:c>
      <x:c r="E808" s="23" t="n">
        <x:v>280.82594716222957</x:v>
      </x:c>
      <x:c r="F808" s="23" t="n">
        <x:v>18.447113897651434</x:v>
      </x:c>
      <x:c r="G808" s="23" t="n">
        <x:v>0.8073535843589343</x:v>
      </x:c>
      <x:c r="H808" s="23" t="n">
        <x:v>11395</x:v>
      </x:c>
      <x:c r="I808" s="23" t="n">
        <x:v>1195</x:v>
      </x:c>
      <x:c r="J808" s="23" t="n">
        <x:f>(IF(A808='Hybrid Calculator'!$B$6,0,1))^2+((B808-'Hybrid Calculator'!$B$7)/1500)^2+((C808-'Hybrid Calculator'!$B$8)/1300)^2+((D808-'Hybrid Calculator'!$B$9)/800)^2+((E808-'Hybrid Calculator'!$B$10)/350)^2+((F808-'Hybrid Calculator'!$B$11)/30)^2+(G808-'Hybrid Calculator'!$B$12)^2+((H808-'Hybrid Calculator'!$E$14)/IF(A808="Lightning",100,30000))^2+((I808-'Hybrid Calculator'!$E$17)/IF(A808="Lightning",100,30000))^2</x:f>
        <x:v>1.5188806950369507</x:v>
      </x:c>
      <x:c r="K808" s="23" t="n">
        <x:f>RANK(J808,$J$2:$J$1401,1)</x:f>
        <x:v>1245</x:v>
      </x:c>
      <x:c r="L808" s="23" t="n">
        <x:f>IF(K808&lt;=7,1,0)</x:f>
        <x:v>0</x:v>
      </x:c>
      <x:c r="M808" s="23" t="n">
        <x:f>IF(L808=1,1/(J808+0.000001),0)</x:f>
        <x:v>0</x:v>
      </x:c>
      <x:c r="N808" s="23" t="n">
        <x:v>4.985767341914851</x:v>
      </x:c>
      <x:c r="O808" s="23" t="n">
        <x:f>M808</x:f>
        <x:v>0</x:v>
      </x:c>
      <x:c r="P808" s="23" t="n">
        <x:v>8.646123252204234</x:v>
      </x:c>
      <x:c r="Q808" s="23" t="n">
        <x:v>-7.432856382846126</x:v>
      </x:c>
    </x:row>
    <x:row r="809">
      <x:c r="A809" s="23" t="str">
        <x:v>Switching</x:v>
      </x:c>
      <x:c r="B809" s="23" t="n">
        <x:v>1031.6682044533081</x:v>
      </x:c>
      <x:c r="C809" s="23" t="n">
        <x:v>1048.1873008189723</x:v>
      </x:c>
      <x:c r="D809" s="23" t="n">
        <x:v>639.4399275071919</x:v>
      </x:c>
      <x:c r="E809" s="23" t="n">
        <x:v>136.1006860807538</x:v>
      </x:c>
      <x:c r="F809" s="23" t="n">
        <x:v>12.709369274321944</x:v>
      </x:c>
      <x:c r="G809" s="23" t="n">
        <x:v>0.8029972058860585</x:v>
      </x:c>
      <x:c r="H809" s="23" t="n">
        <x:v>11725</x:v>
      </x:c>
      <x:c r="I809" s="23" t="n">
        <x:v>1195</x:v>
      </x:c>
      <x:c r="J809" s="23" t="n">
        <x:f>(IF(A809='Hybrid Calculator'!$B$6,0,1))^2+((B809-'Hybrid Calculator'!$B$7)/1500)^2+((C809-'Hybrid Calculator'!$B$8)/1300)^2+((D809-'Hybrid Calculator'!$B$9)/800)^2+((E809-'Hybrid Calculator'!$B$10)/350)^2+((F809-'Hybrid Calculator'!$B$11)/30)^2+(G809-'Hybrid Calculator'!$B$12)^2+((H809-'Hybrid Calculator'!$E$14)/IF(A809="Lightning",100,30000))^2+((I809-'Hybrid Calculator'!$E$17)/IF(A809="Lightning",100,30000))^2</x:f>
        <x:v>1.3144769307438913</x:v>
      </x:c>
      <x:c r="K809" s="23" t="n">
        <x:f>RANK(J809,$J$2:$J$1401,1)</x:f>
        <x:v>753</x:v>
      </x:c>
      <x:c r="L809" s="23" t="n">
        <x:f>IF(K809&lt;=7,1,0)</x:f>
        <x:v>0</x:v>
      </x:c>
      <x:c r="M809" s="23" t="n">
        <x:f>IF(L809=1,1/(J809+0.000001),0)</x:f>
        <x:v>0</x:v>
      </x:c>
      <x:c r="N809" s="23" t="n">
        <x:v>4.654350895545349</x:v>
      </x:c>
      <x:c r="O809" s="23" t="n">
        <x:f>M809</x:f>
        <x:v>0</x:v>
      </x:c>
      <x:c r="P809" s="23" t="n">
        <x:v>38.15407555343245</x:v>
      </x:c>
      <x:c r="Q809" s="23" t="n">
        <x:v>-3.7025166367009206</x:v>
      </x:c>
    </x:row>
    <x:row r="810">
      <x:c r="A810" s="23" t="str">
        <x:v>Switching</x:v>
      </x:c>
      <x:c r="B810" s="23" t="n">
        <x:v>1057.386040710844</x:v>
      </x:c>
      <x:c r="C810" s="23" t="n">
        <x:v>750.9057927061804</x:v>
      </x:c>
      <x:c r="D810" s="23" t="n">
        <x:v>730.3374998271465</x:v>
      </x:c>
      <x:c r="E810" s="23" t="n">
        <x:v>187.07935638492927</x:v>
      </x:c>
      <x:c r="F810" s="23" t="n">
        <x:v>14.57391834910959</x:v>
      </x:c>
      <x:c r="G810" s="23" t="n">
        <x:v>0.8174703769548797</x:v>
      </x:c>
      <x:c r="H810" s="23" t="n">
        <x:v>12820</x:v>
      </x:c>
      <x:c r="I810" s="23" t="n">
        <x:v>1200</x:v>
      </x:c>
      <x:c r="J810" s="23" t="n">
        <x:f>(IF(A810='Hybrid Calculator'!$B$6,0,1))^2+((B810-'Hybrid Calculator'!$B$7)/1500)^2+((C810-'Hybrid Calculator'!$B$8)/1300)^2+((D810-'Hybrid Calculator'!$B$9)/800)^2+((E810-'Hybrid Calculator'!$B$10)/350)^2+((F810-'Hybrid Calculator'!$B$11)/30)^2+(G810-'Hybrid Calculator'!$B$12)^2+((H810-'Hybrid Calculator'!$E$14)/IF(A810="Lightning",100,30000))^2+((I810-'Hybrid Calculator'!$E$17)/IF(A810="Lightning",100,30000))^2</x:f>
        <x:v>1.3598545233302912</x:v>
      </x:c>
      <x:c r="K810" s="23" t="n">
        <x:f>RANK(J810,$J$2:$J$1401,1)</x:f>
        <x:v>855</x:v>
      </x:c>
      <x:c r="L810" s="23" t="n">
        <x:f>IF(K810&lt;=7,1,0)</x:f>
        <x:v>0</x:v>
      </x:c>
      <x:c r="M810" s="23" t="n">
        <x:f>IF(L810=1,1/(J810+0.000001),0)</x:f>
        <x:v>0</x:v>
      </x:c>
      <x:c r="N810" s="23" t="n">
        <x:v>0.5554827786664589</x:v>
      </x:c>
      <x:c r="O810" s="23" t="n">
        <x:f>M810</x:f>
        <x:v>0</x:v>
      </x:c>
      <x:c r="P810" s="23" t="n">
        <x:v>23.991663223445812</x:v>
      </x:c>
      <x:c r="Q810" s="23" t="n">
        <x:v>5.158721273536003</x:v>
      </x:c>
    </x:row>
    <x:row r="811">
      <x:c r="A811" s="23" t="str">
        <x:v>Switching</x:v>
      </x:c>
      <x:c r="B811" s="23" t="n">
        <x:v>1039.2409922438674</x:v>
      </x:c>
      <x:c r="C811" s="23" t="n">
        <x:v>1024.7746501117945</x:v>
      </x:c>
      <x:c r="D811" s="23" t="n">
        <x:v>521.0286258719862</x:v>
      </x:c>
      <x:c r="E811" s="23" t="n">
        <x:v>278.6917230533436</x:v>
      </x:c>
      <x:c r="F811" s="23" t="n">
        <x:v>21.14124767621979</x:v>
      </x:c>
      <x:c r="G811" s="23" t="n">
        <x:v>0.7915328572969884</x:v>
      </x:c>
      <x:c r="H811" s="23" t="n">
        <x:v>11720</x:v>
      </x:c>
      <x:c r="I811" s="23" t="n">
        <x:v>1195</x:v>
      </x:c>
      <x:c r="J811" s="23" t="n">
        <x:f>(IF(A811='Hybrid Calculator'!$B$6,0,1))^2+((B811-'Hybrid Calculator'!$B$7)/1500)^2+((C811-'Hybrid Calculator'!$B$8)/1300)^2+((D811-'Hybrid Calculator'!$B$9)/800)^2+((E811-'Hybrid Calculator'!$B$10)/350)^2+((F811-'Hybrid Calculator'!$B$11)/30)^2+(G811-'Hybrid Calculator'!$B$12)^2+((H811-'Hybrid Calculator'!$E$14)/IF(A811="Lightning",100,30000))^2+((I811-'Hybrid Calculator'!$E$17)/IF(A811="Lightning",100,30000))^2</x:f>
        <x:v>1.3815034916204654</x:v>
      </x:c>
      <x:c r="K811" s="23" t="n">
        <x:f>RANK(J811,$J$2:$J$1401,1)</x:f>
        <x:v>921</x:v>
      </x:c>
      <x:c r="L811" s="23" t="n">
        <x:f>IF(K811&lt;=7,1,0)</x:f>
        <x:v>0</x:v>
      </x:c>
      <x:c r="M811" s="23" t="n">
        <x:f>IF(L811=1,1/(J811+0.000001),0)</x:f>
        <x:v>0</x:v>
      </x:c>
      <x:c r="N811" s="23" t="n">
        <x:v>3.2609209311424365</x:v>
      </x:c>
      <x:c r="O811" s="23" t="n">
        <x:f>M811</x:f>
        <x:v>0</x:v>
      </x:c>
      <x:c r="P811" s="23" t="n">
        <x:v>25.65448741528371</x:v>
      </x:c>
      <x:c r="Q811" s="23" t="n">
        <x:v>-3.531526397596508</x:v>
      </x:c>
    </x:row>
    <x:row r="812">
      <x:c r="A812" s="23" t="str">
        <x:v>Switching</x:v>
      </x:c>
      <x:c r="B812" s="23" t="n">
        <x:v>1090.1782627217472</x:v>
      </x:c>
      <x:c r="C812" s="23" t="n">
        <x:v>635.3908191784285</x:v>
      </x:c>
      <x:c r="D812" s="23" t="n">
        <x:v>477.2228652611375</x:v>
      </x:c>
      <x:c r="E812" s="23" t="n">
        <x:v>163.8912400067784</x:v>
      </x:c>
      <x:c r="F812" s="23" t="n">
        <x:v>19.025456288829446</x:v>
      </x:c>
      <x:c r="G812" s="23" t="n">
        <x:v>0.8435266430233606</x:v>
      </x:c>
      <x:c r="H812" s="23" t="n">
        <x:v>16755</x:v>
      </x:c>
      <x:c r="I812" s="23" t="n">
        <x:v>1200</x:v>
      </x:c>
      <x:c r="J812" s="23" t="n">
        <x:f>(IF(A812='Hybrid Calculator'!$B$6,0,1))^2+((B812-'Hybrid Calculator'!$B$7)/1500)^2+((C812-'Hybrid Calculator'!$B$8)/1300)^2+((D812-'Hybrid Calculator'!$B$9)/800)^2+((E812-'Hybrid Calculator'!$B$10)/350)^2+((F812-'Hybrid Calculator'!$B$11)/30)^2+(G812-'Hybrid Calculator'!$B$12)^2+((H812-'Hybrid Calculator'!$E$14)/IF(A812="Lightning",100,30000))^2+((I812-'Hybrid Calculator'!$E$17)/IF(A812="Lightning",100,30000))^2</x:f>
        <x:v>1.3919209645994413</x:v>
      </x:c>
      <x:c r="K812" s="23" t="n">
        <x:f>RANK(J812,$J$2:$J$1401,1)</x:f>
        <x:v>953</x:v>
      </x:c>
      <x:c r="L812" s="23" t="n">
        <x:f>IF(K812&lt;=7,1,0)</x:f>
        <x:v>0</x:v>
      </x:c>
      <x:c r="M812" s="23" t="n">
        <x:f>IF(L812=1,1/(J812+0.000001),0)</x:f>
        <x:v>0</x:v>
      </x:c>
      <x:c r="N812" s="23" t="n">
        <x:v>-1.9417646717917876</x:v>
      </x:c>
      <x:c r="O812" s="23" t="n">
        <x:f>M812</x:f>
        <x:v>0</x:v>
      </x:c>
      <x:c r="P812" s="23" t="n">
        <x:v>-30.84095030243998</x:v>
      </x:c>
      <x:c r="Q812" s="23" t="n">
        <x:v>6.181000554870707</x:v>
      </x:c>
    </x:row>
    <x:row r="813">
      <x:c r="A813" s="23" t="str">
        <x:v>Switching</x:v>
      </x:c>
      <x:c r="B813" s="23" t="n">
        <x:v>986.0743930214085</x:v>
      </x:c>
      <x:c r="C813" s="23" t="n">
        <x:v>1095.9680087165907</x:v>
      </x:c>
      <x:c r="D813" s="23" t="n">
        <x:v>721.1711787618697</x:v>
      </x:c>
      <x:c r="E813" s="23" t="n">
        <x:v>205.47236890532076</x:v>
      </x:c>
      <x:c r="F813" s="23" t="n">
        <x:v>25.940482758451253</x:v>
      </x:c>
      <x:c r="G813" s="23" t="n">
        <x:v>0.806726838783361</x:v>
      </x:c>
      <x:c r="H813" s="23" t="n">
        <x:v>10575</x:v>
      </x:c>
      <x:c r="I813" s="23" t="n">
        <x:v>1195</x:v>
      </x:c>
      <x:c r="J813" s="23" t="n">
        <x:f>(IF(A813='Hybrid Calculator'!$B$6,0,1))^2+((B813-'Hybrid Calculator'!$B$7)/1500)^2+((C813-'Hybrid Calculator'!$B$8)/1300)^2+((D813-'Hybrid Calculator'!$B$9)/800)^2+((E813-'Hybrid Calculator'!$B$10)/350)^2+((F813-'Hybrid Calculator'!$B$11)/30)^2+(G813-'Hybrid Calculator'!$B$12)^2+((H813-'Hybrid Calculator'!$E$14)/IF(A813="Lightning",100,30000))^2+((I813-'Hybrid Calculator'!$E$17)/IF(A813="Lightning",100,30000))^2</x:f>
        <x:v>1.4092691037232135</x:v>
      </x:c>
      <x:c r="K813" s="23" t="n">
        <x:f>RANK(J813,$J$2:$J$1401,1)</x:f>
        <x:v>1004</x:v>
      </x:c>
      <x:c r="L813" s="23" t="n">
        <x:f>IF(K813&lt;=7,1,0)</x:f>
        <x:v>0</x:v>
      </x:c>
      <x:c r="M813" s="23" t="n">
        <x:f>IF(L813=1,1/(J813+0.000001),0)</x:f>
        <x:v>0</x:v>
      </x:c>
      <x:c r="N813" s="23" t="n">
        <x:v>0.9072487882039297</x:v>
      </x:c>
      <x:c r="O813" s="23" t="n">
        <x:f>M813</x:f>
        <x:v>0</x:v>
      </x:c>
      <x:c r="P813" s="23" t="n">
        <x:v>39.69450674493555</x:v>
      </x:c>
      <x:c r="Q813" s="23" t="n">
        <x:v>-10.239992614093808</x:v>
      </x:c>
    </x:row>
    <x:row r="814">
      <x:c r="A814" s="23" t="str">
        <x:v>Switching</x:v>
      </x:c>
      <x:c r="B814" s="23" t="n">
        <x:v>956.0426520183682</x:v>
      </x:c>
      <x:c r="C814" s="23" t="n">
        <x:v>949.9646380892955</x:v>
      </x:c>
      <x:c r="D814" s="23" t="n">
        <x:v>499.3290873244405</x:v>
      </x:c>
      <x:c r="E814" s="23" t="n">
        <x:v>138.4411896415986</x:v>
      </x:c>
      <x:c r="F814" s="23" t="n">
        <x:v>19.45805541239679</x:v>
      </x:c>
      <x:c r="G814" s="23" t="n">
        <x:v>0.8118871391681023</x:v>
      </x:c>
      <x:c r="H814" s="23" t="n">
        <x:v>15715</x:v>
      </x:c>
      <x:c r="I814" s="23" t="n">
        <x:v>1200</x:v>
      </x:c>
      <x:c r="J814" s="23" t="n">
        <x:f>(IF(A814='Hybrid Calculator'!$B$6,0,1))^2+((B814-'Hybrid Calculator'!$B$7)/1500)^2+((C814-'Hybrid Calculator'!$B$8)/1300)^2+((D814-'Hybrid Calculator'!$B$9)/800)^2+((E814-'Hybrid Calculator'!$B$10)/350)^2+((F814-'Hybrid Calculator'!$B$11)/30)^2+(G814-'Hybrid Calculator'!$B$12)^2+((H814-'Hybrid Calculator'!$E$14)/IF(A814="Lightning",100,30000))^2+((I814-'Hybrid Calculator'!$E$17)/IF(A814="Lightning",100,30000))^2</x:f>
        <x:v>1.3800247349106058</x:v>
      </x:c>
      <x:c r="K814" s="23" t="n">
        <x:f>RANK(J814,$J$2:$J$1401,1)</x:f>
        <x:v>917</x:v>
      </x:c>
      <x:c r="L814" s="23" t="n">
        <x:f>IF(K814&lt;=7,1,0)</x:f>
        <x:v>0</x:v>
      </x:c>
      <x:c r="M814" s="23" t="n">
        <x:f>IF(L814=1,1/(J814+0.000001),0)</x:f>
        <x:v>0</x:v>
      </x:c>
      <x:c r="N814" s="23" t="n">
        <x:v>2.5114358550775364</x:v>
      </x:c>
      <x:c r="O814" s="23" t="n">
        <x:f>M814</x:f>
        <x:v>0</x:v>
      </x:c>
      <x:c r="P814" s="23" t="n">
        <x:v>48.56376820243395</x:v>
      </x:c>
      <x:c r="Q814" s="23" t="n">
        <x:v>-3.6149989025640252</x:v>
      </x:c>
    </x:row>
    <x:row r="815">
      <x:c r="A815" s="23" t="str">
        <x:v>Switching</x:v>
      </x:c>
      <x:c r="B815" s="23" t="n">
        <x:v>1020.9511370048858</x:v>
      </x:c>
      <x:c r="C815" s="23" t="n">
        <x:v>715.8440985018387</x:v>
      </x:c>
      <x:c r="D815" s="23" t="n">
        <x:v>627.8479726053774</x:v>
      </x:c>
      <x:c r="E815" s="23" t="n">
        <x:v>199.3925968836993</x:v>
      </x:c>
      <x:c r="F815" s="23" t="n">
        <x:v>9.878345285076648</x:v>
      </x:c>
      <x:c r="G815" s="23" t="n">
        <x:v>0.8087063469411806</x:v>
      </x:c>
      <x:c r="H815" s="23" t="n">
        <x:v>13860</x:v>
      </x:c>
      <x:c r="I815" s="23" t="n">
        <x:v>1200</x:v>
      </x:c>
      <x:c r="J815" s="23" t="n">
        <x:f>(IF(A815='Hybrid Calculator'!$B$6,0,1))^2+((B815-'Hybrid Calculator'!$B$7)/1500)^2+((C815-'Hybrid Calculator'!$B$8)/1300)^2+((D815-'Hybrid Calculator'!$B$9)/800)^2+((E815-'Hybrid Calculator'!$B$10)/350)^2+((F815-'Hybrid Calculator'!$B$11)/30)^2+(G815-'Hybrid Calculator'!$B$12)^2+((H815-'Hybrid Calculator'!$E$14)/IF(A815="Lightning",100,30000))^2+((I815-'Hybrid Calculator'!$E$17)/IF(A815="Lightning",100,30000))^2</x:f>
        <x:v>1.424822639554476</x:v>
      </x:c>
      <x:c r="K815" s="23" t="n">
        <x:f>RANK(J815,$J$2:$J$1401,1)</x:f>
        <x:v>1047</x:v>
      </x:c>
      <x:c r="L815" s="23" t="n">
        <x:f>IF(K815&lt;=7,1,0)</x:f>
        <x:v>0</x:v>
      </x:c>
      <x:c r="M815" s="23" t="n">
        <x:f>IF(L815=1,1/(J815+0.000001),0)</x:f>
        <x:v>0</x:v>
      </x:c>
      <x:c r="N815" s="23" t="n">
        <x:v>-1.0696857497871974</x:v>
      </x:c>
      <x:c r="O815" s="23" t="n">
        <x:f>M815</x:f>
        <x:v>0</x:v>
      </x:c>
      <x:c r="P815" s="23" t="n">
        <x:v>11.4727636174307</x:v>
      </x:c>
      <x:c r="Q815" s="23" t="n">
        <x:v>2.9773144365000235</x:v>
      </x:c>
    </x:row>
    <x:row r="816">
      <x:c r="A816" s="23" t="str">
        <x:v>Switching</x:v>
      </x:c>
      <x:c r="B816" s="23" t="n">
        <x:v>1022.9887786088511</x:v>
      </x:c>
      <x:c r="C816" s="23" t="n">
        <x:v>955.8710734010674</x:v>
      </x:c>
      <x:c r="D816" s="23" t="n">
        <x:v>597.3212886601686</x:v>
      </x:c>
      <x:c r="E816" s="23" t="n">
        <x:v>181.52141022263095</x:v>
      </x:c>
      <x:c r="F816" s="23" t="n">
        <x:v>28.624367983080447</x:v>
      </x:c>
      <x:c r="G816" s="23" t="n">
        <x:v>0.8323516939464025</x:v>
      </x:c>
      <x:c r="H816" s="23" t="n">
        <x:v>12330</x:v>
      </x:c>
      <x:c r="I816" s="23" t="n">
        <x:v>1200</x:v>
      </x:c>
      <x:c r="J816" s="23" t="n">
        <x:f>(IF(A816='Hybrid Calculator'!$B$6,0,1))^2+((B816-'Hybrid Calculator'!$B$7)/1500)^2+((C816-'Hybrid Calculator'!$B$8)/1300)^2+((D816-'Hybrid Calculator'!$B$9)/800)^2+((E816-'Hybrid Calculator'!$B$10)/350)^2+((F816-'Hybrid Calculator'!$B$11)/30)^2+(G816-'Hybrid Calculator'!$B$12)^2+((H816-'Hybrid Calculator'!$E$14)/IF(A816="Lightning",100,30000))^2+((I816-'Hybrid Calculator'!$E$17)/IF(A816="Lightning",100,30000))^2</x:f>
        <x:v>1.384502896429926</x:v>
      </x:c>
      <x:c r="K816" s="23" t="n">
        <x:f>RANK(J816,$J$2:$J$1401,1)</x:f>
        <x:v>934</x:v>
      </x:c>
      <x:c r="L816" s="23" t="n">
        <x:f>IF(K816&lt;=7,1,0)</x:f>
        <x:v>0</x:v>
      </x:c>
      <x:c r="M816" s="23" t="n">
        <x:f>IF(L816=1,1/(J816+0.000001),0)</x:f>
        <x:v>0</x:v>
      </x:c>
      <x:c r="N816" s="23" t="n">
        <x:v>-2.927250403949415</x:v>
      </x:c>
      <x:c r="O816" s="23" t="n">
        <x:f>M816</x:f>
        <x:v>0</x:v>
      </x:c>
      <x:c r="P816" s="23" t="n">
        <x:v>-30.58677834471746</x:v>
      </x:c>
      <x:c r="Q816" s="23" t="n">
        <x:v>-14.30364324386369</x:v>
      </x:c>
    </x:row>
    <x:row r="817">
      <x:c r="A817" s="23" t="str">
        <x:v>Switching</x:v>
      </x:c>
      <x:c r="B817" s="23" t="n">
        <x:v>1094.884465856012</x:v>
      </x:c>
      <x:c r="C817" s="23" t="n">
        <x:v>604.069754993543</x:v>
      </x:c>
      <x:c r="D817" s="23" t="n">
        <x:v>388.38449819013476</x:v>
      </x:c>
      <x:c r="E817" s="23" t="n">
        <x:v>112.04820200335234</x:v>
      </x:c>
      <x:c r="F817" s="23" t="n">
        <x:v>16.136182847898453</x:v>
      </x:c>
      <x:c r="G817" s="23" t="n">
        <x:v>0.8375630704686046</x:v>
      </x:c>
      <x:c r="H817" s="23" t="n">
        <x:v>19360</x:v>
      </x:c>
      <x:c r="I817" s="23" t="n">
        <x:v>1200</x:v>
      </x:c>
      <x:c r="J817" s="23" t="n">
        <x:f>(IF(A817='Hybrid Calculator'!$B$6,0,1))^2+((B817-'Hybrid Calculator'!$B$7)/1500)^2+((C817-'Hybrid Calculator'!$B$8)/1300)^2+((D817-'Hybrid Calculator'!$B$9)/800)^2+((E817-'Hybrid Calculator'!$B$10)/350)^2+((F817-'Hybrid Calculator'!$B$11)/30)^2+(G817-'Hybrid Calculator'!$B$12)^2+((H817-'Hybrid Calculator'!$E$14)/IF(A817="Lightning",100,30000))^2+((I817-'Hybrid Calculator'!$E$17)/IF(A817="Lightning",100,30000))^2</x:f>
        <x:v>1.5378031477401648</x:v>
      </x:c>
      <x:c r="K817" s="23" t="n">
        <x:f>RANK(J817,$J$2:$J$1401,1)</x:f>
        <x:v>1279</x:v>
      </x:c>
      <x:c r="L817" s="23" t="n">
        <x:f>IF(K817&lt;=7,1,0)</x:f>
        <x:v>0</x:v>
      </x:c>
      <x:c r="M817" s="23" t="n">
        <x:f>IF(L817=1,1/(J817+0.000001),0)</x:f>
        <x:v>0</x:v>
      </x:c>
      <x:c r="N817" s="23" t="n">
        <x:v>-4.11172114864894</x:v>
      </x:c>
      <x:c r="O817" s="23" t="n">
        <x:f>M817</x:f>
        <x:v>0</x:v>
      </x:c>
      <x:c r="P817" s="23" t="n">
        <x:v>-34.55584039843825</x:v>
      </x:c>
      <x:c r="Q817" s="23" t="n">
        <x:v>19.471392733016955</x:v>
      </x:c>
    </x:row>
    <x:row r="818">
      <x:c r="A818" s="23" t="str">
        <x:v>Switching</x:v>
      </x:c>
      <x:c r="B818" s="23" t="n">
        <x:v>1003.0143262352794</x:v>
      </x:c>
      <x:c r="C818" s="23" t="n">
        <x:v>846.0768892313354</x:v>
      </x:c>
      <x:c r="D818" s="23" t="n">
        <x:v>680.7642897590995</x:v>
      </x:c>
      <x:c r="E818" s="23" t="n">
        <x:v>282.39903387846425</x:v>
      </x:c>
      <x:c r="F818" s="23" t="n">
        <x:v>13.357751864939928</x:v>
      </x:c>
      <x:c r="G818" s="23" t="n">
        <x:v>0.8571888144337573</x:v>
      </x:c>
      <x:c r="H818" s="23" t="n">
        <x:v>13790</x:v>
      </x:c>
      <x:c r="I818" s="23" t="n">
        <x:v>1200</x:v>
      </x:c>
      <x:c r="J818" s="23" t="n">
        <x:f>(IF(A818='Hybrid Calculator'!$B$6,0,1))^2+((B818-'Hybrid Calculator'!$B$7)/1500)^2+((C818-'Hybrid Calculator'!$B$8)/1300)^2+((D818-'Hybrid Calculator'!$B$9)/800)^2+((E818-'Hybrid Calculator'!$B$10)/350)^2+((F818-'Hybrid Calculator'!$B$11)/30)^2+(G818-'Hybrid Calculator'!$B$12)^2+((H818-'Hybrid Calculator'!$E$14)/IF(A818="Lightning",100,30000))^2+((I818-'Hybrid Calculator'!$E$17)/IF(A818="Lightning",100,30000))^2</x:f>
        <x:v>1.5153678276553921</x:v>
      </x:c>
      <x:c r="K818" s="23" t="n">
        <x:f>RANK(J818,$J$2:$J$1401,1)</x:f>
        <x:v>1239</x:v>
      </x:c>
      <x:c r="L818" s="23" t="n">
        <x:f>IF(K818&lt;=7,1,0)</x:f>
        <x:v>0</x:v>
      </x:c>
      <x:c r="M818" s="23" t="n">
        <x:f>IF(L818=1,1/(J818+0.000001),0)</x:f>
        <x:v>0</x:v>
      </x:c>
      <x:c r="N818" s="23" t="n">
        <x:v>0.8240545777247519</x:v>
      </x:c>
      <x:c r="O818" s="23" t="n">
        <x:f>M818</x:f>
        <x:v>0</x:v>
      </x:c>
      <x:c r="P818" s="23" t="n">
        <x:v>-28.076649948891827</x:v>
      </x:c>
      <x:c r="Q818" s="23" t="n">
        <x:v>4.2944178456692725</x:v>
      </x:c>
    </x:row>
    <x:row r="819">
      <x:c r="A819" s="23" t="str">
        <x:v>Switching</x:v>
      </x:c>
      <x:c r="B819" s="23" t="n">
        <x:v>1063.5309482109733</x:v>
      </x:c>
      <x:c r="C819" s="23" t="n">
        <x:v>760.2512870682403</x:v>
      </x:c>
      <x:c r="D819" s="23" t="n">
        <x:v>735.8778123743832</x:v>
      </x:c>
      <x:c r="E819" s="23" t="n">
        <x:v>180.0435370951891</x:v>
      </x:c>
      <x:c r="F819" s="23" t="n">
        <x:v>10.42883192980662</x:v>
      </x:c>
      <x:c r="G819" s="23" t="n">
        <x:v>0.8048319078935311</x:v>
      </x:c>
      <x:c r="H819" s="23" t="n">
        <x:v>12760</x:v>
      </x:c>
      <x:c r="I819" s="23" t="n">
        <x:v>1200</x:v>
      </x:c>
      <x:c r="J819" s="23" t="n">
        <x:f>(IF(A819='Hybrid Calculator'!$B$6,0,1))^2+((B819-'Hybrid Calculator'!$B$7)/1500)^2+((C819-'Hybrid Calculator'!$B$8)/1300)^2+((D819-'Hybrid Calculator'!$B$9)/800)^2+((E819-'Hybrid Calculator'!$B$10)/350)^2+((F819-'Hybrid Calculator'!$B$11)/30)^2+(G819-'Hybrid Calculator'!$B$12)^2+((H819-'Hybrid Calculator'!$E$14)/IF(A819="Lightning",100,30000))^2+((I819-'Hybrid Calculator'!$E$17)/IF(A819="Lightning",100,30000))^2</x:f>
        <x:v>1.4107799088458337</x:v>
      </x:c>
      <x:c r="K819" s="23" t="n">
        <x:f>RANK(J819,$J$2:$J$1401,1)</x:f>
        <x:v>1010</x:v>
      </x:c>
      <x:c r="L819" s="23" t="n">
        <x:f>IF(K819&lt;=7,1,0)</x:f>
        <x:v>0</x:v>
      </x:c>
      <x:c r="M819" s="23" t="n">
        <x:f>IF(L819=1,1/(J819+0.000001),0)</x:f>
        <x:v>0</x:v>
      </x:c>
      <x:c r="N819" s="23" t="n">
        <x:v>-0.4223919735635491</x:v>
      </x:c>
      <x:c r="O819" s="23" t="n">
        <x:f>M819</x:f>
        <x:v>0</x:v>
      </x:c>
      <x:c r="P819" s="23" t="n">
        <x:v>19.94832496429126</x:v>
      </x:c>
      <x:c r="Q819" s="23" t="n">
        <x:v>10.107550560121581</x:v>
      </x:c>
    </x:row>
    <x:row r="820">
      <x:c r="A820" s="23" t="str">
        <x:v>Switching</x:v>
      </x:c>
      <x:c r="B820" s="23" t="n">
        <x:v>955.743625597097</x:v>
      </x:c>
      <x:c r="C820" s="23" t="n">
        <x:v>789.8312163655646</x:v>
      </x:c>
      <x:c r="D820" s="23" t="n">
        <x:v>540.0708146393299</x:v>
      </x:c>
      <x:c r="E820" s="23" t="n">
        <x:v>153.2279498479329</x:v>
      </x:c>
      <x:c r="F820" s="23" t="n">
        <x:v>13.47691088821739</x:v>
      </x:c>
      <x:c r="G820" s="23" t="n">
        <x:v>0.8291036082594656</x:v>
      </x:c>
      <x:c r="H820" s="23" t="n">
        <x:v>16825</x:v>
      </x:c>
      <x:c r="I820" s="23" t="n">
        <x:v>1200</x:v>
      </x:c>
      <x:c r="J820" s="23" t="n">
        <x:f>(IF(A820='Hybrid Calculator'!$B$6,0,1))^2+((B820-'Hybrid Calculator'!$B$7)/1500)^2+((C820-'Hybrid Calculator'!$B$8)/1300)^2+((D820-'Hybrid Calculator'!$B$9)/800)^2+((E820-'Hybrid Calculator'!$B$10)/350)^2+((F820-'Hybrid Calculator'!$B$11)/30)^2+(G820-'Hybrid Calculator'!$B$12)^2+((H820-'Hybrid Calculator'!$E$14)/IF(A820="Lightning",100,30000))^2+((I820-'Hybrid Calculator'!$E$17)/IF(A820="Lightning",100,30000))^2</x:f>
        <x:v>1.4449226307989655</x:v>
      </x:c>
      <x:c r="K820" s="23" t="n">
        <x:f>RANK(J820,$J$2:$J$1401,1)</x:f>
        <x:v>1098</x:v>
      </x:c>
      <x:c r="L820" s="23" t="n">
        <x:f>IF(K820&lt;=7,1,0)</x:f>
        <x:v>0</x:v>
      </x:c>
      <x:c r="M820" s="23" t="n">
        <x:f>IF(L820=1,1/(J820+0.000001),0)</x:f>
        <x:v>0</x:v>
      </x:c>
      <x:c r="N820" s="23" t="n">
        <x:v>-1.5953506180313184</x:v>
      </x:c>
      <x:c r="O820" s="23" t="n">
        <x:f>M820</x:f>
        <x:v>0</x:v>
      </x:c>
      <x:c r="P820" s="23" t="n">
        <x:v>24.813405848075945</x:v>
      </x:c>
      <x:c r="Q820" s="23" t="n">
        <x:v>5.435126466264364</x:v>
      </x:c>
    </x:row>
    <x:row r="821">
      <x:c r="A821" s="23" t="str">
        <x:v>Switching</x:v>
      </x:c>
      <x:c r="B821" s="23" t="n">
        <x:v>1099.2839045706205</x:v>
      </x:c>
      <x:c r="C821" s="23" t="n">
        <x:v>1148.8843014463782</x:v>
      </x:c>
      <x:c r="D821" s="23" t="n">
        <x:v>500.9595169685781</x:v>
      </x:c>
      <x:c r="E821" s="23" t="n">
        <x:v>320.2558197500184</x:v>
      </x:c>
      <x:c r="F821" s="23" t="n">
        <x:v>19.210002550389618</x:v>
      </x:c>
      <x:c r="G821" s="23" t="n">
        <x:v>0.8303730812575668</x:v>
      </x:c>
      <x:c r="H821" s="23" t="n">
        <x:v>10855</x:v>
      </x:c>
      <x:c r="I821" s="23" t="n">
        <x:v>1195</x:v>
      </x:c>
      <x:c r="J821" s="23" t="n">
        <x:f>(IF(A821='Hybrid Calculator'!$B$6,0,1))^2+((B821-'Hybrid Calculator'!$B$7)/1500)^2+((C821-'Hybrid Calculator'!$B$8)/1300)^2+((D821-'Hybrid Calculator'!$B$9)/800)^2+((E821-'Hybrid Calculator'!$B$10)/350)^2+((F821-'Hybrid Calculator'!$B$11)/30)^2+(G821-'Hybrid Calculator'!$B$12)^2+((H821-'Hybrid Calculator'!$E$14)/IF(A821="Lightning",100,30000))^2+((I821-'Hybrid Calculator'!$E$17)/IF(A821="Lightning",100,30000))^2</x:f>
        <x:v>1.4685497269848844</x:v>
      </x:c>
      <x:c r="K821" s="23" t="n">
        <x:f>RANK(J821,$J$2:$J$1401,1)</x:f>
        <x:v>1153</x:v>
      </x:c>
      <x:c r="L821" s="23" t="n">
        <x:f>IF(K821&lt;=7,1,0)</x:f>
        <x:v>0</x:v>
      </x:c>
      <x:c r="M821" s="23" t="n">
        <x:f>IF(L821=1,1/(J821+0.000001),0)</x:f>
        <x:v>0</x:v>
      </x:c>
      <x:c r="N821" s="23" t="n">
        <x:v>3.8596529934217187</x:v>
      </x:c>
      <x:c r="O821" s="23" t="n">
        <x:f>M821</x:f>
        <x:v>0</x:v>
      </x:c>
      <x:c r="P821" s="23" t="n">
        <x:v>25.256844775445188</x:v>
      </x:c>
      <x:c r="Q821" s="23" t="n">
        <x:v>-1.5473644763073935</x:v>
      </x:c>
    </x:row>
    <x:row r="822">
      <x:c r="A822" s="23" t="str">
        <x:v>Switching</x:v>
      </x:c>
      <x:c r="B822" s="23" t="n">
        <x:v>1030.621285084635</x:v>
      </x:c>
      <x:c r="C822" s="23" t="n">
        <x:v>729.8513581394218</x:v>
      </x:c>
      <x:c r="D822" s="23" t="n">
        <x:v>587.1392020955682</x:v>
      </x:c>
      <x:c r="E822" s="23" t="n">
        <x:v>220.49707172671333</x:v>
      </x:c>
      <x:c r="F822" s="23" t="n">
        <x:v>25.365295263007283</x:v>
      </x:c>
      <x:c r="G822" s="23" t="n">
        <x:v>0.819562758274842</x:v>
      </x:c>
      <x:c r="H822" s="23" t="n">
        <x:v>13910</x:v>
      </x:c>
      <x:c r="I822" s="23" t="n">
        <x:v>1200</x:v>
      </x:c>
      <x:c r="J822" s="23" t="n">
        <x:f>(IF(A822='Hybrid Calculator'!$B$6,0,1))^2+((B822-'Hybrid Calculator'!$B$7)/1500)^2+((C822-'Hybrid Calculator'!$B$8)/1300)^2+((D822-'Hybrid Calculator'!$B$9)/800)^2+((E822-'Hybrid Calculator'!$B$10)/350)^2+((F822-'Hybrid Calculator'!$B$11)/30)^2+(G822-'Hybrid Calculator'!$B$12)^2+((H822-'Hybrid Calculator'!$E$14)/IF(A822="Lightning",100,30000))^2+((I822-'Hybrid Calculator'!$E$17)/IF(A822="Lightning",100,30000))^2</x:f>
        <x:v>1.3974502631402346</x:v>
      </x:c>
      <x:c r="K822" s="23" t="n">
        <x:f>RANK(J822,$J$2:$J$1401,1)</x:f>
        <x:v>968</x:v>
      </x:c>
      <x:c r="L822" s="23" t="n">
        <x:f>IF(K822&lt;=7,1,0)</x:f>
        <x:v>0</x:v>
      </x:c>
      <x:c r="M822" s="23" t="n">
        <x:f>IF(L822=1,1/(J822+0.000001),0)</x:f>
        <x:v>0</x:v>
      </x:c>
      <x:c r="N822" s="23" t="n">
        <x:v>1.0551810483595148</x:v>
      </x:c>
      <x:c r="O822" s="23" t="n">
        <x:f>M822</x:f>
        <x:v>0</x:v>
      </x:c>
      <x:c r="P822" s="23" t="n">
        <x:v>26.480705029756336</x:v>
      </x:c>
      <x:c r="Q822" s="23" t="n">
        <x:v>-8.976712062061779</x:v>
      </x:c>
    </x:row>
    <x:row r="823">
      <x:c r="A823" s="23" t="str">
        <x:v>Switching</x:v>
      </x:c>
      <x:c r="B823" s="23" t="n">
        <x:v>1020.5034117796458</x:v>
      </x:c>
      <x:c r="C823" s="23" t="n">
        <x:v>1149.9117472441867</x:v>
      </x:c>
      <x:c r="D823" s="23" t="n">
        <x:v>537.4004998244345</x:v>
      </x:c>
      <x:c r="E823" s="23" t="n">
        <x:v>149.62341000325978</x:v>
      </x:c>
      <x:c r="F823" s="23" t="n">
        <x:v>26.96863488899544</x:v>
      </x:c>
      <x:c r="G823" s="23" t="n">
        <x:v>0.8223975926125422</x:v>
      </x:c>
      <x:c r="H823" s="23" t="n">
        <x:v>11640</x:v>
      </x:c>
      <x:c r="I823" s="23" t="n">
        <x:v>1195</x:v>
      </x:c>
      <x:c r="J823" s="23" t="n">
        <x:f>(IF(A823='Hybrid Calculator'!$B$6,0,1))^2+((B823-'Hybrid Calculator'!$B$7)/1500)^2+((C823-'Hybrid Calculator'!$B$8)/1300)^2+((D823-'Hybrid Calculator'!$B$9)/800)^2+((E823-'Hybrid Calculator'!$B$10)/350)^2+((F823-'Hybrid Calculator'!$B$11)/30)^2+(G823-'Hybrid Calculator'!$B$12)^2+((H823-'Hybrid Calculator'!$E$14)/IF(A823="Lightning",100,30000))^2+((I823-'Hybrid Calculator'!$E$17)/IF(A823="Lightning",100,30000))^2</x:f>
        <x:v>1.3585953848167065</x:v>
      </x:c>
      <x:c r="K823" s="23" t="n">
        <x:f>RANK(J823,$J$2:$J$1401,1)</x:f>
        <x:v>852</x:v>
      </x:c>
      <x:c r="L823" s="23" t="n">
        <x:f>IF(K823&lt;=7,1,0)</x:f>
        <x:v>0</x:v>
      </x:c>
      <x:c r="M823" s="23" t="n">
        <x:f>IF(L823=1,1/(J823+0.000001),0)</x:f>
        <x:v>0</x:v>
      </x:c>
      <x:c r="N823" s="23" t="n">
        <x:v>-1.5652418054155532</x:v>
      </x:c>
      <x:c r="O823" s="23" t="n">
        <x:f>M823</x:f>
        <x:v>0</x:v>
      </x:c>
      <x:c r="P823" s="23" t="n">
        <x:v>-11.519564241182707</x:v>
      </x:c>
      <x:c r="Q823" s="23" t="n">
        <x:v>-9.662557153127523</x:v>
      </x:c>
    </x:row>
    <x:row r="824">
      <x:c r="A824" s="23" t="str">
        <x:v>Switching</x:v>
      </x:c>
      <x:c r="B824" s="23" t="n">
        <x:v>1024.717347486876</x:v>
      </x:c>
      <x:c r="C824" s="23" t="n">
        <x:v>722.3550818511285</x:v>
      </x:c>
      <x:c r="D824" s="23" t="n">
        <x:v>378.346111997962</x:v>
      </x:c>
      <x:c r="E824" s="23" t="n">
        <x:v>146.5628730203025</x:v>
      </x:c>
      <x:c r="F824" s="23" t="n">
        <x:v>19.020337876863778</x:v>
      </x:c>
      <x:c r="G824" s="23" t="n">
        <x:v>0.82531176117016</x:v>
      </x:c>
      <x:c r="H824" s="23" t="n">
        <x:v>17145</x:v>
      </x:c>
      <x:c r="I824" s="23" t="n">
        <x:v>1200</x:v>
      </x:c>
      <x:c r="J824" s="23" t="n">
        <x:f>(IF(A824='Hybrid Calculator'!$B$6,0,1))^2+((B824-'Hybrid Calculator'!$B$7)/1500)^2+((C824-'Hybrid Calculator'!$B$8)/1300)^2+((D824-'Hybrid Calculator'!$B$9)/800)^2+((E824-'Hybrid Calculator'!$B$10)/350)^2+((F824-'Hybrid Calculator'!$B$11)/30)^2+(G824-'Hybrid Calculator'!$B$12)^2+((H824-'Hybrid Calculator'!$E$14)/IF(A824="Lightning",100,30000))^2+((I824-'Hybrid Calculator'!$E$17)/IF(A824="Lightning",100,30000))^2</x:f>
        <x:v>1.4306466337778392</x:v>
      </x:c>
      <x:c r="K824" s="23" t="n">
        <x:f>RANK(J824,$J$2:$J$1401,1)</x:f>
        <x:v>1062</x:v>
      </x:c>
      <x:c r="L824" s="23" t="n">
        <x:f>IF(K824&lt;=7,1,0)</x:f>
        <x:v>0</x:v>
      </x:c>
      <x:c r="M824" s="23" t="n">
        <x:f>IF(L824=1,1/(J824+0.000001),0)</x:f>
        <x:v>0</x:v>
      </x:c>
      <x:c r="N824" s="23" t="n">
        <x:v>-4.314406970455764</x:v>
      </x:c>
      <x:c r="O824" s="23" t="n">
        <x:f>M824</x:f>
        <x:v>0</x:v>
      </x:c>
      <x:c r="P824" s="23" t="n">
        <x:v>-23.143299221863344</x:v>
      </x:c>
      <x:c r="Q824" s="23" t="n">
        <x:v>13.127721768370293</x:v>
      </x:c>
    </x:row>
    <x:row r="825">
      <x:c r="A825" s="23" t="str">
        <x:v>Switching</x:v>
      </x:c>
      <x:c r="B825" s="23" t="n">
        <x:v>1024.7429837821983</x:v>
      </x:c>
      <x:c r="C825" s="23" t="n">
        <x:v>1035.4577912483364</x:v>
      </x:c>
      <x:c r="D825" s="23" t="n">
        <x:v>709.028812032193</x:v>
      </x:c>
      <x:c r="E825" s="23" t="n">
        <x:v>159.85942193772644</x:v>
      </x:c>
      <x:c r="F825" s="23" t="n">
        <x:v>13.571974083315581</x:v>
      </x:c>
      <x:c r="G825" s="23" t="n">
        <x:v>0.7943098563142121</x:v>
      </x:c>
      <x:c r="H825" s="23" t="n">
        <x:v>11230</x:v>
      </x:c>
      <x:c r="I825" s="23" t="n">
        <x:v>1195</x:v>
      </x:c>
      <x:c r="J825" s="23" t="n">
        <x:f>(IF(A825='Hybrid Calculator'!$B$6,0,1))^2+((B825-'Hybrid Calculator'!$B$7)/1500)^2+((C825-'Hybrid Calculator'!$B$8)/1300)^2+((D825-'Hybrid Calculator'!$B$9)/800)^2+((E825-'Hybrid Calculator'!$B$10)/350)^2+((F825-'Hybrid Calculator'!$B$11)/30)^2+(G825-'Hybrid Calculator'!$B$12)^2+((H825-'Hybrid Calculator'!$E$14)/IF(A825="Lightning",100,30000))^2+((I825-'Hybrid Calculator'!$E$17)/IF(A825="Lightning",100,30000))^2</x:f>
        <x:v>1.3286635213098064</x:v>
      </x:c>
      <x:c r="K825" s="23" t="n">
        <x:f>RANK(J825,$J$2:$J$1401,1)</x:f>
        <x:v>773</x:v>
      </x:c>
      <x:c r="L825" s="23" t="n">
        <x:f>IF(K825&lt;=7,1,0)</x:f>
        <x:v>0</x:v>
      </x:c>
      <x:c r="M825" s="23" t="n">
        <x:f>IF(L825=1,1/(J825+0.000001),0)</x:f>
        <x:v>0</x:v>
      </x:c>
      <x:c r="N825" s="23" t="n">
        <x:v>-0.2798049655486068</x:v>
      </x:c>
      <x:c r="O825" s="23" t="n">
        <x:f>M825</x:f>
        <x:v>0</x:v>
      </x:c>
      <x:c r="P825" s="23" t="n">
        <x:v>49.80007646465174</x:v>
      </x:c>
      <x:c r="Q825" s="23" t="n">
        <x:v>-5.042445970457152</x:v>
      </x:c>
    </x:row>
    <x:row r="826">
      <x:c r="A826" s="23" t="str">
        <x:v>Switching</x:v>
      </x:c>
      <x:c r="B826" s="23" t="n">
        <x:v>997.3737247753888</x:v>
      </x:c>
      <x:c r="C826" s="23" t="n">
        <x:v>966.7817834648304</x:v>
      </x:c>
      <x:c r="D826" s="23" t="n">
        <x:v>689.4252179190516</x:v>
      </x:c>
      <x:c r="E826" s="23" t="n">
        <x:v>239.5524366130121</x:v>
      </x:c>
      <x:c r="F826" s="23" t="n">
        <x:v>14.914183512330055</x:v>
      </x:c>
      <x:c r="G826" s="23" t="n">
        <x:v>0.8552411345974542</x:v>
      </x:c>
      <x:c r="H826" s="23" t="n">
        <x:v>13160</x:v>
      </x:c>
      <x:c r="I826" s="23" t="n">
        <x:v>1200</x:v>
      </x:c>
      <x:c r="J826" s="23" t="n">
        <x:f>(IF(A826='Hybrid Calculator'!$B$6,0,1))^2+((B826-'Hybrid Calculator'!$B$7)/1500)^2+((C826-'Hybrid Calculator'!$B$8)/1300)^2+((D826-'Hybrid Calculator'!$B$9)/800)^2+((E826-'Hybrid Calculator'!$B$10)/350)^2+((F826-'Hybrid Calculator'!$B$11)/30)^2+(G826-'Hybrid Calculator'!$B$12)^2+((H826-'Hybrid Calculator'!$E$14)/IF(A826="Lightning",100,30000))^2+((I826-'Hybrid Calculator'!$E$17)/IF(A826="Lightning",100,30000))^2</x:f>
        <x:v>1.418906455399621</x:v>
      </x:c>
      <x:c r="K826" s="23" t="n">
        <x:f>RANK(J826,$J$2:$J$1401,1)</x:f>
        <x:v>1037</x:v>
      </x:c>
      <x:c r="L826" s="23" t="n">
        <x:f>IF(K826&lt;=7,1,0)</x:f>
        <x:v>0</x:v>
      </x:c>
      <x:c r="M826" s="23" t="n">
        <x:f>IF(L826=1,1/(J826+0.000001),0)</x:f>
        <x:v>0</x:v>
      </x:c>
      <x:c r="N826" s="23" t="n">
        <x:v>2.524656414261216</x:v>
      </x:c>
      <x:c r="O826" s="23" t="n">
        <x:f>M826</x:f>
        <x:v>0</x:v>
      </x:c>
      <x:c r="P826" s="23" t="n">
        <x:v>24.6536177416815</x:v>
      </x:c>
      <x:c r="Q826" s="23" t="n">
        <x:v>-0.7713079393458884</x:v>
      </x:c>
    </x:row>
    <x:row r="827">
      <x:c r="A827" s="23" t="str">
        <x:v>Switching</x:v>
      </x:c>
      <x:c r="B827" s="23" t="n">
        <x:v>958.8376720552333</x:v>
      </x:c>
      <x:c r="C827" s="23" t="n">
        <x:v>866.4477100363001</x:v>
      </x:c>
      <x:c r="D827" s="23" t="n">
        <x:v>582.6106798835099</x:v>
      </x:c>
      <x:c r="E827" s="23" t="n">
        <x:v>321.4751802571118</x:v>
      </x:c>
      <x:c r="F827" s="23" t="n">
        <x:v>10.942232674453408</x:v>
      </x:c>
      <x:c r="G827" s="23" t="n">
        <x:v>0.8060234453296289</x:v>
      </x:c>
      <x:c r="H827" s="23" t="n">
        <x:v>14090</x:v>
      </x:c>
      <x:c r="I827" s="23" t="n">
        <x:v>1200</x:v>
      </x:c>
      <x:c r="J827" s="23" t="n">
        <x:f>(IF(A827='Hybrid Calculator'!$B$6,0,1))^2+((B827-'Hybrid Calculator'!$B$7)/1500)^2+((C827-'Hybrid Calculator'!$B$8)/1300)^2+((D827-'Hybrid Calculator'!$B$9)/800)^2+((E827-'Hybrid Calculator'!$B$10)/350)^2+((F827-'Hybrid Calculator'!$B$11)/30)^2+(G827-'Hybrid Calculator'!$B$12)^2+((H827-'Hybrid Calculator'!$E$14)/IF(A827="Lightning",100,30000))^2+((I827-'Hybrid Calculator'!$E$17)/IF(A827="Lightning",100,30000))^2</x:f>
        <x:v>1.6316548022147959</x:v>
      </x:c>
      <x:c r="K827" s="23" t="n">
        <x:f>RANK(J827,$J$2:$J$1401,1)</x:f>
        <x:v>1368</x:v>
      </x:c>
      <x:c r="L827" s="23" t="n">
        <x:f>IF(K827&lt;=7,1,0)</x:f>
        <x:v>0</x:v>
      </x:c>
      <x:c r="M827" s="23" t="n">
        <x:f>IF(L827=1,1/(J827+0.000001),0)</x:f>
        <x:v>0</x:v>
      </x:c>
      <x:c r="N827" s="23" t="n">
        <x:v>2.9483229865439853</x:v>
      </x:c>
      <x:c r="O827" s="23" t="n">
        <x:f>M827</x:f>
        <x:v>0</x:v>
      </x:c>
      <x:c r="P827" s="23" t="n">
        <x:v>-36.282147141204405</x:v>
      </x:c>
      <x:c r="Q827" s="23" t="n">
        <x:v>3.892571302651504</x:v>
      </x:c>
    </x:row>
    <x:row r="828">
      <x:c r="A828" s="23" t="str">
        <x:v>Switching</x:v>
      </x:c>
      <x:c r="B828" s="23" t="n">
        <x:v>986.7768749129027</x:v>
      </x:c>
      <x:c r="C828" s="23" t="n">
        <x:v>656.8732463638298</x:v>
      </x:c>
      <x:c r="D828" s="23" t="n">
        <x:v>623.1371914967895</x:v>
      </x:c>
      <x:c r="E828" s="23" t="n">
        <x:v>191.31461412878707</x:v>
      </x:c>
      <x:c r="F828" s="23" t="n">
        <x:v>9.504774700850248</x:v>
      </x:c>
      <x:c r="G828" s="23" t="n">
        <x:v>0.8482349986978807</x:v>
      </x:c>
      <x:c r="H828" s="23" t="n">
        <x:v>16960</x:v>
      </x:c>
      <x:c r="I828" s="23" t="n">
        <x:v>1200</x:v>
      </x:c>
      <x:c r="J828" s="23" t="n">
        <x:f>(IF(A828='Hybrid Calculator'!$B$6,0,1))^2+((B828-'Hybrid Calculator'!$B$7)/1500)^2+((C828-'Hybrid Calculator'!$B$8)/1300)^2+((D828-'Hybrid Calculator'!$B$9)/800)^2+((E828-'Hybrid Calculator'!$B$10)/350)^2+((F828-'Hybrid Calculator'!$B$11)/30)^2+(G828-'Hybrid Calculator'!$B$12)^2+((H828-'Hybrid Calculator'!$E$14)/IF(A828="Lightning",100,30000))^2+((I828-'Hybrid Calculator'!$E$17)/IF(A828="Lightning",100,30000))^2</x:f>
        <x:v>1.5550022469862705</x:v>
      </x:c>
      <x:c r="K828" s="23" t="n">
        <x:f>RANK(J828,$J$2:$J$1401,1)</x:f>
        <x:v>1309</x:v>
      </x:c>
      <x:c r="L828" s="23" t="n">
        <x:f>IF(K828&lt;=7,1,0)</x:f>
        <x:v>0</x:v>
      </x:c>
      <x:c r="M828" s="23" t="n">
        <x:f>IF(L828=1,1/(J828+0.000001),0)</x:f>
        <x:v>0</x:v>
      </x:c>
      <x:c r="N828" s="23" t="n">
        <x:v>-1.5281189523796286</x:v>
      </x:c>
      <x:c r="O828" s="23" t="n">
        <x:f>M828</x:f>
        <x:v>0</x:v>
      </x:c>
      <x:c r="P828" s="23" t="n">
        <x:v>-53.22152195555236</x:v>
      </x:c>
      <x:c r="Q828" s="23" t="n">
        <x:v>14.068265719369151</x:v>
      </x:c>
    </x:row>
    <x:row r="829">
      <x:c r="A829" s="23" t="str">
        <x:v>Switching</x:v>
      </x:c>
      <x:c r="B829" s="23" t="n">
        <x:v>964.5059332367964</x:v>
      </x:c>
      <x:c r="C829" s="23" t="n">
        <x:v>703.7017560331151</x:v>
      </x:c>
      <x:c r="D829" s="23" t="n">
        <x:v>546.249355841428</x:v>
      </x:c>
      <x:c r="E829" s="23" t="n">
        <x:v>113.4119638428092</x:v>
      </x:c>
      <x:c r="F829" s="23" t="n">
        <x:v>17.515655177179724</x:v>
      </x:c>
      <x:c r="G829" s="23" t="n">
        <x:v>0.850859560626559</x:v>
      </x:c>
      <x:c r="H829" s="23" t="n">
        <x:v>18300</x:v>
      </x:c>
      <x:c r="I829" s="23" t="n">
        <x:v>1200</x:v>
      </x:c>
      <x:c r="J829" s="23" t="n">
        <x:f>(IF(A829='Hybrid Calculator'!$B$6,0,1))^2+((B829-'Hybrid Calculator'!$B$7)/1500)^2+((C829-'Hybrid Calculator'!$B$8)/1300)^2+((D829-'Hybrid Calculator'!$B$9)/800)^2+((E829-'Hybrid Calculator'!$B$10)/350)^2+((F829-'Hybrid Calculator'!$B$11)/30)^2+(G829-'Hybrid Calculator'!$B$12)^2+((H829-'Hybrid Calculator'!$E$14)/IF(A829="Lightning",100,30000))^2+((I829-'Hybrid Calculator'!$E$17)/IF(A829="Lightning",100,30000))^2</x:f>
        <x:v>1.4948137793788536</x:v>
      </x:c>
      <x:c r="K829" s="23" t="n">
        <x:f>RANK(J829,$J$2:$J$1401,1)</x:f>
        <x:v>1198</x:v>
      </x:c>
      <x:c r="L829" s="23" t="n">
        <x:f>IF(K829&lt;=7,1,0)</x:f>
        <x:v>0</x:v>
      </x:c>
      <x:c r="M829" s="23" t="n">
        <x:f>IF(L829=1,1/(J829+0.000001),0)</x:f>
        <x:v>0</x:v>
      </x:c>
      <x:c r="N829" s="23" t="n">
        <x:v>-1.6204962299549095</x:v>
      </x:c>
      <x:c r="O829" s="23" t="n">
        <x:f>M829</x:f>
        <x:v>0</x:v>
      </x:c>
      <x:c r="P829" s="23" t="n">
        <x:v>-53.696255734682836</x:v>
      </x:c>
      <x:c r="Q829" s="23" t="n">
        <x:v>6.041282484133831</x:v>
      </x:c>
    </x:row>
    <x:row r="830">
      <x:c r="A830" s="23" t="str">
        <x:v>Switching</x:v>
      </x:c>
      <x:c r="B830" s="23" t="n">
        <x:v>977.9170211637393</x:v>
      </x:c>
      <x:c r="C830" s="23" t="n">
        <x:v>1098.6053324420936</x:v>
      </x:c>
      <x:c r="D830" s="23" t="n">
        <x:v>592.7245281636715</x:v>
      </x:c>
      <x:c r="E830" s="23" t="n">
        <x:v>292.29301526909694</x:v>
      </x:c>
      <x:c r="F830" s="23" t="n">
        <x:v>15.942685238085687</x:v>
      </x:c>
      <x:c r="G830" s="23" t="n">
        <x:v>0.8324436090304517</x:v>
      </x:c>
      <x:c r="H830" s="23" t="n">
        <x:v>12580</x:v>
      </x:c>
      <x:c r="I830" s="23" t="n">
        <x:v>1200</x:v>
      </x:c>
      <x:c r="J830" s="23" t="n">
        <x:f>(IF(A830='Hybrid Calculator'!$B$6,0,1))^2+((B830-'Hybrid Calculator'!$B$7)/1500)^2+((C830-'Hybrid Calculator'!$B$8)/1300)^2+((D830-'Hybrid Calculator'!$B$9)/800)^2+((E830-'Hybrid Calculator'!$B$10)/350)^2+((F830-'Hybrid Calculator'!$B$11)/30)^2+(G830-'Hybrid Calculator'!$B$12)^2+((H830-'Hybrid Calculator'!$E$14)/IF(A830="Lightning",100,30000))^2+((I830-'Hybrid Calculator'!$E$17)/IF(A830="Lightning",100,30000))^2</x:f>
        <x:v>1.487526796255631</x:v>
      </x:c>
      <x:c r="K830" s="23" t="n">
        <x:f>RANK(J830,$J$2:$J$1401,1)</x:f>
        <x:v>1189</x:v>
      </x:c>
      <x:c r="L830" s="23" t="n">
        <x:f>IF(K830&lt;=7,1,0)</x:f>
        <x:v>0</x:v>
      </x:c>
      <x:c r="M830" s="23" t="n">
        <x:f>IF(L830=1,1/(J830+0.000001),0)</x:f>
        <x:v>0</x:v>
      </x:c>
      <x:c r="N830" s="23" t="n">
        <x:v>4.29608898918147</x:v>
      </x:c>
      <x:c r="O830" s="23" t="n">
        <x:f>M830</x:f>
        <x:v>0</x:v>
      </x:c>
      <x:c r="P830" s="23" t="n">
        <x:v>12.573292455130286</x:v>
      </x:c>
      <x:c r="Q830" s="23" t="n">
        <x:v>0.1426950667547544</x:v>
      </x:c>
    </x:row>
    <x:row r="831">
      <x:c r="A831" s="23" t="str">
        <x:v>Switching</x:v>
      </x:c>
      <x:c r="B831" s="23" t="n">
        <x:v>1041.672147612553</x:v>
      </x:c>
      <x:c r="C831" s="23" t="n">
        <x:v>1106.6315837204456</x:v>
      </x:c>
      <x:c r="D831" s="23" t="n">
        <x:v>467.1301274560392</x:v>
      </x:c>
      <x:c r="E831" s="23" t="n">
        <x:v>154.89434548188</x:v>
      </x:c>
      <x:c r="F831" s="23" t="n">
        <x:v>14.109859318938106</x:v>
      </x:c>
      <x:c r="G831" s="23" t="n">
        <x:v>0.8306520254444332</x:v>
      </x:c>
      <x:c r="H831" s="23" t="n">
        <x:v>12370</x:v>
      </x:c>
      <x:c r="I831" s="23" t="n">
        <x:v>1200</x:v>
      </x:c>
      <x:c r="J831" s="23" t="n">
        <x:f>(IF(A831='Hybrid Calculator'!$B$6,0,1))^2+((B831-'Hybrid Calculator'!$B$7)/1500)^2+((C831-'Hybrid Calculator'!$B$8)/1300)^2+((D831-'Hybrid Calculator'!$B$9)/800)^2+((E831-'Hybrid Calculator'!$B$10)/350)^2+((F831-'Hybrid Calculator'!$B$11)/30)^2+(G831-'Hybrid Calculator'!$B$12)^2+((H831-'Hybrid Calculator'!$E$14)/IF(A831="Lightning",100,30000))^2+((I831-'Hybrid Calculator'!$E$17)/IF(A831="Lightning",100,30000))^2</x:f>
        <x:v>1.2978701912603074</x:v>
      </x:c>
      <x:c r="K831" s="23" t="n">
        <x:f>RANK(J831,$J$2:$J$1401,1)</x:f>
        <x:v>724</x:v>
      </x:c>
      <x:c r="L831" s="23" t="n">
        <x:f>IF(K831&lt;=7,1,0)</x:f>
        <x:v>0</x:v>
      </x:c>
      <x:c r="M831" s="23" t="n">
        <x:f>IF(L831=1,1/(J831+0.000001),0)</x:f>
        <x:v>0</x:v>
      </x:c>
      <x:c r="N831" s="23" t="n">
        <x:v>3.8285059301570357</x:v>
      </x:c>
      <x:c r="O831" s="23" t="n">
        <x:f>M831</x:f>
        <x:v>0</x:v>
      </x:c>
      <x:c r="P831" s="23" t="n">
        <x:v>14.498164659897611</x:v>
      </x:c>
      <x:c r="Q831" s="23" t="n">
        <x:v>-0.7901603153338783</x:v>
      </x:c>
    </x:row>
    <x:row r="832">
      <x:c r="A832" s="23" t="str">
        <x:v>Switching</x:v>
      </x:c>
      <x:c r="B832" s="23" t="n">
        <x:v>1084.619631525129</x:v>
      </x:c>
      <x:c r="C832" s="23" t="n">
        <x:v>1152.8230994357727</x:v>
      </x:c>
      <x:c r="D832" s="23" t="n">
        <x:v>702.6353919878602</x:v>
      </x:c>
      <x:c r="E832" s="23" t="n">
        <x:v>155.17236383864656</x:v>
      </x:c>
      <x:c r="F832" s="23" t="n">
        <x:v>15.738325441256166</x:v>
      </x:c>
      <x:c r="G832" s="23" t="n">
        <x:v>0.8388364619319327</x:v>
      </x:c>
      <x:c r="H832" s="23" t="n">
        <x:v>10635</x:v>
      </x:c>
      <x:c r="I832" s="23" t="n">
        <x:v>1195</x:v>
      </x:c>
      <x:c r="J832" s="23" t="n">
        <x:f>(IF(A832='Hybrid Calculator'!$B$6,0,1))^2+((B832-'Hybrid Calculator'!$B$7)/1500)^2+((C832-'Hybrid Calculator'!$B$8)/1300)^2+((D832-'Hybrid Calculator'!$B$9)/800)^2+((E832-'Hybrid Calculator'!$B$10)/350)^2+((F832-'Hybrid Calculator'!$B$11)/30)^2+(G832-'Hybrid Calculator'!$B$12)^2+((H832-'Hybrid Calculator'!$E$14)/IF(A832="Lightning",100,30000))^2+((I832-'Hybrid Calculator'!$E$17)/IF(A832="Lightning",100,30000))^2</x:f>
        <x:v>1.3049720493268138</x:v>
      </x:c>
      <x:c r="K832" s="23" t="n">
        <x:f>RANK(J832,$J$2:$J$1401,1)</x:f>
        <x:v>739</x:v>
      </x:c>
      <x:c r="L832" s="23" t="n">
        <x:f>IF(K832&lt;=7,1,0)</x:f>
        <x:v>0</x:v>
      </x:c>
      <x:c r="M832" s="23" t="n">
        <x:f>IF(L832=1,1/(J832+0.000001),0)</x:f>
        <x:v>0</x:v>
      </x:c>
      <x:c r="N832" s="23" t="n">
        <x:v>5.603925876951479</x:v>
      </x:c>
      <x:c r="O832" s="23" t="n">
        <x:f>M832</x:f>
        <x:v>0</x:v>
      </x:c>
      <x:c r="P832" s="23" t="n">
        <x:v>16.102598587719058</x:v>
      </x:c>
      <x:c r="Q832" s="23" t="n">
        <x:v>-1.612731135702461</x:v>
      </x:c>
    </x:row>
    <x:row r="833">
      <x:c r="A833" s="23" t="str">
        <x:v>Switching</x:v>
      </x:c>
      <x:c r="B833" s="23" t="n">
        <x:v>1027.7653367840685</x:v>
      </x:c>
      <x:c r="C833" s="23" t="n">
        <x:v>741.3563559995964</x:v>
      </x:c>
      <x:c r="D833" s="23" t="n">
        <x:v>621.9473295845091</x:v>
      </x:c>
      <x:c r="E833" s="23" t="n">
        <x:v>94.50240262784064</x:v>
      </x:c>
      <x:c r="F833" s="23" t="n">
        <x:v>23.026096769142896</x:v>
      </x:c>
      <x:c r="G833" s="23" t="n">
        <x:v>0.7992850322136655</x:v>
      </x:c>
      <x:c r="H833" s="23" t="n">
        <x:v>14670</x:v>
      </x:c>
      <x:c r="I833" s="23" t="n">
        <x:v>1200</x:v>
      </x:c>
      <x:c r="J833" s="23" t="n">
        <x:f>(IF(A833='Hybrid Calculator'!$B$6,0,1))^2+((B833-'Hybrid Calculator'!$B$7)/1500)^2+((C833-'Hybrid Calculator'!$B$8)/1300)^2+((D833-'Hybrid Calculator'!$B$9)/800)^2+((E833-'Hybrid Calculator'!$B$10)/350)^2+((F833-'Hybrid Calculator'!$B$11)/30)^2+(G833-'Hybrid Calculator'!$B$12)^2+((H833-'Hybrid Calculator'!$E$14)/IF(A833="Lightning",100,30000))^2+((I833-'Hybrid Calculator'!$E$17)/IF(A833="Lightning",100,30000))^2</x:f>
        <x:v>1.3877130983213748</x:v>
      </x:c>
      <x:c r="K833" s="23" t="n">
        <x:f>RANK(J833,$J$2:$J$1401,1)</x:f>
        <x:v>941</x:v>
      </x:c>
      <x:c r="L833" s="23" t="n">
        <x:f>IF(K833&lt;=7,1,0)</x:f>
        <x:v>0</x:v>
      </x:c>
      <x:c r="M833" s="23" t="n">
        <x:f>IF(L833=1,1/(J833+0.000001),0)</x:f>
        <x:v>0</x:v>
      </x:c>
      <x:c r="N833" s="23" t="n">
        <x:v>-2.6001376235743976</x:v>
      </x:c>
      <x:c r="O833" s="23" t="n">
        <x:f>M833</x:f>
        <x:v>0</x:v>
      </x:c>
      <x:c r="P833" s="23" t="n">
        <x:v>-36.311317745678934</x:v>
      </x:c>
      <x:c r="Q833" s="23" t="n">
        <x:v>-2.7297598256161564</x:v>
      </x:c>
    </x:row>
    <x:row r="834">
      <x:c r="A834" s="23" t="str">
        <x:v>Switching</x:v>
      </x:c>
      <x:c r="B834" s="23" t="n">
        <x:v>1036.3479181891307</x:v>
      </x:c>
      <x:c r="C834" s="23" t="n">
        <x:v>1050.3804878913797</x:v>
      </x:c>
      <x:c r="D834" s="23" t="n">
        <x:v>371.5702038258314</x:v>
      </x:c>
      <x:c r="E834" s="23" t="n">
        <x:v>228.71898823184893</x:v>
      </x:c>
      <x:c r="F834" s="23" t="n">
        <x:v>10.895517815835774</x:v>
      </x:c>
      <x:c r="G834" s="23" t="n">
        <x:v>0.8440460436861031</x:v>
      </x:c>
      <x:c r="H834" s="23" t="n">
        <x:v>12955</x:v>
      </x:c>
      <x:c r="I834" s="23" t="n">
        <x:v>1200</x:v>
      </x:c>
      <x:c r="J834" s="23" t="n">
        <x:f>(IF(A834='Hybrid Calculator'!$B$6,0,1))^2+((B834-'Hybrid Calculator'!$B$7)/1500)^2+((C834-'Hybrid Calculator'!$B$8)/1300)^2+((D834-'Hybrid Calculator'!$B$9)/800)^2+((E834-'Hybrid Calculator'!$B$10)/350)^2+((F834-'Hybrid Calculator'!$B$11)/30)^2+(G834-'Hybrid Calculator'!$B$12)^2+((H834-'Hybrid Calculator'!$E$14)/IF(A834="Lightning",100,30000))^2+((I834-'Hybrid Calculator'!$E$17)/IF(A834="Lightning",100,30000))^2</x:f>
        <x:v>1.4186587532161825</x:v>
      </x:c>
      <x:c r="K834" s="23" t="n">
        <x:f>RANK(J834,$J$2:$J$1401,1)</x:f>
        <x:v>1036</x:v>
      </x:c>
      <x:c r="L834" s="23" t="n">
        <x:f>IF(K834&lt;=7,1,0)</x:f>
        <x:v>0</x:v>
      </x:c>
      <x:c r="M834" s="23" t="n">
        <x:f>IF(L834=1,1/(J834+0.000001),0)</x:f>
        <x:v>0</x:v>
      </x:c>
      <x:c r="N834" s="23" t="n">
        <x:v>0.2204344392399662</x:v>
      </x:c>
      <x:c r="O834" s="23" t="n">
        <x:f>M834</x:f>
        <x:v>0</x:v>
      </x:c>
      <x:c r="P834" s="23" t="n">
        <x:v>2.833021704422663</x:v>
      </x:c>
      <x:c r="Q834" s="23" t="n">
        <x:v>4.0617401300671645</x:v>
      </x:c>
    </x:row>
    <x:row r="835">
      <x:c r="A835" s="23" t="str">
        <x:v>Switching</x:v>
      </x:c>
      <x:c r="B835" s="23" t="n">
        <x:v>1044.0106417401694</x:v>
      </x:c>
      <x:c r="C835" s="23" t="n">
        <x:v>1028.3619225490838</x:v>
      </x:c>
      <x:c r="D835" s="23" t="n">
        <x:v>646.969351451844</x:v>
      </x:c>
      <x:c r="E835" s="23" t="n">
        <x:v>207.59535608347505</x:v>
      </x:c>
      <x:c r="F835" s="23" t="n">
        <x:v>27.280961878132075</x:v>
      </x:c>
      <x:c r="G835" s="23" t="n">
        <x:v>0.8035662965290249</x:v>
      </x:c>
      <x:c r="H835" s="23" t="n">
        <x:v>11360</x:v>
      </x:c>
      <x:c r="I835" s="23" t="n">
        <x:v>1195</x:v>
      </x:c>
      <x:c r="J835" s="23" t="n">
        <x:f>(IF(A835='Hybrid Calculator'!$B$6,0,1))^2+((B835-'Hybrid Calculator'!$B$7)/1500)^2+((C835-'Hybrid Calculator'!$B$8)/1300)^2+((D835-'Hybrid Calculator'!$B$9)/800)^2+((E835-'Hybrid Calculator'!$B$10)/350)^2+((F835-'Hybrid Calculator'!$B$11)/30)^2+(G835-'Hybrid Calculator'!$B$12)^2+((H835-'Hybrid Calculator'!$E$14)/IF(A835="Lightning",100,30000))^2+((I835-'Hybrid Calculator'!$E$17)/IF(A835="Lightning",100,30000))^2</x:f>
        <x:v>1.3737586274742433</x:v>
      </x:c>
      <x:c r="K835" s="23" t="n">
        <x:f>RANK(J835,$J$2:$J$1401,1)</x:f>
        <x:v>902</x:v>
      </x:c>
      <x:c r="L835" s="23" t="n">
        <x:f>IF(K835&lt;=7,1,0)</x:f>
        <x:v>0</x:v>
      </x:c>
      <x:c r="M835" s="23" t="n">
        <x:f>IF(L835=1,1/(J835+0.000001),0)</x:f>
        <x:v>0</x:v>
      </x:c>
      <x:c r="N835" s="23" t="n">
        <x:v>-1.6288476806089136</x:v>
      </x:c>
      <x:c r="O835" s="23" t="n">
        <x:f>M835</x:f>
        <x:v>0</x:v>
      </x:c>
      <x:c r="P835" s="23" t="n">
        <x:v>2.57325339074805</x:v>
      </x:c>
      <x:c r="Q835" s="23" t="n">
        <x:v>-19.398591291616412</x:v>
      </x:c>
    </x:row>
    <x:row r="836">
      <x:c r="A836" s="23" t="str">
        <x:v>Switching</x:v>
      </x:c>
      <x:c r="B836" s="23" t="n">
        <x:v>956.4096859190613</x:v>
      </x:c>
      <x:c r="C836" s="23" t="n">
        <x:v>894.0800262498669</x:v>
      </x:c>
      <x:c r="D836" s="23" t="n">
        <x:v>601.7770720645785</x:v>
      </x:c>
      <x:c r="E836" s="23" t="n">
        <x:v>158.31592607544735</x:v>
      </x:c>
      <x:c r="F836" s="23" t="n">
        <x:v>19.07635999470949</x:v>
      </x:c>
      <x:c r="G836" s="23" t="n">
        <x:v>0.8005435566068627</x:v>
      </x:c>
      <x:c r="H836" s="23" t="n">
        <x:v>15085</x:v>
      </x:c>
      <x:c r="I836" s="23" t="n">
        <x:v>1200</x:v>
      </x:c>
      <x:c r="J836" s="23" t="n">
        <x:f>(IF(A836='Hybrid Calculator'!$B$6,0,1))^2+((B836-'Hybrid Calculator'!$B$7)/1500)^2+((C836-'Hybrid Calculator'!$B$8)/1300)^2+((D836-'Hybrid Calculator'!$B$9)/800)^2+((E836-'Hybrid Calculator'!$B$10)/350)^2+((F836-'Hybrid Calculator'!$B$11)/30)^2+(G836-'Hybrid Calculator'!$B$12)^2+((H836-'Hybrid Calculator'!$E$14)/IF(A836="Lightning",100,30000))^2+((I836-'Hybrid Calculator'!$E$17)/IF(A836="Lightning",100,30000))^2</x:f>
        <x:v>1.3689389651179464</x:v>
      </x:c>
      <x:c r="K836" s="23" t="n">
        <x:f>RANK(J836,$J$2:$J$1401,1)</x:f>
        <x:v>881</x:v>
      </x:c>
      <x:c r="L836" s="23" t="n">
        <x:f>IF(K836&lt;=7,1,0)</x:f>
        <x:v>0</x:v>
      </x:c>
      <x:c r="M836" s="23" t="n">
        <x:f>IF(L836=1,1/(J836+0.000001),0)</x:f>
        <x:v>0</x:v>
      </x:c>
      <x:c r="N836" s="23" t="n">
        <x:v>1.5298771600975556</x:v>
      </x:c>
      <x:c r="O836" s="23" t="n">
        <x:f>M836</x:f>
        <x:v>0</x:v>
      </x:c>
      <x:c r="P836" s="23" t="n">
        <x:v>26.97367025391668</x:v>
      </x:c>
      <x:c r="Q836" s="23" t="n">
        <x:v>-1.0812913997909845</x:v>
      </x:c>
    </x:row>
    <x:row r="837">
      <x:c r="A837" s="23" t="str">
        <x:v>Switching</x:v>
      </x:c>
      <x:c r="B837" s="23" t="n">
        <x:v>1045.0661997427233</x:v>
      </x:c>
      <x:c r="C837" s="23" t="n">
        <x:v>606.6601268714294</x:v>
      </x:c>
      <x:c r="D837" s="23" t="n">
        <x:v>566.0768297500908</x:v>
      </x:c>
      <x:c r="E837" s="23" t="n">
        <x:v>192.16684943065047</x:v>
      </x:c>
      <x:c r="F837" s="23" t="n">
        <x:v>15.397768108639866</x:v>
      </x:c>
      <x:c r="G837" s="23" t="n">
        <x:v>0.793673501922749</x:v>
      </x:c>
      <x:c r="H837" s="23" t="n">
        <x:v>15670</x:v>
      </x:c>
      <x:c r="I837" s="23" t="n">
        <x:v>1200</x:v>
      </x:c>
      <x:c r="J837" s="23" t="n">
        <x:f>(IF(A837='Hybrid Calculator'!$B$6,0,1))^2+((B837-'Hybrid Calculator'!$B$7)/1500)^2+((C837-'Hybrid Calculator'!$B$8)/1300)^2+((D837-'Hybrid Calculator'!$B$9)/800)^2+((E837-'Hybrid Calculator'!$B$10)/350)^2+((F837-'Hybrid Calculator'!$B$11)/30)^2+(G837-'Hybrid Calculator'!$B$12)^2+((H837-'Hybrid Calculator'!$E$14)/IF(A837="Lightning",100,30000))^2+((I837-'Hybrid Calculator'!$E$17)/IF(A837="Lightning",100,30000))^2</x:f>
        <x:v>1.4045442548972296</x:v>
      </x:c>
      <x:c r="K837" s="23" t="n">
        <x:f>RANK(J837,$J$2:$J$1401,1)</x:f>
        <x:v>991</x:v>
      </x:c>
      <x:c r="L837" s="23" t="n">
        <x:f>IF(K837&lt;=7,1,0)</x:f>
        <x:v>0</x:v>
      </x:c>
      <x:c r="M837" s="23" t="n">
        <x:f>IF(L837=1,1/(J837+0.000001),0)</x:f>
        <x:v>0</x:v>
      </x:c>
      <x:c r="N837" s="23" t="n">
        <x:v>-2.3588186332561634</x:v>
      </x:c>
      <x:c r="O837" s="23" t="n">
        <x:f>M837</x:f>
        <x:v>0</x:v>
      </x:c>
      <x:c r="P837" s="23" t="n">
        <x:v>-22.76162681151436</x:v>
      </x:c>
      <x:c r="Q837" s="23" t="n">
        <x:v>8.708629961955921</x:v>
      </x:c>
    </x:row>
    <x:row r="838">
      <x:c r="A838" s="23" t="str">
        <x:v>Switching</x:v>
      </x:c>
      <x:c r="B838" s="23" t="n">
        <x:v>1022.8371347533539</x:v>
      </x:c>
      <x:c r="C838" s="23" t="n">
        <x:v>1107.587263372261</x:v>
      </x:c>
      <x:c r="D838" s="23" t="n">
        <x:v>591.8516278266907</x:v>
      </x:c>
      <x:c r="E838" s="23" t="n">
        <x:v>189.52213214477524</x:v>
      </x:c>
      <x:c r="F838" s="23" t="n">
        <x:v>19.97022421937436</x:v>
      </x:c>
      <x:c r="G838" s="23" t="n">
        <x:v>0.7984707938856446</x:v>
      </x:c>
      <x:c r="H838" s="23" t="n">
        <x:v>11320</x:v>
      </x:c>
      <x:c r="I838" s="23" t="n">
        <x:v>1195</x:v>
      </x:c>
      <x:c r="J838" s="23" t="n">
        <x:f>(IF(A838='Hybrid Calculator'!$B$6,0,1))^2+((B838-'Hybrid Calculator'!$B$7)/1500)^2+((C838-'Hybrid Calculator'!$B$8)/1300)^2+((D838-'Hybrid Calculator'!$B$9)/800)^2+((E838-'Hybrid Calculator'!$B$10)/350)^2+((F838-'Hybrid Calculator'!$B$11)/30)^2+(G838-'Hybrid Calculator'!$B$12)^2+((H838-'Hybrid Calculator'!$E$14)/IF(A838="Lightning",100,30000))^2+((I838-'Hybrid Calculator'!$E$17)/IF(A838="Lightning",100,30000))^2</x:f>
        <x:v>1.2825883457558025</x:v>
      </x:c>
      <x:c r="K838" s="23" t="n">
        <x:f>RANK(J838,$J$2:$J$1401,1)</x:f>
        <x:v>712</x:v>
      </x:c>
      <x:c r="L838" s="23" t="n">
        <x:f>IF(K838&lt;=7,1,0)</x:f>
        <x:v>0</x:v>
      </x:c>
      <x:c r="M838" s="23" t="n">
        <x:f>IF(L838=1,1/(J838+0.000001),0)</x:f>
        <x:v>0</x:v>
      </x:c>
      <x:c r="N838" s="23" t="n">
        <x:v>2.039592478917939</x:v>
      </x:c>
      <x:c r="O838" s="23" t="n">
        <x:f>M838</x:f>
        <x:v>0</x:v>
      </x:c>
      <x:c r="P838" s="23" t="n">
        <x:v>46.86633539730565</x:v>
      </x:c>
      <x:c r="Q838" s="23" t="n">
        <x:v>-10.120223151261257</x:v>
      </x:c>
    </x:row>
    <x:row r="839">
      <x:c r="A839" s="23" t="str">
        <x:v>Switching</x:v>
      </x:c>
      <x:c r="B839" s="23" t="n">
        <x:v>1031.4292074064724</x:v>
      </x:c>
      <x:c r="C839" s="23" t="n">
        <x:v>976.4299691654742</x:v>
      </x:c>
      <x:c r="D839" s="23" t="n">
        <x:v>748.6888266168535</x:v>
      </x:c>
      <x:c r="E839" s="23" t="n">
        <x:v>88.46975448075682</x:v>
      </x:c>
      <x:c r="F839" s="23" t="n">
        <x:v>23.584278596099466</x:v>
      </x:c>
      <x:c r="G839" s="23" t="n">
        <x:v>0.8107571250293404</x:v>
      </x:c>
      <x:c r="H839" s="23" t="n">
        <x:v>11790</x:v>
      </x:c>
      <x:c r="I839" s="23" t="n">
        <x:v>1195</x:v>
      </x:c>
      <x:c r="J839" s="23" t="n">
        <x:f>(IF(A839='Hybrid Calculator'!$B$6,0,1))^2+((B839-'Hybrid Calculator'!$B$7)/1500)^2+((C839-'Hybrid Calculator'!$B$8)/1300)^2+((D839-'Hybrid Calculator'!$B$9)/800)^2+((E839-'Hybrid Calculator'!$B$10)/350)^2+((F839-'Hybrid Calculator'!$B$11)/30)^2+(G839-'Hybrid Calculator'!$B$12)^2+((H839-'Hybrid Calculator'!$E$14)/IF(A839="Lightning",100,30000))^2+((I839-'Hybrid Calculator'!$E$17)/IF(A839="Lightning",100,30000))^2</x:f>
        <x:v>1.3893126235375513</x:v>
      </x:c>
      <x:c r="K839" s="23" t="n">
        <x:f>RANK(J839,$J$2:$J$1401,1)</x:f>
        <x:v>948</x:v>
      </x:c>
      <x:c r="L839" s="23" t="n">
        <x:f>IF(K839&lt;=7,1,0)</x:f>
        <x:v>0</x:v>
      </x:c>
      <x:c r="M839" s="23" t="n">
        <x:f>IF(L839=1,1/(J839+0.000001),0)</x:f>
        <x:v>0</x:v>
      </x:c>
      <x:c r="N839" s="23" t="n">
        <x:v>-0.3628789735271596</x:v>
      </x:c>
      <x:c r="O839" s="23" t="n">
        <x:f>M839</x:f>
        <x:v>0</x:v>
      </x:c>
      <x:c r="P839" s="23" t="n">
        <x:v>-18.87880654868468</x:v>
      </x:c>
      <x:c r="Q839" s="23" t="n">
        <x:v>-6.345352106304745</x:v>
      </x:c>
    </x:row>
    <x:row r="840">
      <x:c r="A840" s="23" t="str">
        <x:v>Switching</x:v>
      </x:c>
      <x:c r="B840" s="23" t="n">
        <x:v>958.0195618793368</x:v>
      </x:c>
      <x:c r="C840" s="23" t="n">
        <x:v>1235.4720626375638</x:v>
      </x:c>
      <x:c r="D840" s="23" t="n">
        <x:v>742.9267527535558</x:v>
      </x:c>
      <x:c r="E840" s="23" t="n">
        <x:v>140.97143847728148</x:v>
      </x:c>
      <x:c r="F840" s="23" t="n">
        <x:v>11.753058334812522</x:v>
      </x:c>
      <x:c r="G840" s="23" t="n">
        <x:v>0.823785338413436</x:v>
      </x:c>
      <x:c r="H840" s="23" t="n">
        <x:v>11770</x:v>
      </x:c>
      <x:c r="I840" s="23" t="n">
        <x:v>1195</x:v>
      </x:c>
      <x:c r="J840" s="23" t="n">
        <x:f>(IF(A840='Hybrid Calculator'!$B$6,0,1))^2+((B840-'Hybrid Calculator'!$B$7)/1500)^2+((C840-'Hybrid Calculator'!$B$8)/1300)^2+((D840-'Hybrid Calculator'!$B$9)/800)^2+((E840-'Hybrid Calculator'!$B$10)/350)^2+((F840-'Hybrid Calculator'!$B$11)/30)^2+(G840-'Hybrid Calculator'!$B$12)^2+((H840-'Hybrid Calculator'!$E$14)/IF(A840="Lightning",100,30000))^2+((I840-'Hybrid Calculator'!$E$17)/IF(A840="Lightning",100,30000))^2</x:f>
        <x:v>1.482451423807431</x:v>
      </x:c>
      <x:c r="K840" s="23" t="n">
        <x:f>RANK(J840,$J$2:$J$1401,1)</x:f>
        <x:v>1180</x:v>
      </x:c>
      <x:c r="L840" s="23" t="n">
        <x:f>IF(K840&lt;=7,1,0)</x:f>
        <x:v>0</x:v>
      </x:c>
      <x:c r="M840" s="23" t="n">
        <x:f>IF(L840=1,1/(J840+0.000001),0)</x:f>
        <x:v>0</x:v>
      </x:c>
      <x:c r="N840" s="23" t="n">
        <x:v>3.093490768645694</x:v>
      </x:c>
      <x:c r="O840" s="23" t="n">
        <x:f>M840</x:f>
        <x:v>0</x:v>
      </x:c>
      <x:c r="P840" s="23" t="n">
        <x:v>-1.80283824444723</x:v>
      </x:c>
      <x:c r="Q840" s="23" t="n">
        <x:v>-7.762979831371126</x:v>
      </x:c>
    </x:row>
    <x:row r="841">
      <x:c r="A841" s="23" t="str">
        <x:v>Switching</x:v>
      </x:c>
      <x:c r="B841" s="23" t="n">
        <x:v>1005.0388526753522</x:v>
      </x:c>
      <x:c r="C841" s="23" t="n">
        <x:v>737.1917587006465</x:v>
      </x:c>
      <x:c r="D841" s="23" t="n">
        <x:v>728.8279236294329</x:v>
      </x:c>
      <x:c r="E841" s="23" t="n">
        <x:v>232.5040443520993</x:v>
      </x:c>
      <x:c r="F841" s="23" t="n">
        <x:v>17.102911074180156</x:v>
      </x:c>
      <x:c r="G841" s="23" t="n">
        <x:v>0.8289748708577827</x:v>
      </x:c>
      <x:c r="H841" s="23" t="n">
        <x:v>12590</x:v>
      </x:c>
      <x:c r="I841" s="23" t="n">
        <x:v>1200</x:v>
      </x:c>
      <x:c r="J841" s="23" t="n">
        <x:f>(IF(A841='Hybrid Calculator'!$B$6,0,1))^2+((B841-'Hybrid Calculator'!$B$7)/1500)^2+((C841-'Hybrid Calculator'!$B$8)/1300)^2+((D841-'Hybrid Calculator'!$B$9)/800)^2+((E841-'Hybrid Calculator'!$B$10)/350)^2+((F841-'Hybrid Calculator'!$B$11)/30)^2+(G841-'Hybrid Calculator'!$B$12)^2+((H841-'Hybrid Calculator'!$E$14)/IF(A841="Lightning",100,30000))^2+((I841-'Hybrid Calculator'!$E$17)/IF(A841="Lightning",100,30000))^2</x:f>
        <x:v>1.4018054405954392</x:v>
      </x:c>
      <x:c r="K841" s="23" t="n">
        <x:f>RANK(J841,$J$2:$J$1401,1)</x:f>
        <x:v>979</x:v>
      </x:c>
      <x:c r="L841" s="23" t="n">
        <x:f>IF(K841&lt;=7,1,0)</x:f>
        <x:v>0</x:v>
      </x:c>
      <x:c r="M841" s="23" t="n">
        <x:f>IF(L841=1,1/(J841+0.000001),0)</x:f>
        <x:v>0</x:v>
      </x:c>
      <x:c r="N841" s="23" t="n">
        <x:v>3.3995140536441113</x:v>
      </x:c>
      <x:c r="O841" s="23" t="n">
        <x:f>M841</x:f>
        <x:v>0</x:v>
      </x:c>
      <x:c r="P841" s="23" t="n">
        <x:v>-59.757058108637466</x:v>
      </x:c>
      <x:c r="Q841" s="23" t="n">
        <x:v>4.742473037043169</x:v>
      </x:c>
    </x:row>
    <x:row r="842">
      <x:c r="A842" s="23" t="str">
        <x:v>Switching</x:v>
      </x:c>
      <x:c r="B842" s="23" t="n">
        <x:v>1079.4613574631512</x:v>
      </x:c>
      <x:c r="C842" s="23" t="n">
        <x:v>822.913373389747</x:v>
      </x:c>
      <x:c r="D842" s="23" t="n">
        <x:v>556.9450775161386</x:v>
      </x:c>
      <x:c r="E842" s="23" t="n">
        <x:v>173.4873372898437</x:v>
      </x:c>
      <x:c r="F842" s="23" t="n">
        <x:v>14.082504587247968</x:v>
      </x:c>
      <x:c r="G842" s="23" t="n">
        <x:v>0.8540868592192419</x:v>
      </x:c>
      <x:c r="H842" s="23" t="n">
        <x:v>13770</x:v>
      </x:c>
      <x:c r="I842" s="23" t="n">
        <x:v>1200</x:v>
      </x:c>
      <x:c r="J842" s="23" t="n">
        <x:f>(IF(A842='Hybrid Calculator'!$B$6,0,1))^2+((B842-'Hybrid Calculator'!$B$7)/1500)^2+((C842-'Hybrid Calculator'!$B$8)/1300)^2+((D842-'Hybrid Calculator'!$B$9)/800)^2+((E842-'Hybrid Calculator'!$B$10)/350)^2+((F842-'Hybrid Calculator'!$B$11)/30)^2+(G842-'Hybrid Calculator'!$B$12)^2+((H842-'Hybrid Calculator'!$E$14)/IF(A842="Lightning",100,30000))^2+((I842-'Hybrid Calculator'!$E$17)/IF(A842="Lightning",100,30000))^2</x:f>
        <x:v>1.2966017733681188</x:v>
      </x:c>
      <x:c r="K842" s="23" t="n">
        <x:f>RANK(J842,$J$2:$J$1401,1)</x:f>
        <x:v>723</x:v>
      </x:c>
      <x:c r="L842" s="23" t="n">
        <x:f>IF(K842&lt;=7,1,0)</x:f>
        <x:v>0</x:v>
      </x:c>
      <x:c r="M842" s="23" t="n">
        <x:f>IF(L842=1,1/(J842+0.000001),0)</x:f>
        <x:v>0</x:v>
      </x:c>
      <x:c r="N842" s="23" t="n">
        <x:v>-1.6797551805791784</x:v>
      </x:c>
      <x:c r="O842" s="23" t="n">
        <x:f>M842</x:f>
        <x:v>0</x:v>
      </x:c>
      <x:c r="P842" s="23" t="n">
        <x:v>-27.80633666445874</x:v>
      </x:c>
      <x:c r="Q842" s="23" t="n">
        <x:v>12.212367831654774</x:v>
      </x:c>
    </x:row>
    <x:row r="843">
      <x:c r="A843" s="23" t="str">
        <x:v>Switching</x:v>
      </x:c>
      <x:c r="B843" s="23" t="n">
        <x:v>1022.6390681811608</x:v>
      </x:c>
      <x:c r="C843" s="23" t="n">
        <x:v>1164.955918234773</x:v>
      </x:c>
      <x:c r="D843" s="23" t="n">
        <x:v>628.9193340577185</x:v>
      </x:c>
      <x:c r="E843" s="23" t="n">
        <x:v>266.84350815601647</x:v>
      </x:c>
      <x:c r="F843" s="23" t="n">
        <x:v>29.949874014128</x:v>
      </x:c>
      <x:c r="G843" s="23" t="n">
        <x:v>0.838480923944153</x:v>
      </x:c>
      <x:c r="H843" s="23" t="n">
        <x:v>10380</x:v>
      </x:c>
      <x:c r="I843" s="23" t="n">
        <x:v>1195</x:v>
      </x:c>
      <x:c r="J843" s="23" t="n">
        <x:f>(IF(A843='Hybrid Calculator'!$B$6,0,1))^2+((B843-'Hybrid Calculator'!$B$7)/1500)^2+((C843-'Hybrid Calculator'!$B$8)/1300)^2+((D843-'Hybrid Calculator'!$B$9)/800)^2+((E843-'Hybrid Calculator'!$B$10)/350)^2+((F843-'Hybrid Calculator'!$B$11)/30)^2+(G843-'Hybrid Calculator'!$B$12)^2+((H843-'Hybrid Calculator'!$E$14)/IF(A843="Lightning",100,30000))^2+((I843-'Hybrid Calculator'!$E$17)/IF(A843="Lightning",100,30000))^2</x:f>
        <x:v>1.5341611062797267</x:v>
      </x:c>
      <x:c r="K843" s="23" t="n">
        <x:f>RANK(J843,$J$2:$J$1401,1)</x:f>
        <x:v>1273</x:v>
      </x:c>
      <x:c r="L843" s="23" t="n">
        <x:f>IF(K843&lt;=7,1,0)</x:f>
        <x:v>0</x:v>
      </x:c>
      <x:c r="M843" s="23" t="n">
        <x:f>IF(L843=1,1/(J843+0.000001),0)</x:f>
        <x:v>0</x:v>
      </x:c>
      <x:c r="N843" s="23" t="n">
        <x:v>1.7329335335057294</x:v>
      </x:c>
      <x:c r="O843" s="23" t="n">
        <x:f>M843</x:f>
        <x:v>0</x:v>
      </x:c>
      <x:c r="P843" s="23" t="n">
        <x:v>18.400375887809787</x:v>
      </x:c>
      <x:c r="Q843" s="23" t="n">
        <x:v>-15.270363583014728</x:v>
      </x:c>
    </x:row>
    <x:row r="844">
      <x:c r="A844" s="23" t="str">
        <x:v>Switching</x:v>
      </x:c>
      <x:c r="B844" s="23" t="n">
        <x:v>984.3772692373022</x:v>
      </x:c>
      <x:c r="C844" s="23" t="n">
        <x:v>641.1121379234828</x:v>
      </x:c>
      <x:c r="D844" s="23" t="n">
        <x:v>556.0438569635153</x:v>
      </x:c>
      <x:c r="E844" s="23" t="n">
        <x:v>108.39961525751278</x:v>
      </x:c>
      <x:c r="F844" s="23" t="n">
        <x:v>23.717108410783112</x:v>
      </x:c>
      <x:c r="G844" s="23" t="n">
        <x:v>0.806134854152333</x:v>
      </x:c>
      <x:c r="H844" s="23" t="n">
        <x:v>16380</x:v>
      </x:c>
      <x:c r="I844" s="23" t="n">
        <x:v>1200</x:v>
      </x:c>
      <x:c r="J844" s="23" t="n">
        <x:f>(IF(A844='Hybrid Calculator'!$B$6,0,1))^2+((B844-'Hybrid Calculator'!$B$7)/1500)^2+((C844-'Hybrid Calculator'!$B$8)/1300)^2+((D844-'Hybrid Calculator'!$B$9)/800)^2+((E844-'Hybrid Calculator'!$B$10)/350)^2+((F844-'Hybrid Calculator'!$B$11)/30)^2+(G844-'Hybrid Calculator'!$B$12)^2+((H844-'Hybrid Calculator'!$E$14)/IF(A844="Lightning",100,30000))^2+((I844-'Hybrid Calculator'!$E$17)/IF(A844="Lightning",100,30000))^2</x:f>
        <x:v>1.4594096652063233</x:v>
      </x:c>
      <x:c r="K844" s="23" t="n">
        <x:f>RANK(J844,$J$2:$J$1401,1)</x:f>
        <x:v>1130</x:v>
      </x:c>
      <x:c r="L844" s="23" t="n">
        <x:f>IF(K844&lt;=7,1,0)</x:f>
        <x:v>0</x:v>
      </x:c>
      <x:c r="M844" s="23" t="n">
        <x:f>IF(L844=1,1/(J844+0.000001),0)</x:f>
        <x:v>0</x:v>
      </x:c>
      <x:c r="N844" s="23" t="n">
        <x:v>-0.9152989058621301</x:v>
      </x:c>
      <x:c r="O844" s="23" t="n">
        <x:f>M844</x:f>
        <x:v>0</x:v>
      </x:c>
      <x:c r="P844" s="23" t="n">
        <x:v>-17.382031929898858</x:v>
      </x:c>
      <x:c r="Q844" s="23" t="n">
        <x:v>6.7898188132732</x:v>
      </x:c>
    </x:row>
    <x:row r="845">
      <x:c r="A845" s="23" t="str">
        <x:v>Switching</x:v>
      </x:c>
      <x:c r="B845" s="23" t="n">
        <x:v>963.3465231745504</x:v>
      </x:c>
      <x:c r="C845" s="23" t="n">
        <x:v>846.5550290886313</x:v>
      </x:c>
      <x:c r="D845" s="23" t="n">
        <x:v>450.4541146568954</x:v>
      </x:c>
      <x:c r="E845" s="23" t="n">
        <x:v>129.76653621997684</x:v>
      </x:c>
      <x:c r="F845" s="23" t="n">
        <x:v>25.8392324144952</x:v>
      </x:c>
      <x:c r="G845" s="23" t="n">
        <x:v>0.8330443778075278</x:v>
      </x:c>
      <x:c r="H845" s="23" t="n">
        <x:v>17485</x:v>
      </x:c>
      <x:c r="I845" s="23" t="n">
        <x:v>1200</x:v>
      </x:c>
      <x:c r="J845" s="23" t="n">
        <x:f>(IF(A845='Hybrid Calculator'!$B$6,0,1))^2+((B845-'Hybrid Calculator'!$B$7)/1500)^2+((C845-'Hybrid Calculator'!$B$8)/1300)^2+((D845-'Hybrid Calculator'!$B$9)/800)^2+((E845-'Hybrid Calculator'!$B$10)/350)^2+((F845-'Hybrid Calculator'!$B$11)/30)^2+(G845-'Hybrid Calculator'!$B$12)^2+((H845-'Hybrid Calculator'!$E$14)/IF(A845="Lightning",100,30000))^2+((I845-'Hybrid Calculator'!$E$17)/IF(A845="Lightning",100,30000))^2</x:f>
        <x:v>1.5012145074459133</x:v>
      </x:c>
      <x:c r="K845" s="23" t="n">
        <x:f>RANK(J845,$J$2:$J$1401,1)</x:f>
        <x:v>1211</x:v>
      </x:c>
      <x:c r="L845" s="23" t="n">
        <x:f>IF(K845&lt;=7,1,0)</x:f>
        <x:v>0</x:v>
      </x:c>
      <x:c r="M845" s="23" t="n">
        <x:f>IF(L845=1,1/(J845+0.000001),0)</x:f>
        <x:v>0</x:v>
      </x:c>
      <x:c r="N845" s="23" t="n">
        <x:v>-2.7716461315092715</x:v>
      </x:c>
      <x:c r="O845" s="23" t="n">
        <x:f>M845</x:f>
        <x:v>0</x:v>
      </x:c>
      <x:c r="P845" s="23" t="n">
        <x:v>18.426405601031092</x:v>
      </x:c>
      <x:c r="Q845" s="23" t="n">
        <x:v>-5.146139949812323</x:v>
      </x:c>
    </x:row>
    <x:row r="846">
      <x:c r="A846" s="23" t="str">
        <x:v>Switching</x:v>
      </x:c>
      <x:c r="B846" s="23" t="n">
        <x:v>1002.9227469582111</x:v>
      </x:c>
      <x:c r="C846" s="23" t="n">
        <x:v>690.0935195269994</x:v>
      </x:c>
      <x:c r="D846" s="23" t="n">
        <x:v>515.559914521873</x:v>
      </x:c>
      <x:c r="E846" s="23" t="n">
        <x:v>274.46669361786917</x:v>
      </x:c>
      <x:c r="F846" s="23" t="n">
        <x:v>28.434592366218567</x:v>
      </x:c>
      <x:c r="G846" s="23" t="n">
        <x:v>0.7997105125174858</x:v>
      </x:c>
      <x:c r="H846" s="23" t="n">
        <x:v>14450</x:v>
      </x:c>
      <x:c r="I846" s="23" t="n">
        <x:v>1200</x:v>
      </x:c>
      <x:c r="J846" s="23" t="n">
        <x:f>(IF(A846='Hybrid Calculator'!$B$6,0,1))^2+((B846-'Hybrid Calculator'!$B$7)/1500)^2+((C846-'Hybrid Calculator'!$B$8)/1300)^2+((D846-'Hybrid Calculator'!$B$9)/800)^2+((E846-'Hybrid Calculator'!$B$10)/350)^2+((F846-'Hybrid Calculator'!$B$11)/30)^2+(G846-'Hybrid Calculator'!$B$12)^2+((H846-'Hybrid Calculator'!$E$14)/IF(A846="Lightning",100,30000))^2+((I846-'Hybrid Calculator'!$E$17)/IF(A846="Lightning",100,30000))^2</x:f>
        <x:v>1.5631589647696638</x:v>
      </x:c>
      <x:c r="K846" s="23" t="n">
        <x:f>RANK(J846,$J$2:$J$1401,1)</x:f>
        <x:v>1322</x:v>
      </x:c>
      <x:c r="L846" s="23" t="n">
        <x:f>IF(K846&lt;=7,1,0)</x:f>
        <x:v>0</x:v>
      </x:c>
      <x:c r="M846" s="23" t="n">
        <x:f>IF(L846=1,1/(J846+0.000001),0)</x:f>
        <x:v>0</x:v>
      </x:c>
      <x:c r="N846" s="23" t="n">
        <x:v>-0.22627361103215549</x:v>
      </x:c>
      <x:c r="O846" s="23" t="n">
        <x:f>M846</x:f>
        <x:v>0</x:v>
      </x:c>
      <x:c r="P846" s="23" t="n">
        <x:v>18.465892228090524</x:v>
      </x:c>
      <x:c r="Q846" s="23" t="n">
        <x:v>-6.1309788872732724</x:v>
      </x:c>
    </x:row>
    <x:row r="847">
      <x:c r="A847" s="23" t="str">
        <x:v>Switching</x:v>
      </x:c>
      <x:c r="B847" s="23" t="n">
        <x:v>1090.1046157930978</x:v>
      </x:c>
      <x:c r="C847" s="23" t="n">
        <x:v>1124.390541925095</x:v>
      </x:c>
      <x:c r="D847" s="23" t="n">
        <x:v>577.8412622399628</x:v>
      </x:c>
      <x:c r="E847" s="23" t="n">
        <x:v>312.16072702780366</x:v>
      </x:c>
      <x:c r="F847" s="23" t="n">
        <x:v>20.599219432566315</x:v>
      </x:c>
      <x:c r="G847" s="23" t="n">
        <x:v>0.7929256431525573</x:v>
      </x:c>
      <x:c r="H847" s="23" t="n">
        <x:v>10615</x:v>
      </x:c>
      <x:c r="I847" s="23" t="n">
        <x:v>1195</x:v>
      </x:c>
      <x:c r="J847" s="23" t="n">
        <x:f>(IF(A847='Hybrid Calculator'!$B$6,0,1))^2+((B847-'Hybrid Calculator'!$B$7)/1500)^2+((C847-'Hybrid Calculator'!$B$8)/1300)^2+((D847-'Hybrid Calculator'!$B$9)/800)^2+((E847-'Hybrid Calculator'!$B$10)/350)^2+((F847-'Hybrid Calculator'!$B$11)/30)^2+(G847-'Hybrid Calculator'!$B$12)^2+((H847-'Hybrid Calculator'!$E$14)/IF(A847="Lightning",100,30000))^2+((I847-'Hybrid Calculator'!$E$17)/IF(A847="Lightning",100,30000))^2</x:f>
        <x:v>1.449698415682143</x:v>
      </x:c>
      <x:c r="K847" s="23" t="n">
        <x:f>RANK(J847,$J$2:$J$1401,1)</x:f>
        <x:v>1109</x:v>
      </x:c>
      <x:c r="L847" s="23" t="n">
        <x:f>IF(K847&lt;=7,1,0)</x:f>
        <x:v>0</x:v>
      </x:c>
      <x:c r="M847" s="23" t="n">
        <x:f>IF(L847=1,1/(J847+0.000001),0)</x:f>
        <x:v>0</x:v>
      </x:c>
      <x:c r="N847" s="23" t="n">
        <x:v>3.961500370265952</x:v>
      </x:c>
      <x:c r="O847" s="23" t="n">
        <x:f>M847</x:f>
        <x:v>0</x:v>
      </x:c>
      <x:c r="P847" s="23" t="n">
        <x:v>67.34793192769939</x:v>
      </x:c>
      <x:c r="Q847" s="23" t="n">
        <x:v>-3.160050436632673</x:v>
      </x:c>
    </x:row>
    <x:row r="848">
      <x:c r="A848" s="23" t="str">
        <x:v>Switching</x:v>
      </x:c>
      <x:c r="B848" s="23" t="n">
        <x:v>1067.2013216884807</x:v>
      </x:c>
      <x:c r="C848" s="23" t="n">
        <x:v>1100.039428297896</x:v>
      </x:c>
      <x:c r="D848" s="23" t="n">
        <x:v>370.20414620637894</x:v>
      </x:c>
      <x:c r="E848" s="23" t="n">
        <x:v>80.55710127344355</x:v>
      </x:c>
      <x:c r="F848" s="23" t="n">
        <x:v>18.385247121565044</x:v>
      </x:c>
      <x:c r="G848" s="23" t="n">
        <x:v>0.8175498314551078</x:v>
      </x:c>
      <x:c r="H848" s="23" t="n">
        <x:v>13790</x:v>
      </x:c>
      <x:c r="I848" s="23" t="n">
        <x:v>1200</x:v>
      </x:c>
      <x:c r="J848" s="23" t="n">
        <x:f>(IF(A848='Hybrid Calculator'!$B$6,0,1))^2+((B848-'Hybrid Calculator'!$B$7)/1500)^2+((C848-'Hybrid Calculator'!$B$8)/1300)^2+((D848-'Hybrid Calculator'!$B$9)/800)^2+((E848-'Hybrid Calculator'!$B$10)/350)^2+((F848-'Hybrid Calculator'!$B$11)/30)^2+(G848-'Hybrid Calculator'!$B$12)^2+((H848-'Hybrid Calculator'!$E$14)/IF(A848="Lightning",100,30000))^2+((I848-'Hybrid Calculator'!$E$17)/IF(A848="Lightning",100,30000))^2</x:f>
        <x:v>1.3708995349545725</x:v>
      </x:c>
      <x:c r="K848" s="23" t="n">
        <x:f>RANK(J848,$J$2:$J$1401,1)</x:f>
        <x:v>892</x:v>
      </x:c>
      <x:c r="L848" s="23" t="n">
        <x:f>IF(K848&lt;=7,1,0)</x:f>
        <x:v>0</x:v>
      </x:c>
      <x:c r="M848" s="23" t="n">
        <x:f>IF(L848=1,1/(J848+0.000001),0)</x:f>
        <x:v>0</x:v>
      </x:c>
      <x:c r="N848" s="23" t="n">
        <x:v>1.1116815195923095</x:v>
      </x:c>
      <x:c r="O848" s="23" t="n">
        <x:f>M848</x:f>
        <x:v>0</x:v>
      </x:c>
      <x:c r="P848" s="23" t="n">
        <x:v>30.242571507392768</x:v>
      </x:c>
      <x:c r="Q848" s="23" t="n">
        <x:v>0.23619567540026765</x:v>
      </x:c>
    </x:row>
    <x:row r="849">
      <x:c r="A849" s="23" t="str">
        <x:v>Switching</x:v>
      </x:c>
      <x:c r="B849" s="23" t="n">
        <x:v>1062.1697551454417</x:v>
      </x:c>
      <x:c r="C849" s="23" t="n">
        <x:v>804.0725368075073</x:v>
      </x:c>
      <x:c r="D849" s="23" t="n">
        <x:v>653.2453528605402</x:v>
      </x:c>
      <x:c r="E849" s="23" t="n">
        <x:v>308.3733623335138</x:v>
      </x:c>
      <x:c r="F849" s="23" t="n">
        <x:v>28.236056303139776</x:v>
      </x:c>
      <x:c r="G849" s="23" t="n">
        <x:v>0.8498547063488514</x:v>
      </x:c>
      <x:c r="H849" s="23" t="n">
        <x:v>12110</x:v>
      </x:c>
      <x:c r="I849" s="23" t="n">
        <x:v>1200</x:v>
      </x:c>
      <x:c r="J849" s="23" t="n">
        <x:f>(IF(A849='Hybrid Calculator'!$B$6,0,1))^2+((B849-'Hybrid Calculator'!$B$7)/1500)^2+((C849-'Hybrid Calculator'!$B$8)/1300)^2+((D849-'Hybrid Calculator'!$B$9)/800)^2+((E849-'Hybrid Calculator'!$B$10)/350)^2+((F849-'Hybrid Calculator'!$B$11)/30)^2+(G849-'Hybrid Calculator'!$B$12)^2+((H849-'Hybrid Calculator'!$E$14)/IF(A849="Lightning",100,30000))^2+((I849-'Hybrid Calculator'!$E$17)/IF(A849="Lightning",100,30000))^2</x:f>
        <x:v>1.5705557790972962</x:v>
      </x:c>
      <x:c r="K849" s="23" t="n">
        <x:f>RANK(J849,$J$2:$J$1401,1)</x:f>
        <x:v>1328</x:v>
      </x:c>
      <x:c r="L849" s="23" t="n">
        <x:f>IF(K849&lt;=7,1,0)</x:f>
        <x:v>0</x:v>
      </x:c>
      <x:c r="M849" s="23" t="n">
        <x:f>IF(L849=1,1/(J849+0.000001),0)</x:f>
        <x:v>0</x:v>
      </x:c>
      <x:c r="N849" s="23" t="n">
        <x:v>-3.4789260762505307</x:v>
      </x:c>
      <x:c r="O849" s="23" t="n">
        <x:f>M849</x:f>
        <x:v>0</x:v>
      </x:c>
      <x:c r="P849" s="23" t="n">
        <x:v>-36.54587668958311</x:v>
      </x:c>
      <x:c r="Q849" s="23" t="n">
        <x:v>-8.040727037170427</x:v>
      </x:c>
    </x:row>
    <x:row r="850">
      <x:c r="A850" s="23" t="str">
        <x:v>Switching</x:v>
      </x:c>
      <x:c r="B850" s="23" t="n">
        <x:v>1098.1735911220312</x:v>
      </x:c>
      <x:c r="C850" s="23" t="n">
        <x:v>1172.7479113615118</x:v>
      </x:c>
      <x:c r="D850" s="23" t="n">
        <x:v>547.2942786291242</x:v>
      </x:c>
      <x:c r="E850" s="23" t="n">
        <x:v>175.9764575236477</x:v>
      </x:c>
      <x:c r="F850" s="23" t="n">
        <x:v>9.933935774490237</x:v>
      </x:c>
      <x:c r="G850" s="23" t="n">
        <x:v>0.8079407733422704</x:v>
      </x:c>
      <x:c r="H850" s="23" t="n">
        <x:v>11280</x:v>
      </x:c>
      <x:c r="I850" s="23" t="n">
        <x:v>1195</x:v>
      </x:c>
      <x:c r="J850" s="23" t="n">
        <x:f>(IF(A850='Hybrid Calculator'!$B$6,0,1))^2+((B850-'Hybrid Calculator'!$B$7)/1500)^2+((C850-'Hybrid Calculator'!$B$8)/1300)^2+((D850-'Hybrid Calculator'!$B$9)/800)^2+((E850-'Hybrid Calculator'!$B$10)/350)^2+((F850-'Hybrid Calculator'!$B$11)/30)^2+(G850-'Hybrid Calculator'!$B$12)^2+((H850-'Hybrid Calculator'!$E$14)/IF(A850="Lightning",100,30000))^2+((I850-'Hybrid Calculator'!$E$17)/IF(A850="Lightning",100,30000))^2</x:f>
        <x:v>1.3414360441540856</x:v>
      </x:c>
      <x:c r="K850" s="23" t="n">
        <x:f>RANK(J850,$J$2:$J$1401,1)</x:f>
        <x:v>805</x:v>
      </x:c>
      <x:c r="L850" s="23" t="n">
        <x:f>IF(K850&lt;=7,1,0)</x:f>
        <x:v>0</x:v>
      </x:c>
      <x:c r="M850" s="23" t="n">
        <x:f>IF(L850=1,1/(J850+0.000001),0)</x:f>
        <x:v>0</x:v>
      </x:c>
      <x:c r="N850" s="23" t="n">
        <x:v>3.6354993359051377</x:v>
      </x:c>
      <x:c r="O850" s="23" t="n">
        <x:f>M850</x:f>
        <x:v>0</x:v>
      </x:c>
      <x:c r="P850" s="23" t="n">
        <x:v>5.382305064921638</x:v>
      </x:c>
      <x:c r="Q850" s="23" t="n">
        <x:v>0.5339078856245578</x:v>
      </x:c>
    </x:row>
    <x:row r="851">
      <x:c r="A851" s="23" t="str">
        <x:v>Switching</x:v>
      </x:c>
      <x:c r="B851" s="23" t="n">
        <x:v>1076.4303746283986</x:v>
      </x:c>
      <x:c r="C851" s="23" t="n">
        <x:v>620.5336345592514</x:v>
      </x:c>
      <x:c r="D851" s="23" t="n">
        <x:v>720.159335527569</x:v>
      </x:c>
      <x:c r="E851" s="23" t="n">
        <x:v>306.49763501249254</x:v>
      </x:c>
      <x:c r="F851" s="23" t="n">
        <x:v>11.074382286984473</x:v>
      </x:c>
      <x:c r="G851" s="23" t="n">
        <x:v>0.8389037125604227</x:v>
      </x:c>
      <x:c r="H851" s="23" t="n">
        <x:v>12985</x:v>
      </x:c>
      <x:c r="I851" s="23" t="n">
        <x:v>1200</x:v>
      </x:c>
      <x:c r="J851" s="23" t="n">
        <x:f>(IF(A851='Hybrid Calculator'!$B$6,0,1))^2+((B851-'Hybrid Calculator'!$B$7)/1500)^2+((C851-'Hybrid Calculator'!$B$8)/1300)^2+((D851-'Hybrid Calculator'!$B$9)/800)^2+((E851-'Hybrid Calculator'!$B$10)/350)^2+((F851-'Hybrid Calculator'!$B$11)/30)^2+(G851-'Hybrid Calculator'!$B$12)^2+((H851-'Hybrid Calculator'!$E$14)/IF(A851="Lightning",100,30000))^2+((I851-'Hybrid Calculator'!$E$17)/IF(A851="Lightning",100,30000))^2</x:f>
        <x:v>1.6098848323885786</x:v>
      </x:c>
      <x:c r="K851" s="23" t="n">
        <x:f>RANK(J851,$J$2:$J$1401,1)</x:f>
        <x:v>1359</x:v>
      </x:c>
      <x:c r="L851" s="23" t="n">
        <x:f>IF(K851&lt;=7,1,0)</x:f>
        <x:v>0</x:v>
      </x:c>
      <x:c r="M851" s="23" t="n">
        <x:f>IF(L851=1,1/(J851+0.000001),0)</x:f>
        <x:v>0</x:v>
      </x:c>
      <x:c r="N851" s="23" t="n">
        <x:v>-0.5570255295400273</x:v>
      </x:c>
      <x:c r="O851" s="23" t="n">
        <x:f>M851</x:f>
        <x:v>0</x:v>
      </x:c>
      <x:c r="P851" s="23" t="n">
        <x:v>-66.37872370631521</x:v>
      </x:c>
      <x:c r="Q851" s="23" t="n">
        <x:v>2.873304358633959</x:v>
      </x:c>
    </x:row>
    <x:row r="852">
      <x:c r="A852" s="23" t="str">
        <x:v>Switching</x:v>
      </x:c>
      <x:c r="B852" s="23" t="n">
        <x:v>983.5520979715511</x:v>
      </x:c>
      <x:c r="C852" s="23" t="n">
        <x:v>778.907265572343</x:v>
      </x:c>
      <x:c r="D852" s="23" t="n">
        <x:v>485.1821456104517</x:v>
      </x:c>
      <x:c r="E852" s="23" t="n">
        <x:v>177.0933914068155</x:v>
      </x:c>
      <x:c r="F852" s="23" t="n">
        <x:v>24.398661204613745</x:v>
      </x:c>
      <x:c r="G852" s="23" t="n">
        <x:v>0.8368844253080897</x:v>
      </x:c>
      <x:c r="H852" s="23" t="n">
        <x:v>17310</x:v>
      </x:c>
      <x:c r="I852" s="23" t="n">
        <x:v>1200</x:v>
      </x:c>
      <x:c r="J852" s="23" t="n">
        <x:f>(IF(A852='Hybrid Calculator'!$B$6,0,1))^2+((B852-'Hybrid Calculator'!$B$7)/1500)^2+((C852-'Hybrid Calculator'!$B$8)/1300)^2+((D852-'Hybrid Calculator'!$B$9)/800)^2+((E852-'Hybrid Calculator'!$B$10)/350)^2+((F852-'Hybrid Calculator'!$B$11)/30)^2+(G852-'Hybrid Calculator'!$B$12)^2+((H852-'Hybrid Calculator'!$E$14)/IF(A852="Lightning",100,30000))^2+((I852-'Hybrid Calculator'!$E$17)/IF(A852="Lightning",100,30000))^2</x:f>
        <x:v>1.4674254230127233</x:v>
      </x:c>
      <x:c r="K852" s="23" t="n">
        <x:f>RANK(J852,$J$2:$J$1401,1)</x:f>
        <x:v>1150</x:v>
      </x:c>
      <x:c r="L852" s="23" t="n">
        <x:f>IF(K852&lt;=7,1,0)</x:f>
        <x:v>0</x:v>
      </x:c>
      <x:c r="M852" s="23" t="n">
        <x:f>IF(L852=1,1/(J852+0.000001),0)</x:f>
        <x:v>0</x:v>
      </x:c>
      <x:c r="N852" s="23" t="n">
        <x:v>-1.2259631398248416</x:v>
      </x:c>
      <x:c r="O852" s="23" t="n">
        <x:f>M852</x:f>
        <x:v>0</x:v>
      </x:c>
      <x:c r="P852" s="23" t="n">
        <x:v>-50.52281217204154</x:v>
      </x:c>
      <x:c r="Q852" s="23" t="n">
        <x:v>0.2228210059746516</x:v>
      </x:c>
    </x:row>
    <x:row r="853">
      <x:c r="A853" s="23" t="str">
        <x:v>Switching</x:v>
      </x:c>
      <x:c r="B853" s="23" t="n">
        <x:v>1051.9367132685147</x:v>
      </x:c>
      <x:c r="C853" s="23" t="n">
        <x:v>1219.9417050462216</x:v>
      </x:c>
      <x:c r="D853" s="23" t="n">
        <x:v>639.2530734650791</x:v>
      </x:c>
      <x:c r="E853" s="23" t="n">
        <x:v>246.58540617208928</x:v>
      </x:c>
      <x:c r="F853" s="23" t="n">
        <x:v>19.63585193036124</x:v>
      </x:c>
      <x:c r="G853" s="23" t="n">
        <x:v>0.8206341634690761</x:v>
      </x:c>
      <x:c r="H853" s="23" t="n">
        <x:v>10155</x:v>
      </x:c>
      <x:c r="I853" s="23" t="n">
        <x:v>1195</x:v>
      </x:c>
      <x:c r="J853" s="23" t="n">
        <x:f>(IF(A853='Hybrid Calculator'!$B$6,0,1))^2+((B853-'Hybrid Calculator'!$B$7)/1500)^2+((C853-'Hybrid Calculator'!$B$8)/1300)^2+((D853-'Hybrid Calculator'!$B$9)/800)^2+((E853-'Hybrid Calculator'!$B$10)/350)^2+((F853-'Hybrid Calculator'!$B$11)/30)^2+(G853-'Hybrid Calculator'!$B$12)^2+((H853-'Hybrid Calculator'!$E$14)/IF(A853="Lightning",100,30000))^2+((I853-'Hybrid Calculator'!$E$17)/IF(A853="Lightning",100,30000))^2</x:f>
        <x:v>1.3657001733568406</x:v>
      </x:c>
      <x:c r="K853" s="23" t="n">
        <x:f>RANK(J853,$J$2:$J$1401,1)</x:f>
        <x:v>872</x:v>
      </x:c>
      <x:c r="L853" s="23" t="n">
        <x:f>IF(K853&lt;=7,1,0)</x:f>
        <x:v>0</x:v>
      </x:c>
      <x:c r="M853" s="23" t="n">
        <x:f>IF(L853=1,1/(J853+0.000001),0)</x:f>
        <x:v>0</x:v>
      </x:c>
      <x:c r="N853" s="23" t="n">
        <x:v>4.080487757998924</x:v>
      </x:c>
      <x:c r="O853" s="23" t="n">
        <x:f>M853</x:f>
        <x:v>0</x:v>
      </x:c>
      <x:c r="P853" s="23" t="n">
        <x:v>31.15441281479616</x:v>
      </x:c>
      <x:c r="Q853" s="23" t="n">
        <x:v>-10.76737276192921</x:v>
      </x:c>
    </x:row>
    <x:row r="854">
      <x:c r="A854" s="23" t="str">
        <x:v>Switching</x:v>
      </x:c>
      <x:c r="B854" s="23" t="n">
        <x:v>978.0404161196202</x:v>
      </x:c>
      <x:c r="C854" s="23" t="n">
        <x:v>639.2240625689737</x:v>
      </x:c>
      <x:c r="D854" s="23" t="n">
        <x:v>556.8872636184096</x:v>
      </x:c>
      <x:c r="E854" s="23" t="n">
        <x:v>278.0635140207596</x:v>
      </x:c>
      <x:c r="F854" s="23" t="n">
        <x:v>28.212931033223867</x:v>
      </x:c>
      <x:c r="G854" s="23" t="n">
        <x:v>0.8034322756924667</x:v>
      </x:c>
      <x:c r="H854" s="23" t="n">
        <x:v>14505</x:v>
      </x:c>
      <x:c r="I854" s="23" t="n">
        <x:v>1200</x:v>
      </x:c>
      <x:c r="J854" s="23" t="n">
        <x:f>(IF(A854='Hybrid Calculator'!$B$6,0,1))^2+((B854-'Hybrid Calculator'!$B$7)/1500)^2+((C854-'Hybrid Calculator'!$B$8)/1300)^2+((D854-'Hybrid Calculator'!$B$9)/800)^2+((E854-'Hybrid Calculator'!$B$10)/350)^2+((F854-'Hybrid Calculator'!$B$11)/30)^2+(G854-'Hybrid Calculator'!$B$12)^2+((H854-'Hybrid Calculator'!$E$14)/IF(A854="Lightning",100,30000))^2+((I854-'Hybrid Calculator'!$E$17)/IF(A854="Lightning",100,30000))^2</x:f>
        <x:v>1.5928072578478172</x:v>
      </x:c>
      <x:c r="K854" s="23" t="n">
        <x:f>RANK(J854,$J$2:$J$1401,1)</x:f>
        <x:v>1344</x:v>
      </x:c>
      <x:c r="L854" s="23" t="n">
        <x:f>IF(K854&lt;=7,1,0)</x:f>
        <x:v>0</x:v>
      </x:c>
      <x:c r="M854" s="23" t="n">
        <x:f>IF(L854=1,1/(J854+0.000001),0)</x:f>
        <x:v>0</x:v>
      </x:c>
      <x:c r="N854" s="23" t="n">
        <x:v>-3.013844436742147</x:v>
      </x:c>
      <x:c r="O854" s="23" t="n">
        <x:f>M854</x:f>
        <x:v>0</x:v>
      </x:c>
      <x:c r="P854" s="23" t="n">
        <x:v>-8.991717304728354</x:v>
      </x:c>
      <x:c r="Q854" s="23" t="n">
        <x:v>0.002805722934795085</x:v>
      </x:c>
    </x:row>
    <x:row r="855">
      <x:c r="A855" s="23" t="str">
        <x:v>Switching</x:v>
      </x:c>
      <x:c r="B855" s="23" t="n">
        <x:v>1064.548852678854</x:v>
      </x:c>
      <x:c r="C855" s="23" t="n">
        <x:v>1095.8003501174971</x:v>
      </x:c>
      <x:c r="D855" s="23" t="n">
        <x:v>584.5990826375782</x:v>
      </x:c>
      <x:c r="E855" s="23" t="n">
        <x:v>162.78406504541636</x:v>
      </x:c>
      <x:c r="F855" s="23" t="n">
        <x:v>26.030030908528715</x:v>
      </x:c>
      <x:c r="G855" s="23" t="n">
        <x:v>0.8230639086989686</x:v>
      </x:c>
      <x:c r="H855" s="23" t="n">
        <x:v>11605</x:v>
      </x:c>
      <x:c r="I855" s="23" t="n">
        <x:v>1195</x:v>
      </x:c>
      <x:c r="J855" s="23" t="n">
        <x:f>(IF(A855='Hybrid Calculator'!$B$6,0,1))^2+((B855-'Hybrid Calculator'!$B$7)/1500)^2+((C855-'Hybrid Calculator'!$B$8)/1300)^2+((D855-'Hybrid Calculator'!$B$9)/800)^2+((E855-'Hybrid Calculator'!$B$10)/350)^2+((F855-'Hybrid Calculator'!$B$11)/30)^2+(G855-'Hybrid Calculator'!$B$12)^2+((H855-'Hybrid Calculator'!$E$14)/IF(A855="Lightning",100,30000))^2+((I855-'Hybrid Calculator'!$E$17)/IF(A855="Lightning",100,30000))^2</x:f>
        <x:v>1.3188968694927348</x:v>
      </x:c>
      <x:c r="K855" s="23" t="n">
        <x:f>RANK(J855,$J$2:$J$1401,1)</x:f>
        <x:v>760</x:v>
      </x:c>
      <x:c r="L855" s="23" t="n">
        <x:f>IF(K855&lt;=7,1,0)</x:f>
        <x:v>0</x:v>
      </x:c>
      <x:c r="M855" s="23" t="n">
        <x:f>IF(L855=1,1/(J855+0.000001),0)</x:f>
        <x:v>0</x:v>
      </x:c>
      <x:c r="N855" s="23" t="n">
        <x:v>0.22906962126191388</x:v>
      </x:c>
      <x:c r="O855" s="23" t="n">
        <x:f>M855</x:f>
        <x:v>0</x:v>
      </x:c>
      <x:c r="P855" s="23" t="n">
        <x:v>36.57699273316621</x:v>
      </x:c>
      <x:c r="Q855" s="23" t="n">
        <x:v>-6.538832668799614</x:v>
      </x:c>
    </x:row>
    <x:row r="856">
      <x:c r="A856" s="23" t="str">
        <x:v>Switching</x:v>
      </x:c>
      <x:c r="B856" s="23" t="n">
        <x:v>990.60477190651</x:v>
      </x:c>
      <x:c r="C856" s="23" t="n">
        <x:v>1004.5941443997435</x:v>
      </x:c>
      <x:c r="D856" s="23" t="n">
        <x:v>363.32379411906004</x:v>
      </x:c>
      <x:c r="E856" s="23" t="n">
        <x:v>256.7707609687932</x:v>
      </x:c>
      <x:c r="F856" s="23" t="n">
        <x:v>22.072834484279156</x:v>
      </x:c>
      <x:c r="G856" s="23" t="n">
        <x:v>0.7964064005226829</x:v>
      </x:c>
      <x:c r="H856" s="23" t="n">
        <x:v>13165</x:v>
      </x:c>
      <x:c r="I856" s="23" t="n">
        <x:v>1200</x:v>
      </x:c>
      <x:c r="J856" s="23" t="n">
        <x:f>(IF(A856='Hybrid Calculator'!$B$6,0,1))^2+((B856-'Hybrid Calculator'!$B$7)/1500)^2+((C856-'Hybrid Calculator'!$B$8)/1300)^2+((D856-'Hybrid Calculator'!$B$9)/800)^2+((E856-'Hybrid Calculator'!$B$10)/350)^2+((F856-'Hybrid Calculator'!$B$11)/30)^2+(G856-'Hybrid Calculator'!$B$12)^2+((H856-'Hybrid Calculator'!$E$14)/IF(A856="Lightning",100,30000))^2+((I856-'Hybrid Calculator'!$E$17)/IF(A856="Lightning",100,30000))^2</x:f>
        <x:v>1.4276461092055772</x:v>
      </x:c>
      <x:c r="K856" s="23" t="n">
        <x:f>RANK(J856,$J$2:$J$1401,1)</x:f>
        <x:v>1056</x:v>
      </x:c>
      <x:c r="L856" s="23" t="n">
        <x:f>IF(K856&lt;=7,1,0)</x:f>
        <x:v>0</x:v>
      </x:c>
      <x:c r="M856" s="23" t="n">
        <x:f>IF(L856=1,1/(J856+0.000001),0)</x:f>
        <x:v>0</x:v>
      </x:c>
      <x:c r="N856" s="23" t="n">
        <x:v>-0.1746657822058637</x:v>
      </x:c>
      <x:c r="O856" s="23" t="n">
        <x:f>M856</x:f>
        <x:v>0</x:v>
      </x:c>
      <x:c r="P856" s="23" t="n">
        <x:v>19.354370762840063</x:v>
      </x:c>
      <x:c r="Q856" s="23" t="n">
        <x:v>-2.1786132703407475</x:v>
      </x:c>
    </x:row>
    <x:row r="857">
      <x:c r="A857" s="23" t="str">
        <x:v>Switching</x:v>
      </x:c>
      <x:c r="B857" s="23" t="n">
        <x:v>1092.2157070715912</x:v>
      </x:c>
      <x:c r="C857" s="23" t="n">
        <x:v>752.6353236055002</x:v>
      </x:c>
      <x:c r="D857" s="23" t="n">
        <x:v>728.7499246187508</x:v>
      </x:c>
      <x:c r="E857" s="23" t="n">
        <x:v>87.93950958177447</x:v>
      </x:c>
      <x:c r="F857" s="23" t="n">
        <x:v>14.265916480217129</x:v>
      </x:c>
      <x:c r="G857" s="23" t="n">
        <x:v>0.8530723189702258</x:v>
      </x:c>
      <x:c r="H857" s="23" t="n">
        <x:v>13625</x:v>
      </x:c>
      <x:c r="I857" s="23" t="n">
        <x:v>1200</x:v>
      </x:c>
      <x:c r="J857" s="23" t="n">
        <x:f>(IF(A857='Hybrid Calculator'!$B$6,0,1))^2+((B857-'Hybrid Calculator'!$B$7)/1500)^2+((C857-'Hybrid Calculator'!$B$8)/1300)^2+((D857-'Hybrid Calculator'!$B$9)/800)^2+((E857-'Hybrid Calculator'!$B$10)/350)^2+((F857-'Hybrid Calculator'!$B$11)/30)^2+(G857-'Hybrid Calculator'!$B$12)^2+((H857-'Hybrid Calculator'!$E$14)/IF(A857="Lightning",100,30000))^2+((I857-'Hybrid Calculator'!$E$17)/IF(A857="Lightning",100,30000))^2</x:f>
        <x:v>1.3953340804784804</x:v>
      </x:c>
      <x:c r="K857" s="23" t="n">
        <x:f>RANK(J857,$J$2:$J$1401,1)</x:f>
        <x:v>963</x:v>
      </x:c>
      <x:c r="L857" s="23" t="n">
        <x:f>IF(K857&lt;=7,1,0)</x:f>
        <x:v>0</x:v>
      </x:c>
      <x:c r="M857" s="23" t="n">
        <x:f>IF(L857=1,1/(J857+0.000001),0)</x:f>
        <x:v>0</x:v>
      </x:c>
      <x:c r="N857" s="23" t="n">
        <x:v>0.29341356590683176</x:v>
      </x:c>
      <x:c r="O857" s="23" t="n">
        <x:f>M857</x:f>
        <x:v>0</x:v>
      </x:c>
      <x:c r="P857" s="23" t="n">
        <x:v>-42.246803149922016</x:v>
      </x:c>
      <x:c r="Q857" s="23" t="n">
        <x:v>12.609475610650179</x:v>
      </x:c>
    </x:row>
    <x:row r="858">
      <x:c r="A858" s="23" t="str">
        <x:v>Switching</x:v>
      </x:c>
      <x:c r="B858" s="23" t="n">
        <x:v>1024.509050627239</x:v>
      </x:c>
      <x:c r="C858" s="23" t="n">
        <x:v>1089.2571710166521</x:v>
      </x:c>
      <x:c r="D858" s="23" t="n">
        <x:v>655.2496463060379</x:v>
      </x:c>
      <x:c r="E858" s="23" t="n">
        <x:v>181.21546679874882</x:v>
      </x:c>
      <x:c r="F858" s="23" t="n">
        <x:v>28.582335892133415</x:v>
      </x:c>
      <x:c r="G858" s="23" t="n">
        <x:v>0.8213229279196822</x:v>
      </x:c>
      <x:c r="H858" s="23" t="n">
        <x:v>11105</x:v>
      </x:c>
      <x:c r="I858" s="23" t="n">
        <x:v>1195</x:v>
      </x:c>
      <x:c r="J858" s="23" t="n">
        <x:f>(IF(A858='Hybrid Calculator'!$B$6,0,1))^2+((B858-'Hybrid Calculator'!$B$7)/1500)^2+((C858-'Hybrid Calculator'!$B$8)/1300)^2+((D858-'Hybrid Calculator'!$B$9)/800)^2+((E858-'Hybrid Calculator'!$B$10)/350)^2+((F858-'Hybrid Calculator'!$B$11)/30)^2+(G858-'Hybrid Calculator'!$B$12)^2+((H858-'Hybrid Calculator'!$E$14)/IF(A858="Lightning",100,30000))^2+((I858-'Hybrid Calculator'!$E$17)/IF(A858="Lightning",100,30000))^2</x:f>
        <x:v>1.4010357057672838</x:v>
      </x:c>
      <x:c r="K858" s="23" t="n">
        <x:f>RANK(J858,$J$2:$J$1401,1)</x:f>
        <x:v>977</x:v>
      </x:c>
      <x:c r="L858" s="23" t="n">
        <x:f>IF(K858&lt;=7,1,0)</x:f>
        <x:v>0</x:v>
      </x:c>
      <x:c r="M858" s="23" t="n">
        <x:f>IF(L858=1,1/(J858+0.000001),0)</x:f>
        <x:v>0</x:v>
      </x:c>
      <x:c r="N858" s="23" t="n">
        <x:v>2.563035798595962</x:v>
      </x:c>
      <x:c r="O858" s="23" t="n">
        <x:f>M858</x:f>
        <x:v>0</x:v>
      </x:c>
      <x:c r="P858" s="23" t="n">
        <x:v>24.90056534957148</x:v>
      </x:c>
      <x:c r="Q858" s="23" t="n">
        <x:v>-17.65467692596917</x:v>
      </x:c>
    </x:row>
    <x:row r="859">
      <x:c r="A859" s="23" t="str">
        <x:v>Switching</x:v>
      </x:c>
      <x:c r="B859" s="23" t="n">
        <x:v>1070.622683770489</x:v>
      </x:c>
      <x:c r="C859" s="23" t="n">
        <x:v>635.1574991829693</x:v>
      </x:c>
      <x:c r="D859" s="23" t="n">
        <x:v>682.1672088466585</x:v>
      </x:c>
      <x:c r="E859" s="23" t="n">
        <x:v>278.58292082790285</x:v>
      </x:c>
      <x:c r="F859" s="23" t="n">
        <x:v>11.987109122332186</x:v>
      </x:c>
      <x:c r="G859" s="23" t="n">
        <x:v>0.8472897353116423</x:v>
      </x:c>
      <x:c r="H859" s="23" t="n">
        <x:v>13400</x:v>
      </x:c>
      <x:c r="I859" s="23" t="n">
        <x:v>1200</x:v>
      </x:c>
      <x:c r="J859" s="23" t="n">
        <x:f>(IF(A859='Hybrid Calculator'!$B$6,0,1))^2+((B859-'Hybrid Calculator'!$B$7)/1500)^2+((C859-'Hybrid Calculator'!$B$8)/1300)^2+((D859-'Hybrid Calculator'!$B$9)/800)^2+((E859-'Hybrid Calculator'!$B$10)/350)^2+((F859-'Hybrid Calculator'!$B$11)/30)^2+(G859-'Hybrid Calculator'!$B$12)^2+((H859-'Hybrid Calculator'!$E$14)/IF(A859="Lightning",100,30000))^2+((I859-'Hybrid Calculator'!$E$17)/IF(A859="Lightning",100,30000))^2</x:f>
        <x:v>1.5173806840326822</x:v>
      </x:c>
      <x:c r="K859" s="23" t="n">
        <x:f>RANK(J859,$J$2:$J$1401,1)</x:f>
        <x:v>1243</x:v>
      </x:c>
      <x:c r="L859" s="23" t="n">
        <x:f>IF(K859&lt;=7,1,0)</x:f>
        <x:v>0</x:v>
      </x:c>
      <x:c r="M859" s="23" t="n">
        <x:f>IF(L859=1,1/(J859+0.000001),0)</x:f>
        <x:v>0</x:v>
      </x:c>
      <x:c r="N859" s="23" t="n">
        <x:v>2.9025860238139956</x:v>
      </x:c>
      <x:c r="O859" s="23" t="n">
        <x:f>M859</x:f>
        <x:v>0</x:v>
      </x:c>
      <x:c r="P859" s="23" t="n">
        <x:v>-40.33153195311934</x:v>
      </x:c>
      <x:c r="Q859" s="23" t="n">
        <x:v>8.138407467410616</x:v>
      </x:c>
    </x:row>
    <x:row r="860">
      <x:c r="A860" s="23" t="str">
        <x:v>Switching</x:v>
      </x:c>
      <x:c r="B860" s="23" t="n">
        <x:v>1070.0115302577615</x:v>
      </x:c>
      <x:c r="C860" s="23" t="n">
        <x:v>720.5208175233565</x:v>
      </x:c>
      <x:c r="D860" s="23" t="n">
        <x:v>699.0659983828664</x:v>
      </x:c>
      <x:c r="E860" s="23" t="n">
        <x:v>314.61589362705126</x:v>
      </x:c>
      <x:c r="F860" s="23" t="n">
        <x:v>14.983377343043685</x:v>
      </x:c>
      <x:c r="G860" s="23" t="n">
        <x:v>0.8007081710663625</x:v>
      </x:c>
      <x:c r="H860" s="23" t="n">
        <x:v>12330</x:v>
      </x:c>
      <x:c r="I860" s="23" t="n">
        <x:v>1200</x:v>
      </x:c>
      <x:c r="J860" s="23" t="n">
        <x:f>(IF(A860='Hybrid Calculator'!$B$6,0,1))^2+((B860-'Hybrid Calculator'!$B$7)/1500)^2+((C860-'Hybrid Calculator'!$B$8)/1300)^2+((D860-'Hybrid Calculator'!$B$9)/800)^2+((E860-'Hybrid Calculator'!$B$10)/350)^2+((F860-'Hybrid Calculator'!$B$11)/30)^2+(G860-'Hybrid Calculator'!$B$12)^2+((H860-'Hybrid Calculator'!$E$14)/IF(A860="Lightning",100,30000))^2+((I860-'Hybrid Calculator'!$E$17)/IF(A860="Lightning",100,30000))^2</x:f>
        <x:v>1.532257172003849</x:v>
      </x:c>
      <x:c r="K860" s="23" t="n">
        <x:f>RANK(J860,$J$2:$J$1401,1)</x:f>
        <x:v>1270</x:v>
      </x:c>
      <x:c r="L860" s="23" t="n">
        <x:f>IF(K860&lt;=7,1,0)</x:f>
        <x:v>0</x:v>
      </x:c>
      <x:c r="M860" s="23" t="n">
        <x:f>IF(L860=1,1/(J860+0.000001),0)</x:f>
        <x:v>0</x:v>
      </x:c>
      <x:c r="N860" s="23" t="n">
        <x:v>-0.9533196916414681</x:v>
      </x:c>
      <x:c r="O860" s="23" t="n">
        <x:f>M860</x:f>
        <x:v>0</x:v>
      </x:c>
      <x:c r="P860" s="23" t="n">
        <x:v>-8.763689710128347</x:v>
      </x:c>
      <x:c r="Q860" s="23" t="n">
        <x:v>-2.4457864964817873</x:v>
      </x:c>
    </x:row>
    <x:row r="861">
      <x:c r="A861" s="23" t="str">
        <x:v>Switching</x:v>
      </x:c>
      <x:c r="B861" s="23" t="n">
        <x:v>977.7009301469661</x:v>
      </x:c>
      <x:c r="C861" s="23" t="n">
        <x:v>1146.7066571349278</x:v>
      </x:c>
      <x:c r="D861" s="23" t="n">
        <x:v>689.6379680372775</x:v>
      </x:c>
      <x:c r="E861" s="23" t="n">
        <x:v>319.48402400128543</x:v>
      </x:c>
      <x:c r="F861" s="23" t="n">
        <x:v>25.957960490603</x:v>
      </x:c>
      <x:c r="G861" s="23" t="n">
        <x:v>0.8325699156941846</x:v>
      </x:c>
      <x:c r="H861" s="23" t="n">
        <x:v>11575</x:v>
      </x:c>
      <x:c r="I861" s="23" t="n">
        <x:v>1195</x:v>
      </x:c>
      <x:c r="J861" s="23" t="n">
        <x:f>(IF(A861='Hybrid Calculator'!$B$6,0,1))^2+((B861-'Hybrid Calculator'!$B$7)/1500)^2+((C861-'Hybrid Calculator'!$B$8)/1300)^2+((D861-'Hybrid Calculator'!$B$9)/800)^2+((E861-'Hybrid Calculator'!$B$10)/350)^2+((F861-'Hybrid Calculator'!$B$11)/30)^2+(G861-'Hybrid Calculator'!$B$12)^2+((H861-'Hybrid Calculator'!$E$14)/IF(A861="Lightning",100,30000))^2+((I861-'Hybrid Calculator'!$E$17)/IF(A861="Lightning",100,30000))^2</x:f>
        <x:v>1.6427587697912471</x:v>
      </x:c>
      <x:c r="K861" s="23" t="n">
        <x:f>RANK(J861,$J$2:$J$1401,1)</x:f>
        <x:v>1376</x:v>
      </x:c>
      <x:c r="L861" s="23" t="n">
        <x:f>IF(K861&lt;=7,1,0)</x:f>
        <x:v>0</x:v>
      </x:c>
      <x:c r="M861" s="23" t="n">
        <x:f>IF(L861=1,1/(J861+0.000001),0)</x:f>
        <x:v>0</x:v>
      </x:c>
      <x:c r="N861" s="23" t="n">
        <x:v>-0.5550580472643389</x:v>
      </x:c>
      <x:c r="O861" s="23" t="n">
        <x:f>M861</x:f>
        <x:v>0</x:v>
      </x:c>
      <x:c r="P861" s="23" t="n">
        <x:v>29.448164826639186</x:v>
      </x:c>
      <x:c r="Q861" s="23" t="n">
        <x:v>-15.58342368806666</x:v>
      </x:c>
    </x:row>
    <x:row r="862">
      <x:c r="A862" s="23" t="str">
        <x:v>Switching</x:v>
      </x:c>
      <x:c r="B862" s="23" t="n">
        <x:v>1017.7959258435294</x:v>
      </x:c>
      <x:c r="C862" s="23" t="n">
        <x:v>811.7912190617062</x:v>
      </x:c>
      <x:c r="D862" s="23" t="n">
        <x:v>677.6017654687166</x:v>
      </x:c>
      <x:c r="E862" s="23" t="n">
        <x:v>219.43375292001292</x:v>
      </x:c>
      <x:c r="F862" s="23" t="n">
        <x:v>10.340463639236987</x:v>
      </x:c>
      <x:c r="G862" s="23" t="n">
        <x:v>0.8072855338337832</x:v>
      </x:c>
      <x:c r="H862" s="23" t="n">
        <x:v>12515</x:v>
      </x:c>
      <x:c r="I862" s="23" t="n">
        <x:v>1200</x:v>
      </x:c>
      <x:c r="J862" s="23" t="n">
        <x:f>(IF(A862='Hybrid Calculator'!$B$6,0,1))^2+((B862-'Hybrid Calculator'!$B$7)/1500)^2+((C862-'Hybrid Calculator'!$B$8)/1300)^2+((D862-'Hybrid Calculator'!$B$9)/800)^2+((E862-'Hybrid Calculator'!$B$10)/350)^2+((F862-'Hybrid Calculator'!$B$11)/30)^2+(G862-'Hybrid Calculator'!$B$12)^2+((H862-'Hybrid Calculator'!$E$14)/IF(A862="Lightning",100,30000))^2+((I862-'Hybrid Calculator'!$E$17)/IF(A862="Lightning",100,30000))^2</x:f>
        <x:v>1.4115114645061908</x:v>
      </x:c>
      <x:c r="K862" s="23" t="n">
        <x:f>RANK(J862,$J$2:$J$1401,1)</x:f>
        <x:v>1011</x:v>
      </x:c>
      <x:c r="L862" s="23" t="n">
        <x:f>IF(K862&lt;=7,1,0)</x:f>
        <x:v>0</x:v>
      </x:c>
      <x:c r="M862" s="23" t="n">
        <x:f>IF(L862=1,1/(J862+0.000001),0)</x:f>
        <x:v>0</x:v>
      </x:c>
      <x:c r="N862" s="23" t="n">
        <x:v>3.331148258379045</x:v>
      </x:c>
      <x:c r="O862" s="23" t="n">
        <x:f>M862</x:f>
        <x:v>0</x:v>
      </x:c>
      <x:c r="P862" s="23" t="n">
        <x:v>30.117435098927217</x:v>
      </x:c>
      <x:c r="Q862" s="23" t="n">
        <x:v>-0.7384080780108206</x:v>
      </x:c>
    </x:row>
    <x:row r="863">
      <x:c r="A863" s="23" t="str">
        <x:v>Switching</x:v>
      </x:c>
      <x:c r="B863" s="23" t="n">
        <x:v>966.9480691081844</x:v>
      </x:c>
      <x:c r="C863" s="23" t="n">
        <x:v>687.2841519769281</x:v>
      </x:c>
      <x:c r="D863" s="23" t="n">
        <x:v>415.54681761190295</x:v>
      </x:c>
      <x:c r="E863" s="23" t="n">
        <x:v>86.88290118705481</x:v>
      </x:c>
      <x:c r="F863" s="23" t="n">
        <x:v>14.17015305487439</x:v>
      </x:c>
      <x:c r="G863" s="23" t="n">
        <x:v>0.8192955097183585</x:v>
      </x:c>
      <x:c r="H863" s="23" t="n">
        <x:v>20970</x:v>
      </x:c>
      <x:c r="I863" s="23" t="n">
        <x:v>1200</x:v>
      </x:c>
      <x:c r="J863" s="23" t="n">
        <x:f>(IF(A863='Hybrid Calculator'!$B$6,0,1))^2+((B863-'Hybrid Calculator'!$B$7)/1500)^2+((C863-'Hybrid Calculator'!$B$8)/1300)^2+((D863-'Hybrid Calculator'!$B$9)/800)^2+((E863-'Hybrid Calculator'!$B$10)/350)^2+((F863-'Hybrid Calculator'!$B$11)/30)^2+(G863-'Hybrid Calculator'!$B$12)^2+((H863-'Hybrid Calculator'!$E$14)/IF(A863="Lightning",100,30000))^2+((I863-'Hybrid Calculator'!$E$17)/IF(A863="Lightning",100,30000))^2</x:f>
        <x:v>1.661219902064078</x:v>
      </x:c>
      <x:c r="K863" s="23" t="n">
        <x:f>RANK(J863,$J$2:$J$1401,1)</x:f>
        <x:v>1384</x:v>
      </x:c>
      <x:c r="L863" s="23" t="n">
        <x:f>IF(K863&lt;=7,1,0)</x:f>
        <x:v>0</x:v>
      </x:c>
      <x:c r="M863" s="23" t="n">
        <x:f>IF(L863=1,1/(J863+0.000001),0)</x:f>
        <x:v>0</x:v>
      </x:c>
      <x:c r="N863" s="23" t="n">
        <x:v>-3.5334263553760934</x:v>
      </x:c>
      <x:c r="O863" s="23" t="n">
        <x:f>M863</x:f>
        <x:v>0</x:v>
      </x:c>
      <x:c r="P863" s="23" t="n">
        <x:v>-17.832705534078286</x:v>
      </x:c>
      <x:c r="Q863" s="23" t="n">
        <x:v>18.000839068808887</x:v>
      </x:c>
    </x:row>
    <x:row r="864">
      <x:c r="A864" s="23" t="str">
        <x:v>Switching</x:v>
      </x:c>
      <x:c r="B864" s="23" t="n">
        <x:v>985.8938866760582</x:v>
      </x:c>
      <x:c r="C864" s="23" t="n">
        <x:v>1064.2285338486545</x:v>
      </x:c>
      <x:c r="D864" s="23" t="n">
        <x:v>444.61453165858984</x:v>
      </x:c>
      <x:c r="E864" s="23" t="n">
        <x:v>297.3351271194406</x:v>
      </x:c>
      <x:c r="F864" s="23" t="n">
        <x:v>13.410722244530916</x:v>
      </x:c>
      <x:c r="G864" s="23" t="n">
        <x:v>0.839755914809648</x:v>
      </x:c>
      <x:c r="H864" s="23" t="n">
        <x:v>13815</x:v>
      </x:c>
      <x:c r="I864" s="23" t="n">
        <x:v>1200</x:v>
      </x:c>
      <x:c r="J864" s="23" t="n">
        <x:f>(IF(A864='Hybrid Calculator'!$B$6,0,1))^2+((B864-'Hybrid Calculator'!$B$7)/1500)^2+((C864-'Hybrid Calculator'!$B$8)/1300)^2+((D864-'Hybrid Calculator'!$B$9)/800)^2+((E864-'Hybrid Calculator'!$B$10)/350)^2+((F864-'Hybrid Calculator'!$B$11)/30)^2+(G864-'Hybrid Calculator'!$B$12)^2+((H864-'Hybrid Calculator'!$E$14)/IF(A864="Lightning",100,30000))^2+((I864-'Hybrid Calculator'!$E$17)/IF(A864="Lightning",100,30000))^2</x:f>
        <x:v>1.536080553162557</x:v>
      </x:c>
      <x:c r="K864" s="23" t="n">
        <x:f>RANK(J864,$J$2:$J$1401,1)</x:f>
        <x:v>1276</x:v>
      </x:c>
      <x:c r="L864" s="23" t="n">
        <x:f>IF(K864&lt;=7,1,0)</x:f>
        <x:v>0</x:v>
      </x:c>
      <x:c r="M864" s="23" t="n">
        <x:f>IF(L864=1,1/(J864+0.000001),0)</x:f>
        <x:v>0</x:v>
      </x:c>
      <x:c r="N864" s="23" t="n">
        <x:v>2.750968186913923</x:v>
      </x:c>
      <x:c r="O864" s="23" t="n">
        <x:f>M864</x:f>
        <x:v>0</x:v>
      </x:c>
      <x:c r="P864" s="23" t="n">
        <x:v>16.027252394036623</x:v>
      </x:c>
      <x:c r="Q864" s="23" t="n">
        <x:v>4.8619514382047555</x:v>
      </x:c>
    </x:row>
    <x:row r="865">
      <x:c r="A865" s="23" t="str">
        <x:v>Switching</x:v>
      </x:c>
      <x:c r="B865" s="23" t="n">
        <x:v>1093.7361108255573</x:v>
      </x:c>
      <x:c r="C865" s="23" t="n">
        <x:v>1186.2224620534107</x:v>
      </x:c>
      <x:c r="D865" s="23" t="n">
        <x:v>440.5191604979336</x:v>
      </x:c>
      <x:c r="E865" s="23" t="n">
        <x:v>267.53438256680965</x:v>
      </x:c>
      <x:c r="F865" s="23" t="n">
        <x:v>27.989993060473353</x:v>
      </x:c>
      <x:c r="G865" s="23" t="n">
        <x:v>0.8357942539406941</x:v>
      </x:c>
      <x:c r="H865" s="23" t="n">
        <x:v>11290</x:v>
      </x:c>
      <x:c r="I865" s="23" t="n">
        <x:v>1195</x:v>
      </x:c>
      <x:c r="J865" s="23" t="n">
        <x:f>(IF(A865='Hybrid Calculator'!$B$6,0,1))^2+((B865-'Hybrid Calculator'!$B$7)/1500)^2+((C865-'Hybrid Calculator'!$B$8)/1300)^2+((D865-'Hybrid Calculator'!$B$9)/800)^2+((E865-'Hybrid Calculator'!$B$10)/350)^2+((F865-'Hybrid Calculator'!$B$11)/30)^2+(G865-'Hybrid Calculator'!$B$12)^2+((H865-'Hybrid Calculator'!$E$14)/IF(A865="Lightning",100,30000))^2+((I865-'Hybrid Calculator'!$E$17)/IF(A865="Lightning",100,30000))^2</x:f>
        <x:v>1.4761726344381592</x:v>
      </x:c>
      <x:c r="K865" s="23" t="n">
        <x:f>RANK(J865,$J$2:$J$1401,1)</x:f>
        <x:v>1171</x:v>
      </x:c>
      <x:c r="L865" s="23" t="n">
        <x:f>IF(K865&lt;=7,1,0)</x:f>
        <x:v>0</x:v>
      </x:c>
      <x:c r="M865" s="23" t="n">
        <x:f>IF(L865=1,1/(J865+0.000001),0)</x:f>
        <x:v>0</x:v>
      </x:c>
      <x:c r="N865" s="23" t="n">
        <x:v>0.18831533215970353</x:v>
      </x:c>
      <x:c r="O865" s="23" t="n">
        <x:f>M865</x:f>
        <x:v>0</x:v>
      </x:c>
      <x:c r="P865" s="23" t="n">
        <x:v>32.134608070913146</x:v>
      </x:c>
      <x:c r="Q865" s="23" t="n">
        <x:v>-12.254304878849553</x:v>
      </x:c>
    </x:row>
    <x:row r="866">
      <x:c r="A866" s="23" t="str">
        <x:v>Switching</x:v>
      </x:c>
      <x:c r="B866" s="23" t="n">
        <x:v>981.2697550514713</x:v>
      </x:c>
      <x:c r="C866" s="23" t="n">
        <x:v>922.5614001159556</x:v>
      </x:c>
      <x:c r="D866" s="23" t="n">
        <x:v>730.2905805408955</x:v>
      </x:c>
      <x:c r="E866" s="23" t="n">
        <x:v>125.6262644729577</x:v>
      </x:c>
      <x:c r="F866" s="23" t="n">
        <x:v>18.286218195222318</x:v>
      </x:c>
      <x:c r="G866" s="23" t="n">
        <x:v>0.8489746749191546</x:v>
      </x:c>
      <x:c r="H866" s="23" t="n">
        <x:v>14030</x:v>
      </x:c>
      <x:c r="I866" s="23" t="n">
        <x:v>1200</x:v>
      </x:c>
      <x:c r="J866" s="23" t="n">
        <x:f>(IF(A866='Hybrid Calculator'!$B$6,0,1))^2+((B866-'Hybrid Calculator'!$B$7)/1500)^2+((C866-'Hybrid Calculator'!$B$8)/1300)^2+((D866-'Hybrid Calculator'!$B$9)/800)^2+((E866-'Hybrid Calculator'!$B$10)/350)^2+((F866-'Hybrid Calculator'!$B$11)/30)^2+(G866-'Hybrid Calculator'!$B$12)^2+((H866-'Hybrid Calculator'!$E$14)/IF(A866="Lightning",100,30000))^2+((I866-'Hybrid Calculator'!$E$17)/IF(A866="Lightning",100,30000))^2</x:f>
        <x:v>1.3979202477528392</x:v>
      </x:c>
      <x:c r="K866" s="23" t="n">
        <x:f>RANK(J866,$J$2:$J$1401,1)</x:f>
        <x:v>969</x:v>
      </x:c>
      <x:c r="L866" s="23" t="n">
        <x:f>IF(K866&lt;=7,1,0)</x:f>
        <x:v>0</x:v>
      </x:c>
      <x:c r="M866" s="23" t="n">
        <x:f>IF(L866=1,1/(J866+0.000001),0)</x:f>
        <x:v>0</x:v>
      </x:c>
      <x:c r="N866" s="23" t="n">
        <x:v>3.0000086787458997</x:v>
      </x:c>
      <x:c r="O866" s="23" t="n">
        <x:f>M866</x:f>
        <x:v>0</x:v>
      </x:c>
      <x:c r="P866" s="23" t="n">
        <x:v>9.1986984145924</x:v>
      </x:c>
      <x:c r="Q866" s="23" t="n">
        <x:v>2.5619732604960745</x:v>
      </x:c>
    </x:row>
    <x:row r="867">
      <x:c r="A867" s="23" t="str">
        <x:v>Switching</x:v>
      </x:c>
      <x:c r="B867" s="23" t="n">
        <x:v>1037.9561632755212</x:v>
      </x:c>
      <x:c r="C867" s="23" t="n">
        <x:v>678.374326042831</x:v>
      </x:c>
      <x:c r="D867" s="23" t="n">
        <x:v>675.2311541698873</x:v>
      </x:c>
      <x:c r="E867" s="23" t="n">
        <x:v>255.82613800186664</x:v>
      </x:c>
      <x:c r="F867" s="23" t="n">
        <x:v>13.400960424449295</x:v>
      </x:c>
      <x:c r="G867" s="23" t="n">
        <x:v>0.7990490968432278</x:v>
      </x:c>
      <x:c r="H867" s="23" t="n">
        <x:v>13290</x:v>
      </x:c>
      <x:c r="I867" s="23" t="n">
        <x:v>1200</x:v>
      </x:c>
      <x:c r="J867" s="23" t="n">
        <x:f>(IF(A867='Hybrid Calculator'!$B$6,0,1))^2+((B867-'Hybrid Calculator'!$B$7)/1500)^2+((C867-'Hybrid Calculator'!$B$8)/1300)^2+((D867-'Hybrid Calculator'!$B$9)/800)^2+((E867-'Hybrid Calculator'!$B$10)/350)^2+((F867-'Hybrid Calculator'!$B$11)/30)^2+(G867-'Hybrid Calculator'!$B$12)^2+((H867-'Hybrid Calculator'!$E$14)/IF(A867="Lightning",100,30000))^2+((I867-'Hybrid Calculator'!$E$17)/IF(A867="Lightning",100,30000))^2</x:f>
        <x:v>1.4490453567723867</x:v>
      </x:c>
      <x:c r="K867" s="23" t="n">
        <x:f>RANK(J867,$J$2:$J$1401,1)</x:f>
        <x:v>1106</x:v>
      </x:c>
      <x:c r="L867" s="23" t="n">
        <x:f>IF(K867&lt;=7,1,0)</x:f>
        <x:v>0</x:v>
      </x:c>
      <x:c r="M867" s="23" t="n">
        <x:f>IF(L867=1,1/(J867+0.000001),0)</x:f>
        <x:v>0</x:v>
      </x:c>
      <x:c r="N867" s="23" t="n">
        <x:v>-1.3850651290665041</x:v>
      </x:c>
      <x:c r="O867" s="23" t="n">
        <x:f>M867</x:f>
        <x:v>0</x:v>
      </x:c>
      <x:c r="P867" s="23" t="n">
        <x:v>-20.028311154916082</x:v>
      </x:c>
      <x:c r="Q867" s="23" t="n">
        <x:v>6.009564351392555</x:v>
      </x:c>
    </x:row>
    <x:row r="868">
      <x:c r="A868" s="23" t="str">
        <x:v>Switching</x:v>
      </x:c>
      <x:c r="B868" s="23" t="n">
        <x:v>1083.3955288864672</x:v>
      </x:c>
      <x:c r="C868" s="23" t="n">
        <x:v>721.8964186846279</x:v>
      </x:c>
      <x:c r="D868" s="23" t="n">
        <x:v>559.0801307931542</x:v>
      </x:c>
      <x:c r="E868" s="23" t="n">
        <x:v>329.45979012409225</x:v>
      </x:c>
      <x:c r="F868" s="23" t="n">
        <x:v>18.223250212147832</x:v>
      </x:c>
      <x:c r="G868" s="23" t="n">
        <x:v>0.8369409524579533</x:v>
      </x:c>
      <x:c r="H868" s="23" t="n">
        <x:v>13280</x:v>
      </x:c>
      <x:c r="I868" s="23" t="n">
        <x:v>1200</x:v>
      </x:c>
      <x:c r="J868" s="23" t="n">
        <x:f>(IF(A868='Hybrid Calculator'!$B$6,0,1))^2+((B868-'Hybrid Calculator'!$B$7)/1500)^2+((C868-'Hybrid Calculator'!$B$8)/1300)^2+((D868-'Hybrid Calculator'!$B$9)/800)^2+((E868-'Hybrid Calculator'!$B$10)/350)^2+((F868-'Hybrid Calculator'!$B$11)/30)^2+(G868-'Hybrid Calculator'!$B$12)^2+((H868-'Hybrid Calculator'!$E$14)/IF(A868="Lightning",100,30000))^2+((I868-'Hybrid Calculator'!$E$17)/IF(A868="Lightning",100,30000))^2</x:f>
        <x:v>1.5263197934914094</x:v>
      </x:c>
      <x:c r="K868" s="23" t="n">
        <x:f>RANK(J868,$J$2:$J$1401,1)</x:f>
        <x:v>1258</x:v>
      </x:c>
      <x:c r="L868" s="23" t="n">
        <x:f>IF(K868&lt;=7,1,0)</x:f>
        <x:v>0</x:v>
      </x:c>
      <x:c r="M868" s="23" t="n">
        <x:f>IF(L868=1,1/(J868+0.000001),0)</x:f>
        <x:v>0</x:v>
      </x:c>
      <x:c r="N868" s="23" t="n">
        <x:v>1.9627852598653703</x:v>
      </x:c>
      <x:c r="O868" s="23" t="n">
        <x:f>M868</x:f>
        <x:v>0</x:v>
      </x:c>
      <x:c r="P868" s="23" t="n">
        <x:v>-11.13535945990543</x:v>
      </x:c>
      <x:c r="Q868" s="23" t="n">
        <x:v>3.8391034646704156</x:v>
      </x:c>
    </x:row>
    <x:row r="869">
      <x:c r="A869" s="23" t="str">
        <x:v>Switching</x:v>
      </x:c>
      <x:c r="B869" s="23" t="n">
        <x:v>981.163722614292</x:v>
      </x:c>
      <x:c r="C869" s="23" t="n">
        <x:v>1166.7772517772391</x:v>
      </x:c>
      <x:c r="D869" s="23" t="n">
        <x:v>662.8976562060416</x:v>
      </x:c>
      <x:c r="E869" s="23" t="n">
        <x:v>121.01471905596554</x:v>
      </x:c>
      <x:c r="F869" s="23" t="n">
        <x:v>15.414318934548646</x:v>
      </x:c>
      <x:c r="G869" s="23" t="n">
        <x:v>0.8104209885979071</x:v>
      </x:c>
      <x:c r="H869" s="23" t="n">
        <x:v>10965</x:v>
      </x:c>
      <x:c r="I869" s="23" t="n">
        <x:v>1195</x:v>
      </x:c>
      <x:c r="J869" s="23" t="n">
        <x:f>(IF(A869='Hybrid Calculator'!$B$6,0,1))^2+((B869-'Hybrid Calculator'!$B$7)/1500)^2+((C869-'Hybrid Calculator'!$B$8)/1300)^2+((D869-'Hybrid Calculator'!$B$9)/800)^2+((E869-'Hybrid Calculator'!$B$10)/350)^2+((F869-'Hybrid Calculator'!$B$11)/30)^2+(G869-'Hybrid Calculator'!$B$12)^2+((H869-'Hybrid Calculator'!$E$14)/IF(A869="Lightning",100,30000))^2+((I869-'Hybrid Calculator'!$E$17)/IF(A869="Lightning",100,30000))^2</x:f>
        <x:v>1.3398159109354157</x:v>
      </x:c>
      <x:c r="K869" s="23" t="n">
        <x:f>RANK(J869,$J$2:$J$1401,1)</x:f>
        <x:v>800</x:v>
      </x:c>
      <x:c r="L869" s="23" t="n">
        <x:f>IF(K869&lt;=7,1,0)</x:f>
        <x:v>0</x:v>
      </x:c>
      <x:c r="M869" s="23" t="n">
        <x:f>IF(L869=1,1/(J869+0.000001),0)</x:f>
        <x:v>0</x:v>
      </x:c>
      <x:c r="N869" s="23" t="n">
        <x:v>2.363413923296889</x:v>
      </x:c>
      <x:c r="O869" s="23" t="n">
        <x:f>M869</x:f>
        <x:v>0</x:v>
      </x:c>
      <x:c r="P869" s="23" t="n">
        <x:v>11.924075207506576</x:v>
      </x:c>
      <x:c r="Q869" s="23" t="n">
        <x:v>0.39497428029483217</x:v>
      </x:c>
    </x:row>
    <x:row r="870">
      <x:c r="A870" s="23" t="str">
        <x:v>Switching</x:v>
      </x:c>
      <x:c r="B870" s="23" t="n">
        <x:v>1084.6837393939495</x:v>
      </x:c>
      <x:c r="C870" s="23" t="n">
        <x:v>759.1412755078636</x:v>
      </x:c>
      <x:c r="D870" s="23" t="n">
        <x:v>525.4208670929074</x:v>
      </x:c>
      <x:c r="E870" s="23" t="n">
        <x:v>150.7656317972578</x:v>
      </x:c>
      <x:c r="F870" s="23" t="n">
        <x:v>27.56102049164474</x:v>
      </x:c>
      <x:c r="G870" s="23" t="n">
        <x:v>0.8244506602478214</x:v>
      </x:c>
      <x:c r="H870" s="23" t="n">
        <x:v>14900</x:v>
      </x:c>
      <x:c r="I870" s="23" t="n">
        <x:v>1200</x:v>
      </x:c>
      <x:c r="J870" s="23" t="n">
        <x:f>(IF(A870='Hybrid Calculator'!$B$6,0,1))^2+((B870-'Hybrid Calculator'!$B$7)/1500)^2+((C870-'Hybrid Calculator'!$B$8)/1300)^2+((D870-'Hybrid Calculator'!$B$9)/800)^2+((E870-'Hybrid Calculator'!$B$10)/350)^2+((F870-'Hybrid Calculator'!$B$11)/30)^2+(G870-'Hybrid Calculator'!$B$12)^2+((H870-'Hybrid Calculator'!$E$14)/IF(A870="Lightning",100,30000))^2+((I870-'Hybrid Calculator'!$E$17)/IF(A870="Lightning",100,30000))^2</x:f>
        <x:v>1.3951760886961413</x:v>
      </x:c>
      <x:c r="K870" s="23" t="n">
        <x:f>RANK(J870,$J$2:$J$1401,1)</x:f>
        <x:v>962</x:v>
      </x:c>
      <x:c r="L870" s="23" t="n">
        <x:f>IF(K870&lt;=7,1,0)</x:f>
        <x:v>0</x:v>
      </x:c>
      <x:c r="M870" s="23" t="n">
        <x:f>IF(L870=1,1/(J870+0.000001),0)</x:f>
        <x:v>0</x:v>
      </x:c>
      <x:c r="N870" s="23" t="n">
        <x:v>-5.215176970266413</x:v>
      </x:c>
      <x:c r="O870" s="23" t="n">
        <x:f>M870</x:f>
        <x:v>0</x:v>
      </x:c>
      <x:c r="P870" s="23" t="n">
        <x:v>-22.427434096289744</x:v>
      </x:c>
      <x:c r="Q870" s="23" t="n">
        <x:v>-5.81932826166053</x:v>
      </x:c>
    </x:row>
    <x:row r="871">
      <x:c r="A871" s="23" t="str">
        <x:v>Switching</x:v>
      </x:c>
      <x:c r="B871" s="23" t="n">
        <x:v>963.0581303150393</x:v>
      </x:c>
      <x:c r="C871" s="23" t="n">
        <x:v>685.6822924921289</x:v>
      </x:c>
      <x:c r="D871" s="23" t="n">
        <x:v>393.91054967418313</x:v>
      </x:c>
      <x:c r="E871" s="23" t="n">
        <x:v>268.8272555079311</x:v>
      </x:c>
      <x:c r="F871" s="23" t="n">
        <x:v>29.69123723777011</x:v>
      </x:c>
      <x:c r="G871" s="23" t="n">
        <x:v>0.8022713013039903</x:v>
      </x:c>
      <x:c r="H871" s="23" t="n">
        <x:v>15860</x:v>
      </x:c>
      <x:c r="I871" s="23" t="n">
        <x:v>1200</x:v>
      </x:c>
      <x:c r="J871" s="23" t="n">
        <x:f>(IF(A871='Hybrid Calculator'!$B$6,0,1))^2+((B871-'Hybrid Calculator'!$B$7)/1500)^2+((C871-'Hybrid Calculator'!$B$8)/1300)^2+((D871-'Hybrid Calculator'!$B$9)/800)^2+((E871-'Hybrid Calculator'!$B$10)/350)^2+((F871-'Hybrid Calculator'!$B$11)/30)^2+(G871-'Hybrid Calculator'!$B$12)^2+((H871-'Hybrid Calculator'!$E$14)/IF(A871="Lightning",100,30000))^2+((I871-'Hybrid Calculator'!$E$17)/IF(A871="Lightning",100,30000))^2</x:f>
        <x:v>1.6624042643854495</x:v>
      </x:c>
      <x:c r="K871" s="23" t="n">
        <x:f>RANK(J871,$J$2:$J$1401,1)</x:f>
        <x:v>1385</x:v>
      </x:c>
      <x:c r="L871" s="23" t="n">
        <x:f>IF(K871&lt;=7,1,0)</x:f>
        <x:v>0</x:v>
      </x:c>
      <x:c r="M871" s="23" t="n">
        <x:f>IF(L871=1,1/(J871+0.000001),0)</x:f>
        <x:v>0</x:v>
      </x:c>
      <x:c r="N871" s="23" t="n">
        <x:v>-1.9686486550693587</x:v>
      </x:c>
      <x:c r="O871" s="23" t="n">
        <x:f>M871</x:f>
        <x:v>0</x:v>
      </x:c>
      <x:c r="P871" s="23" t="n">
        <x:v>-30.636872456567744</x:v>
      </x:c>
      <x:c r="Q871" s="23" t="n">
        <x:v>-4.832427499445544</x:v>
      </x:c>
    </x:row>
    <x:row r="872">
      <x:c r="A872" s="23" t="str">
        <x:v>Switching</x:v>
      </x:c>
      <x:c r="B872" s="23" t="n">
        <x:v>1008.3707087440416</x:v>
      </x:c>
      <x:c r="C872" s="23" t="n">
        <x:v>770.6569444970228</x:v>
      </x:c>
      <x:c r="D872" s="23" t="n">
        <x:v>690.9126702696085</x:v>
      </x:c>
      <x:c r="E872" s="23" t="n">
        <x:v>178.06731826392934</x:v>
      </x:c>
      <x:c r="F872" s="23" t="n">
        <x:v>13.451622896827757</x:v>
      </x:c>
      <x:c r="G872" s="23" t="n">
        <x:v>0.8084413015353493</x:v>
      </x:c>
      <x:c r="H872" s="23" t="n">
        <x:v>13045</x:v>
      </x:c>
      <x:c r="I872" s="23" t="n">
        <x:v>1200</x:v>
      </x:c>
      <x:c r="J872" s="23" t="n">
        <x:f>(IF(A872='Hybrid Calculator'!$B$6,0,1))^2+((B872-'Hybrid Calculator'!$B$7)/1500)^2+((C872-'Hybrid Calculator'!$B$8)/1300)^2+((D872-'Hybrid Calculator'!$B$9)/800)^2+((E872-'Hybrid Calculator'!$B$10)/350)^2+((F872-'Hybrid Calculator'!$B$11)/30)^2+(G872-'Hybrid Calculator'!$B$12)^2+((H872-'Hybrid Calculator'!$E$14)/IF(A872="Lightning",100,30000))^2+((I872-'Hybrid Calculator'!$E$17)/IF(A872="Lightning",100,30000))^2</x:f>
        <x:v>1.3618708478622905</x:v>
      </x:c>
      <x:c r="K872" s="23" t="n">
        <x:f>RANK(J872,$J$2:$J$1401,1)</x:f>
        <x:v>860</x:v>
      </x:c>
      <x:c r="L872" s="23" t="n">
        <x:f>IF(K872&lt;=7,1,0)</x:f>
        <x:v>0</x:v>
      </x:c>
      <x:c r="M872" s="23" t="n">
        <x:f>IF(L872=1,1/(J872+0.000001),0)</x:f>
        <x:v>0</x:v>
      </x:c>
      <x:c r="N872" s="23" t="n">
        <x:v>2.1578586548113208</x:v>
      </x:c>
      <x:c r="O872" s="23" t="n">
        <x:f>M872</x:f>
        <x:v>0</x:v>
      </x:c>
      <x:c r="P872" s="23" t="n">
        <x:v>-9.493504473344274</x:v>
      </x:c>
      <x:c r="Q872" s="23" t="n">
        <x:v>3.2861926335896214</x:v>
      </x:c>
    </x:row>
    <x:row r="873">
      <x:c r="A873" s="23" t="str">
        <x:v>Switching</x:v>
      </x:c>
      <x:c r="B873" s="23" t="n">
        <x:v>958.1258997670375</x:v>
      </x:c>
      <x:c r="C873" s="23" t="n">
        <x:v>1244.453003956005</x:v>
      </x:c>
      <x:c r="D873" s="23" t="n">
        <x:v>528.3717240206897</x:v>
      </x:c>
      <x:c r="E873" s="23" t="n">
        <x:v>260.22045481484383</x:v>
      </x:c>
      <x:c r="F873" s="23" t="n">
        <x:v>9.017955060582608</x:v>
      </x:c>
      <x:c r="G873" s="23" t="n">
        <x:v>0.8563113553076983</x:v>
      </x:c>
      <x:c r="H873" s="23" t="n">
        <x:v>12270</x:v>
      </x:c>
      <x:c r="I873" s="23" t="n">
        <x:v>1200</x:v>
      </x:c>
      <x:c r="J873" s="23" t="n">
        <x:f>(IF(A873='Hybrid Calculator'!$B$6,0,1))^2+((B873-'Hybrid Calculator'!$B$7)/1500)^2+((C873-'Hybrid Calculator'!$B$8)/1300)^2+((D873-'Hybrid Calculator'!$B$9)/800)^2+((E873-'Hybrid Calculator'!$B$10)/350)^2+((F873-'Hybrid Calculator'!$B$11)/30)^2+(G873-'Hybrid Calculator'!$B$12)^2+((H873-'Hybrid Calculator'!$E$14)/IF(A873="Lightning",100,30000))^2+((I873-'Hybrid Calculator'!$E$17)/IF(A873="Lightning",100,30000))^2</x:f>
        <x:v>1.5580447939713957</x:v>
      </x:c>
      <x:c r="K873" s="23" t="n">
        <x:f>RANK(J873,$J$2:$J$1401,1)</x:f>
        <x:v>1313</x:v>
      </x:c>
      <x:c r="L873" s="23" t="n">
        <x:f>IF(K873&lt;=7,1,0)</x:f>
        <x:v>0</x:v>
      </x:c>
      <x:c r="M873" s="23" t="n">
        <x:f>IF(L873=1,1/(J873+0.000001),0)</x:f>
        <x:v>0</x:v>
      </x:c>
      <x:c r="N873" s="23" t="n">
        <x:v>1.8916542917132233</x:v>
      </x:c>
      <x:c r="O873" s="23" t="n">
        <x:f>M873</x:f>
        <x:v>0</x:v>
      </x:c>
      <x:c r="P873" s="23" t="n">
        <x:v>6.968741482402038</x:v>
      </x:c>
      <x:c r="Q873" s="23" t="n">
        <x:v>2.2787772315441543</x:v>
      </x:c>
    </x:row>
    <x:row r="874">
      <x:c r="A874" s="23" t="str">
        <x:v>Switching</x:v>
      </x:c>
      <x:c r="B874" s="23" t="n">
        <x:v>1036.1633456777781</x:v>
      </x:c>
      <x:c r="C874" s="23" t="n">
        <x:v>939.6228314260952</x:v>
      </x:c>
      <x:c r="D874" s="23" t="n">
        <x:v>748.1068944558501</x:v>
      </x:c>
      <x:c r="E874" s="23" t="n">
        <x:v>188.0758206662722</x:v>
      </x:c>
      <x:c r="F874" s="23" t="n">
        <x:v>26.86821375414729</x:v>
      </x:c>
      <x:c r="G874" s="23" t="n">
        <x:v>0.8303856008895674</x:v>
      </x:c>
      <x:c r="H874" s="23" t="n">
        <x:v>11400</x:v>
      </x:c>
      <x:c r="I874" s="23" t="n">
        <x:v>1195</x:v>
      </x:c>
      <x:c r="J874" s="23" t="n">
        <x:f>(IF(A874='Hybrid Calculator'!$B$6,0,1))^2+((B874-'Hybrid Calculator'!$B$7)/1500)^2+((C874-'Hybrid Calculator'!$B$8)/1300)^2+((D874-'Hybrid Calculator'!$B$9)/800)^2+((E874-'Hybrid Calculator'!$B$10)/350)^2+((F874-'Hybrid Calculator'!$B$11)/30)^2+(G874-'Hybrid Calculator'!$B$12)^2+((H874-'Hybrid Calculator'!$E$14)/IF(A874="Lightning",100,30000))^2+((I874-'Hybrid Calculator'!$E$17)/IF(A874="Lightning",100,30000))^2</x:f>
        <x:v>1.4025405741510857</x:v>
      </x:c>
      <x:c r="K874" s="23" t="n">
        <x:f>RANK(J874,$J$2:$J$1401,1)</x:f>
        <x:v>982</x:v>
      </x:c>
      <x:c r="L874" s="23" t="n">
        <x:f>IF(K874&lt;=7,1,0)</x:f>
        <x:v>0</x:v>
      </x:c>
      <x:c r="M874" s="23" t="n">
        <x:f>IF(L874=1,1/(J874+0.000001),0)</x:f>
        <x:v>0</x:v>
      </x:c>
      <x:c r="N874" s="23" t="n">
        <x:v>0.2948932680595817</x:v>
      </x:c>
      <x:c r="O874" s="23" t="n">
        <x:f>M874</x:f>
        <x:v>0</x:v>
      </x:c>
      <x:c r="P874" s="23" t="n">
        <x:v>29.15874471934285</x:v>
      </x:c>
      <x:c r="Q874" s="23" t="n">
        <x:v>-13.766699089278177</x:v>
      </x:c>
    </x:row>
    <x:row r="875">
      <x:c r="A875" s="23" t="str">
        <x:v>Switching</x:v>
      </x:c>
      <x:c r="B875" s="23" t="n">
        <x:v>971.024257701356</x:v>
      </x:c>
      <x:c r="C875" s="23" t="n">
        <x:v>1197.8290303377435</x:v>
      </x:c>
      <x:c r="D875" s="23" t="n">
        <x:v>516.2566860206425</x:v>
      </x:c>
      <x:c r="E875" s="23" t="n">
        <x:v>145.45356195420027</x:v>
      </x:c>
      <x:c r="F875" s="23" t="n">
        <x:v>21.132135140243918</x:v>
      </x:c>
      <x:c r="G875" s="23" t="n">
        <x:v>0.8295748497126625</x:v>
      </x:c>
      <x:c r="H875" s="23" t="n">
        <x:v>13415</x:v>
      </x:c>
      <x:c r="I875" s="23" t="n">
        <x:v>1200</x:v>
      </x:c>
      <x:c r="J875" s="23" t="n">
        <x:f>(IF(A875='Hybrid Calculator'!$B$6,0,1))^2+((B875-'Hybrid Calculator'!$B$7)/1500)^2+((C875-'Hybrid Calculator'!$B$8)/1300)^2+((D875-'Hybrid Calculator'!$B$9)/800)^2+((E875-'Hybrid Calculator'!$B$10)/350)^2+((F875-'Hybrid Calculator'!$B$11)/30)^2+(G875-'Hybrid Calculator'!$B$12)^2+((H875-'Hybrid Calculator'!$E$14)/IF(A875="Lightning",100,30000))^2+((I875-'Hybrid Calculator'!$E$17)/IF(A875="Lightning",100,30000))^2</x:f>
        <x:v>1.3715616562568194</x:v>
      </x:c>
      <x:c r="K875" s="23" t="n">
        <x:f>RANK(J875,$J$2:$J$1401,1)</x:f>
        <x:v>894</x:v>
      </x:c>
      <x:c r="L875" s="23" t="n">
        <x:f>IF(K875&lt;=7,1,0)</x:f>
        <x:v>0</x:v>
      </x:c>
      <x:c r="M875" s="23" t="n">
        <x:f>IF(L875=1,1/(J875+0.000001),0)</x:f>
        <x:v>0</x:v>
      </x:c>
      <x:c r="N875" s="23" t="n">
        <x:v>2.3544113681410295</x:v>
      </x:c>
      <x:c r="O875" s="23" t="n">
        <x:f>M875</x:f>
        <x:v>0</x:v>
      </x:c>
      <x:c r="P875" s="23" t="n">
        <x:v>6.842855091470938</x:v>
      </x:c>
      <x:c r="Q875" s="23" t="n">
        <x:v>-6.132897729263391</x:v>
      </x:c>
    </x:row>
    <x:row r="876">
      <x:c r="A876" s="23" t="str">
        <x:v>Switching</x:v>
      </x:c>
      <x:c r="B876" s="23" t="n">
        <x:v>969.35306082014</x:v>
      </x:c>
      <x:c r="C876" s="23" t="n">
        <x:v>1202.21130392747</x:v>
      </x:c>
      <x:c r="D876" s="23" t="n">
        <x:v>580.2240334451199</x:v>
      </x:c>
      <x:c r="E876" s="23" t="n">
        <x:v>176.0608920431696</x:v>
      </x:c>
      <x:c r="F876" s="23" t="n">
        <x:v>13.750373206101358</x:v>
      </x:c>
      <x:c r="G876" s="23" t="n">
        <x:v>0.8445821222080849</x:v>
      </x:c>
      <x:c r="H876" s="23" t="n">
        <x:v>12740</x:v>
      </x:c>
      <x:c r="I876" s="23" t="n">
        <x:v>1200</x:v>
      </x:c>
      <x:c r="J876" s="23" t="n">
        <x:f>(IF(A876='Hybrid Calculator'!$B$6,0,1))^2+((B876-'Hybrid Calculator'!$B$7)/1500)^2+((C876-'Hybrid Calculator'!$B$8)/1300)^2+((D876-'Hybrid Calculator'!$B$9)/800)^2+((E876-'Hybrid Calculator'!$B$10)/350)^2+((F876-'Hybrid Calculator'!$B$11)/30)^2+(G876-'Hybrid Calculator'!$B$12)^2+((H876-'Hybrid Calculator'!$E$14)/IF(A876="Lightning",100,30000))^2+((I876-'Hybrid Calculator'!$E$17)/IF(A876="Lightning",100,30000))^2</x:f>
        <x:v>1.387410119459519</x:v>
      </x:c>
      <x:c r="K876" s="23" t="n">
        <x:f>RANK(J876,$J$2:$J$1401,1)</x:f>
        <x:v>939</x:v>
      </x:c>
      <x:c r="L876" s="23" t="n">
        <x:f>IF(K876&lt;=7,1,0)</x:f>
        <x:v>0</x:v>
      </x:c>
      <x:c r="M876" s="23" t="n">
        <x:f>IF(L876=1,1/(J876+0.000001),0)</x:f>
        <x:v>0</x:v>
      </x:c>
      <x:c r="N876" s="23" t="n">
        <x:v>3.6468857700114654</x:v>
      </x:c>
      <x:c r="O876" s="23" t="n">
        <x:f>M876</x:f>
        <x:v>0</x:v>
      </x:c>
      <x:c r="P876" s="23" t="n">
        <x:v>5.766892874459245</x:v>
      </x:c>
      <x:c r="Q876" s="23" t="n">
        <x:v>-5.427359874634135</x:v>
      </x:c>
    </x:row>
    <x:row r="877">
      <x:c r="A877" s="23" t="str">
        <x:v>Switching</x:v>
      </x:c>
      <x:c r="B877" s="23" t="n">
        <x:v>1067.9273282992654</x:v>
      </x:c>
      <x:c r="C877" s="23" t="n">
        <x:v>693.3726325631142</x:v>
      </x:c>
      <x:c r="D877" s="23" t="n">
        <x:v>586.714646127075</x:v>
      </x:c>
      <x:c r="E877" s="23" t="n">
        <x:v>292.98241161275655</x:v>
      </x:c>
      <x:c r="F877" s="23" t="n">
        <x:v>17.478191079106182</x:v>
      </x:c>
      <x:c r="G877" s="23" t="n">
        <x:v>0.8129073237907142</x:v>
      </x:c>
      <x:c r="H877" s="23" t="n">
        <x:v>13595</x:v>
      </x:c>
      <x:c r="I877" s="23" t="n">
        <x:v>1200</x:v>
      </x:c>
      <x:c r="J877" s="23" t="n">
        <x:f>(IF(A877='Hybrid Calculator'!$B$6,0,1))^2+((B877-'Hybrid Calculator'!$B$7)/1500)^2+((C877-'Hybrid Calculator'!$B$8)/1300)^2+((D877-'Hybrid Calculator'!$B$9)/800)^2+((E877-'Hybrid Calculator'!$B$10)/350)^2+((F877-'Hybrid Calculator'!$B$11)/30)^2+(G877-'Hybrid Calculator'!$B$12)^2+((H877-'Hybrid Calculator'!$E$14)/IF(A877="Lightning",100,30000))^2+((I877-'Hybrid Calculator'!$E$17)/IF(A877="Lightning",100,30000))^2</x:f>
        <x:v>1.4564184661797894</x:v>
      </x:c>
      <x:c r="K877" s="23" t="n">
        <x:f>RANK(J877,$J$2:$J$1401,1)</x:f>
        <x:v>1120</x:v>
      </x:c>
      <x:c r="L877" s="23" t="n">
        <x:f>IF(K877&lt;=7,1,0)</x:f>
        <x:v>0</x:v>
      </x:c>
      <x:c r="M877" s="23" t="n">
        <x:f>IF(L877=1,1/(J877+0.000001),0)</x:f>
        <x:v>0</x:v>
      </x:c>
      <x:c r="N877" s="23" t="n">
        <x:v>2.30724267001429</x:v>
      </x:c>
      <x:c r="O877" s="23" t="n">
        <x:f>M877</x:f>
        <x:v>0</x:v>
      </x:c>
      <x:c r="P877" s="23" t="n">
        <x:v>-13.819361822810151</x:v>
      </x:c>
      <x:c r="Q877" s="23" t="n">
        <x:v>-0.14239210721143536</x:v>
      </x:c>
    </x:row>
    <x:row r="878">
      <x:c r="A878" s="23" t="str">
        <x:v>Switching</x:v>
      </x:c>
      <x:c r="B878" s="23" t="n">
        <x:v>1095.2574445866048</x:v>
      </x:c>
      <x:c r="C878" s="23" t="n">
        <x:v>1177.8964287950657</x:v>
      </x:c>
      <x:c r="D878" s="23" t="n">
        <x:v>692.5134086981416</x:v>
      </x:c>
      <x:c r="E878" s="23" t="n">
        <x:v>221.2752895266749</x:v>
      </x:c>
      <x:c r="F878" s="23" t="n">
        <x:v>13.307841593399644</x:v>
      </x:c>
      <x:c r="G878" s="23" t="n">
        <x:v>0.8416146557335742</x:v>
      </x:c>
      <x:c r="H878" s="23" t="n">
        <x:v>10225</x:v>
      </x:c>
      <x:c r="I878" s="23" t="n">
        <x:v>1195</x:v>
      </x:c>
      <x:c r="J878" s="23" t="n">
        <x:f>(IF(A878='Hybrid Calculator'!$B$6,0,1))^2+((B878-'Hybrid Calculator'!$B$7)/1500)^2+((C878-'Hybrid Calculator'!$B$8)/1300)^2+((D878-'Hybrid Calculator'!$B$9)/800)^2+((E878-'Hybrid Calculator'!$B$10)/350)^2+((F878-'Hybrid Calculator'!$B$11)/30)^2+(G878-'Hybrid Calculator'!$B$12)^2+((H878-'Hybrid Calculator'!$E$14)/IF(A878="Lightning",100,30000))^2+((I878-'Hybrid Calculator'!$E$17)/IF(A878="Lightning",100,30000))^2</x:f>
        <x:v>1.3582988147115589</x:v>
      </x:c>
      <x:c r="K878" s="23" t="n">
        <x:f>RANK(J878,$J$2:$J$1401,1)</x:f>
        <x:v>851</x:v>
      </x:c>
      <x:c r="L878" s="23" t="n">
        <x:f>IF(K878&lt;=7,1,0)</x:f>
        <x:v>0</x:v>
      </x:c>
      <x:c r="M878" s="23" t="n">
        <x:f>IF(L878=1,1/(J878+0.000001),0)</x:f>
        <x:v>0</x:v>
      </x:c>
      <x:c r="N878" s="23" t="n">
        <x:v>3.1870520064935306</x:v>
      </x:c>
      <x:c r="O878" s="23" t="n">
        <x:f>M878</x:f>
        <x:v>0</x:v>
      </x:c>
      <x:c r="P878" s="23" t="n">
        <x:v>69.30136897548255</x:v>
      </x:c>
      <x:c r="Q878" s="23" t="n">
        <x:v>-0.8166062081941163</x:v>
      </x:c>
    </x:row>
    <x:row r="879">
      <x:c r="A879" s="23" t="str">
        <x:v>Switching</x:v>
      </x:c>
      <x:c r="B879" s="23" t="n">
        <x:v>1024.3236178182997</x:v>
      </x:c>
      <x:c r="C879" s="23" t="n">
        <x:v>623.223205213435</x:v>
      </x:c>
      <x:c r="D879" s="23" t="n">
        <x:v>509.44743091240525</x:v>
      </x:c>
      <x:c r="E879" s="23" t="n">
        <x:v>285.85416280664504</x:v>
      </x:c>
      <x:c r="F879" s="23" t="n">
        <x:v>26.42391971545294</x:v>
      </x:c>
      <x:c r="G879" s="23" t="n">
        <x:v>0.8032295536110178</x:v>
      </x:c>
      <x:c r="H879" s="23" t="n">
        <x:v>15075</x:v>
      </x:c>
      <x:c r="I879" s="23" t="n">
        <x:v>1200</x:v>
      </x:c>
      <x:c r="J879" s="23" t="n">
        <x:f>(IF(A879='Hybrid Calculator'!$B$6,0,1))^2+((B879-'Hybrid Calculator'!$B$7)/1500)^2+((C879-'Hybrid Calculator'!$B$8)/1300)^2+((D879-'Hybrid Calculator'!$B$9)/800)^2+((E879-'Hybrid Calculator'!$B$10)/350)^2+((F879-'Hybrid Calculator'!$B$11)/30)^2+(G879-'Hybrid Calculator'!$B$12)^2+((H879-'Hybrid Calculator'!$E$14)/IF(A879="Lightning",100,30000))^2+((I879-'Hybrid Calculator'!$E$17)/IF(A879="Lightning",100,30000))^2</x:f>
        <x:v>1.5750002836872539</x:v>
      </x:c>
      <x:c r="K879" s="23" t="n">
        <x:f>RANK(J879,$J$2:$J$1401,1)</x:f>
        <x:v>1331</x:v>
      </x:c>
      <x:c r="L879" s="23" t="n">
        <x:f>IF(K879&lt;=7,1,0)</x:f>
        <x:v>0</x:v>
      </x:c>
      <x:c r="M879" s="23" t="n">
        <x:f>IF(L879=1,1/(J879+0.000001),0)</x:f>
        <x:v>0</x:v>
      </x:c>
      <x:c r="N879" s="23" t="n">
        <x:v>-0.3143899327025679</x:v>
      </x:c>
      <x:c r="O879" s="23" t="n">
        <x:f>M879</x:f>
        <x:v>0</x:v>
      </x:c>
      <x:c r="P879" s="23" t="n">
        <x:v>-50.78483095261572</x:v>
      </x:c>
      <x:c r="Q879" s="23" t="n">
        <x:v>0.4146405813039564</x:v>
      </x:c>
    </x:row>
    <x:row r="880">
      <x:c r="A880" s="23" t="str">
        <x:v>Switching</x:v>
      </x:c>
      <x:c r="B880" s="23" t="n">
        <x:v>970.654086000286</x:v>
      </x:c>
      <x:c r="C880" s="23" t="n">
        <x:v>720.9425622248091</x:v>
      </x:c>
      <x:c r="D880" s="23" t="n">
        <x:v>701.8962662667036</x:v>
      </x:c>
      <x:c r="E880" s="23" t="n">
        <x:v>221.89673372311518</x:v>
      </x:c>
      <x:c r="F880" s="23" t="n">
        <x:v>27.335136611945927</x:v>
      </x:c>
      <x:c r="G880" s="23" t="n">
        <x:v>0.7946533922175877</x:v>
      </x:c>
      <x:c r="H880" s="23" t="n">
        <x:v>13005</x:v>
      </x:c>
      <x:c r="I880" s="23" t="n">
        <x:v>1200</x:v>
      </x:c>
      <x:c r="J880" s="23" t="n">
        <x:f>(IF(A880='Hybrid Calculator'!$B$6,0,1))^2+((B880-'Hybrid Calculator'!$B$7)/1500)^2+((C880-'Hybrid Calculator'!$B$8)/1300)^2+((D880-'Hybrid Calculator'!$B$9)/800)^2+((E880-'Hybrid Calculator'!$B$10)/350)^2+((F880-'Hybrid Calculator'!$B$11)/30)^2+(G880-'Hybrid Calculator'!$B$12)^2+((H880-'Hybrid Calculator'!$E$14)/IF(A880="Lightning",100,30000))^2+((I880-'Hybrid Calculator'!$E$17)/IF(A880="Lightning",100,30000))^2</x:f>
        <x:v>1.4828795629112976</x:v>
      </x:c>
      <x:c r="K880" s="23" t="n">
        <x:f>RANK(J880,$J$2:$J$1401,1)</x:f>
        <x:v>1182</x:v>
      </x:c>
      <x:c r="L880" s="23" t="n">
        <x:f>IF(K880&lt;=7,1,0)</x:f>
        <x:v>0</x:v>
      </x:c>
      <x:c r="M880" s="23" t="n">
        <x:f>IF(L880=1,1/(J880+0.000001),0)</x:f>
        <x:v>0</x:v>
      </x:c>
      <x:c r="N880" s="23" t="n">
        <x:v>1.2642085208031801</x:v>
      </x:c>
      <x:c r="O880" s="23" t="n">
        <x:f>M880</x:f>
        <x:v>0</x:v>
      </x:c>
      <x:c r="P880" s="23" t="n">
        <x:v>17.04625697540132</x:v>
      </x:c>
      <x:c r="Q880" s="23" t="n">
        <x:v>-9.050297939629559</x:v>
      </x:c>
    </x:row>
    <x:row r="881">
      <x:c r="A881" s="23" t="str">
        <x:v>Switching</x:v>
      </x:c>
      <x:c r="B881" s="23" t="n">
        <x:v>1018.5637402697466</x:v>
      </x:c>
      <x:c r="C881" s="23" t="n">
        <x:v>1012.4583490658551</x:v>
      </x:c>
      <x:c r="D881" s="23" t="n">
        <x:v>649.644938390702</x:v>
      </x:c>
      <x:c r="E881" s="23" t="n">
        <x:v>195.9387327497825</x:v>
      </x:c>
      <x:c r="F881" s="23" t="n">
        <x:v>28.07696459395811</x:v>
      </x:c>
      <x:c r="G881" s="23" t="n">
        <x:v>0.8558135339431465</x:v>
      </x:c>
      <x:c r="H881" s="23" t="n">
        <x:v>13430</x:v>
      </x:c>
      <x:c r="I881" s="23" t="n">
        <x:v>1200</x:v>
      </x:c>
      <x:c r="J881" s="23" t="n">
        <x:f>(IF(A881='Hybrid Calculator'!$B$6,0,1))^2+((B881-'Hybrid Calculator'!$B$7)/1500)^2+((C881-'Hybrid Calculator'!$B$8)/1300)^2+((D881-'Hybrid Calculator'!$B$9)/800)^2+((E881-'Hybrid Calculator'!$B$10)/350)^2+((F881-'Hybrid Calculator'!$B$11)/30)^2+(G881-'Hybrid Calculator'!$B$12)^2+((H881-'Hybrid Calculator'!$E$14)/IF(A881="Lightning",100,30000))^2+((I881-'Hybrid Calculator'!$E$17)/IF(A881="Lightning",100,30000))^2</x:f>
        <x:v>1.4448942650653722</x:v>
      </x:c>
      <x:c r="K881" s="23" t="n">
        <x:f>RANK(J881,$J$2:$J$1401,1)</x:f>
        <x:v>1097</x:v>
      </x:c>
      <x:c r="L881" s="23" t="n">
        <x:f>IF(K881&lt;=7,1,0)</x:f>
        <x:v>0</x:v>
      </x:c>
      <x:c r="M881" s="23" t="n">
        <x:f>IF(L881=1,1/(J881+0.000001),0)</x:f>
        <x:v>0</x:v>
      </x:c>
      <x:c r="N881" s="23" t="n">
        <x:v>0.1938410508449806</x:v>
      </x:c>
      <x:c r="O881" s="23" t="n">
        <x:f>M881</x:f>
        <x:v>0</x:v>
      </x:c>
      <x:c r="P881" s="23" t="n">
        <x:v>-16.455662126885272</x:v>
      </x:c>
      <x:c r="Q881" s="23" t="n">
        <x:v>-10.071375661886123</x:v>
      </x:c>
    </x:row>
    <x:row r="882">
      <x:c r="A882" s="23" t="str">
        <x:v>Switching</x:v>
      </x:c>
      <x:c r="B882" s="23" t="n">
        <x:v>967.2802789602429</x:v>
      </x:c>
      <x:c r="C882" s="23" t="n">
        <x:v>997.5681414711289</x:v>
      </x:c>
      <x:c r="D882" s="23" t="n">
        <x:v>666.3854850456119</x:v>
      </x:c>
      <x:c r="E882" s="23" t="n">
        <x:v>107.4517101352103</x:v>
      </x:c>
      <x:c r="F882" s="23" t="n">
        <x:v>18.281022764742374</x:v>
      </x:c>
      <x:c r="G882" s="23" t="n">
        <x:v>0.8428531124652364</x:v>
      </x:c>
      <x:c r="H882" s="23" t="n">
        <x:v>14085</x:v>
      </x:c>
      <x:c r="I882" s="23" t="n">
        <x:v>1200</x:v>
      </x:c>
      <x:c r="J882" s="23" t="n">
        <x:f>(IF(A882='Hybrid Calculator'!$B$6,0,1))^2+((B882-'Hybrid Calculator'!$B$7)/1500)^2+((C882-'Hybrid Calculator'!$B$8)/1300)^2+((D882-'Hybrid Calculator'!$B$9)/800)^2+((E882-'Hybrid Calculator'!$B$10)/350)^2+((F882-'Hybrid Calculator'!$B$11)/30)^2+(G882-'Hybrid Calculator'!$B$12)^2+((H882-'Hybrid Calculator'!$E$14)/IF(A882="Lightning",100,30000))^2+((I882-'Hybrid Calculator'!$E$17)/IF(A882="Lightning",100,30000))^2</x:f>
        <x:v>1.3850122686819901</x:v>
      </x:c>
      <x:c r="K882" s="23" t="n">
        <x:f>RANK(J882,$J$2:$J$1401,1)</x:f>
        <x:v>935</x:v>
      </x:c>
      <x:c r="L882" s="23" t="n">
        <x:f>IF(K882&lt;=7,1,0)</x:f>
        <x:v>0</x:v>
      </x:c>
      <x:c r="M882" s="23" t="n">
        <x:f>IF(L882=1,1/(J882+0.000001),0)</x:f>
        <x:v>0</x:v>
      </x:c>
      <x:c r="N882" s="23" t="n">
        <x:v>1.7871843795757911</x:v>
      </x:c>
      <x:c r="O882" s="23" t="n">
        <x:f>M882</x:f>
        <x:v>0</x:v>
      </x:c>
      <x:c r="P882" s="23" t="n">
        <x:v>-7.512738236455334</x:v>
      </x:c>
      <x:c r="Q882" s="23" t="n">
        <x:v>2.2769343383104115</x:v>
      </x:c>
    </x:row>
    <x:row r="883">
      <x:c r="A883" s="23" t="str">
        <x:v>Switching</x:v>
      </x:c>
      <x:c r="B883" s="23" t="n">
        <x:v>1078.6269846488722</x:v>
      </x:c>
      <x:c r="C883" s="23" t="n">
        <x:v>890.4757261043414</x:v>
      </x:c>
      <x:c r="D883" s="23" t="n">
        <x:v>633.9618531055748</x:v>
      </x:c>
      <x:c r="E883" s="23" t="n">
        <x:v>141.22984131798148</x:v>
      </x:c>
      <x:c r="F883" s="23" t="n">
        <x:v>22.136038957629353</x:v>
      </x:c>
      <x:c r="G883" s="23" t="n">
        <x:v>0.8009436835488305</x:v>
      </x:c>
      <x:c r="H883" s="23" t="n">
        <x:v>12840</x:v>
      </x:c>
      <x:c r="I883" s="23" t="n">
        <x:v>1200</x:v>
      </x:c>
      <x:c r="J883" s="23" t="n">
        <x:f>(IF(A883='Hybrid Calculator'!$B$6,0,1))^2+((B883-'Hybrid Calculator'!$B$7)/1500)^2+((C883-'Hybrid Calculator'!$B$8)/1300)^2+((D883-'Hybrid Calculator'!$B$9)/800)^2+((E883-'Hybrid Calculator'!$B$10)/350)^2+((F883-'Hybrid Calculator'!$B$11)/30)^2+(G883-'Hybrid Calculator'!$B$12)^2+((H883-'Hybrid Calculator'!$E$14)/IF(A883="Lightning",100,30000))^2+((I883-'Hybrid Calculator'!$E$17)/IF(A883="Lightning",100,30000))^2</x:f>
        <x:v>1.2813064932059246</x:v>
      </x:c>
      <x:c r="K883" s="23" t="n">
        <x:f>RANK(J883,$J$2:$J$1401,1)</x:f>
        <x:v>710</x:v>
      </x:c>
      <x:c r="L883" s="23" t="n">
        <x:f>IF(K883&lt;=7,1,0)</x:f>
        <x:v>0</x:v>
      </x:c>
      <x:c r="M883" s="23" t="n">
        <x:f>IF(L883=1,1/(J883+0.000001),0)</x:f>
        <x:v>0</x:v>
      </x:c>
      <x:c r="N883" s="23" t="n">
        <x:v>-1.59280616570598</x:v>
      </x:c>
      <x:c r="O883" s="23" t="n">
        <x:f>M883</x:f>
        <x:v>0</x:v>
      </x:c>
      <x:c r="P883" s="23" t="n">
        <x:v>32.67791863008824</x:v>
      </x:c>
      <x:c r="Q883" s="23" t="n">
        <x:v>-0.4055603817178053</x:v>
      </x:c>
    </x:row>
    <x:row r="884">
      <x:c r="A884" s="23" t="str">
        <x:v>Switching</x:v>
      </x:c>
      <x:c r="B884" s="23" t="n">
        <x:v>1062.887336825952</x:v>
      </x:c>
      <x:c r="C884" s="23" t="n">
        <x:v>728.8751254673116</x:v>
      </x:c>
      <x:c r="D884" s="23" t="n">
        <x:v>609.4847133383155</x:v>
      </x:c>
      <x:c r="E884" s="23" t="n">
        <x:v>134.31040545227006</x:v>
      </x:c>
      <x:c r="F884" s="23" t="n">
        <x:v>15.625414106994867</x:v>
      </x:c>
      <x:c r="G884" s="23" t="n">
        <x:v>0.8460316305630841</x:v>
      </x:c>
      <x:c r="H884" s="23" t="n">
        <x:v>14520</x:v>
      </x:c>
      <x:c r="I884" s="23" t="n">
        <x:v>1200</x:v>
      </x:c>
      <x:c r="J884" s="23" t="n">
        <x:f>(IF(A884='Hybrid Calculator'!$B$6,0,1))^2+((B884-'Hybrid Calculator'!$B$7)/1500)^2+((C884-'Hybrid Calculator'!$B$8)/1300)^2+((D884-'Hybrid Calculator'!$B$9)/800)^2+((E884-'Hybrid Calculator'!$B$10)/350)^2+((F884-'Hybrid Calculator'!$B$11)/30)^2+(G884-'Hybrid Calculator'!$B$12)^2+((H884-'Hybrid Calculator'!$E$14)/IF(A884="Lightning",100,30000))^2+((I884-'Hybrid Calculator'!$E$17)/IF(A884="Lightning",100,30000))^2</x:f>
        <x:v>1.3317367725413343</x:v>
      </x:c>
      <x:c r="K884" s="23" t="n">
        <x:f>RANK(J884,$J$2:$J$1401,1)</x:f>
        <x:v>780</x:v>
      </x:c>
      <x:c r="L884" s="23" t="n">
        <x:f>IF(K884&lt;=7,1,0)</x:f>
        <x:v>0</x:v>
      </x:c>
      <x:c r="M884" s="23" t="n">
        <x:f>IF(L884=1,1/(J884+0.000001),0)</x:f>
        <x:v>0</x:v>
      </x:c>
      <x:c r="N884" s="23" t="n">
        <x:v>-0.654084471197308</x:v>
      </x:c>
      <x:c r="O884" s="23" t="n">
        <x:f>M884</x:f>
        <x:v>0</x:v>
      </x:c>
      <x:c r="P884" s="23" t="n">
        <x:v>-39.16966476213247</x:v>
      </x:c>
      <x:c r="Q884" s="23" t="n">
        <x:v>6.0520232576973285</x:v>
      </x:c>
    </x:row>
    <x:row r="885">
      <x:c r="A885" s="23" t="str">
        <x:v>Switching</x:v>
      </x:c>
      <x:c r="B885" s="23" t="n">
        <x:v>1075.9016661089845</x:v>
      </x:c>
      <x:c r="C885" s="23" t="n">
        <x:v>626.8244311911985</x:v>
      </x:c>
      <x:c r="D885" s="23" t="n">
        <x:v>528.3216689713299</x:v>
      </x:c>
      <x:c r="E885" s="23" t="n">
        <x:v>186.54480755329132</x:v>
      </x:c>
      <x:c r="F885" s="23" t="n">
        <x:v>12.823247919324785</x:v>
      </x:c>
      <x:c r="G885" s="23" t="n">
        <x:v>0.8088885756535455</x:v>
      </x:c>
      <x:c r="H885" s="23" t="n">
        <x:v>15940</x:v>
      </x:c>
      <x:c r="I885" s="23" t="n">
        <x:v>1200</x:v>
      </x:c>
      <x:c r="J885" s="23" t="n">
        <x:f>(IF(A885='Hybrid Calculator'!$B$6,0,1))^2+((B885-'Hybrid Calculator'!$B$7)/1500)^2+((C885-'Hybrid Calculator'!$B$8)/1300)^2+((D885-'Hybrid Calculator'!$B$9)/800)^2+((E885-'Hybrid Calculator'!$B$10)/350)^2+((F885-'Hybrid Calculator'!$B$11)/30)^2+(G885-'Hybrid Calculator'!$B$12)^2+((H885-'Hybrid Calculator'!$E$14)/IF(A885="Lightning",100,30000))^2+((I885-'Hybrid Calculator'!$E$17)/IF(A885="Lightning",100,30000))^2</x:f>
        <x:v>1.4138020151286577</x:v>
      </x:c>
      <x:c r="K885" s="23" t="n">
        <x:f>RANK(J885,$J$2:$J$1401,1)</x:f>
        <x:v>1018</x:v>
      </x:c>
      <x:c r="L885" s="23" t="n">
        <x:f>IF(K885&lt;=7,1,0)</x:f>
        <x:v>0</x:v>
      </x:c>
      <x:c r="M885" s="23" t="n">
        <x:f>IF(L885=1,1/(J885+0.000001),0)</x:f>
        <x:v>0</x:v>
      </x:c>
      <x:c r="N885" s="23" t="n">
        <x:v>-1.1120408675747342</x:v>
      </x:c>
      <x:c r="O885" s="23" t="n">
        <x:f>M885</x:f>
        <x:v>0</x:v>
      </x:c>
      <x:c r="P885" s="23" t="n">
        <x:v>10.835571334371707</x:v>
      </x:c>
      <x:c r="Q885" s="23" t="n">
        <x:v>15.374431976319329</x:v>
      </x:c>
    </x:row>
    <x:row r="886">
      <x:c r="A886" s="23" t="str">
        <x:v>Switching</x:v>
      </x:c>
      <x:c r="B886" s="23" t="n">
        <x:v>1032.3469953844324</x:v>
      </x:c>
      <x:c r="C886" s="23" t="n">
        <x:v>677.5773623143323</x:v>
      </x:c>
      <x:c r="D886" s="23" t="n">
        <x:v>726.8925823271275</x:v>
      </x:c>
      <x:c r="E886" s="23" t="n">
        <x:v>92.515781854745</x:v>
      </x:c>
      <x:c r="F886" s="23" t="n">
        <x:v>20.39117111172527</x:v>
      </x:c>
      <x:c r="G886" s="23" t="n">
        <x:v>0.7940989451645873</x:v>
      </x:c>
      <x:c r="H886" s="23" t="n">
        <x:v>14285</x:v>
      </x:c>
      <x:c r="I886" s="23" t="n">
        <x:v>1200</x:v>
      </x:c>
      <x:c r="J886" s="23" t="n">
        <x:f>(IF(A886='Hybrid Calculator'!$B$6,0,1))^2+((B886-'Hybrid Calculator'!$B$7)/1500)^2+((C886-'Hybrid Calculator'!$B$8)/1300)^2+((D886-'Hybrid Calculator'!$B$9)/800)^2+((E886-'Hybrid Calculator'!$B$10)/350)^2+((F886-'Hybrid Calculator'!$B$11)/30)^2+(G886-'Hybrid Calculator'!$B$12)^2+((H886-'Hybrid Calculator'!$E$14)/IF(A886="Lightning",100,30000))^2+((I886-'Hybrid Calculator'!$E$17)/IF(A886="Lightning",100,30000))^2</x:f>
        <x:v>1.4248562216856218</x:v>
      </x:c>
      <x:c r="K886" s="23" t="n">
        <x:f>RANK(J886,$J$2:$J$1401,1)</x:f>
        <x:v>1048</x:v>
      </x:c>
      <x:c r="L886" s="23" t="n">
        <x:f>IF(K886&lt;=7,1,0)</x:f>
        <x:v>0</x:v>
      </x:c>
      <x:c r="M886" s="23" t="n">
        <x:f>IF(L886=1,1/(J886+0.000001),0)</x:f>
        <x:v>0</x:v>
      </x:c>
      <x:c r="N886" s="23" t="n">
        <x:v>0.6257340928948736</x:v>
      </x:c>
      <x:c r="O886" s="23" t="n">
        <x:f>M886</x:f>
        <x:v>0</x:v>
      </x:c>
      <x:c r="P886" s="23" t="n">
        <x:v>19.55944619957063</x:v>
      </x:c>
      <x:c r="Q886" s="23" t="n">
        <x:v>2.7321649372208867</x:v>
      </x:c>
    </x:row>
    <x:row r="887">
      <x:c r="A887" s="23" t="str">
        <x:v>Switching</x:v>
      </x:c>
      <x:c r="B887" s="23" t="n">
        <x:v>1050.3114204737358</x:v>
      </x:c>
      <x:c r="C887" s="23" t="n">
        <x:v>827.8217108920217</x:v>
      </x:c>
      <x:c r="D887" s="23" t="n">
        <x:v>680.3179844282568</x:v>
      </x:c>
      <x:c r="E887" s="23" t="n">
        <x:v>228.41102075297385</x:v>
      </x:c>
      <x:c r="F887" s="23" t="n">
        <x:v>22.373553657438606</x:v>
      </x:c>
      <x:c r="G887" s="23" t="n">
        <x:v>0.8300754562672228</x:v>
      </x:c>
      <x:c r="H887" s="23" t="n">
        <x:v>12315</x:v>
      </x:c>
      <x:c r="I887" s="23" t="n">
        <x:v>1200</x:v>
      </x:c>
      <x:c r="J887" s="23" t="n">
        <x:f>(IF(A887='Hybrid Calculator'!$B$6,0,1))^2+((B887-'Hybrid Calculator'!$B$7)/1500)^2+((C887-'Hybrid Calculator'!$B$8)/1300)^2+((D887-'Hybrid Calculator'!$B$9)/800)^2+((E887-'Hybrid Calculator'!$B$10)/350)^2+((F887-'Hybrid Calculator'!$B$11)/30)^2+(G887-'Hybrid Calculator'!$B$12)^2+((H887-'Hybrid Calculator'!$E$14)/IF(A887="Lightning",100,30000))^2+((I887-'Hybrid Calculator'!$E$17)/IF(A887="Lightning",100,30000))^2</x:f>
        <x:v>1.3491332317806655</x:v>
      </x:c>
      <x:c r="K887" s="23" t="n">
        <x:f>RANK(J887,$J$2:$J$1401,1)</x:f>
        <x:v>830</x:v>
      </x:c>
      <x:c r="L887" s="23" t="n">
        <x:f>IF(K887&lt;=7,1,0)</x:f>
        <x:v>0</x:v>
      </x:c>
      <x:c r="M887" s="23" t="n">
        <x:f>IF(L887=1,1/(J887+0.000001),0)</x:f>
        <x:v>0</x:v>
      </x:c>
      <x:c r="N887" s="23" t="n">
        <x:v>0.789481314846114</x:v>
      </x:c>
      <x:c r="O887" s="23" t="n">
        <x:f>M887</x:f>
        <x:v>0</x:v>
      </x:c>
      <x:c r="P887" s="23" t="n">
        <x:v>5.309155311496397</x:v>
      </x:c>
      <x:c r="Q887" s="23" t="n">
        <x:v>-6.679200782246198</x:v>
      </x:c>
    </x:row>
    <x:row r="888">
      <x:c r="A888" s="23" t="str">
        <x:v>Switching</x:v>
      </x:c>
      <x:c r="B888" s="23" t="n">
        <x:v>997.251680213958</x:v>
      </x:c>
      <x:c r="C888" s="23" t="n">
        <x:v>766.4794491021894</x:v>
      </x:c>
      <x:c r="D888" s="23" t="n">
        <x:v>385.97600255161524</x:v>
      </x:c>
      <x:c r="E888" s="23" t="n">
        <x:v>236.29651030758396</x:v>
      </x:c>
      <x:c r="F888" s="23" t="n">
        <x:v>8.689631747081876</x:v>
      </x:c>
      <x:c r="G888" s="23" t="n">
        <x:v>0.8551550672878512</x:v>
      </x:c>
      <x:c r="H888" s="23" t="n">
        <x:v>17965</x:v>
      </x:c>
      <x:c r="I888" s="23" t="n">
        <x:v>1200</x:v>
      </x:c>
      <x:c r="J888" s="23" t="n">
        <x:f>(IF(A888='Hybrid Calculator'!$B$6,0,1))^2+((B888-'Hybrid Calculator'!$B$7)/1500)^2+((C888-'Hybrid Calculator'!$B$8)/1300)^2+((D888-'Hybrid Calculator'!$B$9)/800)^2+((E888-'Hybrid Calculator'!$B$10)/350)^2+((F888-'Hybrid Calculator'!$B$11)/30)^2+(G888-'Hybrid Calculator'!$B$12)^2+((H888-'Hybrid Calculator'!$E$14)/IF(A888="Lightning",100,30000))^2+((I888-'Hybrid Calculator'!$E$17)/IF(A888="Lightning",100,30000))^2</x:f>
        <x:v>1.6328693266078496</x:v>
      </x:c>
      <x:c r="K888" s="23" t="n">
        <x:f>RANK(J888,$J$2:$J$1401,1)</x:f>
        <x:v>1369</x:v>
      </x:c>
      <x:c r="L888" s="23" t="n">
        <x:f>IF(K888&lt;=7,1,0)</x:f>
        <x:v>0</x:v>
      </x:c>
      <x:c r="M888" s="23" t="n">
        <x:f>IF(L888=1,1/(J888+0.000001),0)</x:f>
        <x:v>0</x:v>
      </x:c>
      <x:c r="N888" s="23" t="n">
        <x:v>2.9386045415542412</x:v>
      </x:c>
      <x:c r="O888" s="23" t="n">
        <x:f>M888</x:f>
        <x:v>0</x:v>
      </x:c>
      <x:c r="P888" s="23" t="n">
        <x:v>20.473176584565863</x:v>
      </x:c>
      <x:c r="Q888" s="23" t="n">
        <x:v>8.523225549896779</x:v>
      </x:c>
    </x:row>
    <x:row r="889">
      <x:c r="A889" s="23" t="str">
        <x:v>Switching</x:v>
      </x:c>
      <x:c r="B889" s="23" t="n">
        <x:v>1082.8632637509145</x:v>
      </x:c>
      <x:c r="C889" s="23" t="n">
        <x:v>1074.5224763872102</x:v>
      </x:c>
      <x:c r="D889" s="23" t="n">
        <x:v>367.5092943944037</x:v>
      </x:c>
      <x:c r="E889" s="23" t="n">
        <x:v>300.424396218732</x:v>
      </x:c>
      <x:c r="F889" s="23" t="n">
        <x:v>27.98770207213238</x:v>
      </x:c>
      <x:c r="G889" s="23" t="n">
        <x:v>0.8122253549331799</x:v>
      </x:c>
      <x:c r="H889" s="23" t="n">
        <x:v>12275</x:v>
      </x:c>
      <x:c r="I889" s="23" t="n">
        <x:v>1200</x:v>
      </x:c>
      <x:c r="J889" s="23" t="n">
        <x:f>(IF(A889='Hybrid Calculator'!$B$6,0,1))^2+((B889-'Hybrid Calculator'!$B$7)/1500)^2+((C889-'Hybrid Calculator'!$B$8)/1300)^2+((D889-'Hybrid Calculator'!$B$9)/800)^2+((E889-'Hybrid Calculator'!$B$10)/350)^2+((F889-'Hybrid Calculator'!$B$11)/30)^2+(G889-'Hybrid Calculator'!$B$12)^2+((H889-'Hybrid Calculator'!$E$14)/IF(A889="Lightning",100,30000))^2+((I889-'Hybrid Calculator'!$E$17)/IF(A889="Lightning",100,30000))^2</x:f>
        <x:v>1.5616652965541618</x:v>
      </x:c>
      <x:c r="K889" s="23" t="n">
        <x:f>RANK(J889,$J$2:$J$1401,1)</x:f>
        <x:v>1320</x:v>
      </x:c>
      <x:c r="L889" s="23" t="n">
        <x:f>IF(K889&lt;=7,1,0)</x:f>
        <x:v>0</x:v>
      </x:c>
      <x:c r="M889" s="23" t="n">
        <x:f>IF(L889=1,1/(J889+0.000001),0)</x:f>
        <x:v>0</x:v>
      </x:c>
      <x:c r="N889" s="23" t="n">
        <x:v>-1.5544651291831997</x:v>
      </x:c>
      <x:c r="O889" s="23" t="n">
        <x:f>M889</x:f>
        <x:v>0</x:v>
      </x:c>
      <x:c r="P889" s="23" t="n">
        <x:v>56.17547009093323</x:v>
      </x:c>
      <x:c r="Q889" s="23" t="n">
        <x:v>-8.184100501376633</x:v>
      </x:c>
    </x:row>
    <x:row r="890">
      <x:c r="A890" s="23" t="str">
        <x:v>Switching</x:v>
      </x:c>
      <x:c r="B890" s="23" t="n">
        <x:v>1026.5023743500933</x:v>
      </x:c>
      <x:c r="C890" s="23" t="n">
        <x:v>816.9929016032256</x:v>
      </x:c>
      <x:c r="D890" s="23" t="n">
        <x:v>481.0678716748953</x:v>
      </x:c>
      <x:c r="E890" s="23" t="n">
        <x:v>232.204277634155</x:v>
      </x:c>
      <x:c r="F890" s="23" t="n">
        <x:v>19.813646686263382</x:v>
      </x:c>
      <x:c r="G890" s="23" t="n">
        <x:v>0.8200489253248089</x:v>
      </x:c>
      <x:c r="H890" s="23" t="n">
        <x:v>13975</x:v>
      </x:c>
      <x:c r="I890" s="23" t="n">
        <x:v>1200</x:v>
      </x:c>
      <x:c r="J890" s="23" t="n">
        <x:f>(IF(A890='Hybrid Calculator'!$B$6,0,1))^2+((B890-'Hybrid Calculator'!$B$7)/1500)^2+((C890-'Hybrid Calculator'!$B$8)/1300)^2+((D890-'Hybrid Calculator'!$B$9)/800)^2+((E890-'Hybrid Calculator'!$B$10)/350)^2+((F890-'Hybrid Calculator'!$B$11)/30)^2+(G890-'Hybrid Calculator'!$B$12)^2+((H890-'Hybrid Calculator'!$E$14)/IF(A890="Lightning",100,30000))^2+((I890-'Hybrid Calculator'!$E$17)/IF(A890="Lightning",100,30000))^2</x:f>
        <x:v>1.3458483840318378</x:v>
      </x:c>
      <x:c r="K890" s="23" t="n">
        <x:f>RANK(J890,$J$2:$J$1401,1)</x:f>
        <x:v>819</x:v>
      </x:c>
      <x:c r="L890" s="23" t="n">
        <x:f>IF(K890&lt;=7,1,0)</x:f>
        <x:v>0</x:v>
      </x:c>
      <x:c r="M890" s="23" t="n">
        <x:f>IF(L890=1,1/(J890+0.000001),0)</x:f>
        <x:v>0</x:v>
      </x:c>
      <x:c r="N890" s="23" t="n">
        <x:v>-0.7072118989119929</x:v>
      </x:c>
      <x:c r="O890" s="23" t="n">
        <x:f>M890</x:f>
        <x:v>0</x:v>
      </x:c>
      <x:c r="P890" s="23" t="n">
        <x:v>-10.523195389800094</x:v>
      </x:c>
      <x:c r="Q890" s="23" t="n">
        <x:v>7.0597267441000895</x:v>
      </x:c>
    </x:row>
    <x:row r="891">
      <x:c r="A891" s="23" t="str">
        <x:v>Switching</x:v>
      </x:c>
      <x:c r="B891" s="23" t="n">
        <x:v>1045.470794418361</x:v>
      </x:c>
      <x:c r="C891" s="23" t="n">
        <x:v>1074.454146111384</x:v>
      </x:c>
      <x:c r="D891" s="23" t="n">
        <x:v>375.230913143605</x:v>
      </x:c>
      <x:c r="E891" s="23" t="n">
        <x:v>317.57971765007824</x:v>
      </x:c>
      <x:c r="F891" s="23" t="n">
        <x:v>24.591387092601508</x:v>
      </x:c>
      <x:c r="G891" s="23" t="n">
        <x:v>0.8147984797693789</x:v>
      </x:c>
      <x:c r="H891" s="23" t="n">
        <x:v>12100</x:v>
      </x:c>
      <x:c r="I891" s="23" t="n">
        <x:v>1200</x:v>
      </x:c>
      <x:c r="J891" s="23" t="n">
        <x:f>(IF(A891='Hybrid Calculator'!$B$6,0,1))^2+((B891-'Hybrid Calculator'!$B$7)/1500)^2+((C891-'Hybrid Calculator'!$B$8)/1300)^2+((D891-'Hybrid Calculator'!$B$9)/800)^2+((E891-'Hybrid Calculator'!$B$10)/350)^2+((F891-'Hybrid Calculator'!$B$11)/30)^2+(G891-'Hybrid Calculator'!$B$12)^2+((H891-'Hybrid Calculator'!$E$14)/IF(A891="Lightning",100,30000))^2+((I891-'Hybrid Calculator'!$E$17)/IF(A891="Lightning",100,30000))^2</x:f>
        <x:v>1.5515268859770577</x:v>
      </x:c>
      <x:c r="K891" s="23" t="n">
        <x:f>RANK(J891,$J$2:$J$1401,1)</x:f>
        <x:v>1305</x:v>
      </x:c>
      <x:c r="L891" s="23" t="n">
        <x:f>IF(K891&lt;=7,1,0)</x:f>
        <x:v>0</x:v>
      </x:c>
      <x:c r="M891" s="23" t="n">
        <x:f>IF(L891=1,1/(J891+0.000001),0)</x:f>
        <x:v>0</x:v>
      </x:c>
      <x:c r="N891" s="23" t="n">
        <x:v>-0.24395932346132554</x:v>
      </x:c>
      <x:c r="O891" s="23" t="n">
        <x:f>M891</x:f>
        <x:v>0</x:v>
      </x:c>
      <x:c r="P891" s="23" t="n">
        <x:v>60.49678666481941</x:v>
      </x:c>
      <x:c r="Q891" s="23" t="n">
        <x:v>-6.175960976725264</x:v>
      </x:c>
    </x:row>
    <x:row r="892">
      <x:c r="A892" s="23" t="str">
        <x:v>Switching</x:v>
      </x:c>
      <x:c r="B892" s="23" t="n">
        <x:v>1042.3195984680206</x:v>
      </x:c>
      <x:c r="C892" s="23" t="n">
        <x:v>881.8841040018015</x:v>
      </x:c>
      <x:c r="D892" s="23" t="n">
        <x:v>437.17401903122663</x:v>
      </x:c>
      <x:c r="E892" s="23" t="n">
        <x:v>222.78446353273466</x:v>
      </x:c>
      <x:c r="F892" s="23" t="n">
        <x:v>18.399736016988754</x:v>
      </x:c>
      <x:c r="G892" s="23" t="n">
        <x:v>0.8338682796643115</x:v>
      </x:c>
      <x:c r="H892" s="23" t="n">
        <x:v>13870</x:v>
      </x:c>
      <x:c r="I892" s="23" t="n">
        <x:v>1200</x:v>
      </x:c>
      <x:c r="J892" s="23" t="n">
        <x:f>(IF(A892='Hybrid Calculator'!$B$6,0,1))^2+((B892-'Hybrid Calculator'!$B$7)/1500)^2+((C892-'Hybrid Calculator'!$B$8)/1300)^2+((D892-'Hybrid Calculator'!$B$9)/800)^2+((E892-'Hybrid Calculator'!$B$10)/350)^2+((F892-'Hybrid Calculator'!$B$11)/30)^2+(G892-'Hybrid Calculator'!$B$12)^2+((H892-'Hybrid Calculator'!$E$14)/IF(A892="Lightning",100,30000))^2+((I892-'Hybrid Calculator'!$E$17)/IF(A892="Lightning",100,30000))^2</x:f>
        <x:v>1.329052077308967</x:v>
      </x:c>
      <x:c r="K892" s="23" t="n">
        <x:f>RANK(J892,$J$2:$J$1401,1)</x:f>
        <x:v>775</x:v>
      </x:c>
      <x:c r="L892" s="23" t="n">
        <x:f>IF(K892&lt;=7,1,0)</x:f>
        <x:v>0</x:v>
      </x:c>
      <x:c r="M892" s="23" t="n">
        <x:f>IF(L892=1,1/(J892+0.000001),0)</x:f>
        <x:v>0</x:v>
      </x:c>
      <x:c r="N892" s="23" t="n">
        <x:v>2.3459049429241645</x:v>
      </x:c>
      <x:c r="O892" s="23" t="n">
        <x:f>M892</x:f>
        <x:v>0</x:v>
      </x:c>
      <x:c r="P892" s="23" t="n">
        <x:v>0.8148839031582611</x:v>
      </x:c>
      <x:c r="Q892" s="23" t="n">
        <x:v>9.364530513110367</x:v>
      </x:c>
    </x:row>
    <x:row r="893">
      <x:c r="A893" s="23" t="str">
        <x:v>Switching</x:v>
      </x:c>
      <x:c r="B893" s="23" t="n">
        <x:v>980.4976665531285</x:v>
      </x:c>
      <x:c r="C893" s="23" t="n">
        <x:v>1093.2613493641838</x:v>
      </x:c>
      <x:c r="D893" s="23" t="n">
        <x:v>627.5351387448609</x:v>
      </x:c>
      <x:c r="E893" s="23" t="n">
        <x:v>249.52904919162393</x:v>
      </x:c>
      <x:c r="F893" s="23" t="n">
        <x:v>21.166795930359513</x:v>
      </x:c>
      <x:c r="G893" s="23" t="n">
        <x:v>0.7906028815871105</x:v>
      </x:c>
      <x:c r="H893" s="23" t="n">
        <x:v>10855</x:v>
      </x:c>
      <x:c r="I893" s="23" t="n">
        <x:v>1195</x:v>
      </x:c>
      <x:c r="J893" s="23" t="n">
        <x:f>(IF(A893='Hybrid Calculator'!$B$6,0,1))^2+((B893-'Hybrid Calculator'!$B$7)/1500)^2+((C893-'Hybrid Calculator'!$B$8)/1300)^2+((D893-'Hybrid Calculator'!$B$9)/800)^2+((E893-'Hybrid Calculator'!$B$10)/350)^2+((F893-'Hybrid Calculator'!$B$11)/30)^2+(G893-'Hybrid Calculator'!$B$12)^2+((H893-'Hybrid Calculator'!$E$14)/IF(A893="Lightning",100,30000))^2+((I893-'Hybrid Calculator'!$E$17)/IF(A893="Lightning",100,30000))^2</x:f>
        <x:v>1.369116977234231</x:v>
      </x:c>
      <x:c r="K893" s="23" t="n">
        <x:f>RANK(J893,$J$2:$J$1401,1)</x:f>
        <x:v>882</x:v>
      </x:c>
      <x:c r="L893" s="23" t="n">
        <x:f>IF(K893&lt;=7,1,0)</x:f>
        <x:v>0</x:v>
      </x:c>
      <x:c r="M893" s="23" t="n">
        <x:f>IF(L893=1,1/(J893+0.000001),0)</x:f>
        <x:v>0</x:v>
      </x:c>
      <x:c r="N893" s="23" t="n">
        <x:v>-1.0377783238356244</x:v>
      </x:c>
      <x:c r="O893" s="23" t="n">
        <x:f>M893</x:f>
        <x:v>0</x:v>
      </x:c>
      <x:c r="P893" s="23" t="n">
        <x:v>-22.759971347457395</x:v>
      </x:c>
      <x:c r="Q893" s="23" t="n">
        <x:v>-9.261840807042972</x:v>
      </x:c>
    </x:row>
    <x:row r="894">
      <x:c r="A894" s="23" t="str">
        <x:v>Switching</x:v>
      </x:c>
      <x:c r="B894" s="23" t="n">
        <x:v>953.9198444457725</x:v>
      </x:c>
      <x:c r="C894" s="23" t="n">
        <x:v>662.773946498055</x:v>
      </x:c>
      <x:c r="D894" s="23" t="n">
        <x:v>446.454681456089</x:v>
      </x:c>
      <x:c r="E894" s="23" t="n">
        <x:v>156.92367857089266</x:v>
      </x:c>
      <x:c r="F894" s="23" t="n">
        <x:v>25.16793833207339</x:v>
      </x:c>
      <x:c r="G894" s="23" t="n">
        <x:v>0.8146453768364155</x:v>
      </x:c>
      <x:c r="H894" s="23" t="n">
        <x:v>19705</x:v>
      </x:c>
      <x:c r="I894" s="23" t="n">
        <x:v>1200</x:v>
      </x:c>
      <x:c r="J894" s="23" t="n">
        <x:f>(IF(A894='Hybrid Calculator'!$B$6,0,1))^2+((B894-'Hybrid Calculator'!$B$7)/1500)^2+((C894-'Hybrid Calculator'!$B$8)/1300)^2+((D894-'Hybrid Calculator'!$B$9)/800)^2+((E894-'Hybrid Calculator'!$B$10)/350)^2+((F894-'Hybrid Calculator'!$B$11)/30)^2+(G894-'Hybrid Calculator'!$B$12)^2+((H894-'Hybrid Calculator'!$E$14)/IF(A894="Lightning",100,30000))^2+((I894-'Hybrid Calculator'!$E$17)/IF(A894="Lightning",100,30000))^2</x:f>
        <x:v>1.6044501224101573</x:v>
      </x:c>
      <x:c r="K894" s="23" t="n">
        <x:f>RANK(J894,$J$2:$J$1401,1)</x:f>
        <x:v>1355</x:v>
      </x:c>
      <x:c r="L894" s="23" t="n">
        <x:f>IF(K894&lt;=7,1,0)</x:f>
        <x:v>0</x:v>
      </x:c>
      <x:c r="M894" s="23" t="n">
        <x:f>IF(L894=1,1/(J894+0.000001),0)</x:f>
        <x:v>0</x:v>
      </x:c>
      <x:c r="N894" s="23" t="n">
        <x:v>-0.6409087669614735</x:v>
      </x:c>
      <x:c r="O894" s="23" t="n">
        <x:f>M894</x:f>
        <x:v>0</x:v>
      </x:c>
      <x:c r="P894" s="23" t="n">
        <x:v>-65.0866073077168</x:v>
      </x:c>
      <x:c r="Q894" s="23" t="n">
        <x:v>2.618767761510867</x:v>
      </x:c>
    </x:row>
    <x:row r="895">
      <x:c r="A895" s="23" t="str">
        <x:v>Switching</x:v>
      </x:c>
      <x:c r="B895" s="23" t="n">
        <x:v>958.5432915831916</x:v>
      </x:c>
      <x:c r="C895" s="23" t="n">
        <x:v>1067.2750676982105</x:v>
      </x:c>
      <x:c r="D895" s="23" t="n">
        <x:v>679.5412591658533</x:v>
      </x:c>
      <x:c r="E895" s="23" t="n">
        <x:v>179.27514439914376</x:v>
      </x:c>
      <x:c r="F895" s="23" t="n">
        <x:v>9.649822061415762</x:v>
      </x:c>
      <x:c r="G895" s="23" t="n">
        <x:v>0.8003735974151641</x:v>
      </x:c>
      <x:c r="H895" s="23" t="n">
        <x:v>12955</x:v>
      </x:c>
      <x:c r="I895" s="23" t="n">
        <x:v>1200</x:v>
      </x:c>
      <x:c r="J895" s="23" t="n">
        <x:f>(IF(A895='Hybrid Calculator'!$B$6,0,1))^2+((B895-'Hybrid Calculator'!$B$7)/1500)^2+((C895-'Hybrid Calculator'!$B$8)/1300)^2+((D895-'Hybrid Calculator'!$B$9)/800)^2+((E895-'Hybrid Calculator'!$B$10)/350)^2+((F895-'Hybrid Calculator'!$B$11)/30)^2+(G895-'Hybrid Calculator'!$B$12)^2+((H895-'Hybrid Calculator'!$E$14)/IF(A895="Lightning",100,30000))^2+((I895-'Hybrid Calculator'!$E$17)/IF(A895="Lightning",100,30000))^2</x:f>
        <x:v>1.4559916140511036</x:v>
      </x:c>
      <x:c r="K895" s="23" t="n">
        <x:f>RANK(J895,$J$2:$J$1401,1)</x:f>
        <x:v>1118</x:v>
      </x:c>
      <x:c r="L895" s="23" t="n">
        <x:f>IF(K895&lt;=7,1,0)</x:f>
        <x:v>0</x:v>
      </x:c>
      <x:c r="M895" s="23" t="n">
        <x:f>IF(L895=1,1/(J895+0.000001),0)</x:f>
        <x:v>0</x:v>
      </x:c>
      <x:c r="N895" s="23" t="n">
        <x:v>1.759513376969636</x:v>
      </x:c>
      <x:c r="O895" s="23" t="n">
        <x:f>M895</x:f>
        <x:v>0</x:v>
      </x:c>
      <x:c r="P895" s="23" t="n">
        <x:v>-21.71033582183918</x:v>
      </x:c>
      <x:c r="Q895" s="23" t="n">
        <x:v>3.269748722945451</x:v>
      </x:c>
    </x:row>
    <x:row r="896">
      <x:c r="A896" s="23" t="str">
        <x:v>Switching</x:v>
      </x:c>
      <x:c r="B896" s="23" t="n">
        <x:v>968.1382674723864</x:v>
      </x:c>
      <x:c r="C896" s="23" t="n">
        <x:v>968.6569026089273</x:v>
      </x:c>
      <x:c r="D896" s="23" t="n">
        <x:v>617.236496694386</x:v>
      </x:c>
      <x:c r="E896" s="23" t="n">
        <x:v>282.55463250214234</x:v>
      </x:c>
      <x:c r="F896" s="23" t="n">
        <x:v>13.164070708677173</x:v>
      </x:c>
      <x:c r="G896" s="23" t="n">
        <x:v>0.8599677245062777</x:v>
      </x:c>
      <x:c r="H896" s="23" t="n">
        <x:v>13355</x:v>
      </x:c>
      <x:c r="I896" s="23" t="n">
        <x:v>1200</x:v>
      </x:c>
      <x:c r="J896" s="23" t="n">
        <x:f>(IF(A896='Hybrid Calculator'!$B$6,0,1))^2+((B896-'Hybrid Calculator'!$B$7)/1500)^2+((C896-'Hybrid Calculator'!$B$8)/1300)^2+((D896-'Hybrid Calculator'!$B$9)/800)^2+((E896-'Hybrid Calculator'!$B$10)/350)^2+((F896-'Hybrid Calculator'!$B$11)/30)^2+(G896-'Hybrid Calculator'!$B$12)^2+((H896-'Hybrid Calculator'!$E$14)/IF(A896="Lightning",100,30000))^2+((I896-'Hybrid Calculator'!$E$17)/IF(A896="Lightning",100,30000))^2</x:f>
        <x:v>1.4974662246289654</x:v>
      </x:c>
      <x:c r="K896" s="23" t="n">
        <x:f>RANK(J896,$J$2:$J$1401,1)</x:f>
        <x:v>1205</x:v>
      </x:c>
      <x:c r="L896" s="23" t="n">
        <x:f>IF(K896&lt;=7,1,0)</x:f>
        <x:v>0</x:v>
      </x:c>
      <x:c r="M896" s="23" t="n">
        <x:f>IF(L896=1,1/(J896+0.000001),0)</x:f>
        <x:v>0</x:v>
      </x:c>
      <x:c r="N896" s="23" t="n">
        <x:v>4.164272504087478</x:v>
      </x:c>
      <x:c r="O896" s="23" t="n">
        <x:f>M896</x:f>
        <x:v>0</x:v>
      </x:c>
      <x:c r="P896" s="23" t="n">
        <x:v>-31.154331826674024</x:v>
      </x:c>
      <x:c r="Q896" s="23" t="n">
        <x:v>-1.4301273049078418</x:v>
      </x:c>
    </x:row>
    <x:row r="897">
      <x:c r="A897" s="23" t="str">
        <x:v>Switching</x:v>
      </x:c>
      <x:c r="B897" s="23" t="n">
        <x:v>1029.37658081064</x:v>
      </x:c>
      <x:c r="C897" s="23" t="n">
        <x:v>1200.5307814339176</x:v>
      </x:c>
      <x:c r="D897" s="23" t="n">
        <x:v>382.25259939208627</x:v>
      </x:c>
      <x:c r="E897" s="23" t="n">
        <x:v>175.26893845759332</x:v>
      </x:c>
      <x:c r="F897" s="23" t="n">
        <x:v>15.814674448687583</x:v>
      </x:c>
      <x:c r="G897" s="23" t="n">
        <x:v>0.80966426350642</x:v>
      </x:c>
      <x:c r="H897" s="23" t="n">
        <x:v>12165</x:v>
      </x:c>
      <x:c r="I897" s="23" t="n">
        <x:v>1200</x:v>
      </x:c>
      <x:c r="J897" s="23" t="n">
        <x:f>(IF(A897='Hybrid Calculator'!$B$6,0,1))^2+((B897-'Hybrid Calculator'!$B$7)/1500)^2+((C897-'Hybrid Calculator'!$B$8)/1300)^2+((D897-'Hybrid Calculator'!$B$9)/800)^2+((E897-'Hybrid Calculator'!$B$10)/350)^2+((F897-'Hybrid Calculator'!$B$11)/30)^2+(G897-'Hybrid Calculator'!$B$12)^2+((H897-'Hybrid Calculator'!$E$14)/IF(A897="Lightning",100,30000))^2+((I897-'Hybrid Calculator'!$E$17)/IF(A897="Lightning",100,30000))^2</x:f>
        <x:v>1.3418787453154353</x:v>
      </x:c>
      <x:c r="K897" s="23" t="n">
        <x:f>RANK(J897,$J$2:$J$1401,1)</x:f>
        <x:v>807</x:v>
      </x:c>
      <x:c r="L897" s="23" t="n">
        <x:f>IF(K897&lt;=7,1,0)</x:f>
        <x:v>0</x:v>
      </x:c>
      <x:c r="M897" s="23" t="n">
        <x:f>IF(L897=1,1/(J897+0.000001),0)</x:f>
        <x:v>0</x:v>
      </x:c>
      <x:c r="N897" s="23" t="n">
        <x:v>0.6908694253791055</x:v>
      </x:c>
      <x:c r="O897" s="23" t="n">
        <x:f>M897</x:f>
        <x:v>0</x:v>
      </x:c>
      <x:c r="P897" s="23" t="n">
        <x:v>0.9566408709824827</x:v>
      </x:c>
      <x:c r="Q897" s="23" t="n">
        <x:v>1.2733001962239996</x:v>
      </x:c>
    </x:row>
    <x:row r="898">
      <x:c r="A898" s="23" t="str">
        <x:v>Switching</x:v>
      </x:c>
      <x:c r="B898" s="23" t="n">
        <x:v>1096.1096505634487</x:v>
      </x:c>
      <x:c r="C898" s="23" t="n">
        <x:v>1039.8953880532645</x:v>
      </x:c>
      <x:c r="D898" s="23" t="n">
        <x:v>641.8421799317002</x:v>
      </x:c>
      <x:c r="E898" s="23" t="n">
        <x:v>266.86125153908506</x:v>
      </x:c>
      <x:c r="F898" s="23" t="n">
        <x:v>10.968687811866403</x:v>
      </x:c>
      <x:c r="G898" s="23" t="n">
        <x:v>0.8481430892203935</x:v>
      </x:c>
      <x:c r="H898" s="23" t="n">
        <x:v>10975</x:v>
      </x:c>
      <x:c r="I898" s="23" t="n">
        <x:v>1195</x:v>
      </x:c>
      <x:c r="J898" s="23" t="n">
        <x:f>(IF(A898='Hybrid Calculator'!$B$6,0,1))^2+((B898-'Hybrid Calculator'!$B$7)/1500)^2+((C898-'Hybrid Calculator'!$B$8)/1300)^2+((D898-'Hybrid Calculator'!$B$9)/800)^2+((E898-'Hybrid Calculator'!$B$10)/350)^2+((F898-'Hybrid Calculator'!$B$11)/30)^2+(G898-'Hybrid Calculator'!$B$12)^2+((H898-'Hybrid Calculator'!$E$14)/IF(A898="Lightning",100,30000))^2+((I898-'Hybrid Calculator'!$E$17)/IF(A898="Lightning",100,30000))^2</x:f>
        <x:v>1.4102841488548845</x:v>
      </x:c>
      <x:c r="K898" s="23" t="n">
        <x:f>RANK(J898,$J$2:$J$1401,1)</x:f>
        <x:v>1008</x:v>
      </x:c>
      <x:c r="L898" s="23" t="n">
        <x:f>IF(K898&lt;=7,1,0)</x:f>
        <x:v>0</x:v>
      </x:c>
      <x:c r="M898" s="23" t="n">
        <x:f>IF(L898=1,1/(J898+0.000001),0)</x:f>
        <x:v>0</x:v>
      </x:c>
      <x:c r="N898" s="23" t="n">
        <x:v>3.810042937447861</x:v>
      </x:c>
      <x:c r="O898" s="23" t="n">
        <x:f>M898</x:f>
        <x:v>0</x:v>
      </x:c>
      <x:c r="P898" s="23" t="n">
        <x:v>-23.730392054917502</x:v>
      </x:c>
      <x:c r="Q898" s="23" t="n">
        <x:v>-7.698554742822125</x:v>
      </x:c>
    </x:row>
    <x:row r="899">
      <x:c r="A899" s="23" t="str">
        <x:v>Switching</x:v>
      </x:c>
      <x:c r="B899" s="23" t="n">
        <x:v>977.7627324336208</x:v>
      </x:c>
      <x:c r="C899" s="23" t="n">
        <x:v>1022.9951641755179</x:v>
      </x:c>
      <x:c r="D899" s="23" t="n">
        <x:v>552.5190376676619</x:v>
      </x:c>
      <x:c r="E899" s="23" t="n">
        <x:v>139.75059629417956</x:v>
      </x:c>
      <x:c r="F899" s="23" t="n">
        <x:v>22.98759349482134</x:v>
      </x:c>
      <x:c r="G899" s="23" t="n">
        <x:v>0.8576310182968155</x:v>
      </x:c>
      <x:c r="H899" s="23" t="n">
        <x:v>14545</x:v>
      </x:c>
      <x:c r="I899" s="23" t="n">
        <x:v>1200</x:v>
      </x:c>
      <x:c r="J899" s="23" t="n">
        <x:f>(IF(A899='Hybrid Calculator'!$B$6,0,1))^2+((B899-'Hybrid Calculator'!$B$7)/1500)^2+((C899-'Hybrid Calculator'!$B$8)/1300)^2+((D899-'Hybrid Calculator'!$B$9)/800)^2+((E899-'Hybrid Calculator'!$B$10)/350)^2+((F899-'Hybrid Calculator'!$B$11)/30)^2+(G899-'Hybrid Calculator'!$B$12)^2+((H899-'Hybrid Calculator'!$E$14)/IF(A899="Lightning",100,30000))^2+((I899-'Hybrid Calculator'!$E$17)/IF(A899="Lightning",100,30000))^2</x:f>
        <x:v>1.3705503496468687</x:v>
      </x:c>
      <x:c r="K899" s="23" t="n">
        <x:f>RANK(J899,$J$2:$J$1401,1)</x:f>
        <x:v>890</x:v>
      </x:c>
      <x:c r="L899" s="23" t="n">
        <x:f>IF(K899&lt;=7,1,0)</x:f>
        <x:v>0</x:v>
      </x:c>
      <x:c r="M899" s="23" t="n">
        <x:f>IF(L899=1,1/(J899+0.000001),0)</x:f>
        <x:v>0</x:v>
      </x:c>
      <x:c r="N899" s="23" t="n">
        <x:v>-0.9981332602504551</x:v>
      </x:c>
      <x:c r="O899" s="23" t="n">
        <x:f>M899</x:f>
        <x:v>0</x:v>
      </x:c>
      <x:c r="P899" s="23" t="n">
        <x:v>-10.857387328167533</x:v>
      </x:c>
      <x:c r="Q899" s="23" t="n">
        <x:v>-5.804347050258684</x:v>
      </x:c>
    </x:row>
    <x:row r="900">
      <x:c r="A900" s="23" t="str">
        <x:v>Switching</x:v>
      </x:c>
      <x:c r="B900" s="23" t="n">
        <x:v>1052.3515853798017</x:v>
      </x:c>
      <x:c r="C900" s="23" t="n">
        <x:v>1068.279544787947</x:v>
      </x:c>
      <x:c r="D900" s="23" t="n">
        <x:v>388.6045169085264</x:v>
      </x:c>
      <x:c r="E900" s="23" t="n">
        <x:v>253.7089712987654</x:v>
      </x:c>
      <x:c r="F900" s="23" t="n">
        <x:v>28.633190219290555</x:v>
      </x:c>
      <x:c r="G900" s="23" t="n">
        <x:v>0.7968194636772387</x:v>
      </x:c>
      <x:c r="H900" s="23" t="n">
        <x:v>12500</x:v>
      </x:c>
      <x:c r="I900" s="23" t="n">
        <x:v>1200</x:v>
      </x:c>
      <x:c r="J900" s="23" t="n">
        <x:f>(IF(A900='Hybrid Calculator'!$B$6,0,1))^2+((B900-'Hybrid Calculator'!$B$7)/1500)^2+((C900-'Hybrid Calculator'!$B$8)/1300)^2+((D900-'Hybrid Calculator'!$B$9)/800)^2+((E900-'Hybrid Calculator'!$B$10)/350)^2+((F900-'Hybrid Calculator'!$B$11)/30)^2+(G900-'Hybrid Calculator'!$B$12)^2+((H900-'Hybrid Calculator'!$E$14)/IF(A900="Lightning",100,30000))^2+((I900-'Hybrid Calculator'!$E$17)/IF(A900="Lightning",100,30000))^2</x:f>
        <x:v>1.48548784520703</x:v>
      </x:c>
      <x:c r="K900" s="23" t="n">
        <x:f>RANK(J900,$J$2:$J$1401,1)</x:f>
        <x:v>1186</x:v>
      </x:c>
      <x:c r="L900" s="23" t="n">
        <x:f>IF(K900&lt;=7,1,0)</x:f>
        <x:v>0</x:v>
      </x:c>
      <x:c r="M900" s="23" t="n">
        <x:f>IF(L900=1,1/(J900+0.000001),0)</x:f>
        <x:v>0</x:v>
      </x:c>
      <x:c r="N900" s="23" t="n">
        <x:v>0.7525653393693119</x:v>
      </x:c>
      <x:c r="O900" s="23" t="n">
        <x:f>M900</x:f>
        <x:v>0</x:v>
      </x:c>
      <x:c r="P900" s="23" t="n">
        <x:v>1.7703861341324227</x:v>
      </x:c>
      <x:c r="Q900" s="23" t="n">
        <x:v>-10.10655514193627</x:v>
      </x:c>
    </x:row>
    <x:row r="901">
      <x:c r="A901" s="23" t="str">
        <x:v>Switching</x:v>
      </x:c>
      <x:c r="B901" s="23" t="n">
        <x:v>1019.4057583226822</x:v>
      </x:c>
      <x:c r="C901" s="23" t="n">
        <x:v>839.5564537961036</x:v>
      </x:c>
      <x:c r="D901" s="23" t="n">
        <x:v>448.27639488503337</x:v>
      </x:c>
      <x:c r="E901" s="23" t="n">
        <x:v>86.63949956651777</x:v>
      </x:c>
      <x:c r="F901" s="23" t="n">
        <x:v>23.138899705838412</x:v>
      </x:c>
      <x:c r="G901" s="23" t="n">
        <x:v>0.847992951180786</x:v>
      </x:c>
      <x:c r="H901" s="23" t="n">
        <x:v>15560</x:v>
      </x:c>
      <x:c r="I901" s="23" t="n">
        <x:v>1200</x:v>
      </x:c>
      <x:c r="J901" s="23" t="n">
        <x:f>(IF(A901='Hybrid Calculator'!$B$6,0,1))^2+((B901-'Hybrid Calculator'!$B$7)/1500)^2+((C901-'Hybrid Calculator'!$B$8)/1300)^2+((D901-'Hybrid Calculator'!$B$9)/800)^2+((E901-'Hybrid Calculator'!$B$10)/350)^2+((F901-'Hybrid Calculator'!$B$11)/30)^2+(G901-'Hybrid Calculator'!$B$12)^2+((H901-'Hybrid Calculator'!$E$14)/IF(A901="Lightning",100,30000))^2+((I901-'Hybrid Calculator'!$E$17)/IF(A901="Lightning",100,30000))^2</x:f>
        <x:v>1.403647754529406</x:v>
      </x:c>
      <x:c r="K901" s="23" t="n">
        <x:f>RANK(J901,$J$2:$J$1401,1)</x:f>
        <x:v>987</x:v>
      </x:c>
      <x:c r="L901" s="23" t="n">
        <x:f>IF(K901&lt;=7,1,0)</x:f>
        <x:v>0</x:v>
      </x:c>
      <x:c r="M901" s="23" t="n">
        <x:f>IF(L901=1,1/(J901+0.000001),0)</x:f>
        <x:v>0</x:v>
      </x:c>
      <x:c r="N901" s="23" t="n">
        <x:v>-2.2878686669953936</x:v>
      </x:c>
      <x:c r="O901" s="23" t="n">
        <x:f>M901</x:f>
        <x:v>0</x:v>
      </x:c>
      <x:c r="P901" s="23" t="n">
        <x:v>3.7692116805292244</x:v>
      </x:c>
      <x:c r="Q901" s="23" t="n">
        <x:v>-1.3796198303614347</x:v>
      </x:c>
    </x:row>
    <x:row r="902">
      <x:c r="A902" s="23" t="str">
        <x:v>Switching</x:v>
      </x:c>
      <x:c r="B902" s="23" t="n">
        <x:v>1024.369556689635</x:v>
      </x:c>
      <x:c r="C902" s="23" t="n">
        <x:v>1127.622378792148</x:v>
      </x:c>
      <x:c r="D902" s="23" t="n">
        <x:v>622.925035469234</x:v>
      </x:c>
      <x:c r="E902" s="23" t="n">
        <x:v>229.43225990282372</x:v>
      </x:c>
      <x:c r="F902" s="23" t="n">
        <x:v>11.645993195474148</x:v>
      </x:c>
      <x:c r="G902" s="23" t="n">
        <x:v>0.8536910654813983</x:v>
      </x:c>
      <x:c r="H902" s="23" t="n">
        <x:v>12600</x:v>
      </x:c>
      <x:c r="I902" s="23" t="n">
        <x:v>1200</x:v>
      </x:c>
      <x:c r="J902" s="23" t="n">
        <x:f>(IF(A902='Hybrid Calculator'!$B$6,0,1))^2+((B902-'Hybrid Calculator'!$B$7)/1500)^2+((C902-'Hybrid Calculator'!$B$8)/1300)^2+((D902-'Hybrid Calculator'!$B$9)/800)^2+((E902-'Hybrid Calculator'!$B$10)/350)^2+((F902-'Hybrid Calculator'!$B$11)/30)^2+(G902-'Hybrid Calculator'!$B$12)^2+((H902-'Hybrid Calculator'!$E$14)/IF(A902="Lightning",100,30000))^2+((I902-'Hybrid Calculator'!$E$17)/IF(A902="Lightning",100,30000))^2</x:f>
        <x:v>1.4219267349152696</x:v>
      </x:c>
      <x:c r="K902" s="23" t="n">
        <x:f>RANK(J902,$J$2:$J$1401,1)</x:f>
        <x:v>1043</x:v>
      </x:c>
      <x:c r="L902" s="23" t="n">
        <x:f>IF(K902&lt;=7,1,0)</x:f>
        <x:v>0</x:v>
      </x:c>
      <x:c r="M902" s="23" t="n">
        <x:f>IF(L902=1,1/(J902+0.000001),0)</x:f>
        <x:v>0</x:v>
      </x:c>
      <x:c r="N902" s="23" t="n">
        <x:v>3.4765889149844327</x:v>
      </x:c>
      <x:c r="O902" s="23" t="n">
        <x:f>M902</x:f>
        <x:v>0</x:v>
      </x:c>
      <x:c r="P902" s="23" t="n">
        <x:v>43.014344275485655</x:v>
      </x:c>
      <x:c r="Q902" s="23" t="n">
        <x:v>0.04980827196004611</x:v>
      </x:c>
    </x:row>
    <x:row r="903">
      <x:c r="A903" s="23" t="str">
        <x:v>Switching</x:v>
      </x:c>
      <x:c r="B903" s="23" t="n">
        <x:v>993.3320148964413</x:v>
      </x:c>
      <x:c r="C903" s="23" t="n">
        <x:v>849.1913441335782</x:v>
      </x:c>
      <x:c r="D903" s="23" t="n">
        <x:v>488.79269333556294</x:v>
      </x:c>
      <x:c r="E903" s="23" t="n">
        <x:v>81.4384794048965</x:v>
      </x:c>
      <x:c r="F903" s="23" t="n">
        <x:v>25.067461712751538</x:v>
      </x:c>
      <x:c r="G903" s="23" t="n">
        <x:v>0.8087756327679381</x:v>
      </x:c>
      <x:c r="H903" s="23" t="n">
        <x:v>15065</x:v>
      </x:c>
      <x:c r="I903" s="23" t="n">
        <x:v>1200</x:v>
      </x:c>
      <x:c r="J903" s="23" t="n">
        <x:f>(IF(A903='Hybrid Calculator'!$B$6,0,1))^2+((B903-'Hybrid Calculator'!$B$7)/1500)^2+((C903-'Hybrid Calculator'!$B$8)/1300)^2+((D903-'Hybrid Calculator'!$B$9)/800)^2+((E903-'Hybrid Calculator'!$B$10)/350)^2+((F903-'Hybrid Calculator'!$B$11)/30)^2+(G903-'Hybrid Calculator'!$B$12)^2+((H903-'Hybrid Calculator'!$E$14)/IF(A903="Lightning",100,30000))^2+((I903-'Hybrid Calculator'!$E$17)/IF(A903="Lightning",100,30000))^2</x:f>
        <x:v>1.4214703255428065</x:v>
      </x:c>
      <x:c r="K903" s="23" t="n">
        <x:f>RANK(J903,$J$2:$J$1401,1)</x:f>
        <x:v>1041</x:v>
      </x:c>
      <x:c r="L903" s="23" t="n">
        <x:f>IF(K903&lt;=7,1,0)</x:f>
        <x:v>0</x:v>
      </x:c>
      <x:c r="M903" s="23" t="n">
        <x:f>IF(L903=1,1/(J903+0.000001),0)</x:f>
        <x:v>0</x:v>
      </x:c>
      <x:c r="N903" s="23" t="n">
        <x:v>-1.2506569986675231</x:v>
      </x:c>
      <x:c r="O903" s="23" t="n">
        <x:f>M903</x:f>
        <x:v>0</x:v>
      </x:c>
      <x:c r="P903" s="23" t="n">
        <x:v>36.97918961772211</x:v>
      </x:c>
      <x:c r="Q903" s="23" t="n">
        <x:v>-3.1587603798658392</x:v>
      </x:c>
    </x:row>
    <x:row r="904">
      <x:c r="A904" s="23" t="str">
        <x:v>Switching</x:v>
      </x:c>
      <x:c r="B904" s="23" t="n">
        <x:v>1030.474580754526</x:v>
      </x:c>
      <x:c r="C904" s="23" t="n">
        <x:v>760.0760340807028</x:v>
      </x:c>
      <x:c r="D904" s="23" t="n">
        <x:v>420.1983779668808</x:v>
      </x:c>
      <x:c r="E904" s="23" t="n">
        <x:v>235.94531962415203</x:v>
      </x:c>
      <x:c r="F904" s="23" t="n">
        <x:v>24.910465869121253</x:v>
      </x:c>
      <x:c r="G904" s="23" t="n">
        <x:v>0.8548909369087778</x:v>
      </x:c>
      <x:c r="H904" s="23" t="n">
        <x:v>15100</x:v>
      </x:c>
      <x:c r="I904" s="23" t="n">
        <x:v>1200</x:v>
      </x:c>
      <x:c r="J904" s="23" t="n">
        <x:f>(IF(A904='Hybrid Calculator'!$B$6,0,1))^2+((B904-'Hybrid Calculator'!$B$7)/1500)^2+((C904-'Hybrid Calculator'!$B$8)/1300)^2+((D904-'Hybrid Calculator'!$B$9)/800)^2+((E904-'Hybrid Calculator'!$B$10)/350)^2+((F904-'Hybrid Calculator'!$B$11)/30)^2+(G904-'Hybrid Calculator'!$B$12)^2+((H904-'Hybrid Calculator'!$E$14)/IF(A904="Lightning",100,30000))^2+((I904-'Hybrid Calculator'!$E$17)/IF(A904="Lightning",100,30000))^2</x:f>
        <x:v>1.4442928748259132</x:v>
      </x:c>
      <x:c r="K904" s="23" t="n">
        <x:f>RANK(J904,$J$2:$J$1401,1)</x:f>
        <x:v>1095</x:v>
      </x:c>
      <x:c r="L904" s="23" t="n">
        <x:f>IF(K904&lt;=7,1,0)</x:f>
        <x:v>0</x:v>
      </x:c>
      <x:c r="M904" s="23" t="n">
        <x:f>IF(L904=1,1/(J904+0.000001),0)</x:f>
        <x:v>0</x:v>
      </x:c>
      <x:c r="N904" s="23" t="n">
        <x:v>-4.107195996027002</x:v>
      </x:c>
      <x:c r="O904" s="23" t="n">
        <x:f>M904</x:f>
        <x:v>0</x:v>
      </x:c>
      <x:c r="P904" s="23" t="n">
        <x:v>27.716930110426347</x:v>
      </x:c>
      <x:c r="Q904" s="23" t="n">
        <x:v>-5.238757112229678</x:v>
      </x:c>
    </x:row>
    <x:row r="905">
      <x:c r="A905" s="23" t="str">
        <x:v>Switching</x:v>
      </x:c>
      <x:c r="B905" s="23" t="n">
        <x:v>1049.475077248644</x:v>
      </x:c>
      <x:c r="C905" s="23" t="n">
        <x:v>982.9258126206696</x:v>
      </x:c>
      <x:c r="D905" s="23" t="n">
        <x:v>591.0440630279481</x:v>
      </x:c>
      <x:c r="E905" s="23" t="n">
        <x:v>307.1492403233424</x:v>
      </x:c>
      <x:c r="F905" s="23" t="n">
        <x:v>21.04742601281032</x:v>
      </x:c>
      <x:c r="G905" s="23" t="n">
        <x:v>0.8217464906815439</x:v>
      </x:c>
      <x:c r="H905" s="23" t="n">
        <x:v>11370</x:v>
      </x:c>
      <x:c r="I905" s="23" t="n">
        <x:v>1195</x:v>
      </x:c>
      <x:c r="J905" s="23" t="n">
        <x:f>(IF(A905='Hybrid Calculator'!$B$6,0,1))^2+((B905-'Hybrid Calculator'!$B$7)/1500)^2+((C905-'Hybrid Calculator'!$B$8)/1300)^2+((D905-'Hybrid Calculator'!$B$9)/800)^2+((E905-'Hybrid Calculator'!$B$10)/350)^2+((F905-'Hybrid Calculator'!$B$11)/30)^2+(G905-'Hybrid Calculator'!$B$12)^2+((H905-'Hybrid Calculator'!$E$14)/IF(A905="Lightning",100,30000))^2+((I905-'Hybrid Calculator'!$E$17)/IF(A905="Lightning",100,30000))^2</x:f>
        <x:v>1.4387958500032858</x:v>
      </x:c>
      <x:c r="K905" s="23" t="n">
        <x:f>RANK(J905,$J$2:$J$1401,1)</x:f>
        <x:v>1082</x:v>
      </x:c>
      <x:c r="L905" s="23" t="n">
        <x:f>IF(K905&lt;=7,1,0)</x:f>
        <x:v>0</x:v>
      </x:c>
      <x:c r="M905" s="23" t="n">
        <x:f>IF(L905=1,1/(J905+0.000001),0)</x:f>
        <x:v>0</x:v>
      </x:c>
      <x:c r="N905" s="23" t="n">
        <x:v>2.5340072582261826</x:v>
      </x:c>
      <x:c r="O905" s="23" t="n">
        <x:f>M905</x:f>
        <x:v>0</x:v>
      </x:c>
      <x:c r="P905" s="23" t="n">
        <x:v>14.302836246374682</x:v>
      </x:c>
      <x:c r="Q905" s="23" t="n">
        <x:v>-2.807342326064145</x:v>
      </x:c>
    </x:row>
    <x:row r="906">
      <x:c r="A906" s="23" t="str">
        <x:v>Switching</x:v>
      </x:c>
      <x:c r="B906" s="23" t="n">
        <x:v>955.8521660044789</x:v>
      </x:c>
      <x:c r="C906" s="23" t="n">
        <x:v>1085.4581386200152</x:v>
      </x:c>
      <x:c r="D906" s="23" t="n">
        <x:v>418.69579274207354</x:v>
      </x:c>
      <x:c r="E906" s="23" t="n">
        <x:v>304.2757431813516</x:v>
      </x:c>
      <x:c r="F906" s="23" t="n">
        <x:v>20.3583620544523</x:v>
      </x:c>
      <x:c r="G906" s="23" t="n">
        <x:v>0.8402478537824937</x:v>
      </x:c>
      <x:c r="H906" s="23" t="n">
        <x:v>13795</x:v>
      </x:c>
      <x:c r="I906" s="23" t="n">
        <x:v>1200</x:v>
      </x:c>
      <x:c r="J906" s="23" t="n">
        <x:f>(IF(A906='Hybrid Calculator'!$B$6,0,1))^2+((B906-'Hybrid Calculator'!$B$7)/1500)^2+((C906-'Hybrid Calculator'!$B$8)/1300)^2+((D906-'Hybrid Calculator'!$B$9)/800)^2+((E906-'Hybrid Calculator'!$B$10)/350)^2+((F906-'Hybrid Calculator'!$B$11)/30)^2+(G906-'Hybrid Calculator'!$B$12)^2+((H906-'Hybrid Calculator'!$E$14)/IF(A906="Lightning",100,30000))^2+((I906-'Hybrid Calculator'!$E$17)/IF(A906="Lightning",100,30000))^2</x:f>
        <x:v>1.5509476928288495</x:v>
      </x:c>
      <x:c r="K906" s="23" t="n">
        <x:f>RANK(J906,$J$2:$J$1401,1)</x:f>
        <x:v>1302</x:v>
      </x:c>
      <x:c r="L906" s="23" t="n">
        <x:f>IF(K906&lt;=7,1,0)</x:f>
        <x:v>0</x:v>
      </x:c>
      <x:c r="M906" s="23" t="n">
        <x:f>IF(L906=1,1/(J906+0.000001),0)</x:f>
        <x:v>0</x:v>
      </x:c>
      <x:c r="N906" s="23" t="n">
        <x:v>-0.10188013703552201</x:v>
      </x:c>
      <x:c r="O906" s="23" t="n">
        <x:f>M906</x:f>
        <x:v>0</x:v>
      </x:c>
      <x:c r="P906" s="23" t="n">
        <x:v>5.922141473320153</x:v>
      </x:c>
      <x:c r="Q906" s="23" t="n">
        <x:v>-6.857178018491368</x:v>
      </x:c>
    </x:row>
    <x:row r="907">
      <x:c r="A907" s="23" t="str">
        <x:v>Switching</x:v>
      </x:c>
      <x:c r="B907" s="23" t="n">
        <x:v>998.3917251811363</x:v>
      </x:c>
      <x:c r="C907" s="23" t="n">
        <x:v>694.3250827724114</x:v>
      </x:c>
      <x:c r="D907" s="23" t="n">
        <x:v>603.4436495043337</x:v>
      </x:c>
      <x:c r="E907" s="23" t="n">
        <x:v>195.6989939045161</x:v>
      </x:c>
      <x:c r="F907" s="23" t="n">
        <x:v>23.562439892906696</x:v>
      </x:c>
      <x:c r="G907" s="23" t="n">
        <x:v>0.858269841563888</x:v>
      </x:c>
      <x:c r="H907" s="23" t="n">
        <x:v>16705</x:v>
      </x:c>
      <x:c r="I907" s="23" t="n">
        <x:v>1200</x:v>
      </x:c>
      <x:c r="J907" s="23" t="n">
        <x:f>(IF(A907='Hybrid Calculator'!$B$6,0,1))^2+((B907-'Hybrid Calculator'!$B$7)/1500)^2+((C907-'Hybrid Calculator'!$B$8)/1300)^2+((D907-'Hybrid Calculator'!$B$9)/800)^2+((E907-'Hybrid Calculator'!$B$10)/350)^2+((F907-'Hybrid Calculator'!$B$11)/30)^2+(G907-'Hybrid Calculator'!$B$12)^2+((H907-'Hybrid Calculator'!$E$14)/IF(A907="Lightning",100,30000))^2+((I907-'Hybrid Calculator'!$E$17)/IF(A907="Lightning",100,30000))^2</x:f>
        <x:v>1.4686788847407268</x:v>
      </x:c>
      <x:c r="K907" s="23" t="n">
        <x:f>RANK(J907,$J$2:$J$1401,1)</x:f>
        <x:v>1154</x:v>
      </x:c>
      <x:c r="L907" s="23" t="n">
        <x:f>IF(K907&lt;=7,1,0)</x:f>
        <x:v>0</x:v>
      </x:c>
      <x:c r="M907" s="23" t="n">
        <x:f>IF(L907=1,1/(J907+0.000001),0)</x:f>
        <x:v>0</x:v>
      </x:c>
      <x:c r="N907" s="23" t="n">
        <x:v>0.8985486416644903</x:v>
      </x:c>
      <x:c r="O907" s="23" t="n">
        <x:f>M907</x:f>
        <x:v>0</x:v>
      </x:c>
      <x:c r="P907" s="23" t="n">
        <x:v>-17.648706804787253</x:v>
      </x:c>
      <x:c r="Q907" s="23" t="n">
        <x:v>-4.798063692169762</x:v>
      </x:c>
    </x:row>
    <x:row r="908">
      <x:c r="A908" s="23" t="str">
        <x:v>Switching</x:v>
      </x:c>
      <x:c r="B908" s="23" t="n">
        <x:v>1073.8592910347506</x:v>
      </x:c>
      <x:c r="C908" s="23" t="n">
        <x:v>694.5525283575989</x:v>
      </x:c>
      <x:c r="D908" s="23" t="n">
        <x:v>381.20530135929585</x:v>
      </x:c>
      <x:c r="E908" s="23" t="n">
        <x:v>141.6701694088988</x:v>
      </x:c>
      <x:c r="F908" s="23" t="n">
        <x:v>16.602205962873995</x:v>
      </x:c>
      <x:c r="G908" s="23" t="n">
        <x:v>0.7965986080351286</x:v>
      </x:c>
      <x:c r="H908" s="23" t="n">
        <x:v>17565</x:v>
      </x:c>
      <x:c r="I908" s="23" t="n">
        <x:v>1200</x:v>
      </x:c>
      <x:c r="J908" s="23" t="n">
        <x:f>(IF(A908='Hybrid Calculator'!$B$6,0,1))^2+((B908-'Hybrid Calculator'!$B$7)/1500)^2+((C908-'Hybrid Calculator'!$B$8)/1300)^2+((D908-'Hybrid Calculator'!$B$9)/800)^2+((E908-'Hybrid Calculator'!$B$10)/350)^2+((F908-'Hybrid Calculator'!$B$11)/30)^2+(G908-'Hybrid Calculator'!$B$12)^2+((H908-'Hybrid Calculator'!$E$14)/IF(A908="Lightning",100,30000))^2+((I908-'Hybrid Calculator'!$E$17)/IF(A908="Lightning",100,30000))^2</x:f>
        <x:v>1.4386596007673054</x:v>
      </x:c>
      <x:c r="K908" s="23" t="n">
        <x:f>RANK(J908,$J$2:$J$1401,1)</x:f>
        <x:v>1081</x:v>
      </x:c>
      <x:c r="L908" s="23" t="n">
        <x:f>IF(K908&lt;=7,1,0)</x:f>
        <x:v>0</x:v>
      </x:c>
      <x:c r="M908" s="23" t="n">
        <x:f>IF(L908=1,1/(J908+0.000001),0)</x:f>
        <x:v>0</x:v>
      </x:c>
      <x:c r="N908" s="23" t="n">
        <x:v>-3.952051930907942</x:v>
      </x:c>
      <x:c r="O908" s="23" t="n">
        <x:f>M908</x:f>
        <x:v>0</x:v>
      </x:c>
      <x:c r="P908" s="23" t="n">
        <x:v>-21.208043779374748</x:v>
      </x:c>
      <x:c r="Q908" s="23" t="n">
        <x:v>15.625290215574978</x:v>
      </x:c>
    </x:row>
    <x:row r="909">
      <x:c r="A909" s="23" t="str">
        <x:v>Switching</x:v>
      </x:c>
      <x:c r="B909" s="23" t="n">
        <x:v>1080.9174569672905</x:v>
      </x:c>
      <x:c r="C909" s="23" t="n">
        <x:v>883.697592234239</x:v>
      </x:c>
      <x:c r="D909" s="23" t="n">
        <x:v>435.0202332250774</x:v>
      </x:c>
      <x:c r="E909" s="23" t="n">
        <x:v>328.83510067593306</x:v>
      </x:c>
      <x:c r="F909" s="23" t="n">
        <x:v>12.837324860971421</x:v>
      </x:c>
      <x:c r="G909" s="23" t="n">
        <x:v>0.8134108759090305</x:v>
      </x:c>
      <x:c r="H909" s="23" t="n">
        <x:v>12980</x:v>
      </x:c>
      <x:c r="I909" s="23" t="n">
        <x:v>1200</x:v>
      </x:c>
      <x:c r="J909" s="23" t="n">
        <x:f>(IF(A909='Hybrid Calculator'!$B$6,0,1))^2+((B909-'Hybrid Calculator'!$B$7)/1500)^2+((C909-'Hybrid Calculator'!$B$8)/1300)^2+((D909-'Hybrid Calculator'!$B$9)/800)^2+((E909-'Hybrid Calculator'!$B$10)/350)^2+((F909-'Hybrid Calculator'!$B$11)/30)^2+(G909-'Hybrid Calculator'!$B$12)^2+((H909-'Hybrid Calculator'!$E$14)/IF(A909="Lightning",100,30000))^2+((I909-'Hybrid Calculator'!$E$17)/IF(A909="Lightning",100,30000))^2</x:f>
        <x:v>1.5439330902785762</x:v>
      </x:c>
      <x:c r="K909" s="23" t="n">
        <x:f>RANK(J909,$J$2:$J$1401,1)</x:f>
        <x:v>1290</x:v>
      </x:c>
      <x:c r="L909" s="23" t="n">
        <x:f>IF(K909&lt;=7,1,0)</x:f>
        <x:v>0</x:v>
      </x:c>
      <x:c r="M909" s="23" t="n">
        <x:f>IF(L909=1,1/(J909+0.000001),0)</x:f>
        <x:v>0</x:v>
      </x:c>
      <x:c r="N909" s="23" t="n">
        <x:v>3.2142243720754493</x:v>
      </x:c>
      <x:c r="O909" s="23" t="n">
        <x:f>M909</x:f>
        <x:v>0</x:v>
      </x:c>
      <x:c r="P909" s="23" t="n">
        <x:v>31.857441996262423</x:v>
      </x:c>
      <x:c r="Q909" s="23" t="n">
        <x:v>4.337349519631971</x:v>
      </x:c>
    </x:row>
    <x:row r="910">
      <x:c r="A910" s="23" t="str">
        <x:v>Switching</x:v>
      </x:c>
      <x:c r="B910" s="23" t="n">
        <x:v>968.3276997413486</x:v>
      </x:c>
      <x:c r="C910" s="23" t="n">
        <x:v>1032.5627117301337</x:v>
      </x:c>
      <x:c r="D910" s="23" t="n">
        <x:v>412.26878967136145</x:v>
      </x:c>
      <x:c r="E910" s="23" t="n">
        <x:v>112.22182003082708</x:v>
      </x:c>
      <x:c r="F910" s="23" t="n">
        <x:v>15.392334897071123</x:v>
      </x:c>
      <x:c r="G910" s="23" t="n">
        <x:v>0.8582119540893474</x:v>
      </x:c>
      <x:c r="H910" s="23" t="n">
        <x:v>16025</x:v>
      </x:c>
      <x:c r="I910" s="23" t="n">
        <x:v>1200</x:v>
      </x:c>
      <x:c r="J910" s="23" t="n">
        <x:f>(IF(A910='Hybrid Calculator'!$B$6,0,1))^2+((B910-'Hybrid Calculator'!$B$7)/1500)^2+((C910-'Hybrid Calculator'!$B$8)/1300)^2+((D910-'Hybrid Calculator'!$B$9)/800)^2+((E910-'Hybrid Calculator'!$B$10)/350)^2+((F910-'Hybrid Calculator'!$B$11)/30)^2+(G910-'Hybrid Calculator'!$B$12)^2+((H910-'Hybrid Calculator'!$E$14)/IF(A910="Lightning",100,30000))^2+((I910-'Hybrid Calculator'!$E$17)/IF(A910="Lightning",100,30000))^2</x:f>
        <x:v>1.4333679052548651</x:v>
      </x:c>
      <x:c r="K910" s="23" t="n">
        <x:f>RANK(J910,$J$2:$J$1401,1)</x:f>
        <x:v>1064</x:v>
      </x:c>
      <x:c r="L910" s="23" t="n">
        <x:f>IF(K910&lt;=7,1,0)</x:f>
        <x:v>0</x:v>
      </x:c>
      <x:c r="M910" s="23" t="n">
        <x:f>IF(L910=1,1/(J910+0.000001),0)</x:f>
        <x:v>0</x:v>
      </x:c>
      <x:c r="N910" s="23" t="n">
        <x:v>0.10487628106761804</x:v>
      </x:c>
      <x:c r="O910" s="23" t="n">
        <x:f>M910</x:f>
        <x:v>0</x:v>
      </x:c>
      <x:c r="P910" s="23" t="n">
        <x:v>9.827034895247834</x:v>
      </x:c>
      <x:c r="Q910" s="23" t="n">
        <x:v>-0.3876421200970981</x:v>
      </x:c>
    </x:row>
    <x:row r="911">
      <x:c r="A911" s="23" t="str">
        <x:v>Switching</x:v>
      </x:c>
      <x:c r="B911" s="23" t="n">
        <x:v>1058.9851806056686</x:v>
      </x:c>
      <x:c r="C911" s="23" t="n">
        <x:v>1003.6840011132881</x:v>
      </x:c>
      <x:c r="D911" s="23" t="n">
        <x:v>482.5521712191403</x:v>
      </x:c>
      <x:c r="E911" s="23" t="n">
        <x:v>140.76608039438725</x:v>
      </x:c>
      <x:c r="F911" s="23" t="n">
        <x:v>27.27072053635493</x:v>
      </x:c>
      <x:c r="G911" s="23" t="n">
        <x:v>0.8132090459717438</x:v>
      </x:c>
      <x:c r="H911" s="23" t="n">
        <x:v>13145</x:v>
      </x:c>
      <x:c r="I911" s="23" t="n">
        <x:v>1200</x:v>
      </x:c>
      <x:c r="J911" s="23" t="n">
        <x:f>(IF(A911='Hybrid Calculator'!$B$6,0,1))^2+((B911-'Hybrid Calculator'!$B$7)/1500)^2+((C911-'Hybrid Calculator'!$B$8)/1300)^2+((D911-'Hybrid Calculator'!$B$9)/800)^2+((E911-'Hybrid Calculator'!$B$10)/350)^2+((F911-'Hybrid Calculator'!$B$11)/30)^2+(G911-'Hybrid Calculator'!$B$12)^2+((H911-'Hybrid Calculator'!$E$14)/IF(A911="Lightning",100,30000))^2+((I911-'Hybrid Calculator'!$E$17)/IF(A911="Lightning",100,30000))^2</x:f>
        <x:v>1.3522733516287544</x:v>
      </x:c>
      <x:c r="K911" s="23" t="n">
        <x:f>RANK(J911,$J$2:$J$1401,1)</x:f>
        <x:v>836</x:v>
      </x:c>
      <x:c r="L911" s="23" t="n">
        <x:f>IF(K911&lt;=7,1,0)</x:f>
        <x:v>0</x:v>
      </x:c>
      <x:c r="M911" s="23" t="n">
        <x:f>IF(L911=1,1/(J911+0.000001),0)</x:f>
        <x:v>0</x:v>
      </x:c>
      <x:c r="N911" s="23" t="n">
        <x:v>-1.4379073050911302</x:v>
      </x:c>
      <x:c r="O911" s="23" t="n">
        <x:f>M911</x:f>
        <x:v>0</x:v>
      </x:c>
      <x:c r="P911" s="23" t="n">
        <x:v>7.443102560218449</x:v>
      </x:c>
      <x:c r="Q911" s="23" t="n">
        <x:v>-8.586212803907983</x:v>
      </x:c>
    </x:row>
    <x:row r="912">
      <x:c r="A912" s="23" t="str">
        <x:v>Switching</x:v>
      </x:c>
      <x:c r="B912" s="23" t="n">
        <x:v>977.0341270137578</x:v>
      </x:c>
      <x:c r="C912" s="23" t="n">
        <x:v>884.6036750706844</x:v>
      </x:c>
      <x:c r="D912" s="23" t="n">
        <x:v>556.5792081877589</x:v>
      </x:c>
      <x:c r="E912" s="23" t="n">
        <x:v>299.3349490989931</x:v>
      </x:c>
      <x:c r="F912" s="23" t="n">
        <x:v>13.73460753262043</x:v>
      </x:c>
      <x:c r="G912" s="23" t="n">
        <x:v>0.8561714149848558</x:v>
      </x:c>
      <x:c r="H912" s="23" t="n">
        <x:v>14335</x:v>
      </x:c>
      <x:c r="I912" s="23" t="n">
        <x:v>1200</x:v>
      </x:c>
      <x:c r="J912" s="23" t="n">
        <x:f>(IF(A912='Hybrid Calculator'!$B$6,0,1))^2+((B912-'Hybrid Calculator'!$B$7)/1500)^2+((C912-'Hybrid Calculator'!$B$8)/1300)^2+((D912-'Hybrid Calculator'!$B$9)/800)^2+((E912-'Hybrid Calculator'!$B$10)/350)^2+((F912-'Hybrid Calculator'!$B$11)/30)^2+(G912-'Hybrid Calculator'!$B$12)^2+((H912-'Hybrid Calculator'!$E$14)/IF(A912="Lightning",100,30000))^2+((I912-'Hybrid Calculator'!$E$17)/IF(A912="Lightning",100,30000))^2</x:f>
        <x:v>1.531756264055167</x:v>
      </x:c>
      <x:c r="K912" s="23" t="n">
        <x:f>RANK(J912,$J$2:$J$1401,1)</x:f>
        <x:v>1268</x:v>
      </x:c>
      <x:c r="L912" s="23" t="n">
        <x:f>IF(K912&lt;=7,1,0)</x:f>
        <x:v>0</x:v>
      </x:c>
      <x:c r="M912" s="23" t="n">
        <x:f>IF(L912=1,1/(J912+0.000001),0)</x:f>
        <x:v>0</x:v>
      </x:c>
      <x:c r="N912" s="23" t="n">
        <x:v>2.4008902320819345</x:v>
      </x:c>
      <x:c r="O912" s="23" t="n">
        <x:f>M912</x:f>
        <x:v>0</x:v>
      </x:c>
      <x:c r="P912" s="23" t="n">
        <x:v>36.34163029293677</x:v>
      </x:c>
      <x:c r="Q912" s="23" t="n">
        <x:v>5.376000846397687</x:v>
      </x:c>
    </x:row>
    <x:row r="913">
      <x:c r="A913" s="23" t="str">
        <x:v>Switching</x:v>
      </x:c>
      <x:c r="B913" s="23" t="n">
        <x:v>1092.6877384190448</x:v>
      </x:c>
      <x:c r="C913" s="23" t="n">
        <x:v>787.2093444457278</x:v>
      </x:c>
      <x:c r="D913" s="23" t="n">
        <x:v>496.158589143306</x:v>
      </x:c>
      <x:c r="E913" s="23" t="n">
        <x:v>280.0130941160023</x:v>
      </x:c>
      <x:c r="F913" s="23" t="n">
        <x:v>17.196038013789803</x:v>
      </x:c>
      <x:c r="G913" s="23" t="n">
        <x:v>0.8293539964174852</x:v>
      </x:c>
      <x:c r="H913" s="23" t="n">
        <x:v>13680</x:v>
      </x:c>
      <x:c r="I913" s="23" t="n">
        <x:v>1200</x:v>
      </x:c>
      <x:c r="J913" s="23" t="n">
        <x:f>(IF(A913='Hybrid Calculator'!$B$6,0,1))^2+((B913-'Hybrid Calculator'!$B$7)/1500)^2+((C913-'Hybrid Calculator'!$B$8)/1300)^2+((D913-'Hybrid Calculator'!$B$9)/800)^2+((E913-'Hybrid Calculator'!$B$10)/350)^2+((F913-'Hybrid Calculator'!$B$11)/30)^2+(G913-'Hybrid Calculator'!$B$12)^2+((H913-'Hybrid Calculator'!$E$14)/IF(A913="Lightning",100,30000))^2+((I913-'Hybrid Calculator'!$E$17)/IF(A913="Lightning",100,30000))^2</x:f>
        <x:v>1.399353155717495</x:v>
      </x:c>
      <x:c r="K913" s="23" t="n">
        <x:f>RANK(J913,$J$2:$J$1401,1)</x:f>
        <x:v>975</x:v>
      </x:c>
      <x:c r="L913" s="23" t="n">
        <x:f>IF(K913&lt;=7,1,0)</x:f>
        <x:v>0</x:v>
      </x:c>
      <x:c r="M913" s="23" t="n">
        <x:f>IF(L913=1,1/(J913+0.000001),0)</x:f>
        <x:v>0</x:v>
      </x:c>
      <x:c r="N913" s="23" t="n">
        <x:v>-2.1551631491348076</x:v>
      </x:c>
      <x:c r="O913" s="23" t="n">
        <x:f>M913</x:f>
        <x:v>0</x:v>
      </x:c>
      <x:c r="P913" s="23" t="n">
        <x:v>-12.933008527183574</x:v>
      </x:c>
      <x:c r="Q913" s="23" t="n">
        <x:v>0.4928308855796786</x:v>
      </x:c>
    </x:row>
    <x:row r="914">
      <x:c r="A914" s="23" t="str">
        <x:v>Switching</x:v>
      </x:c>
      <x:c r="B914" s="23" t="n">
        <x:v>1080.4182631196454</x:v>
      </x:c>
      <x:c r="C914" s="23" t="n">
        <x:v>1227.594169427175</x:v>
      </x:c>
      <x:c r="D914" s="23" t="n">
        <x:v>435.1138159632683</x:v>
      </x:c>
      <x:c r="E914" s="23" t="n">
        <x:v>185.5896551697515</x:v>
      </x:c>
      <x:c r="F914" s="23" t="n">
        <x:v>23.821381296031177</x:v>
      </x:c>
      <x:c r="G914" s="23" t="n">
        <x:v>0.8278485917649232</x:v>
      </x:c>
      <x:c r="H914" s="23" t="n">
        <x:v>11570</x:v>
      </x:c>
      <x:c r="I914" s="23" t="n">
        <x:v>1195</x:v>
      </x:c>
      <x:c r="J914" s="23" t="n">
        <x:f>(IF(A914='Hybrid Calculator'!$B$6,0,1))^2+((B914-'Hybrid Calculator'!$B$7)/1500)^2+((C914-'Hybrid Calculator'!$B$8)/1300)^2+((D914-'Hybrid Calculator'!$B$9)/800)^2+((E914-'Hybrid Calculator'!$B$10)/350)^2+((F914-'Hybrid Calculator'!$B$11)/30)^2+(G914-'Hybrid Calculator'!$B$12)^2+((H914-'Hybrid Calculator'!$E$14)/IF(A914="Lightning",100,30000))^2+((I914-'Hybrid Calculator'!$E$17)/IF(A914="Lightning",100,30000))^2</x:f>
        <x:v>1.3345574018781272</x:v>
      </x:c>
      <x:c r="K914" s="23" t="n">
        <x:f>RANK(J914,$J$2:$J$1401,1)</x:f>
        <x:v>786</x:v>
      </x:c>
      <x:c r="L914" s="23" t="n">
        <x:f>IF(K914&lt;=7,1,0)</x:f>
        <x:v>0</x:v>
      </x:c>
      <x:c r="M914" s="23" t="n">
        <x:f>IF(L914=1,1/(J914+0.000001),0)</x:f>
        <x:v>0</x:v>
      </x:c>
      <x:c r="N914" s="23" t="n">
        <x:v>-1.6343875846487776</x:v>
      </x:c>
      <x:c r="O914" s="23" t="n">
        <x:f>M914</x:f>
        <x:v>0</x:v>
      </x:c>
      <x:c r="P914" s="23" t="n">
        <x:v>61.23854325622551</x:v>
      </x:c>
      <x:c r="Q914" s="23" t="n">
        <x:v>-16.572527580071437</x:v>
      </x:c>
    </x:row>
    <x:row r="915">
      <x:c r="A915" s="23" t="str">
        <x:v>Switching</x:v>
      </x:c>
      <x:c r="B915" s="23" t="n">
        <x:v>962.0882074232213</x:v>
      </x:c>
      <x:c r="C915" s="23" t="n">
        <x:v>638.4424447081983</x:v>
      </x:c>
      <x:c r="D915" s="23" t="n">
        <x:v>727.6751360855997</x:v>
      </x:c>
      <x:c r="E915" s="23" t="n">
        <x:v>205.20004494581372</x:v>
      </x:c>
      <x:c r="F915" s="23" t="n">
        <x:v>22.417077293153852</x:v>
      </x:c>
      <x:c r="G915" s="23" t="n">
        <x:v>0.8306473528314382</x:v>
      </x:c>
      <x:c r="H915" s="23" t="n">
        <x:v>15880</x:v>
      </x:c>
      <x:c r="I915" s="23" t="n">
        <x:v>1200</x:v>
      </x:c>
      <x:c r="J915" s="23" t="n">
        <x:f>(IF(A915='Hybrid Calculator'!$B$6,0,1))^2+((B915-'Hybrid Calculator'!$B$7)/1500)^2+((C915-'Hybrid Calculator'!$B$8)/1300)^2+((D915-'Hybrid Calculator'!$B$9)/800)^2+((E915-'Hybrid Calculator'!$B$10)/350)^2+((F915-'Hybrid Calculator'!$B$11)/30)^2+(G915-'Hybrid Calculator'!$B$12)^2+((H915-'Hybrid Calculator'!$E$14)/IF(A915="Lightning",100,30000))^2+((I915-'Hybrid Calculator'!$E$17)/IF(A915="Lightning",100,30000))^2</x:f>
        <x:v>1.524717375150355</x:v>
      </x:c>
      <x:c r="K915" s="23" t="n">
        <x:f>RANK(J915,$J$2:$J$1401,1)</x:f>
        <x:v>1255</x:v>
      </x:c>
      <x:c r="L915" s="23" t="n">
        <x:f>IF(K915&lt;=7,1,0)</x:f>
        <x:v>0</x:v>
      </x:c>
      <x:c r="M915" s="23" t="n">
        <x:f>IF(L915=1,1/(J915+0.000001),0)</x:f>
        <x:v>0</x:v>
      </x:c>
      <x:c r="N915" s="23" t="n">
        <x:v>0.4181192492508785</x:v>
      </x:c>
      <x:c r="O915" s="23" t="n">
        <x:f>M915</x:f>
        <x:v>0</x:v>
      </x:c>
      <x:c r="P915" s="23" t="n">
        <x:v>-70.02471694613496</x:v>
      </x:c>
      <x:c r="Q915" s="23" t="n">
        <x:v>-6.2841068247020075</x:v>
      </x:c>
    </x:row>
    <x:row r="916">
      <x:c r="A916" s="23" t="str">
        <x:v>Switching</x:v>
      </x:c>
      <x:c r="B916" s="23" t="n">
        <x:v>1018.0134937167168</x:v>
      </x:c>
      <x:c r="C916" s="23" t="n">
        <x:v>1016.169060242828</x:v>
      </x:c>
      <x:c r="D916" s="23" t="n">
        <x:v>416.7353080585599</x:v>
      </x:c>
      <x:c r="E916" s="23" t="n">
        <x:v>256.9208522164263</x:v>
      </x:c>
      <x:c r="F916" s="23" t="n">
        <x:v>29.168623534962535</x:v>
      </x:c>
      <x:c r="G916" s="23" t="n">
        <x:v>0.7972641829145142</x:v>
      </x:c>
      <x:c r="H916" s="23" t="n">
        <x:v>12655</x:v>
      </x:c>
      <x:c r="I916" s="23" t="n">
        <x:v>1200</x:v>
      </x:c>
      <x:c r="J916" s="23" t="n">
        <x:f>(IF(A916='Hybrid Calculator'!$B$6,0,1))^2+((B916-'Hybrid Calculator'!$B$7)/1500)^2+((C916-'Hybrid Calculator'!$B$8)/1300)^2+((D916-'Hybrid Calculator'!$B$9)/800)^2+((E916-'Hybrid Calculator'!$B$10)/350)^2+((F916-'Hybrid Calculator'!$B$11)/30)^2+(G916-'Hybrid Calculator'!$B$12)^2+((H916-'Hybrid Calculator'!$E$14)/IF(A916="Lightning",100,30000))^2+((I916-'Hybrid Calculator'!$E$17)/IF(A916="Lightning",100,30000))^2</x:f>
        <x:v>1.4991684013632993</x:v>
      </x:c>
      <x:c r="K916" s="23" t="n">
        <x:f>RANK(J916,$J$2:$J$1401,1)</x:f>
        <x:v>1209</x:v>
      </x:c>
      <x:c r="L916" s="23" t="n">
        <x:f>IF(K916&lt;=7,1,0)</x:f>
        <x:v>0</x:v>
      </x:c>
      <x:c r="M916" s="23" t="n">
        <x:f>IF(L916=1,1/(J916+0.000001),0)</x:f>
        <x:v>0</x:v>
      </x:c>
      <x:c r="N916" s="23" t="n">
        <x:v>0.33792635420377337</x:v>
      </x:c>
      <x:c r="O916" s="23" t="n">
        <x:f>M916</x:f>
        <x:v>0</x:v>
      </x:c>
      <x:c r="P916" s="23" t="n">
        <x:v>-26.566933263644387</x:v>
      </x:c>
      <x:c r="Q916" s="23" t="n">
        <x:v>-7.657872462347882</x:v>
      </x:c>
    </x:row>
    <x:row r="917">
      <x:c r="A917" s="23" t="str">
        <x:v>Switching</x:v>
      </x:c>
      <x:c r="B917" s="23" t="n">
        <x:v>996.3513022870757</x:v>
      </x:c>
      <x:c r="C917" s="23" t="n">
        <x:v>1193.0148924002424</x:v>
      </x:c>
      <x:c r="D917" s="23" t="n">
        <x:v>483.67181280627847</x:v>
      </x:c>
      <x:c r="E917" s="23" t="n">
        <x:v>185.39909987710416</x:v>
      </x:c>
      <x:c r="F917" s="23" t="n">
        <x:v>29.625113841611892</x:v>
      </x:c>
      <x:c r="G917" s="23" t="n">
        <x:v>0.8084886050270871</x:v>
      </x:c>
      <x:c r="H917" s="23" t="n">
        <x:v>11485</x:v>
      </x:c>
      <x:c r="I917" s="23" t="n">
        <x:v>1195</x:v>
      </x:c>
      <x:c r="J917" s="23" t="n">
        <x:f>(IF(A917='Hybrid Calculator'!$B$6,0,1))^2+((B917-'Hybrid Calculator'!$B$7)/1500)^2+((C917-'Hybrid Calculator'!$B$8)/1300)^2+((D917-'Hybrid Calculator'!$B$9)/800)^2+((E917-'Hybrid Calculator'!$B$10)/350)^2+((F917-'Hybrid Calculator'!$B$11)/30)^2+(G917-'Hybrid Calculator'!$B$12)^2+((H917-'Hybrid Calculator'!$E$14)/IF(A917="Lightning",100,30000))^2+((I917-'Hybrid Calculator'!$E$17)/IF(A917="Lightning",100,30000))^2</x:f>
        <x:v>1.4463905801997587</x:v>
      </x:c>
      <x:c r="K917" s="23" t="n">
        <x:f>RANK(J917,$J$2:$J$1401,1)</x:f>
        <x:v>1101</x:v>
      </x:c>
      <x:c r="L917" s="23" t="n">
        <x:f>IF(K917&lt;=7,1,0)</x:f>
        <x:v>0</x:v>
      </x:c>
      <x:c r="M917" s="23" t="n">
        <x:f>IF(L917=1,1/(J917+0.000001),0)</x:f>
        <x:v>0</x:v>
      </x:c>
      <x:c r="N917" s="23" t="n">
        <x:v>-0.37599509879242987</x:v>
      </x:c>
      <x:c r="O917" s="23" t="n">
        <x:f>M917</x:f>
        <x:v>0</x:v>
      </x:c>
      <x:c r="P917" s="23" t="n">
        <x:v>55.68280338678369</x:v>
      </x:c>
      <x:c r="Q917" s="23" t="n">
        <x:v>-15.58595836057998</x:v>
      </x:c>
    </x:row>
    <x:row r="918">
      <x:c r="A918" s="23" t="str">
        <x:v>Switching</x:v>
      </x:c>
      <x:c r="B918" s="23" t="n">
        <x:v>1069.9016318423674</x:v>
      </x:c>
      <x:c r="C918" s="23" t="n">
        <x:v>1029.6613205806352</x:v>
      </x:c>
      <x:c r="D918" s="23" t="n">
        <x:v>450.35917796194553</x:v>
      </x:c>
      <x:c r="E918" s="23" t="n">
        <x:v>114.45268532959744</x:v>
      </x:c>
      <x:c r="F918" s="23" t="n">
        <x:v>22.525741242803633</x:v>
      </x:c>
      <x:c r="G918" s="23" t="n">
        <x:v>0.7983862326550297</x:v>
      </x:c>
      <x:c r="H918" s="23" t="n">
        <x:v>13410</x:v>
      </x:c>
      <x:c r="I918" s="23" t="n">
        <x:v>1200</x:v>
      </x:c>
      <x:c r="J918" s="23" t="n">
        <x:f>(IF(A918='Hybrid Calculator'!$B$6,0,1))^2+((B918-'Hybrid Calculator'!$B$7)/1500)^2+((C918-'Hybrid Calculator'!$B$8)/1300)^2+((D918-'Hybrid Calculator'!$B$9)/800)^2+((E918-'Hybrid Calculator'!$B$10)/350)^2+((F918-'Hybrid Calculator'!$B$11)/30)^2+(G918-'Hybrid Calculator'!$B$12)^2+((H918-'Hybrid Calculator'!$E$14)/IF(A918="Lightning",100,30000))^2+((I918-'Hybrid Calculator'!$E$17)/IF(A918="Lightning",100,30000))^2</x:f>
        <x:v>1.3076374889549138</x:v>
      </x:c>
      <x:c r="K918" s="23" t="n">
        <x:f>RANK(J918,$J$2:$J$1401,1)</x:f>
        <x:v>743</x:v>
      </x:c>
      <x:c r="L918" s="23" t="n">
        <x:f>IF(K918&lt;=7,1,0)</x:f>
        <x:v>0</x:v>
      </x:c>
      <x:c r="M918" s="23" t="n">
        <x:f>IF(L918=1,1/(J918+0.000001),0)</x:f>
        <x:v>0</x:v>
      </x:c>
      <x:c r="N918" s="23" t="n">
        <x:v>1.2875151224767478</x:v>
      </x:c>
      <x:c r="O918" s="23" t="n">
        <x:f>M918</x:f>
        <x:v>0</x:v>
      </x:c>
      <x:c r="P918" s="23" t="n">
        <x:v>34.49838686930025</x:v>
      </x:c>
      <x:c r="Q918" s="23" t="n">
        <x:v>-2.9027456915969196</x:v>
      </x:c>
    </x:row>
    <x:row r="919">
      <x:c r="A919" s="23" t="str">
        <x:v>Switching</x:v>
      </x:c>
      <x:c r="B919" s="23" t="n">
        <x:v>1096.7059500864707</x:v>
      </x:c>
      <x:c r="C919" s="23" t="n">
        <x:v>1063.5708070825785</x:v>
      </x:c>
      <x:c r="D919" s="23" t="n">
        <x:v>719.9097300879657</x:v>
      </x:c>
      <x:c r="E919" s="23" t="n">
        <x:v>134.93866268079728</x:v>
      </x:c>
      <x:c r="F919" s="23" t="n">
        <x:v>15.613385762553662</x:v>
      </x:c>
      <x:c r="G919" s="23" t="n">
        <x:v>0.8413224410265685</x:v>
      </x:c>
      <x:c r="H919" s="23" t="n">
        <x:v>11150</x:v>
      </x:c>
      <x:c r="I919" s="23" t="n">
        <x:v>1195</x:v>
      </x:c>
      <x:c r="J919" s="23" t="n">
        <x:f>(IF(A919='Hybrid Calculator'!$B$6,0,1))^2+((B919-'Hybrid Calculator'!$B$7)/1500)^2+((C919-'Hybrid Calculator'!$B$8)/1300)^2+((D919-'Hybrid Calculator'!$B$9)/800)^2+((E919-'Hybrid Calculator'!$B$10)/350)^2+((F919-'Hybrid Calculator'!$B$11)/30)^2+(G919-'Hybrid Calculator'!$B$12)^2+((H919-'Hybrid Calculator'!$E$14)/IF(A919="Lightning",100,30000))^2+((I919-'Hybrid Calculator'!$E$17)/IF(A919="Lightning",100,30000))^2</x:f>
        <x:v>1.3004392854433888</x:v>
      </x:c>
      <x:c r="K919" s="23" t="n">
        <x:f>RANK(J919,$J$2:$J$1401,1)</x:f>
        <x:v>729</x:v>
      </x:c>
      <x:c r="L919" s="23" t="n">
        <x:f>IF(K919&lt;=7,1,0)</x:f>
        <x:v>0</x:v>
      </x:c>
      <x:c r="M919" s="23" t="n">
        <x:f>IF(L919=1,1/(J919+0.000001),0)</x:f>
        <x:v>0</x:v>
      </x:c>
      <x:c r="N919" s="23" t="n">
        <x:v>4.760925389430298</x:v>
      </x:c>
      <x:c r="O919" s="23" t="n">
        <x:f>M919</x:f>
        <x:v>0</x:v>
      </x:c>
      <x:c r="P919" s="23" t="n">
        <x:v>49.64847252770005</x:v>
      </x:c>
      <x:c r="Q919" s="23" t="n">
        <x:v>3.708563848095764</x:v>
      </x:c>
    </x:row>
    <x:row r="920">
      <x:c r="A920" s="23" t="str">
        <x:v>Switching</x:v>
      </x:c>
      <x:c r="B920" s="23" t="n">
        <x:v>967.2207682859153</x:v>
      </x:c>
      <x:c r="C920" s="23" t="n">
        <x:v>750.5456724087708</x:v>
      </x:c>
      <x:c r="D920" s="23" t="n">
        <x:v>650.806394778192</x:v>
      </x:c>
      <x:c r="E920" s="23" t="n">
        <x:v>241.68459953041747</x:v>
      </x:c>
      <x:c r="F920" s="23" t="n">
        <x:v>18.300431799143553</x:v>
      </x:c>
      <x:c r="G920" s="23" t="n">
        <x:v>0.8072898880788125</x:v>
      </x:c>
      <x:c r="H920" s="23" t="n">
        <x:v>15185</x:v>
      </x:c>
      <x:c r="I920" s="23" t="n">
        <x:v>1200</x:v>
      </x:c>
      <x:c r="J920" s="23" t="n">
        <x:f>(IF(A920='Hybrid Calculator'!$B$6,0,1))^2+((B920-'Hybrid Calculator'!$B$7)/1500)^2+((C920-'Hybrid Calculator'!$B$8)/1300)^2+((D920-'Hybrid Calculator'!$B$9)/800)^2+((E920-'Hybrid Calculator'!$B$10)/350)^2+((F920-'Hybrid Calculator'!$B$11)/30)^2+(G920-'Hybrid Calculator'!$B$12)^2+((H920-'Hybrid Calculator'!$E$14)/IF(A920="Lightning",100,30000))^2+((I920-'Hybrid Calculator'!$E$17)/IF(A920="Lightning",100,30000))^2</x:f>
        <x:v>1.459407634519076</x:v>
      </x:c>
      <x:c r="K920" s="23" t="n">
        <x:f>RANK(J920,$J$2:$J$1401,1)</x:f>
        <x:v>1129</x:v>
      </x:c>
      <x:c r="L920" s="23" t="n">
        <x:f>IF(K920&lt;=7,1,0)</x:f>
        <x:v>0</x:v>
      </x:c>
      <x:c r="M920" s="23" t="n">
        <x:f>IF(L920=1,1/(J920+0.000001),0)</x:f>
        <x:v>0</x:v>
      </x:c>
      <x:c r="N920" s="23" t="n">
        <x:v>-1.1313645348803618</x:v>
      </x:c>
      <x:c r="O920" s="23" t="n">
        <x:f>M920</x:f>
        <x:v>0</x:v>
      </x:c>
      <x:c r="P920" s="23" t="n">
        <x:v>-12.308502082687937</x:v>
      </x:c>
      <x:c r="Q920" s="23" t="n">
        <x:v>-2.783219645466829</x:v>
      </x:c>
    </x:row>
    <x:row r="921">
      <x:c r="A921" s="23" t="str">
        <x:v>Switching</x:v>
      </x:c>
      <x:c r="B921" s="23" t="n">
        <x:v>1021.9004541751929</x:v>
      </x:c>
      <x:c r="C921" s="23" t="n">
        <x:v>985.2166882483289</x:v>
      </x:c>
      <x:c r="D921" s="23" t="n">
        <x:v>387.81583504751325</x:v>
      </x:c>
      <x:c r="E921" s="23" t="n">
        <x:v>265.78728195279837</x:v>
      </x:c>
      <x:c r="F921" s="23" t="n">
        <x:v>19.836833792272955</x:v>
      </x:c>
      <x:c r="G921" s="23" t="n">
        <x:v>0.8439686590014026</x:v>
      </x:c>
      <x:c r="H921" s="23" t="n">
        <x:v>13050</x:v>
      </x:c>
      <x:c r="I921" s="23" t="n">
        <x:v>1200</x:v>
      </x:c>
      <x:c r="J921" s="23" t="n">
        <x:f>(IF(A921='Hybrid Calculator'!$B$6,0,1))^2+((B921-'Hybrid Calculator'!$B$7)/1500)^2+((C921-'Hybrid Calculator'!$B$8)/1300)^2+((D921-'Hybrid Calculator'!$B$9)/800)^2+((E921-'Hybrid Calculator'!$B$10)/350)^2+((F921-'Hybrid Calculator'!$B$11)/30)^2+(G921-'Hybrid Calculator'!$B$12)^2+((H921-'Hybrid Calculator'!$E$14)/IF(A921="Lightning",100,30000))^2+((I921-'Hybrid Calculator'!$E$17)/IF(A921="Lightning",100,30000))^2</x:f>
        <x:v>1.4040150242822504</x:v>
      </x:c>
      <x:c r="K921" s="23" t="n">
        <x:f>RANK(J921,$J$2:$J$1401,1)</x:f>
        <x:v>989</x:v>
      </x:c>
      <x:c r="L921" s="23" t="n">
        <x:f>IF(K921&lt;=7,1,0)</x:f>
        <x:v>0</x:v>
      </x:c>
      <x:c r="M921" s="23" t="n">
        <x:f>IF(L921=1,1/(J921+0.000001),0)</x:f>
        <x:v>0</x:v>
      </x:c>
      <x:c r="N921" s="23" t="n">
        <x:v>-2.293838208429321</x:v>
      </x:c>
      <x:c r="O921" s="23" t="n">
        <x:f>M921</x:f>
        <x:v>0</x:v>
      </x:c>
      <x:c r="P921" s="23" t="n">
        <x:v>36.183408670039626</x:v>
      </x:c>
      <x:c r="Q921" s="23" t="n">
        <x:v>1.6056976992438194</x:v>
      </x:c>
    </x:row>
    <x:row r="922">
      <x:c r="A922" s="23" t="str">
        <x:v>Switching</x:v>
      </x:c>
      <x:c r="B922" s="23" t="n">
        <x:v>1016.1950987065211</x:v>
      </x:c>
      <x:c r="C922" s="23" t="n">
        <x:v>739.0335611184128</x:v>
      </x:c>
      <x:c r="D922" s="23" t="n">
        <x:v>529.5475743710995</x:v>
      </x:c>
      <x:c r="E922" s="23" t="n">
        <x:v>280.41077717905864</x:v>
      </x:c>
      <x:c r="F922" s="23" t="n">
        <x:v>13.095284990034997</x:v>
      </x:c>
      <x:c r="G922" s="23" t="n">
        <x:v>0.8359503335668705</x:v>
      </x:c>
      <x:c r="H922" s="23" t="n">
        <x:v>13805</x:v>
      </x:c>
      <x:c r="I922" s="23" t="n">
        <x:v>1200</x:v>
      </x:c>
      <x:c r="J922" s="23" t="n">
        <x:f>(IF(A922='Hybrid Calculator'!$B$6,0,1))^2+((B922-'Hybrid Calculator'!$B$7)/1500)^2+((C922-'Hybrid Calculator'!$B$8)/1300)^2+((D922-'Hybrid Calculator'!$B$9)/800)^2+((E922-'Hybrid Calculator'!$B$10)/350)^2+((F922-'Hybrid Calculator'!$B$11)/30)^2+(G922-'Hybrid Calculator'!$B$12)^2+((H922-'Hybrid Calculator'!$E$14)/IF(A922="Lightning",100,30000))^2+((I922-'Hybrid Calculator'!$E$17)/IF(A922="Lightning",100,30000))^2</x:f>
        <x:v>1.46622618879382</x:v>
      </x:c>
      <x:c r="K922" s="23" t="n">
        <x:f>RANK(J922,$J$2:$J$1401,1)</x:f>
        <x:v>1145</x:v>
      </x:c>
      <x:c r="L922" s="23" t="n">
        <x:f>IF(K922&lt;=7,1,0)</x:f>
        <x:v>0</x:v>
      </x:c>
      <x:c r="M922" s="23" t="n">
        <x:f>IF(L922=1,1/(J922+0.000001),0)</x:f>
        <x:v>0</x:v>
      </x:c>
      <x:c r="N922" s="23" t="n">
        <x:v>3.566280799545723</x:v>
      </x:c>
      <x:c r="O922" s="23" t="n">
        <x:f>M922</x:f>
        <x:v>0</x:v>
      </x:c>
      <x:c r="P922" s="23" t="n">
        <x:v>-8.37989901633</x:v>
      </x:c>
      <x:c r="Q922" s="23" t="n">
        <x:v>0.6985512383722607</x:v>
      </x:c>
    </x:row>
    <x:row r="923">
      <x:c r="A923" s="23" t="str">
        <x:v>Switching</x:v>
      </x:c>
      <x:c r="B923" s="23" t="n">
        <x:v>1015.4065308975987</x:v>
      </x:c>
      <x:c r="C923" s="23" t="n">
        <x:v>995.427592843771</x:v>
      </x:c>
      <x:c r="D923" s="23" t="n">
        <x:v>453.029206302017</x:v>
      </x:c>
      <x:c r="E923" s="23" t="n">
        <x:v>320.0294087128714</x:v>
      </x:c>
      <x:c r="F923" s="23" t="n">
        <x:v>8.928821118082851</x:v>
      </x:c>
      <x:c r="G923" s="23" t="n">
        <x:v>0.7937070481013507</x:v>
      </x:c>
      <x:c r="H923" s="23" t="n">
        <x:v>12095</x:v>
      </x:c>
      <x:c r="I923" s="23" t="n">
        <x:v>1200</x:v>
      </x:c>
      <x:c r="J923" s="23" t="n">
        <x:f>(IF(A923='Hybrid Calculator'!$B$6,0,1))^2+((B923-'Hybrid Calculator'!$B$7)/1500)^2+((C923-'Hybrid Calculator'!$B$8)/1300)^2+((D923-'Hybrid Calculator'!$B$9)/800)^2+((E923-'Hybrid Calculator'!$B$10)/350)^2+((F923-'Hybrid Calculator'!$B$11)/30)^2+(G923-'Hybrid Calculator'!$B$12)^2+((H923-'Hybrid Calculator'!$E$14)/IF(A923="Lightning",100,30000))^2+((I923-'Hybrid Calculator'!$E$17)/IF(A923="Lightning",100,30000))^2</x:f>
        <x:v>1.5917382794225001</x:v>
      </x:c>
      <x:c r="K923" s="23" t="n">
        <x:f>RANK(J923,$J$2:$J$1401,1)</x:f>
        <x:v>1341</x:v>
      </x:c>
      <x:c r="L923" s="23" t="n">
        <x:f>IF(K923&lt;=7,1,0)</x:f>
        <x:v>0</x:v>
      </x:c>
      <x:c r="M923" s="23" t="n">
        <x:f>IF(L923=1,1/(J923+0.000001),0)</x:f>
        <x:v>0</x:v>
      </x:c>
      <x:c r="N923" s="23" t="n">
        <x:v>4.600739993858838</x:v>
      </x:c>
      <x:c r="O923" s="23" t="n">
        <x:f>M923</x:f>
        <x:v>0</x:v>
      </x:c>
      <x:c r="P923" s="23" t="n">
        <x:v>10.067561413609837</x:v>
      </x:c>
      <x:c r="Q923" s="23" t="n">
        <x:v>-2.8137501386412396</x:v>
      </x:c>
    </x:row>
    <x:row r="924">
      <x:c r="A924" s="23" t="str">
        <x:v>Switching</x:v>
      </x:c>
      <x:c r="B924" s="23" t="n">
        <x:v>1040.7858139835298</x:v>
      </x:c>
      <x:c r="C924" s="23" t="n">
        <x:v>783.8682338013314</x:v>
      </x:c>
      <x:c r="D924" s="23" t="n">
        <x:v>519.4229805842042</x:v>
      </x:c>
      <x:c r="E924" s="23" t="n">
        <x:v>130.7400697679259</x:v>
      </x:c>
      <x:c r="F924" s="23" t="n">
        <x:v>23.28097560442984</x:v>
      </x:c>
      <x:c r="G924" s="23" t="n">
        <x:v>0.8126273694937117</x:v>
      </x:c>
      <x:c r="H924" s="23" t="n">
        <x:v>14915</x:v>
      </x:c>
      <x:c r="I924" s="23" t="n">
        <x:v>1200</x:v>
      </x:c>
      <x:c r="J924" s="23" t="n">
        <x:f>(IF(A924='Hybrid Calculator'!$B$6,0,1))^2+((B924-'Hybrid Calculator'!$B$7)/1500)^2+((C924-'Hybrid Calculator'!$B$8)/1300)^2+((D924-'Hybrid Calculator'!$B$9)/800)^2+((E924-'Hybrid Calculator'!$B$10)/350)^2+((F924-'Hybrid Calculator'!$B$11)/30)^2+(G924-'Hybrid Calculator'!$B$12)^2+((H924-'Hybrid Calculator'!$E$14)/IF(A924="Lightning",100,30000))^2+((I924-'Hybrid Calculator'!$E$17)/IF(A924="Lightning",100,30000))^2</x:f>
        <x:v>1.3443206330525936</x:v>
      </x:c>
      <x:c r="K924" s="23" t="n">
        <x:f>RANK(J924,$J$2:$J$1401,1)</x:f>
        <x:v>815</x:v>
      </x:c>
      <x:c r="L924" s="23" t="n">
        <x:f>IF(K924&lt;=7,1,0)</x:f>
        <x:v>0</x:v>
      </x:c>
      <x:c r="M924" s="23" t="n">
        <x:f>IF(L924=1,1/(J924+0.000001),0)</x:f>
        <x:v>0</x:v>
      </x:c>
      <x:c r="N924" s="23" t="n">
        <x:v>0.13980151648698325</x:v>
      </x:c>
      <x:c r="O924" s="23" t="n">
        <x:f>M924</x:f>
        <x:v>0</x:v>
      </x:c>
      <x:c r="P924" s="23" t="n">
        <x:v>-47.14696295592876</x:v>
      </x:c>
      <x:c r="Q924" s="23" t="n">
        <x:v>2.824087052212917</x:v>
      </x:c>
    </x:row>
    <x:row r="925">
      <x:c r="A925" s="23" t="str">
        <x:v>Switching</x:v>
      </x:c>
      <x:c r="B925" s="23" t="n">
        <x:v>1016.7625980102457</x:v>
      </x:c>
      <x:c r="C925" s="23" t="n">
        <x:v>1028.407200728543</x:v>
      </x:c>
      <x:c r="D925" s="23" t="n">
        <x:v>626.4534526504576</x:v>
      </x:c>
      <x:c r="E925" s="23" t="n">
        <x:v>191.06262006796896</x:v>
      </x:c>
      <x:c r="F925" s="23" t="n">
        <x:v>13.868335374165326</x:v>
      </x:c>
      <x:c r="G925" s="23" t="n">
        <x:v>0.8476932934531942</x:v>
      </x:c>
      <x:c r="H925" s="23" t="n">
        <x:v>13515</x:v>
      </x:c>
      <x:c r="I925" s="23" t="n">
        <x:v>1200</x:v>
      </x:c>
      <x:c r="J925" s="23" t="n">
        <x:f>(IF(A925='Hybrid Calculator'!$B$6,0,1))^2+((B925-'Hybrid Calculator'!$B$7)/1500)^2+((C925-'Hybrid Calculator'!$B$8)/1300)^2+((D925-'Hybrid Calculator'!$B$9)/800)^2+((E925-'Hybrid Calculator'!$B$10)/350)^2+((F925-'Hybrid Calculator'!$B$11)/30)^2+(G925-'Hybrid Calculator'!$B$12)^2+((H925-'Hybrid Calculator'!$E$14)/IF(A925="Lightning",100,30000))^2+((I925-'Hybrid Calculator'!$E$17)/IF(A925="Lightning",100,30000))^2</x:f>
        <x:v>1.3592416588959395</x:v>
      </x:c>
      <x:c r="K925" s="23" t="n">
        <x:f>RANK(J925,$J$2:$J$1401,1)</x:f>
        <x:v>853</x:v>
      </x:c>
      <x:c r="L925" s="23" t="n">
        <x:f>IF(K925&lt;=7,1,0)</x:f>
        <x:v>0</x:v>
      </x:c>
      <x:c r="M925" s="23" t="n">
        <x:f>IF(L925=1,1/(J925+0.000001),0)</x:f>
        <x:v>0</x:v>
      </x:c>
      <x:c r="N925" s="23" t="n">
        <x:v>5.030624679413933</x:v>
      </x:c>
      <x:c r="O925" s="23" t="n">
        <x:f>M925</x:f>
        <x:v>0</x:v>
      </x:c>
      <x:c r="P925" s="23" t="n">
        <x:v>-30.484781886692417</x:v>
      </x:c>
      <x:c r="Q925" s="23" t="n">
        <x:v>1.1987607121455994</x:v>
      </x:c>
    </x:row>
    <x:row r="926">
      <x:c r="A926" s="23" t="str">
        <x:v>Switching</x:v>
      </x:c>
      <x:c r="B926" s="23" t="n">
        <x:v>1043.6534700915217</x:v>
      </x:c>
      <x:c r="C926" s="23" t="n">
        <x:v>720.0952399871312</x:v>
      </x:c>
      <x:c r="D926" s="23" t="n">
        <x:v>370.1746227219701</x:v>
      </x:c>
      <x:c r="E926" s="23" t="n">
        <x:v>116.4459227421321</x:v>
      </x:c>
      <x:c r="F926" s="23" t="n">
        <x:v>26.354101976379752</x:v>
      </x:c>
      <x:c r="G926" s="23" t="n">
        <x:v>0.8434091374394485</x:v>
      </x:c>
      <x:c r="H926" s="23" t="n">
        <x:v>17720</x:v>
      </x:c>
      <x:c r="I926" s="23" t="n">
        <x:v>1200</x:v>
      </x:c>
      <x:c r="J926" s="23" t="n">
        <x:f>(IF(A926='Hybrid Calculator'!$B$6,0,1))^2+((B926-'Hybrid Calculator'!$B$7)/1500)^2+((C926-'Hybrid Calculator'!$B$8)/1300)^2+((D926-'Hybrid Calculator'!$B$9)/800)^2+((E926-'Hybrid Calculator'!$B$10)/350)^2+((F926-'Hybrid Calculator'!$B$11)/30)^2+(G926-'Hybrid Calculator'!$B$12)^2+((H926-'Hybrid Calculator'!$E$14)/IF(A926="Lightning",100,30000))^2+((I926-'Hybrid Calculator'!$E$17)/IF(A926="Lightning",100,30000))^2</x:f>
        <x:v>1.5276889823693964</x:v>
      </x:c>
      <x:c r="K926" s="23" t="n">
        <x:f>RANK(J926,$J$2:$J$1401,1)</x:f>
        <x:v>1261</x:v>
      </x:c>
      <x:c r="L926" s="23" t="n">
        <x:f>IF(K926&lt;=7,1,0)</x:f>
        <x:v>0</x:v>
      </x:c>
      <x:c r="M926" s="23" t="n">
        <x:f>IF(L926=1,1/(J926+0.000001),0)</x:f>
        <x:v>0</x:v>
      </x:c>
      <x:c r="N926" s="23" t="n">
        <x:v>-4.55750347677062</x:v>
      </x:c>
      <x:c r="O926" s="23" t="n">
        <x:f>M926</x:f>
        <x:v>0</x:v>
      </x:c>
      <x:c r="P926" s="23" t="n">
        <x:v>8.13823116567255</x:v>
      </x:c>
      <x:c r="Q926" s="23" t="n">
        <x:v>1.1446599687440084</x:v>
      </x:c>
    </x:row>
    <x:row r="927">
      <x:c r="A927" s="23" t="str">
        <x:v>Switching</x:v>
      </x:c>
      <x:c r="B927" s="23" t="n">
        <x:v>1013.3515950874425</x:v>
      </x:c>
      <x:c r="C927" s="23" t="n">
        <x:v>813.3001920068637</x:v>
      </x:c>
      <x:c r="D927" s="23" t="n">
        <x:v>353.41194281354547</x:v>
      </x:c>
      <x:c r="E927" s="23" t="n">
        <x:v>179.08681618981063</x:v>
      </x:c>
      <x:c r="F927" s="23" t="n">
        <x:v>11.672709722537547</x:v>
      </x:c>
      <x:c r="G927" s="23" t="n">
        <x:v>0.8101867343159392</x:v>
      </x:c>
      <x:c r="H927" s="23" t="n">
        <x:v>15890</x:v>
      </x:c>
      <x:c r="I927" s="23" t="n">
        <x:v>1200</x:v>
      </x:c>
      <x:c r="J927" s="23" t="n">
        <x:f>(IF(A927='Hybrid Calculator'!$B$6,0,1))^2+((B927-'Hybrid Calculator'!$B$7)/1500)^2+((C927-'Hybrid Calculator'!$B$8)/1300)^2+((D927-'Hybrid Calculator'!$B$9)/800)^2+((E927-'Hybrid Calculator'!$B$10)/350)^2+((F927-'Hybrid Calculator'!$B$11)/30)^2+(G927-'Hybrid Calculator'!$B$12)^2+((H927-'Hybrid Calculator'!$E$14)/IF(A927="Lightning",100,30000))^2+((I927-'Hybrid Calculator'!$E$17)/IF(A927="Lightning",100,30000))^2</x:f>
        <x:v>1.448796922320744</x:v>
      </x:c>
      <x:c r="K927" s="23" t="n">
        <x:f>RANK(J927,$J$2:$J$1401,1)</x:f>
        <x:v>1104</x:v>
      </x:c>
      <x:c r="L927" s="23" t="n">
        <x:f>IF(K927&lt;=7,1,0)</x:f>
        <x:v>0</x:v>
      </x:c>
      <x:c r="M927" s="23" t="n">
        <x:f>IF(L927=1,1/(J927+0.000001),0)</x:f>
        <x:v>0</x:v>
      </x:c>
      <x:c r="N927" s="23" t="n">
        <x:v>-2.0296331694701166</x:v>
      </x:c>
      <x:c r="O927" s="23" t="n">
        <x:f>M927</x:f>
        <x:v>0</x:v>
      </x:c>
      <x:c r="P927" s="23" t="n">
        <x:v>-26.319442250920474</x:v>
      </x:c>
      <x:c r="Q927" s="23" t="n">
        <x:v>16.909193875330857</x:v>
      </x:c>
    </x:row>
    <x:row r="928">
      <x:c r="A928" s="23" t="str">
        <x:v>Switching</x:v>
      </x:c>
      <x:c r="B928" s="23" t="n">
        <x:v>950.7745309500024</x:v>
      </x:c>
      <x:c r="C928" s="23" t="n">
        <x:v>650.005577376578</x:v>
      </x:c>
      <x:c r="D928" s="23" t="n">
        <x:v>711.3088805228472</x:v>
      </x:c>
      <x:c r="E928" s="23" t="n">
        <x:v>179.2371758329682</x:v>
      </x:c>
      <x:c r="F928" s="23" t="n">
        <x:v>14.082592085935175</x:v>
      </x:c>
      <x:c r="G928" s="23" t="n">
        <x:v>0.8274987984332256</x:v>
      </x:c>
      <x:c r="H928" s="23" t="n">
        <x:v>16195</x:v>
      </x:c>
      <x:c r="I928" s="23" t="n">
        <x:v>1200</x:v>
      </x:c>
      <x:c r="J928" s="23" t="n">
        <x:f>(IF(A928='Hybrid Calculator'!$B$6,0,1))^2+((B928-'Hybrid Calculator'!$B$7)/1500)^2+((C928-'Hybrid Calculator'!$B$8)/1300)^2+((D928-'Hybrid Calculator'!$B$9)/800)^2+((E928-'Hybrid Calculator'!$B$10)/350)^2+((F928-'Hybrid Calculator'!$B$11)/30)^2+(G928-'Hybrid Calculator'!$B$12)^2+((H928-'Hybrid Calculator'!$E$14)/IF(A928="Lightning",100,30000))^2+((I928-'Hybrid Calculator'!$E$17)/IF(A928="Lightning",100,30000))^2</x:f>
        <x:v>1.513259559092569</x:v>
      </x:c>
      <x:c r="K928" s="23" t="n">
        <x:f>RANK(J928,$J$2:$J$1401,1)</x:f>
        <x:v>1234</x:v>
      </x:c>
      <x:c r="L928" s="23" t="n">
        <x:f>IF(K928&lt;=7,1,0)</x:f>
        <x:v>0</x:v>
      </x:c>
      <x:c r="M928" s="23" t="n">
        <x:f>IF(L928=1,1/(J928+0.000001),0)</x:f>
        <x:v>0</x:v>
      </x:c>
      <x:c r="N928" s="23" t="n">
        <x:v>0.6614739115905763</x:v>
      </x:c>
      <x:c r="O928" s="23" t="n">
        <x:f>M928</x:f>
        <x:v>0</x:v>
      </x:c>
      <x:c r="P928" s="23" t="n">
        <x:v>-28.005590893996214</x:v>
      </x:c>
      <x:c r="Q928" s="23" t="n">
        <x:v>3.1974269245653204</x:v>
      </x:c>
    </x:row>
    <x:row r="929">
      <x:c r="A929" s="23" t="str">
        <x:v>Switching</x:v>
      </x:c>
      <x:c r="B929" s="23" t="n">
        <x:v>959.1313464916311</x:v>
      </x:c>
      <x:c r="C929" s="23" t="n">
        <x:v>773.0264389421791</x:v>
      </x:c>
      <x:c r="D929" s="23" t="n">
        <x:v>618.753484915942</x:v>
      </x:c>
      <x:c r="E929" s="23" t="n">
        <x:v>198.0668108863756</x:v>
      </x:c>
      <x:c r="F929" s="23" t="n">
        <x:v>27.131872105877846</x:v>
      </x:c>
      <x:c r="G929" s="23" t="n">
        <x:v>0.7919426009431482</x:v>
      </x:c>
      <x:c r="H929" s="23" t="n">
        <x:v>13450</x:v>
      </x:c>
      <x:c r="I929" s="23" t="n">
        <x:v>1200</x:v>
      </x:c>
      <x:c r="J929" s="23" t="n">
        <x:f>(IF(A929='Hybrid Calculator'!$B$6,0,1))^2+((B929-'Hybrid Calculator'!$B$7)/1500)^2+((C929-'Hybrid Calculator'!$B$8)/1300)^2+((D929-'Hybrid Calculator'!$B$9)/800)^2+((E929-'Hybrid Calculator'!$B$10)/350)^2+((F929-'Hybrid Calculator'!$B$11)/30)^2+(G929-'Hybrid Calculator'!$B$12)^2+((H929-'Hybrid Calculator'!$E$14)/IF(A929="Lightning",100,30000))^2+((I929-'Hybrid Calculator'!$E$17)/IF(A929="Lightning",100,30000))^2</x:f>
        <x:v>1.4254811706629196</x:v>
      </x:c>
      <x:c r="K929" s="23" t="n">
        <x:f>RANK(J929,$J$2:$J$1401,1)</x:f>
        <x:v>1049</x:v>
      </x:c>
      <x:c r="L929" s="23" t="n">
        <x:f>IF(K929&lt;=7,1,0)</x:f>
        <x:v>0</x:v>
      </x:c>
      <x:c r="M929" s="23" t="n">
        <x:f>IF(L929=1,1/(J929+0.000001),0)</x:f>
        <x:v>0</x:v>
      </x:c>
      <x:c r="N929" s="23" t="n">
        <x:v>-3.2971765643852393</x:v>
      </x:c>
      <x:c r="O929" s="23" t="n">
        <x:f>M929</x:f>
        <x:v>0</x:v>
      </x:c>
      <x:c r="P929" s="23" t="n">
        <x:v>-25.432737309804907</x:v>
      </x:c>
      <x:c r="Q929" s="23" t="n">
        <x:v>-6.939075022546376</x:v>
      </x:c>
    </x:row>
    <x:row r="930">
      <x:c r="A930" s="23" t="str">
        <x:v>Switching</x:v>
      </x:c>
      <x:c r="B930" s="23" t="n">
        <x:v>976.6717625316232</x:v>
      </x:c>
      <x:c r="C930" s="23" t="n">
        <x:v>820.7319664652459</x:v>
      </x:c>
      <x:c r="D930" s="23" t="n">
        <x:v>491.4921512827277</x:v>
      </x:c>
      <x:c r="E930" s="23" t="n">
        <x:v>153.46316968323663</x:v>
      </x:c>
      <x:c r="F930" s="23" t="n">
        <x:v>16.054990474134684</x:v>
      </x:c>
      <x:c r="G930" s="23" t="n">
        <x:v>0.8352214459353127</x:v>
      </x:c>
      <x:c r="H930" s="23" t="n">
        <x:v>17025</x:v>
      </x:c>
      <x:c r="I930" s="23" t="n">
        <x:v>1200</x:v>
      </x:c>
      <x:c r="J930" s="23" t="n">
        <x:f>(IF(A930='Hybrid Calculator'!$B$6,0,1))^2+((B930-'Hybrid Calculator'!$B$7)/1500)^2+((C930-'Hybrid Calculator'!$B$8)/1300)^2+((D930-'Hybrid Calculator'!$B$9)/800)^2+((E930-'Hybrid Calculator'!$B$10)/350)^2+((F930-'Hybrid Calculator'!$B$11)/30)^2+(G930-'Hybrid Calculator'!$B$12)^2+((H930-'Hybrid Calculator'!$E$14)/IF(A930="Lightning",100,30000))^2+((I930-'Hybrid Calculator'!$E$17)/IF(A930="Lightning",100,30000))^2</x:f>
        <x:v>1.4186258002954677</x:v>
      </x:c>
      <x:c r="K930" s="23" t="n">
        <x:f>RANK(J930,$J$2:$J$1401,1)</x:f>
        <x:v>1035</x:v>
      </x:c>
      <x:c r="L930" s="23" t="n">
        <x:f>IF(K930&lt;=7,1,0)</x:f>
        <x:v>0</x:v>
      </x:c>
      <x:c r="M930" s="23" t="n">
        <x:f>IF(L930=1,1/(J930+0.000001),0)</x:f>
        <x:v>0</x:v>
      </x:c>
      <x:c r="N930" s="23" t="n">
        <x:v>1.5665090086583007</x:v>
      </x:c>
      <x:c r="O930" s="23" t="n">
        <x:f>M930</x:f>
        <x:v>0</x:v>
      </x:c>
      <x:c r="P930" s="23" t="n">
        <x:v>13.457978159487993</x:v>
      </x:c>
      <x:c r="Q930" s="23" t="n">
        <x:v>2.1848738596909243</x:v>
      </x:c>
    </x:row>
    <x:row r="931">
      <x:c r="A931" s="23" t="str">
        <x:v>Switching</x:v>
      </x:c>
      <x:c r="B931" s="23" t="n">
        <x:v>950.5733242374845</x:v>
      </x:c>
      <x:c r="C931" s="23" t="n">
        <x:v>807.7252440853044</x:v>
      </x:c>
      <x:c r="D931" s="23" t="n">
        <x:v>605.6032453663647</x:v>
      </x:c>
      <x:c r="E931" s="23" t="n">
        <x:v>134.01289835572243</x:v>
      </x:c>
      <x:c r="F931" s="23" t="n">
        <x:v>19.321424583438784</x:v>
      </x:c>
      <x:c r="G931" s="23" t="n">
        <x:v>0.8455171395046637</x:v>
      </x:c>
      <x:c r="H931" s="23" t="n">
        <x:v>16125</x:v>
      </x:c>
      <x:c r="I931" s="23" t="n">
        <x:v>1200</x:v>
      </x:c>
      <x:c r="J931" s="23" t="n">
        <x:f>(IF(A931='Hybrid Calculator'!$B$6,0,1))^2+((B931-'Hybrid Calculator'!$B$7)/1500)^2+((C931-'Hybrid Calculator'!$B$8)/1300)^2+((D931-'Hybrid Calculator'!$B$9)/800)^2+((E931-'Hybrid Calculator'!$B$10)/350)^2+((F931-'Hybrid Calculator'!$B$11)/30)^2+(G931-'Hybrid Calculator'!$B$12)^2+((H931-'Hybrid Calculator'!$E$14)/IF(A931="Lightning",100,30000))^2+((I931-'Hybrid Calculator'!$E$17)/IF(A931="Lightning",100,30000))^2</x:f>
        <x:v>1.4106570632602016</x:v>
      </x:c>
      <x:c r="K931" s="23" t="n">
        <x:f>RANK(J931,$J$2:$J$1401,1)</x:f>
        <x:v>1009</x:v>
      </x:c>
      <x:c r="L931" s="23" t="n">
        <x:f>IF(K931&lt;=7,1,0)</x:f>
        <x:v>0</x:v>
      </x:c>
      <x:c r="M931" s="23" t="n">
        <x:f>IF(L931=1,1/(J931+0.000001),0)</x:f>
        <x:v>0</x:v>
      </x:c>
      <x:c r="N931" s="23" t="n">
        <x:v>-1.418132190615779</x:v>
      </x:c>
      <x:c r="O931" s="23" t="n">
        <x:f>M931</x:f>
        <x:v>0</x:v>
      </x:c>
      <x:c r="P931" s="23" t="n">
        <x:v>7.674621819069671</x:v>
      </x:c>
      <x:c r="Q931" s="23" t="n">
        <x:v>4.257058483368496</x:v>
      </x:c>
    </x:row>
    <x:row r="932">
      <x:c r="A932" s="23" t="str">
        <x:v>Switching</x:v>
      </x:c>
      <x:c r="B932" s="23" t="n">
        <x:v>972.8180596837774</x:v>
      </x:c>
      <x:c r="C932" s="23" t="n">
        <x:v>886.8897871230729</x:v>
      </x:c>
      <x:c r="D932" s="23" t="n">
        <x:v>673.9109016954899</x:v>
      </x:c>
      <x:c r="E932" s="23" t="n">
        <x:v>260.0449215224944</x:v>
      </x:c>
      <x:c r="F932" s="23" t="n">
        <x:v>15.217251642607152</x:v>
      </x:c>
      <x:c r="G932" s="23" t="n">
        <x:v>0.7994942465960049</x:v>
      </x:c>
      <x:c r="H932" s="23" t="n">
        <x:v>11745</x:v>
      </x:c>
      <x:c r="I932" s="23" t="n">
        <x:v>1195</x:v>
      </x:c>
      <x:c r="J932" s="23" t="n">
        <x:f>(IF(A932='Hybrid Calculator'!$B$6,0,1))^2+((B932-'Hybrid Calculator'!$B$7)/1500)^2+((C932-'Hybrid Calculator'!$B$8)/1300)^2+((D932-'Hybrid Calculator'!$B$9)/800)^2+((E932-'Hybrid Calculator'!$B$10)/350)^2+((F932-'Hybrid Calculator'!$B$11)/30)^2+(G932-'Hybrid Calculator'!$B$12)^2+((H932-'Hybrid Calculator'!$E$14)/IF(A932="Lightning",100,30000))^2+((I932-'Hybrid Calculator'!$E$17)/IF(A932="Lightning",100,30000))^2</x:f>
        <x:v>1.4036794821435483</x:v>
      </x:c>
      <x:c r="K932" s="23" t="n">
        <x:f>RANK(J932,$J$2:$J$1401,1)</x:f>
        <x:v>988</x:v>
      </x:c>
      <x:c r="L932" s="23" t="n">
        <x:f>IF(K932&lt;=7,1,0)</x:f>
        <x:v>0</x:v>
      </x:c>
      <x:c r="M932" s="23" t="n">
        <x:f>IF(L932=1,1/(J932+0.000001),0)</x:f>
        <x:v>0</x:v>
      </x:c>
      <x:c r="N932" s="23" t="n">
        <x:v>0.5005215911745324</x:v>
      </x:c>
      <x:c r="O932" s="23" t="n">
        <x:f>M932</x:f>
        <x:v>0</x:v>
      </x:c>
      <x:c r="P932" s="23" t="n">
        <x:v>-27.024250416874565</x:v>
      </x:c>
      <x:c r="Q932" s="23" t="n">
        <x:v>-2.679788623385093</x:v>
      </x:c>
    </x:row>
    <x:row r="933">
      <x:c r="A933" s="23" t="str">
        <x:v>Switching</x:v>
      </x:c>
      <x:c r="B933" s="23" t="n">
        <x:v>1028.4368995460682</x:v>
      </x:c>
      <x:c r="C933" s="23" t="n">
        <x:v>884.3841651454568</x:v>
      </x:c>
      <x:c r="D933" s="23" t="n">
        <x:v>507.49718388542533</x:v>
      </x:c>
      <x:c r="E933" s="23" t="n">
        <x:v>139.0212979586795</x:v>
      </x:c>
      <x:c r="F933" s="23" t="n">
        <x:v>28.680146449711174</x:v>
      </x:c>
      <x:c r="G933" s="23" t="n">
        <x:v>0.847154048299417</x:v>
      </x:c>
      <x:c r="H933" s="23" t="n">
        <x:v>13970</x:v>
      </x:c>
      <x:c r="I933" s="23" t="n">
        <x:v>1200</x:v>
      </x:c>
      <x:c r="J933" s="23" t="n">
        <x:f>(IF(A933='Hybrid Calculator'!$B$6,0,1))^2+((B933-'Hybrid Calculator'!$B$7)/1500)^2+((C933-'Hybrid Calculator'!$B$8)/1300)^2+((D933-'Hybrid Calculator'!$B$9)/800)^2+((E933-'Hybrid Calculator'!$B$10)/350)^2+((F933-'Hybrid Calculator'!$B$11)/30)^2+(G933-'Hybrid Calculator'!$B$12)^2+((H933-'Hybrid Calculator'!$E$14)/IF(A933="Lightning",100,30000))^2+((I933-'Hybrid Calculator'!$E$17)/IF(A933="Lightning",100,30000))^2</x:f>
        <x:v>1.4043834735832137</x:v>
      </x:c>
      <x:c r="K933" s="23" t="n">
        <x:f>RANK(J933,$J$2:$J$1401,1)</x:f>
        <x:v>990</x:v>
      </x:c>
      <x:c r="L933" s="23" t="n">
        <x:f>IF(K933&lt;=7,1,0)</x:f>
        <x:v>0</x:v>
      </x:c>
      <x:c r="M933" s="23" t="n">
        <x:f>IF(L933=1,1/(J933+0.000001),0)</x:f>
        <x:v>0</x:v>
      </x:c>
      <x:c r="N933" s="23" t="n">
        <x:v>-3.2615700299097625</x:v>
      </x:c>
      <x:c r="O933" s="23" t="n">
        <x:f>M933</x:f>
        <x:v>0</x:v>
      </x:c>
      <x:c r="P933" s="23" t="n">
        <x:v>36.930458155703946</x:v>
      </x:c>
      <x:c r="Q933" s="23" t="n">
        <x:v>-11.951777305170708</x:v>
      </x:c>
    </x:row>
    <x:row r="934">
      <x:c r="A934" s="23" t="str">
        <x:v>Switching</x:v>
      </x:c>
      <x:c r="B934" s="23" t="n">
        <x:v>995.135196018964</x:v>
      </x:c>
      <x:c r="C934" s="23" t="n">
        <x:v>1239.4425356178544</x:v>
      </x:c>
      <x:c r="D934" s="23" t="n">
        <x:v>590.0267640128732</x:v>
      </x:c>
      <x:c r="E934" s="23" t="n">
        <x:v>232.37232303479686</x:v>
      </x:c>
      <x:c r="F934" s="23" t="n">
        <x:v>16.801450984552503</x:v>
      </x:c>
      <x:c r="G934" s="23" t="n">
        <x:v>0.7912522289087065</x:v>
      </x:c>
      <x:c r="H934" s="23" t="n">
        <x:v>10370</x:v>
      </x:c>
      <x:c r="I934" s="23" t="n">
        <x:v>1195</x:v>
      </x:c>
      <x:c r="J934" s="23" t="n">
        <x:f>(IF(A934='Hybrid Calculator'!$B$6,0,1))^2+((B934-'Hybrid Calculator'!$B$7)/1500)^2+((C934-'Hybrid Calculator'!$B$8)/1300)^2+((D934-'Hybrid Calculator'!$B$9)/800)^2+((E934-'Hybrid Calculator'!$B$10)/350)^2+((F934-'Hybrid Calculator'!$B$11)/30)^2+(G934-'Hybrid Calculator'!$B$12)^2+((H934-'Hybrid Calculator'!$E$14)/IF(A934="Lightning",100,30000))^2+((I934-'Hybrid Calculator'!$E$17)/IF(A934="Lightning",100,30000))^2</x:f>
        <x:v>1.363811232911852</x:v>
      </x:c>
      <x:c r="K934" s="23" t="n">
        <x:f>RANK(J934,$J$2:$J$1401,1)</x:f>
        <x:v>868</x:v>
      </x:c>
      <x:c r="L934" s="23" t="n">
        <x:f>IF(K934&lt;=7,1,0)</x:f>
        <x:v>0</x:v>
      </x:c>
      <x:c r="M934" s="23" t="n">
        <x:f>IF(L934=1,1/(J934+0.000001),0)</x:f>
        <x:v>0</x:v>
      </x:c>
      <x:c r="N934" s="23" t="n">
        <x:v>5.086408239037979</x:v>
      </x:c>
      <x:c r="O934" s="23" t="n">
        <x:f>M934</x:f>
        <x:v>0</x:v>
      </x:c>
      <x:c r="P934" s="23" t="n">
        <x:v>46.709727874300825</x:v>
      </x:c>
      <x:c r="Q934" s="23" t="n">
        <x:v>-3.3377056488989183</x:v>
      </x:c>
    </x:row>
    <x:row r="935">
      <x:c r="A935" s="23" t="str">
        <x:v>Switching</x:v>
      </x:c>
      <x:c r="B935" s="23" t="n">
        <x:v>1012.149310822133</x:v>
      </x:c>
      <x:c r="C935" s="23" t="n">
        <x:v>1107.027762872167</x:v>
      </x:c>
      <x:c r="D935" s="23" t="n">
        <x:v>682.5778313912451</x:v>
      </x:c>
      <x:c r="E935" s="23" t="n">
        <x:v>210.76481339521706</x:v>
      </x:c>
      <x:c r="F935" s="23" t="n">
        <x:v>17.682962686289102</x:v>
      </x:c>
      <x:c r="G935" s="23" t="n">
        <x:v>0.8175510160857812</x:v>
      </x:c>
      <x:c r="H935" s="23" t="n">
        <x:v>10690</x:v>
      </x:c>
      <x:c r="I935" s="23" t="n">
        <x:v>1195</x:v>
      </x:c>
      <x:c r="J935" s="23" t="n">
        <x:f>(IF(A935='Hybrid Calculator'!$B$6,0,1))^2+((B935-'Hybrid Calculator'!$B$7)/1500)^2+((C935-'Hybrid Calculator'!$B$8)/1300)^2+((D935-'Hybrid Calculator'!$B$9)/800)^2+((E935-'Hybrid Calculator'!$B$10)/350)^2+((F935-'Hybrid Calculator'!$B$11)/30)^2+(G935-'Hybrid Calculator'!$B$12)^2+((H935-'Hybrid Calculator'!$E$14)/IF(A935="Lightning",100,30000))^2+((I935-'Hybrid Calculator'!$E$17)/IF(A935="Lightning",100,30000))^2</x:f>
        <x:v>1.3251286460640042</x:v>
      </x:c>
      <x:c r="K935" s="23" t="n">
        <x:f>RANK(J935,$J$2:$J$1401,1)</x:f>
        <x:v>767</x:v>
      </x:c>
      <x:c r="L935" s="23" t="n">
        <x:f>IF(K935&lt;=7,1,0)</x:f>
        <x:v>0</x:v>
      </x:c>
      <x:c r="M935" s="23" t="n">
        <x:f>IF(L935=1,1/(J935+0.000001),0)</x:f>
        <x:v>0</x:v>
      </x:c>
      <x:c r="N935" s="23" t="n">
        <x:v>4.531489702849768</x:v>
      </x:c>
      <x:c r="O935" s="23" t="n">
        <x:f>M935</x:f>
        <x:v>0</x:v>
      </x:c>
      <x:c r="P935" s="23" t="n">
        <x:v>13.182138614310134</x:v>
      </x:c>
      <x:c r="Q935" s="23" t="n">
        <x:v>-7.792531470241215</x:v>
      </x:c>
    </x:row>
    <x:row r="936">
      <x:c r="A936" s="23" t="str">
        <x:v>Switching</x:v>
      </x:c>
      <x:c r="B936" s="23" t="n">
        <x:v>992.3531798413023</x:v>
      </x:c>
      <x:c r="C936" s="23" t="n">
        <x:v>869.0373386838473</x:v>
      </x:c>
      <x:c r="D936" s="23" t="n">
        <x:v>398.99502359330654</x:v>
      </x:c>
      <x:c r="E936" s="23" t="n">
        <x:v>290.04614856792614</x:v>
      </x:c>
      <x:c r="F936" s="23" t="n">
        <x:v>18.95265780109912</x:v>
      </x:c>
      <x:c r="G936" s="23" t="n">
        <x:v>0.8470177679206246</x:v>
      </x:c>
      <x:c r="H936" s="23" t="n">
        <x:v>16015</x:v>
      </x:c>
      <x:c r="I936" s="23" t="n">
        <x:v>1200</x:v>
      </x:c>
      <x:c r="J936" s="23" t="n">
        <x:f>(IF(A936='Hybrid Calculator'!$B$6,0,1))^2+((B936-'Hybrid Calculator'!$B$7)/1500)^2+((C936-'Hybrid Calculator'!$B$8)/1300)^2+((D936-'Hybrid Calculator'!$B$9)/800)^2+((E936-'Hybrid Calculator'!$B$10)/350)^2+((F936-'Hybrid Calculator'!$B$11)/30)^2+(G936-'Hybrid Calculator'!$B$12)^2+((H936-'Hybrid Calculator'!$E$14)/IF(A936="Lightning",100,30000))^2+((I936-'Hybrid Calculator'!$E$17)/IF(A936="Lightning",100,30000))^2</x:f>
        <x:v>1.5451461621118658</x:v>
      </x:c>
      <x:c r="K936" s="23" t="n">
        <x:f>RANK(J936,$J$2:$J$1401,1)</x:f>
        <x:v>1293</x:v>
      </x:c>
      <x:c r="L936" s="23" t="n">
        <x:f>IF(K936&lt;=7,1,0)</x:f>
        <x:v>0</x:v>
      </x:c>
      <x:c r="M936" s="23" t="n">
        <x:f>IF(L936=1,1/(J936+0.000001),0)</x:f>
        <x:v>0</x:v>
      </x:c>
      <x:c r="N936" s="23" t="n">
        <x:v>0.7474524393535091</x:v>
      </x:c>
      <x:c r="O936" s="23" t="n">
        <x:f>M936</x:f>
        <x:v>0</x:v>
      </x:c>
      <x:c r="P936" s="23" t="n">
        <x:v>-25.13549187386161</x:v>
      </x:c>
      <x:c r="Q936" s="23" t="n">
        <x:v>1.3451290564303235</x:v>
      </x:c>
    </x:row>
    <x:row r="937">
      <x:c r="A937" s="23" t="str">
        <x:v>Switching</x:v>
      </x:c>
      <x:c r="B937" s="23" t="n">
        <x:v>972.0338092534803</x:v>
      </x:c>
      <x:c r="C937" s="23" t="n">
        <x:v>1084.2839958611876</x:v>
      </x:c>
      <x:c r="D937" s="23" t="n">
        <x:v>517.1723234467208</x:v>
      </x:c>
      <x:c r="E937" s="23" t="n">
        <x:v>208.8202138384804</x:v>
      </x:c>
      <x:c r="F937" s="23" t="n">
        <x:v>10.24017110420391</x:v>
      </x:c>
      <x:c r="G937" s="23" t="n">
        <x:v>0.796365928594023</x:v>
      </x:c>
      <x:c r="H937" s="23" t="n">
        <x:v>11815</x:v>
      </x:c>
      <x:c r="I937" s="23" t="n">
        <x:v>1195</x:v>
      </x:c>
      <x:c r="J937" s="23" t="n">
        <x:f>(IF(A937='Hybrid Calculator'!$B$6,0,1))^2+((B937-'Hybrid Calculator'!$B$7)/1500)^2+((C937-'Hybrid Calculator'!$B$8)/1300)^2+((D937-'Hybrid Calculator'!$B$9)/800)^2+((E937-'Hybrid Calculator'!$B$10)/350)^2+((F937-'Hybrid Calculator'!$B$11)/30)^2+(G937-'Hybrid Calculator'!$B$12)^2+((H937-'Hybrid Calculator'!$E$14)/IF(A937="Lightning",100,30000))^2+((I937-'Hybrid Calculator'!$E$17)/IF(A937="Lightning",100,30000))^2</x:f>
        <x:v>1.3840528191228836</x:v>
      </x:c>
      <x:c r="K937" s="23" t="n">
        <x:f>RANK(J937,$J$2:$J$1401,1)</x:f>
        <x:v>929</x:v>
      </x:c>
      <x:c r="L937" s="23" t="n">
        <x:f>IF(K937&lt;=7,1,0)</x:f>
        <x:v>0</x:v>
      </x:c>
      <x:c r="M937" s="23" t="n">
        <x:f>IF(L937=1,1/(J937+0.000001),0)</x:f>
        <x:v>0</x:v>
      </x:c>
      <x:c r="N937" s="23" t="n">
        <x:v>0.7789078458992833</x:v>
      </x:c>
      <x:c r="O937" s="23" t="n">
        <x:f>M937</x:f>
        <x:v>0</x:v>
      </x:c>
      <x:c r="P937" s="23" t="n">
        <x:v>56.58898384131135</x:v>
      </x:c>
      <x:c r="Q937" s="23" t="n">
        <x:v>-1.927021213874923</x:v>
      </x:c>
    </x:row>
    <x:row r="938">
      <x:c r="A938" s="23" t="str">
        <x:v>Switching</x:v>
      </x:c>
      <x:c r="B938" s="23" t="n">
        <x:v>958.5351068992168</x:v>
      </x:c>
      <x:c r="C938" s="23" t="n">
        <x:v>1181.6269971313886</x:v>
      </x:c>
      <x:c r="D938" s="23" t="n">
        <x:v>399.7503427788615</x:v>
      </x:c>
      <x:c r="E938" s="23" t="n">
        <x:v>319.8382335086353</x:v>
      </x:c>
      <x:c r="F938" s="23" t="n">
        <x:v>11.92901998758316</x:v>
      </x:c>
      <x:c r="G938" s="23" t="n">
        <x:v>0.844690132199321</x:v>
      </x:c>
      <x:c r="H938" s="23" t="n">
        <x:v>13125</x:v>
      </x:c>
      <x:c r="I938" s="23" t="n">
        <x:v>1200</x:v>
      </x:c>
      <x:c r="J938" s="23" t="n">
        <x:f>(IF(A938='Hybrid Calculator'!$B$6,0,1))^2+((B938-'Hybrid Calculator'!$B$7)/1500)^2+((C938-'Hybrid Calculator'!$B$8)/1300)^2+((D938-'Hybrid Calculator'!$B$9)/800)^2+((E938-'Hybrid Calculator'!$B$10)/350)^2+((F938-'Hybrid Calculator'!$B$11)/30)^2+(G938-'Hybrid Calculator'!$B$12)^2+((H938-'Hybrid Calculator'!$E$14)/IF(A938="Lightning",100,30000))^2+((I938-'Hybrid Calculator'!$E$17)/IF(A938="Lightning",100,30000))^2</x:f>
        <x:v>1.6530236201697612</x:v>
      </x:c>
      <x:c r="K938" s="23" t="n">
        <x:f>RANK(J938,$J$2:$J$1401,1)</x:f>
        <x:v>1382</x:v>
      </x:c>
      <x:c r="L938" s="23" t="n">
        <x:f>IF(K938&lt;=7,1,0)</x:f>
        <x:v>0</x:v>
      </x:c>
      <x:c r="M938" s="23" t="n">
        <x:f>IF(L938=1,1/(J938+0.000001),0)</x:f>
        <x:v>0</x:v>
      </x:c>
      <x:c r="N938" s="23" t="n">
        <x:v>5.811619573093878</x:v>
      </x:c>
      <x:c r="O938" s="23" t="n">
        <x:f>M938</x:f>
        <x:v>0</x:v>
      </x:c>
      <x:c r="P938" s="23" t="n">
        <x:v>4.671512815469669</x:v>
      </x:c>
      <x:c r="Q938" s="23" t="n">
        <x:v>1.5145536499755963</x:v>
      </x:c>
    </x:row>
    <x:row r="939">
      <x:c r="A939" s="23" t="str">
        <x:v>Switching</x:v>
      </x:c>
      <x:c r="B939" s="23" t="n">
        <x:v>980.4890678380616</x:v>
      </x:c>
      <x:c r="C939" s="23" t="n">
        <x:v>821.2311634561047</x:v>
      </x:c>
      <x:c r="D939" s="23" t="n">
        <x:v>630.4898184724152</x:v>
      </x:c>
      <x:c r="E939" s="23" t="n">
        <x:v>85.94999128952622</x:v>
      </x:c>
      <x:c r="F939" s="23" t="n">
        <x:v>27.207600882742554</x:v>
      </x:c>
      <x:c r="G939" s="23" t="n">
        <x:v>0.8378954078024253</x:v>
      </x:c>
      <x:c r="H939" s="23" t="n">
        <x:v>16225</x:v>
      </x:c>
      <x:c r="I939" s="23" t="n">
        <x:v>1200</x:v>
      </x:c>
      <x:c r="J939" s="23" t="n">
        <x:f>(IF(A939='Hybrid Calculator'!$B$6,0,1))^2+((B939-'Hybrid Calculator'!$B$7)/1500)^2+((C939-'Hybrid Calculator'!$B$8)/1300)^2+((D939-'Hybrid Calculator'!$B$9)/800)^2+((E939-'Hybrid Calculator'!$B$10)/350)^2+((F939-'Hybrid Calculator'!$B$11)/30)^2+(G939-'Hybrid Calculator'!$B$12)^2+((H939-'Hybrid Calculator'!$E$14)/IF(A939="Lightning",100,30000))^2+((I939-'Hybrid Calculator'!$E$17)/IF(A939="Lightning",100,30000))^2</x:f>
        <x:v>1.525204100427613</x:v>
      </x:c>
      <x:c r="K939" s="23" t="n">
        <x:f>RANK(J939,$J$2:$J$1401,1)</x:f>
        <x:v>1256</x:v>
      </x:c>
      <x:c r="L939" s="23" t="n">
        <x:f>IF(K939&lt;=7,1,0)</x:f>
        <x:v>0</x:v>
      </x:c>
      <x:c r="M939" s="23" t="n">
        <x:f>IF(L939=1,1/(J939+0.000001),0)</x:f>
        <x:v>0</x:v>
      </x:c>
      <x:c r="N939" s="23" t="n">
        <x:v>-0.5112141946634097</x:v>
      </x:c>
      <x:c r="O939" s="23" t="n">
        <x:f>M939</x:f>
        <x:v>0</x:v>
      </x:c>
      <x:c r="P939" s="23" t="n">
        <x:v>-30.521176864046083</x:v>
      </x:c>
      <x:c r="Q939" s="23" t="n">
        <x:v>-9.224397210584016</x:v>
      </x:c>
    </x:row>
    <x:row r="940">
      <x:c r="A940" s="23" t="str">
        <x:v>Switching</x:v>
      </x:c>
      <x:c r="B940" s="23" t="n">
        <x:v>1014.0688355546445</x:v>
      </x:c>
      <x:c r="C940" s="23" t="n">
        <x:v>876.9510921905749</x:v>
      </x:c>
      <x:c r="D940" s="23" t="n">
        <x:v>639.3370455130935</x:v>
      </x:c>
      <x:c r="E940" s="23" t="n">
        <x:v>105.06866940530017</x:v>
      </x:c>
      <x:c r="F940" s="23" t="n">
        <x:v>28.76437884196639</x:v>
      </x:c>
      <x:c r="G940" s="23" t="n">
        <x:v>0.8500899711647072</x:v>
      </x:c>
      <x:c r="H940" s="23" t="n">
        <x:v>15390</x:v>
      </x:c>
      <x:c r="I940" s="23" t="n">
        <x:v>1200</x:v>
      </x:c>
      <x:c r="J940" s="23" t="n">
        <x:f>(IF(A940='Hybrid Calculator'!$B$6,0,1))^2+((B940-'Hybrid Calculator'!$B$7)/1500)^2+((C940-'Hybrid Calculator'!$B$8)/1300)^2+((D940-'Hybrid Calculator'!$B$9)/800)^2+((E940-'Hybrid Calculator'!$B$10)/350)^2+((F940-'Hybrid Calculator'!$B$11)/30)^2+(G940-'Hybrid Calculator'!$B$12)^2+((H940-'Hybrid Calculator'!$E$14)/IF(A940="Lightning",100,30000))^2+((I940-'Hybrid Calculator'!$E$17)/IF(A940="Lightning",100,30000))^2</x:f>
        <x:v>1.5032615685237525</x:v>
      </x:c>
      <x:c r="K940" s="23" t="n">
        <x:f>RANK(J940,$J$2:$J$1401,1)</x:f>
        <x:v>1217</x:v>
      </x:c>
      <x:c r="L940" s="23" t="n">
        <x:f>IF(K940&lt;=7,1,0)</x:f>
        <x:v>0</x:v>
      </x:c>
      <x:c r="M940" s="23" t="n">
        <x:f>IF(L940=1,1/(J940+0.000001),0)</x:f>
        <x:v>0</x:v>
      </x:c>
      <x:c r="N940" s="23" t="n">
        <x:v>-2.169582313788652</x:v>
      </x:c>
      <x:c r="O940" s="23" t="n">
        <x:f>M940</x:f>
        <x:v>0</x:v>
      </x:c>
      <x:c r="P940" s="23" t="n">
        <x:v>-35.199557612815624</x:v>
      </x:c>
      <x:c r="Q940" s="23" t="n">
        <x:v>-7.537704768368826</x:v>
      </x:c>
    </x:row>
    <x:row r="941">
      <x:c r="A941" s="23" t="str">
        <x:v>Switching</x:v>
      </x:c>
      <x:c r="B941" s="23" t="n">
        <x:v>1056.4745854702778</x:v>
      </x:c>
      <x:c r="C941" s="23" t="n">
        <x:v>1227.423810469918</x:v>
      </x:c>
      <x:c r="D941" s="23" t="n">
        <x:v>732.5025369413197</x:v>
      </x:c>
      <x:c r="E941" s="23" t="n">
        <x:v>286.08089957386255</x:v>
      </x:c>
      <x:c r="F941" s="23" t="n">
        <x:v>18.41745555633679</x:v>
      </x:c>
      <x:c r="G941" s="23" t="n">
        <x:v>0.8103744764951989</x:v>
      </x:c>
      <x:c r="H941" s="23" t="n">
        <x:v>9520</x:v>
      </x:c>
      <x:c r="I941" s="23" t="n">
        <x:v>1195</x:v>
      </x:c>
      <x:c r="J941" s="23" t="n">
        <x:f>(IF(A941='Hybrid Calculator'!$B$6,0,1))^2+((B941-'Hybrid Calculator'!$B$7)/1500)^2+((C941-'Hybrid Calculator'!$B$8)/1300)^2+((D941-'Hybrid Calculator'!$B$9)/800)^2+((E941-'Hybrid Calculator'!$B$10)/350)^2+((F941-'Hybrid Calculator'!$B$11)/30)^2+(G941-'Hybrid Calculator'!$B$12)^2+((H941-'Hybrid Calculator'!$E$14)/IF(A941="Lightning",100,30000))^2+((I941-'Hybrid Calculator'!$E$17)/IF(A941="Lightning",100,30000))^2</x:f>
        <x:v>1.4815484653026016</x:v>
      </x:c>
      <x:c r="K941" s="23" t="n">
        <x:f>RANK(J941,$J$2:$J$1401,1)</x:f>
        <x:v>1178</x:v>
      </x:c>
      <x:c r="L941" s="23" t="n">
        <x:f>IF(K941&lt;=7,1,0)</x:f>
        <x:v>0</x:v>
      </x:c>
      <x:c r="M941" s="23" t="n">
        <x:f>IF(L941=1,1/(J941+0.000001),0)</x:f>
        <x:v>0</x:v>
      </x:c>
      <x:c r="N941" s="23" t="n">
        <x:v>2.6154513726282573</x:v>
      </x:c>
      <x:c r="O941" s="23" t="n">
        <x:f>M941</x:f>
        <x:v>0</x:v>
      </x:c>
      <x:c r="P941" s="23" t="n">
        <x:v>21.67423641628966</x:v>
      </x:c>
      <x:c r="Q941" s="23" t="n">
        <x:v>-14.58270673071388</x:v>
      </x:c>
    </x:row>
    <x:row r="942">
      <x:c r="A942" s="23" t="str">
        <x:v>Switching</x:v>
      </x:c>
      <x:c r="B942" s="23" t="n">
        <x:v>988.9913894468918</x:v>
      </x:c>
      <x:c r="C942" s="23" t="n">
        <x:v>721.026895486284</x:v>
      </x:c>
      <x:c r="D942" s="23" t="n">
        <x:v>686.4021472632885</x:v>
      </x:c>
      <x:c r="E942" s="23" t="n">
        <x:v>254.12538401549682</x:v>
      </x:c>
      <x:c r="F942" s="23" t="n">
        <x:v>18.018394148908556</x:v>
      </x:c>
      <x:c r="G942" s="23" t="n">
        <x:v>0.804999750868883</x:v>
      </x:c>
      <x:c r="H942" s="23" t="n">
        <x:v>12870</x:v>
      </x:c>
      <x:c r="I942" s="23" t="n">
        <x:v>1200</x:v>
      </x:c>
      <x:c r="J942" s="23" t="n">
        <x:f>(IF(A942='Hybrid Calculator'!$B$6,0,1))^2+((B942-'Hybrid Calculator'!$B$7)/1500)^2+((C942-'Hybrid Calculator'!$B$8)/1300)^2+((D942-'Hybrid Calculator'!$B$9)/800)^2+((E942-'Hybrid Calculator'!$B$10)/350)^2+((F942-'Hybrid Calculator'!$B$11)/30)^2+(G942-'Hybrid Calculator'!$B$12)^2+((H942-'Hybrid Calculator'!$E$14)/IF(A942="Lightning",100,30000))^2+((I942-'Hybrid Calculator'!$E$17)/IF(A942="Lightning",100,30000))^2</x:f>
        <x:v>1.4217607706820583</x:v>
      </x:c>
      <x:c r="K942" s="23" t="n">
        <x:f>RANK(J942,$J$2:$J$1401,1)</x:f>
        <x:v>1042</x:v>
      </x:c>
      <x:c r="L942" s="23" t="n">
        <x:f>IF(K942&lt;=7,1,0)</x:f>
        <x:v>0</x:v>
      </x:c>
      <x:c r="M942" s="23" t="n">
        <x:f>IF(L942=1,1/(J942+0.000001),0)</x:f>
        <x:v>0</x:v>
      </x:c>
      <x:c r="N942" s="23" t="n">
        <x:v>-1.016169328384052</x:v>
      </x:c>
      <x:c r="O942" s="23" t="n">
        <x:f>M942</x:f>
        <x:v>0</x:v>
      </x:c>
      <x:c r="P942" s="23" t="n">
        <x:v>-37.44787707576097</x:v>
      </x:c>
      <x:c r="Q942" s="23" t="n">
        <x:v>-2.23210858327036</x:v>
      </x:c>
    </x:row>
    <x:row r="943">
      <x:c r="A943" s="23" t="str">
        <x:v>Switching</x:v>
      </x:c>
      <x:c r="B943" s="23" t="n">
        <x:v>979.7192761558108</x:v>
      </x:c>
      <x:c r="C943" s="23" t="n">
        <x:v>658.7316032499075</x:v>
      </x:c>
      <x:c r="D943" s="23" t="n">
        <x:v>580.9807597659528</x:v>
      </x:c>
      <x:c r="E943" s="23" t="n">
        <x:v>169.73538235295564</x:v>
      </x:c>
      <x:c r="F943" s="23" t="n">
        <x:v>16.47686810931191</x:v>
      </x:c>
      <x:c r="G943" s="23" t="n">
        <x:v>0.7902645612042397</x:v>
      </x:c>
      <x:c r="H943" s="23" t="n">
        <x:v>15175</x:v>
      </x:c>
      <x:c r="I943" s="23" t="n">
        <x:v>1200</x:v>
      </x:c>
      <x:c r="J943" s="23" t="n">
        <x:f>(IF(A943='Hybrid Calculator'!$B$6,0,1))^2+((B943-'Hybrid Calculator'!$B$7)/1500)^2+((C943-'Hybrid Calculator'!$B$8)/1300)^2+((D943-'Hybrid Calculator'!$B$9)/800)^2+((E943-'Hybrid Calculator'!$B$10)/350)^2+((F943-'Hybrid Calculator'!$B$11)/30)^2+(G943-'Hybrid Calculator'!$B$12)^2+((H943-'Hybrid Calculator'!$E$14)/IF(A943="Lightning",100,30000))^2+((I943-'Hybrid Calculator'!$E$17)/IF(A943="Lightning",100,30000))^2</x:f>
        <x:v>1.3843455524925496</x:v>
      </x:c>
      <x:c r="K943" s="23" t="n">
        <x:f>RANK(J943,$J$2:$J$1401,1)</x:f>
        <x:v>932</x:v>
      </x:c>
      <x:c r="L943" s="23" t="n">
        <x:f>IF(K943&lt;=7,1,0)</x:f>
        <x:v>0</x:v>
      </x:c>
      <x:c r="M943" s="23" t="n">
        <x:f>IF(L943=1,1/(J943+0.000001),0)</x:f>
        <x:v>0</x:v>
      </x:c>
      <x:c r="N943" s="23" t="n">
        <x:v>-2.123500080832571</x:v>
      </x:c>
      <x:c r="O943" s="23" t="n">
        <x:f>M943</x:f>
        <x:v>0</x:v>
      </x:c>
      <x:c r="P943" s="23" t="n">
        <x:v>7.217586178259353</x:v>
      </x:c>
      <x:c r="Q943" s="23" t="n">
        <x:v>8.510170717434335</x:v>
      </x:c>
    </x:row>
    <x:row r="944">
      <x:c r="A944" s="23" t="str">
        <x:v>Switching</x:v>
      </x:c>
      <x:c r="B944" s="23" t="n">
        <x:v>1007.1606907062232</x:v>
      </x:c>
      <x:c r="C944" s="23" t="n">
        <x:v>1181.1345461173914</x:v>
      </x:c>
      <x:c r="D944" s="23" t="n">
        <x:v>370.8124512806535</x:v>
      </x:c>
      <x:c r="E944" s="23" t="n">
        <x:v>167.43444929132238</x:v>
      </x:c>
      <x:c r="F944" s="23" t="n">
        <x:v>19.94367958046496</x:v>
      </x:c>
      <x:c r="G944" s="23" t="n">
        <x:v>0.8423319008504041</x:v>
      </x:c>
      <x:c r="H944" s="23" t="n">
        <x:v>14510</x:v>
      </x:c>
      <x:c r="I944" s="23" t="n">
        <x:v>1200</x:v>
      </x:c>
      <x:c r="J944" s="23" t="n">
        <x:f>(IF(A944='Hybrid Calculator'!$B$6,0,1))^2+((B944-'Hybrid Calculator'!$B$7)/1500)^2+((C944-'Hybrid Calculator'!$B$8)/1300)^2+((D944-'Hybrid Calculator'!$B$9)/800)^2+((E944-'Hybrid Calculator'!$B$10)/350)^2+((F944-'Hybrid Calculator'!$B$11)/30)^2+(G944-'Hybrid Calculator'!$B$12)^2+((H944-'Hybrid Calculator'!$E$14)/IF(A944="Lightning",100,30000))^2+((I944-'Hybrid Calculator'!$E$17)/IF(A944="Lightning",100,30000))^2</x:f>
        <x:v>1.407708186335924</x:v>
      </x:c>
      <x:c r="K944" s="23" t="n">
        <x:f>RANK(J944,$J$2:$J$1401,1)</x:f>
        <x:v>998</x:v>
      </x:c>
      <x:c r="L944" s="23" t="n">
        <x:f>IF(K944&lt;=7,1,0)</x:f>
        <x:v>0</x:v>
      </x:c>
      <x:c r="M944" s="23" t="n">
        <x:f>IF(L944=1,1/(J944+0.000001),0)</x:f>
        <x:v>0</x:v>
      </x:c>
      <x:c r="N944" s="23" t="n">
        <x:v>1.9802231875928271</x:v>
      </x:c>
      <x:c r="O944" s="23" t="n">
        <x:f>M944</x:f>
        <x:v>0</x:v>
      </x:c>
      <x:c r="P944" s="23" t="n">
        <x:v>67.735185736718</x:v>
      </x:c>
      <x:c r="Q944" s="23" t="n">
        <x:v>-8.267038661450101</x:v>
      </x:c>
    </x:row>
    <x:row r="945">
      <x:c r="A945" s="23" t="str">
        <x:v>Switching</x:v>
      </x:c>
      <x:c r="B945" s="23" t="n">
        <x:v>1015.2184782200493</x:v>
      </x:c>
      <x:c r="C945" s="23" t="n">
        <x:v>1132.4341683881357</x:v>
      </x:c>
      <x:c r="D945" s="23" t="n">
        <x:v>650.0495039857924</x:v>
      </x:c>
      <x:c r="E945" s="23" t="n">
        <x:v>326.90571264363825</x:v>
      </x:c>
      <x:c r="F945" s="23" t="n">
        <x:v>11.551252775359899</x:v>
      </x:c>
      <x:c r="G945" s="23" t="n">
        <x:v>0.847970822439529</x:v>
      </x:c>
      <x:c r="H945" s="23" t="n">
        <x:v>11830</x:v>
      </x:c>
      <x:c r="I945" s="23" t="n">
        <x:v>1195</x:v>
      </x:c>
      <x:c r="J945" s="23" t="n">
        <x:f>(IF(A945='Hybrid Calculator'!$B$6,0,1))^2+((B945-'Hybrid Calculator'!$B$7)/1500)^2+((C945-'Hybrid Calculator'!$B$8)/1300)^2+((D945-'Hybrid Calculator'!$B$9)/800)^2+((E945-'Hybrid Calculator'!$B$10)/350)^2+((F945-'Hybrid Calculator'!$B$11)/30)^2+(G945-'Hybrid Calculator'!$B$12)^2+((H945-'Hybrid Calculator'!$E$14)/IF(A945="Lightning",100,30000))^2+((I945-'Hybrid Calculator'!$E$17)/IF(A945="Lightning",100,30000))^2</x:f>
        <x:v>1.6226267107998744</x:v>
      </x:c>
      <x:c r="K945" s="23" t="n">
        <x:f>RANK(J945,$J$2:$J$1401,1)</x:f>
        <x:v>1363</x:v>
      </x:c>
      <x:c r="L945" s="23" t="n">
        <x:f>IF(K945&lt;=7,1,0)</x:f>
        <x:v>0</x:v>
      </x:c>
      <x:c r="M945" s="23" t="n">
        <x:f>IF(L945=1,1/(J945+0.000001),0)</x:f>
        <x:v>0</x:v>
      </x:c>
      <x:c r="N945" s="23" t="n">
        <x:v>2.461574405179306</x:v>
      </x:c>
      <x:c r="O945" s="23" t="n">
        <x:f>M945</x:f>
        <x:v>0</x:v>
      </x:c>
      <x:c r="P945" s="23" t="n">
        <x:v>63.56803225855674</x:v>
      </x:c>
      <x:c r="Q945" s="23" t="n">
        <x:v>-5.530033274147172</x:v>
      </x:c>
    </x:row>
    <x:row r="946">
      <x:c r="A946" s="23" t="str">
        <x:v>Switching</x:v>
      </x:c>
      <x:c r="B946" s="23" t="n">
        <x:v>1050.957241258584</x:v>
      </x:c>
      <x:c r="C946" s="23" t="n">
        <x:v>1195.4699417226948</x:v>
      </x:c>
      <x:c r="D946" s="23" t="n">
        <x:v>447.3477851599455</x:v>
      </x:c>
      <x:c r="E946" s="23" t="n">
        <x:v>277.825342125725</x:v>
      </x:c>
      <x:c r="F946" s="23" t="n">
        <x:v>11.22245577443391</x:v>
      </x:c>
      <x:c r="G946" s="23" t="n">
        <x:v>0.8580636568437331</x:v>
      </x:c>
      <x:c r="H946" s="23" t="n">
        <x:v>11135</x:v>
      </x:c>
      <x:c r="I946" s="23" t="n">
        <x:v>1195</x:v>
      </x:c>
      <x:c r="J946" s="23" t="n">
        <x:f>(IF(A946='Hybrid Calculator'!$B$6,0,1))^2+((B946-'Hybrid Calculator'!$B$7)/1500)^2+((C946-'Hybrid Calculator'!$B$8)/1300)^2+((D946-'Hybrid Calculator'!$B$9)/800)^2+((E946-'Hybrid Calculator'!$B$10)/350)^2+((F946-'Hybrid Calculator'!$B$11)/30)^2+(G946-'Hybrid Calculator'!$B$12)^2+((H946-'Hybrid Calculator'!$E$14)/IF(A946="Lightning",100,30000))^2+((I946-'Hybrid Calculator'!$E$17)/IF(A946="Lightning",100,30000))^2</x:f>
        <x:v>1.4688636401594422</x:v>
      </x:c>
      <x:c r="K946" s="23" t="n">
        <x:f>RANK(J946,$J$2:$J$1401,1)</x:f>
        <x:v>1155</x:v>
      </x:c>
      <x:c r="L946" s="23" t="n">
        <x:f>IF(K946&lt;=7,1,0)</x:f>
        <x:v>0</x:v>
      </x:c>
      <x:c r="M946" s="23" t="n">
        <x:f>IF(L946=1,1/(J946+0.000001),0)</x:f>
        <x:v>0</x:v>
      </x:c>
      <x:c r="N946" s="23" t="n">
        <x:v>0.4842794953612497</x:v>
      </x:c>
      <x:c r="O946" s="23" t="n">
        <x:f>M946</x:f>
        <x:v>0</x:v>
      </x:c>
      <x:c r="P946" s="23" t="n">
        <x:v>32.18227054786712</x:v>
      </x:c>
      <x:c r="Q946" s="23" t="n">
        <x:v>1.3196448553760547</x:v>
      </x:c>
    </x:row>
    <x:row r="947">
      <x:c r="A947" s="23" t="str">
        <x:v>Switching</x:v>
      </x:c>
      <x:c r="B947" s="23" t="n">
        <x:v>1077.6091597392224</x:v>
      </x:c>
      <x:c r="C947" s="23" t="n">
        <x:v>1128.775541903451</x:v>
      </x:c>
      <x:c r="D947" s="23" t="n">
        <x:v>634.5113995485008</x:v>
      </x:c>
      <x:c r="E947" s="23" t="n">
        <x:v>99.85041087027639</x:v>
      </x:c>
      <x:c r="F947" s="23" t="n">
        <x:v>13.647033921908587</x:v>
      </x:c>
      <x:c r="G947" s="23" t="n">
        <x:v>0.797421146389097</x:v>
      </x:c>
      <x:c r="H947" s="23" t="n">
        <x:v>11480</x:v>
      </x:c>
      <x:c r="I947" s="23" t="n">
        <x:v>1195</x:v>
      </x:c>
      <x:c r="J947" s="23" t="n">
        <x:f>(IF(A947='Hybrid Calculator'!$B$6,0,1))^2+((B947-'Hybrid Calculator'!$B$7)/1500)^2+((C947-'Hybrid Calculator'!$B$8)/1300)^2+((D947-'Hybrid Calculator'!$B$9)/800)^2+((E947-'Hybrid Calculator'!$B$10)/350)^2+((F947-'Hybrid Calculator'!$B$11)/30)^2+(G947-'Hybrid Calculator'!$B$12)^2+((H947-'Hybrid Calculator'!$E$14)/IF(A947="Lightning",100,30000))^2+((I947-'Hybrid Calculator'!$E$17)/IF(A947="Lightning",100,30000))^2</x:f>
        <x:v>1.3217825735756026</x:v>
      </x:c>
      <x:c r="K947" s="23" t="n">
        <x:f>RANK(J947,$J$2:$J$1401,1)</x:f>
        <x:v>763</x:v>
      </x:c>
      <x:c r="L947" s="23" t="n">
        <x:f>IF(K947&lt;=7,1,0)</x:f>
        <x:v>0</x:v>
      </x:c>
      <x:c r="M947" s="23" t="n">
        <x:f>IF(L947=1,1/(J947+0.000001),0)</x:f>
        <x:v>0</x:v>
      </x:c>
      <x:c r="N947" s="23" t="n">
        <x:v>0.3842782446760964</x:v>
      </x:c>
      <x:c r="O947" s="23" t="n">
        <x:f>M947</x:f>
        <x:v>0</x:v>
      </x:c>
      <x:c r="P947" s="23" t="n">
        <x:v>67.33874935659423</x:v>
      </x:c>
      <x:c r="Q947" s="23" t="n">
        <x:v>3.374898619357282</x:v>
      </x:c>
    </x:row>
    <x:row r="948">
      <x:c r="A948" s="23" t="str">
        <x:v>Switching</x:v>
      </x:c>
      <x:c r="B948" s="23" t="n">
        <x:v>1090.1165726128966</x:v>
      </x:c>
      <x:c r="C948" s="23" t="n">
        <x:v>918.2342694955878</x:v>
      </x:c>
      <x:c r="D948" s="23" t="n">
        <x:v>350.5392773076892</x:v>
      </x:c>
      <x:c r="E948" s="23" t="n">
        <x:v>164.3673565541394</x:v>
      </x:c>
      <x:c r="F948" s="23" t="n">
        <x:v>19.72030394524336</x:v>
      </x:c>
      <x:c r="G948" s="23" t="n">
        <x:v>0.7967389369220473</x:v>
      </x:c>
      <x:c r="H948" s="23" t="n">
        <x:v>14920</x:v>
      </x:c>
      <x:c r="I948" s="23" t="n">
        <x:v>1200</x:v>
      </x:c>
      <x:c r="J948" s="23" t="n">
        <x:f>(IF(A948='Hybrid Calculator'!$B$6,0,1))^2+((B948-'Hybrid Calculator'!$B$7)/1500)^2+((C948-'Hybrid Calculator'!$B$8)/1300)^2+((D948-'Hybrid Calculator'!$B$9)/800)^2+((E948-'Hybrid Calculator'!$B$10)/350)^2+((F948-'Hybrid Calculator'!$B$11)/30)^2+(G948-'Hybrid Calculator'!$B$12)^2+((H948-'Hybrid Calculator'!$E$14)/IF(A948="Lightning",100,30000))^2+((I948-'Hybrid Calculator'!$E$17)/IF(A948="Lightning",100,30000))^2</x:f>
        <x:v>1.3386021888971227</x:v>
      </x:c>
      <x:c r="K948" s="23" t="n">
        <x:f>RANK(J948,$J$2:$J$1401,1)</x:f>
        <x:v>798</x:v>
      </x:c>
      <x:c r="L948" s="23" t="n">
        <x:f>IF(K948&lt;=7,1,0)</x:f>
        <x:v>0</x:v>
      </x:c>
      <x:c r="M948" s="23" t="n">
        <x:f>IF(L948=1,1/(J948+0.000001),0)</x:f>
        <x:v>0</x:v>
      </x:c>
      <x:c r="N948" s="23" t="n">
        <x:v>1.5087528905259546</x:v>
      </x:c>
      <x:c r="O948" s="23" t="n">
        <x:f>M948</x:f>
        <x:v>0</x:v>
      </x:c>
      <x:c r="P948" s="23" t="n">
        <x:v>-19.549793431564467</x:v>
      </x:c>
      <x:c r="Q948" s="23" t="n">
        <x:v>-1.8464156466200166</x:v>
      </x:c>
    </x:row>
    <x:row r="949">
      <x:c r="A949" s="23" t="str">
        <x:v>Switching</x:v>
      </x:c>
      <x:c r="B949" s="23" t="n">
        <x:v>950.4700130899437</x:v>
      </x:c>
      <x:c r="C949" s="23" t="n">
        <x:v>1180.4445158457384</x:v>
      </x:c>
      <x:c r="D949" s="23" t="n">
        <x:v>356.8814215250313</x:v>
      </x:c>
      <x:c r="E949" s="23" t="n">
        <x:v>325.36946369335055</x:v>
      </x:c>
      <x:c r="F949" s="23" t="n">
        <x:v>22.57026274362579</x:v>
      </x:c>
      <x:c r="G949" s="23" t="n">
        <x:v>0.8338671835651622</x:v>
      </x:c>
      <x:c r="H949" s="23" t="n">
        <x:v>13395</x:v>
      </x:c>
      <x:c r="I949" s="23" t="n">
        <x:v>1200</x:v>
      </x:c>
      <x:c r="J949" s="23" t="n">
        <x:f>(IF(A949='Hybrid Calculator'!$B$6,0,1))^2+((B949-'Hybrid Calculator'!$B$7)/1500)^2+((C949-'Hybrid Calculator'!$B$8)/1300)^2+((D949-'Hybrid Calculator'!$B$9)/800)^2+((E949-'Hybrid Calculator'!$B$10)/350)^2+((F949-'Hybrid Calculator'!$B$11)/30)^2+(G949-'Hybrid Calculator'!$B$12)^2+((H949-'Hybrid Calculator'!$E$14)/IF(A949="Lightning",100,30000))^2+((I949-'Hybrid Calculator'!$E$17)/IF(A949="Lightning",100,30000))^2</x:f>
        <x:v>1.6657631516218625</x:v>
      </x:c>
      <x:c r="K949" s="23" t="n">
        <x:f>RANK(J949,$J$2:$J$1401,1)</x:f>
        <x:v>1386</x:v>
      </x:c>
      <x:c r="L949" s="23" t="n">
        <x:f>IF(K949&lt;=7,1,0)</x:f>
        <x:v>0</x:v>
      </x:c>
      <x:c r="M949" s="23" t="n">
        <x:f>IF(L949=1,1/(J949+0.000001),0)</x:f>
        <x:v>0</x:v>
      </x:c>
      <x:c r="N949" s="23" t="n">
        <x:v>2.655148246696996</x:v>
      </x:c>
      <x:c r="O949" s="23" t="n">
        <x:f>M949</x:f>
        <x:v>0</x:v>
      </x:c>
      <x:c r="P949" s="23" t="n">
        <x:v>21.753115879407233</x:v>
      </x:c>
      <x:c r="Q949" s="23" t="n">
        <x:v>-10.010509193769622</x:v>
      </x:c>
    </x:row>
    <x:row r="950">
      <x:c r="A950" s="23" t="str">
        <x:v>Switching</x:v>
      </x:c>
      <x:c r="B950" s="23" t="n">
        <x:v>1061.2491852836683</x:v>
      </x:c>
      <x:c r="C950" s="23" t="n">
        <x:v>1187.359473865945</x:v>
      </x:c>
      <x:c r="D950" s="23" t="n">
        <x:v>707.957473397255</x:v>
      </x:c>
      <x:c r="E950" s="23" t="n">
        <x:v>116.14609682699665</x:v>
      </x:c>
      <x:c r="F950" s="23" t="n">
        <x:v>20.39373958390206</x:v>
      </x:c>
      <x:c r="G950" s="23" t="n">
        <x:v>0.8172821499384009</x:v>
      </x:c>
      <x:c r="H950" s="23" t="n">
        <x:v>10630</x:v>
      </x:c>
      <x:c r="I950" s="23" t="n">
        <x:v>1195</x:v>
      </x:c>
      <x:c r="J950" s="23" t="n">
        <x:f>(IF(A950='Hybrid Calculator'!$B$6,0,1))^2+((B950-'Hybrid Calculator'!$B$7)/1500)^2+((C950-'Hybrid Calculator'!$B$8)/1300)^2+((D950-'Hybrid Calculator'!$B$9)/800)^2+((E950-'Hybrid Calculator'!$B$10)/350)^2+((F950-'Hybrid Calculator'!$B$11)/30)^2+(G950-'Hybrid Calculator'!$B$12)^2+((H950-'Hybrid Calculator'!$E$14)/IF(A950="Lightning",100,30000))^2+((I950-'Hybrid Calculator'!$E$17)/IF(A950="Lightning",100,30000))^2</x:f>
        <x:v>1.332965602834698</x:v>
      </x:c>
      <x:c r="K950" s="23" t="n">
        <x:f>RANK(J950,$J$2:$J$1401,1)</x:f>
        <x:v>783</x:v>
      </x:c>
      <x:c r="L950" s="23" t="n">
        <x:f>IF(K950&lt;=7,1,0)</x:f>
        <x:v>0</x:v>
      </x:c>
      <x:c r="M950" s="23" t="n">
        <x:f>IF(L950=1,1/(J950+0.000001),0)</x:f>
        <x:v>0</x:v>
      </x:c>
      <x:c r="N950" s="23" t="n">
        <x:v>1.8101665717667288</x:v>
      </x:c>
      <x:c r="O950" s="23" t="n">
        <x:f>M950</x:f>
        <x:v>0</x:v>
      </x:c>
      <x:c r="P950" s="23" t="n">
        <x:v>38.5226747054644</x:v>
      </x:c>
      <x:c r="Q950" s="23" t="n">
        <x:v>-5.62397800241979</x:v>
      </x:c>
    </x:row>
    <x:row r="951">
      <x:c r="A951" s="23" t="str">
        <x:v>Switching</x:v>
      </x:c>
      <x:c r="B951" s="23" t="n">
        <x:v>976.5961703727953</x:v>
      </x:c>
      <x:c r="C951" s="23" t="n">
        <x:v>928.8998831994832</x:v>
      </x:c>
      <x:c r="D951" s="23" t="n">
        <x:v>584.7857243381441</x:v>
      </x:c>
      <x:c r="E951" s="23" t="n">
        <x:v>81.3944614911452</x:v>
      </x:c>
      <x:c r="F951" s="23" t="n">
        <x:v>23.402687666472048</x:v>
      </x:c>
      <x:c r="G951" s="23" t="n">
        <x:v>0.795986685687676</x:v>
      </x:c>
      <x:c r="H951" s="23" t="n">
        <x:v>13405</x:v>
      </x:c>
      <x:c r="I951" s="23" t="n">
        <x:v>1200</x:v>
      </x:c>
      <x:c r="J951" s="23" t="n">
        <x:f>(IF(A951='Hybrid Calculator'!$B$6,0,1))^2+((B951-'Hybrid Calculator'!$B$7)/1500)^2+((C951-'Hybrid Calculator'!$B$8)/1300)^2+((D951-'Hybrid Calculator'!$B$9)/800)^2+((E951-'Hybrid Calculator'!$B$10)/350)^2+((F951-'Hybrid Calculator'!$B$11)/30)^2+(G951-'Hybrid Calculator'!$B$12)^2+((H951-'Hybrid Calculator'!$E$14)/IF(A951="Lightning",100,30000))^2+((I951-'Hybrid Calculator'!$E$17)/IF(A951="Lightning",100,30000))^2</x:f>
        <x:v>1.3696917098026784</x:v>
      </x:c>
      <x:c r="K951" s="23" t="n">
        <x:f>RANK(J951,$J$2:$J$1401,1)</x:f>
        <x:v>886</x:v>
      </x:c>
      <x:c r="L951" s="23" t="n">
        <x:f>IF(K951&lt;=7,1,0)</x:f>
        <x:v>0</x:v>
      </x:c>
      <x:c r="M951" s="23" t="n">
        <x:f>IF(L951=1,1/(J951+0.000001),0)</x:f>
        <x:v>0</x:v>
      </x:c>
      <x:c r="N951" s="23" t="n">
        <x:v>-2.8143557627506652</x:v>
      </x:c>
      <x:c r="O951" s="23" t="n">
        <x:f>M951</x:f>
        <x:v>0</x:v>
      </x:c>
      <x:c r="P951" s="23" t="n">
        <x:v>-7.399068492488823</x:v>
      </x:c>
      <x:c r="Q951" s="23" t="n">
        <x:v>1.2976123018080443</x:v>
      </x:c>
    </x:row>
    <x:row r="952">
      <x:c r="A952" s="23" t="str">
        <x:v>Switching</x:v>
      </x:c>
      <x:c r="B952" s="23" t="n">
        <x:v>969.3751061335206</x:v>
      </x:c>
      <x:c r="C952" s="23" t="n">
        <x:v>963.7707420042716</x:v>
      </x:c>
      <x:c r="D952" s="23" t="n">
        <x:v>410.17159540206194</x:v>
      </x:c>
      <x:c r="E952" s="23" t="n">
        <x:v>92.03987892949954</x:v>
      </x:c>
      <x:c r="F952" s="23" t="n">
        <x:v>28.987306421622634</x:v>
      </x:c>
      <x:c r="G952" s="23" t="n">
        <x:v>0.832683921691496</x:v>
      </x:c>
      <x:c r="H952" s="23" t="n">
        <x:v>17020</x:v>
      </x:c>
      <x:c r="I952" s="23" t="n">
        <x:v>1200</x:v>
      </x:c>
      <x:c r="J952" s="23" t="n">
        <x:f>(IF(A952='Hybrid Calculator'!$B$6,0,1))^2+((B952-'Hybrid Calculator'!$B$7)/1500)^2+((C952-'Hybrid Calculator'!$B$8)/1300)^2+((D952-'Hybrid Calculator'!$B$9)/800)^2+((E952-'Hybrid Calculator'!$B$10)/350)^2+((F952-'Hybrid Calculator'!$B$11)/30)^2+(G952-'Hybrid Calculator'!$B$12)^2+((H952-'Hybrid Calculator'!$E$14)/IF(A952="Lightning",100,30000))^2+((I952-'Hybrid Calculator'!$E$17)/IF(A952="Lightning",100,30000))^2</x:f>
        <x:v>1.58383225429123</x:v>
      </x:c>
      <x:c r="K952" s="23" t="n">
        <x:f>RANK(J952,$J$2:$J$1401,1)</x:f>
        <x:v>1337</x:v>
      </x:c>
      <x:c r="L952" s="23" t="n">
        <x:f>IF(K952&lt;=7,1,0)</x:f>
        <x:v>0</x:v>
      </x:c>
      <x:c r="M952" s="23" t="n">
        <x:f>IF(L952=1,1/(J952+0.000001),0)</x:f>
        <x:v>0</x:v>
      </x:c>
      <x:c r="N952" s="23" t="n">
        <x:v>-4.241475702679708</x:v>
      </x:c>
      <x:c r="O952" s="23" t="n">
        <x:f>M952</x:f>
        <x:v>0</x:v>
      </x:c>
      <x:c r="P952" s="23" t="n">
        <x:v>-36.6101986449612</x:v>
      </x:c>
      <x:c r="Q952" s="23" t="n">
        <x:v>-2.714967557341879</x:v>
      </x:c>
    </x:row>
    <x:row r="953">
      <x:c r="A953" s="23" t="str">
        <x:v>Switching</x:v>
      </x:c>
      <x:c r="B953" s="23" t="n">
        <x:v>950.7481314823963</x:v>
      </x:c>
      <x:c r="C953" s="23" t="n">
        <x:v>682.1857035392895</x:v>
      </x:c>
      <x:c r="D953" s="23" t="n">
        <x:v>357.15564200654626</x:v>
      </x:c>
      <x:c r="E953" s="23" t="n">
        <x:v>104.6488347183913</x:v>
      </x:c>
      <x:c r="F953" s="23" t="n">
        <x:v>22.135142866987735</x:v>
      </x:c>
      <x:c r="G953" s="23" t="n">
        <x:v>0.8150541714252905</x:v>
      </x:c>
      <x:c r="H953" s="23" t="n">
        <x:v>21810</x:v>
      </x:c>
      <x:c r="I953" s="23" t="n">
        <x:v>1200</x:v>
      </x:c>
      <x:c r="J953" s="23" t="n">
        <x:f>(IF(A953='Hybrid Calculator'!$B$6,0,1))^2+((B953-'Hybrid Calculator'!$B$7)/1500)^2+((C953-'Hybrid Calculator'!$B$8)/1300)^2+((D953-'Hybrid Calculator'!$B$9)/800)^2+((E953-'Hybrid Calculator'!$B$10)/350)^2+((F953-'Hybrid Calculator'!$B$11)/30)^2+(G953-'Hybrid Calculator'!$B$12)^2+((H953-'Hybrid Calculator'!$E$14)/IF(A953="Lightning",100,30000))^2+((I953-'Hybrid Calculator'!$E$17)/IF(A953="Lightning",100,30000))^2</x:f>
        <x:v>1.707646954328287</x:v>
      </x:c>
      <x:c r="K953" s="23" t="n">
        <x:f>RANK(J953,$J$2:$J$1401,1)</x:f>
        <x:v>1391</x:v>
      </x:c>
      <x:c r="L953" s="23" t="n">
        <x:f>IF(K953&lt;=7,1,0)</x:f>
        <x:v>0</x:v>
      </x:c>
      <x:c r="M953" s="23" t="n">
        <x:f>IF(L953=1,1/(J953+0.000001),0)</x:f>
        <x:v>0</x:v>
      </x:c>
      <x:c r="N953" s="23" t="n">
        <x:v>-2.424152225038114</x:v>
      </x:c>
      <x:c r="O953" s="23" t="n">
        <x:f>M953</x:f>
        <x:v>0</x:v>
      </x:c>
      <x:c r="P953" s="23" t="n">
        <x:v>-66.6900135130195</x:v>
      </x:c>
      <x:c r="Q953" s="23" t="n">
        <x:v>2.9508940619332407</x:v>
      </x:c>
    </x:row>
    <x:row r="954">
      <x:c r="A954" s="23" t="str">
        <x:v>Switching</x:v>
      </x:c>
      <x:c r="B954" s="23" t="n">
        <x:v>1009.9120722152293</x:v>
      </x:c>
      <x:c r="C954" s="23" t="n">
        <x:v>935.461751872208</x:v>
      </x:c>
      <x:c r="D954" s="23" t="n">
        <x:v>458.2949349656701</x:v>
      </x:c>
      <x:c r="E954" s="23" t="n">
        <x:v>155.65682573476806</x:v>
      </x:c>
      <x:c r="F954" s="23" t="n">
        <x:v>28.844837905839086</x:v>
      </x:c>
      <x:c r="G954" s="23" t="n">
        <x:v>0.818664084293414</x:v>
      </x:c>
      <x:c r="H954" s="23" t="n">
        <x:v>13800</x:v>
      </x:c>
      <x:c r="I954" s="23" t="n">
        <x:v>1200</x:v>
      </x:c>
      <x:c r="J954" s="23" t="n">
        <x:f>(IF(A954='Hybrid Calculator'!$B$6,0,1))^2+((B954-'Hybrid Calculator'!$B$7)/1500)^2+((C954-'Hybrid Calculator'!$B$8)/1300)^2+((D954-'Hybrid Calculator'!$B$9)/800)^2+((E954-'Hybrid Calculator'!$B$10)/350)^2+((F954-'Hybrid Calculator'!$B$11)/30)^2+(G954-'Hybrid Calculator'!$B$12)^2+((H954-'Hybrid Calculator'!$E$14)/IF(A954="Lightning",100,30000))^2+((I954-'Hybrid Calculator'!$E$17)/IF(A954="Lightning",100,30000))^2</x:f>
        <x:v>1.4143890618621349</x:v>
      </x:c>
      <x:c r="K954" s="23" t="n">
        <x:f>RANK(J954,$J$2:$J$1401,1)</x:f>
        <x:v>1023</x:v>
      </x:c>
      <x:c r="L954" s="23" t="n">
        <x:f>IF(K954&lt;=7,1,0)</x:f>
        <x:v>0</x:v>
      </x:c>
      <x:c r="M954" s="23" t="n">
        <x:f>IF(L954=1,1/(J954+0.000001),0)</x:f>
        <x:v>0</x:v>
      </x:c>
      <x:c r="N954" s="23" t="n">
        <x:v>-2.0730808712730777</x:v>
      </x:c>
      <x:c r="O954" s="23" t="n">
        <x:f>M954</x:f>
        <x:v>0</x:v>
      </x:c>
      <x:c r="P954" s="23" t="n">
        <x:v>-13.102783799026838</x:v>
      </x:c>
      <x:c r="Q954" s="23" t="n">
        <x:v>-13.475227707529143</x:v>
      </x:c>
    </x:row>
    <x:row r="955">
      <x:c r="A955" s="23" t="str">
        <x:v>Switching</x:v>
      </x:c>
      <x:c r="B955" s="23" t="n">
        <x:v>962.526344100479</x:v>
      </x:c>
      <x:c r="C955" s="23" t="n">
        <x:v>1242.7375317784026</x:v>
      </x:c>
      <x:c r="D955" s="23" t="n">
        <x:v>530.6323864497244</x:v>
      </x:c>
      <x:c r="E955" s="23" t="n">
        <x:v>90.92651044018567</x:v>
      </x:c>
      <x:c r="F955" s="23" t="n">
        <x:v>8.775055006612092</x:v>
      </x:c>
      <x:c r="G955" s="23" t="n">
        <x:v>0.7951811976218597</x:v>
      </x:c>
      <x:c r="H955" s="23" t="n">
        <x:v>11470</x:v>
      </x:c>
      <x:c r="I955" s="23" t="n">
        <x:v>1195</x:v>
      </x:c>
      <x:c r="J955" s="23" t="n">
        <x:f>(IF(A955='Hybrid Calculator'!$B$6,0,1))^2+((B955-'Hybrid Calculator'!$B$7)/1500)^2+((C955-'Hybrid Calculator'!$B$8)/1300)^2+((D955-'Hybrid Calculator'!$B$9)/800)^2+((E955-'Hybrid Calculator'!$B$10)/350)^2+((F955-'Hybrid Calculator'!$B$11)/30)^2+(G955-'Hybrid Calculator'!$B$12)^2+((H955-'Hybrid Calculator'!$E$14)/IF(A955="Lightning",100,30000))^2+((I955-'Hybrid Calculator'!$E$17)/IF(A955="Lightning",100,30000))^2</x:f>
        <x:v>1.4684067697171759</x:v>
      </x:c>
      <x:c r="K955" s="23" t="n">
        <x:f>RANK(J955,$J$2:$J$1401,1)</x:f>
        <x:v>1152</x:v>
      </x:c>
      <x:c r="L955" s="23" t="n">
        <x:f>IF(K955&lt;=7,1,0)</x:f>
        <x:v>0</x:v>
      </x:c>
      <x:c r="M955" s="23" t="n">
        <x:f>IF(L955=1,1/(J955+0.000001),0)</x:f>
        <x:v>0</x:v>
      </x:c>
      <x:c r="N955" s="23" t="n">
        <x:v>3.246859746852067</x:v>
      </x:c>
      <x:c r="O955" s="23" t="n">
        <x:f>M955</x:f>
        <x:v>0</x:v>
      </x:c>
      <x:c r="P955" s="23" t="n">
        <x:v>37.34985522007173</x:v>
      </x:c>
      <x:c r="Q955" s="23" t="n">
        <x:v>2.8931607074270005</x:v>
      </x:c>
    </x:row>
    <x:row r="956">
      <x:c r="A956" s="23" t="str">
        <x:v>Switching</x:v>
      </x:c>
      <x:c r="B956" s="23" t="n">
        <x:v>1055.303039564751</x:v>
      </x:c>
      <x:c r="C956" s="23" t="n">
        <x:v>935.1474240073003</x:v>
      </x:c>
      <x:c r="D956" s="23" t="n">
        <x:v>485.0091900676489</x:v>
      </x:c>
      <x:c r="E956" s="23" t="n">
        <x:v>246.57783900154755</x:v>
      </x:c>
      <x:c r="F956" s="23" t="n">
        <x:v>11.210331884212792</x:v>
      </x:c>
      <x:c r="G956" s="23" t="n">
        <x:v>0.8373233876819722</x:v>
      </x:c>
      <x:c r="H956" s="23" t="n">
        <x:v>12830</x:v>
      </x:c>
      <x:c r="I956" s="23" t="n">
        <x:v>1200</x:v>
      </x:c>
      <x:c r="J956" s="23" t="n">
        <x:f>(IF(A956='Hybrid Calculator'!$B$6,0,1))^2+((B956-'Hybrid Calculator'!$B$7)/1500)^2+((C956-'Hybrid Calculator'!$B$8)/1300)^2+((D956-'Hybrid Calculator'!$B$9)/800)^2+((E956-'Hybrid Calculator'!$B$10)/350)^2+((F956-'Hybrid Calculator'!$B$11)/30)^2+(G956-'Hybrid Calculator'!$B$12)^2+((H956-'Hybrid Calculator'!$E$14)/IF(A956="Lightning",100,30000))^2+((I956-'Hybrid Calculator'!$E$17)/IF(A956="Lightning",100,30000))^2</x:f>
        <x:v>1.3838807452693676</x:v>
      </x:c>
      <x:c r="K956" s="23" t="n">
        <x:f>RANK(J956,$J$2:$J$1401,1)</x:f>
        <x:v>928</x:v>
      </x:c>
      <x:c r="L956" s="23" t="n">
        <x:f>IF(K956&lt;=7,1,0)</x:f>
        <x:v>0</x:v>
      </x:c>
      <x:c r="M956" s="23" t="n">
        <x:f>IF(L956=1,1/(J956+0.000001),0)</x:f>
        <x:v>0</x:v>
      </x:c>
      <x:c r="N956" s="23" t="n">
        <x:v>2.944340721451624</x:v>
      </x:c>
      <x:c r="O956" s="23" t="n">
        <x:f>M956</x:f>
        <x:v>0</x:v>
      </x:c>
      <x:c r="P956" s="23" t="n">
        <x:v>-17.526400270020986</x:v>
      </x:c>
      <x:c r="Q956" s="23" t="n">
        <x:v>7.995068966963345</x:v>
      </x:c>
    </x:row>
    <x:row r="957">
      <x:c r="A957" s="23" t="str">
        <x:v>Switching</x:v>
      </x:c>
      <x:c r="B957" s="23" t="n">
        <x:v>1029.6623406349681</x:v>
      </x:c>
      <x:c r="C957" s="23" t="n">
        <x:v>1219.474337110296</x:v>
      </x:c>
      <x:c r="D957" s="23" t="n">
        <x:v>703.4908908419311</x:v>
      </x:c>
      <x:c r="E957" s="23" t="n">
        <x:v>154.6911590686068</x:v>
      </x:c>
      <x:c r="F957" s="23" t="n">
        <x:v>17.729778602253646</x:v>
      </x:c>
      <x:c r="G957" s="23" t="n">
        <x:v>0.82474994616583</x:v>
      </x:c>
      <x:c r="H957" s="23" t="n">
        <x:v>10295</x:v>
      </x:c>
      <x:c r="I957" s="23" t="n">
        <x:v>1195</x:v>
      </x:c>
      <x:c r="J957" s="23" t="n">
        <x:f>(IF(A957='Hybrid Calculator'!$B$6,0,1))^2+((B957-'Hybrid Calculator'!$B$7)/1500)^2+((C957-'Hybrid Calculator'!$B$8)/1300)^2+((D957-'Hybrid Calculator'!$B$9)/800)^2+((E957-'Hybrid Calculator'!$B$10)/350)^2+((F957-'Hybrid Calculator'!$B$11)/30)^2+(G957-'Hybrid Calculator'!$B$12)^2+((H957-'Hybrid Calculator'!$E$14)/IF(A957="Lightning",100,30000))^2+((I957-'Hybrid Calculator'!$E$17)/IF(A957="Lightning",100,30000))^2</x:f>
        <x:v>1.3339444251384016</x:v>
      </x:c>
      <x:c r="K957" s="23" t="n">
        <x:f>RANK(J957,$J$2:$J$1401,1)</x:f>
        <x:v>785</x:v>
      </x:c>
      <x:c r="L957" s="23" t="n">
        <x:f>IF(K957&lt;=7,1,0)</x:f>
        <x:v>0</x:v>
      </x:c>
      <x:c r="M957" s="23" t="n">
        <x:f>IF(L957=1,1/(J957+0.000001),0)</x:f>
        <x:v>0</x:v>
      </x:c>
      <x:c r="N957" s="23" t="n">
        <x:v>3.874770577408185</x:v>
      </x:c>
      <x:c r="O957" s="23" t="n">
        <x:f>M957</x:f>
        <x:v>0</x:v>
      </x:c>
      <x:c r="P957" s="23" t="n">
        <x:v>58.14311801187387</x:v>
      </x:c>
      <x:c r="Q957" s="23" t="n">
        <x:v>-2.756058596568664</x:v>
      </x:c>
    </x:row>
    <x:row r="958">
      <x:c r="A958" s="23" t="str">
        <x:v>Switching</x:v>
      </x:c>
      <x:c r="B958" s="23" t="n">
        <x:v>1041.5527627337724</x:v>
      </x:c>
      <x:c r="C958" s="23" t="n">
        <x:v>1240.4650565120392</x:v>
      </x:c>
      <x:c r="D958" s="23" t="n">
        <x:v>381.77531342953444</x:v>
      </x:c>
      <x:c r="E958" s="23" t="n">
        <x:v>141.25842808978632</x:v>
      </x:c>
      <x:c r="F958" s="23" t="n">
        <x:v>29.474916741251945</x:v>
      </x:c>
      <x:c r="G958" s="23" t="n">
        <x:v>0.812216179354582</x:v>
      </x:c>
      <x:c r="H958" s="23" t="n">
        <x:v>12125</x:v>
      </x:c>
      <x:c r="I958" s="23" t="n">
        <x:v>1200</x:v>
      </x:c>
      <x:c r="J958" s="23" t="n">
        <x:f>(IF(A958='Hybrid Calculator'!$B$6,0,1))^2+((B958-'Hybrid Calculator'!$B$7)/1500)^2+((C958-'Hybrid Calculator'!$B$8)/1300)^2+((D958-'Hybrid Calculator'!$B$9)/800)^2+((E958-'Hybrid Calculator'!$B$10)/350)^2+((F958-'Hybrid Calculator'!$B$11)/30)^2+(G958-'Hybrid Calculator'!$B$12)^2+((H958-'Hybrid Calculator'!$E$14)/IF(A958="Lightning",100,30000))^2+((I958-'Hybrid Calculator'!$E$17)/IF(A958="Lightning",100,30000))^2</x:f>
        <x:v>1.4754580703539975</x:v>
      </x:c>
      <x:c r="K958" s="23" t="n">
        <x:f>RANK(J958,$J$2:$J$1401,1)</x:f>
        <x:v>1169</x:v>
      </x:c>
      <x:c r="L958" s="23" t="n">
        <x:f>IF(K958&lt;=7,1,0)</x:f>
        <x:v>0</x:v>
      </x:c>
      <x:c r="M958" s="23" t="n">
        <x:f>IF(L958=1,1/(J958+0.000001),0)</x:f>
        <x:v>0</x:v>
      </x:c>
      <x:c r="N958" s="23" t="n">
        <x:v>-2.5298779719973084</x:v>
      </x:c>
      <x:c r="O958" s="23" t="n">
        <x:f>M958</x:f>
        <x:v>0</x:v>
      </x:c>
      <x:c r="P958" s="23" t="n">
        <x:v>9.284161091909937</x:v>
      </x:c>
      <x:c r="Q958" s="23" t="n">
        <x:v>-10.793939485501369</x:v>
      </x:c>
    </x:row>
    <x:row r="959">
      <x:c r="A959" s="23" t="str">
        <x:v>Switching</x:v>
      </x:c>
      <x:c r="B959" s="23" t="n">
        <x:v>1088.793012232054</x:v>
      </x:c>
      <x:c r="C959" s="23" t="n">
        <x:v>704.4149411609396</x:v>
      </x:c>
      <x:c r="D959" s="23" t="n">
        <x:v>678.2339048571885</x:v>
      </x:c>
      <x:c r="E959" s="23" t="n">
        <x:v>101.81850047782063</x:v>
      </x:c>
      <x:c r="F959" s="23" t="n">
        <x:v>29.870185709092766</x:v>
      </x:c>
      <x:c r="G959" s="23" t="n">
        <x:v>0.8220120278513059</x:v>
      </x:c>
      <x:c r="H959" s="23" t="n">
        <x:v>14405</x:v>
      </x:c>
      <x:c r="I959" s="23" t="n">
        <x:v>1200</x:v>
      </x:c>
      <x:c r="J959" s="23" t="n">
        <x:f>(IF(A959='Hybrid Calculator'!$B$6,0,1))^2+((B959-'Hybrid Calculator'!$B$7)/1500)^2+((C959-'Hybrid Calculator'!$B$8)/1300)^2+((D959-'Hybrid Calculator'!$B$9)/800)^2+((E959-'Hybrid Calculator'!$B$10)/350)^2+((F959-'Hybrid Calculator'!$B$11)/30)^2+(G959-'Hybrid Calculator'!$B$12)^2+((H959-'Hybrid Calculator'!$E$14)/IF(A959="Lightning",100,30000))^2+((I959-'Hybrid Calculator'!$E$17)/IF(A959="Lightning",100,30000))^2</x:f>
        <x:v>1.5055123969694475</x:v>
      </x:c>
      <x:c r="K959" s="23" t="n">
        <x:f>RANK(J959,$J$2:$J$1401,1)</x:f>
        <x:v>1220</x:v>
      </x:c>
      <x:c r="L959" s="23" t="n">
        <x:f>IF(K959&lt;=7,1,0)</x:f>
        <x:v>0</x:v>
      </x:c>
      <x:c r="M959" s="23" t="n">
        <x:f>IF(L959=1,1/(J959+0.000001),0)</x:f>
        <x:v>0</x:v>
      </x:c>
      <x:c r="N959" s="23" t="n">
        <x:v>0.6898258618072077</x:v>
      </x:c>
      <x:c r="O959" s="23" t="n">
        <x:f>M959</x:f>
        <x:v>0</x:v>
      </x:c>
      <x:c r="P959" s="23" t="n">
        <x:v>-6.357073958839919</x:v>
      </x:c>
      <x:c r="Q959" s="23" t="n">
        <x:v>-9.884504283226306</x:v>
      </x:c>
    </x:row>
    <x:row r="960">
      <x:c r="A960" s="23" t="str">
        <x:v>Switching</x:v>
      </x:c>
      <x:c r="B960" s="23" t="n">
        <x:v>1004.9363349797204</x:v>
      </x:c>
      <x:c r="C960" s="23" t="n">
        <x:v>983.0333652091213</x:v>
      </x:c>
      <x:c r="D960" s="23" t="n">
        <x:v>359.64239686727524</x:v>
      </x:c>
      <x:c r="E960" s="23" t="n">
        <x:v>145.67043153336272</x:v>
      </x:c>
      <x:c r="F960" s="23" t="n">
        <x:v>19.797725613228977</x:v>
      </x:c>
      <x:c r="G960" s="23" t="n">
        <x:v>0.8486086307070219</x:v>
      </x:c>
      <x:c r="H960" s="23" t="n">
        <x:v>16765</x:v>
      </x:c>
      <x:c r="I960" s="23" t="n">
        <x:v>1200</x:v>
      </x:c>
      <x:c r="J960" s="23" t="n">
        <x:f>(IF(A960='Hybrid Calculator'!$B$6,0,1))^2+((B960-'Hybrid Calculator'!$B$7)/1500)^2+((C960-'Hybrid Calculator'!$B$8)/1300)^2+((D960-'Hybrid Calculator'!$B$9)/800)^2+((E960-'Hybrid Calculator'!$B$10)/350)^2+((F960-'Hybrid Calculator'!$B$11)/30)^2+(G960-'Hybrid Calculator'!$B$12)^2+((H960-'Hybrid Calculator'!$E$14)/IF(A960="Lightning",100,30000))^2+((I960-'Hybrid Calculator'!$E$17)/IF(A960="Lightning",100,30000))^2</x:f>
        <x:v>1.4344889481757532</x:v>
      </x:c>
      <x:c r="K960" s="23" t="n">
        <x:f>RANK(J960,$J$2:$J$1401,1)</x:f>
        <x:v>1069</x:v>
      </x:c>
      <x:c r="L960" s="23" t="n">
        <x:f>IF(K960&lt;=7,1,0)</x:f>
        <x:v>0</x:v>
      </x:c>
      <x:c r="M960" s="23" t="n">
        <x:f>IF(L960=1,1/(J960+0.000001),0)</x:f>
        <x:v>0</x:v>
      </x:c>
      <x:c r="N960" s="23" t="n">
        <x:v>0.2388276928534765</x:v>
      </x:c>
      <x:c r="O960" s="23" t="n">
        <x:f>M960</x:f>
        <x:v>0</x:v>
      </x:c>
      <x:c r="P960" s="23" t="n">
        <x:v>8.392476931583133</x:v>
      </x:c>
      <x:c r="Q960" s="23" t="n">
        <x:v>2.852575632643152</x:v>
      </x:c>
    </x:row>
    <x:row r="961">
      <x:c r="A961" s="23" t="str">
        <x:v>Switching</x:v>
      </x:c>
      <x:c r="B961" s="23" t="n">
        <x:v>1032.2319808299653</x:v>
      </x:c>
      <x:c r="C961" s="23" t="n">
        <x:v>1134.3051738105714</x:v>
      </x:c>
      <x:c r="D961" s="23" t="n">
        <x:v>364.08075308427215</x:v>
      </x:c>
      <x:c r="E961" s="23" t="n">
        <x:v>242.4717420199886</x:v>
      </x:c>
      <x:c r="F961" s="23" t="n">
        <x:v>15.515447696205229</x:v>
      </x:c>
      <x:c r="G961" s="23" t="n">
        <x:v>0.8401773408520967</x:v>
      </x:c>
      <x:c r="H961" s="23" t="n">
        <x:v>12285</x:v>
      </x:c>
      <x:c r="I961" s="23" t="n">
        <x:v>1200</x:v>
      </x:c>
      <x:c r="J961" s="23" t="n">
        <x:f>(IF(A961='Hybrid Calculator'!$B$6,0,1))^2+((B961-'Hybrid Calculator'!$B$7)/1500)^2+((C961-'Hybrid Calculator'!$B$8)/1300)^2+((D961-'Hybrid Calculator'!$B$9)/800)^2+((E961-'Hybrid Calculator'!$B$10)/350)^2+((F961-'Hybrid Calculator'!$B$11)/30)^2+(G961-'Hybrid Calculator'!$B$12)^2+((H961-'Hybrid Calculator'!$E$14)/IF(A961="Lightning",100,30000))^2+((I961-'Hybrid Calculator'!$E$17)/IF(A961="Lightning",100,30000))^2</x:f>
        <x:v>1.3932274727174208</x:v>
      </x:c>
      <x:c r="K961" s="23" t="n">
        <x:f>RANK(J961,$J$2:$J$1401,1)</x:f>
        <x:v>957</x:v>
      </x:c>
      <x:c r="L961" s="23" t="n">
        <x:f>IF(K961&lt;=7,1,0)</x:f>
        <x:v>0</x:v>
      </x:c>
      <x:c r="M961" s="23" t="n">
        <x:f>IF(L961=1,1/(J961+0.000001),0)</x:f>
        <x:v>0</x:v>
      </x:c>
      <x:c r="N961" s="23" t="n">
        <x:v>2.386352557143425</x:v>
      </x:c>
      <x:c r="O961" s="23" t="n">
        <x:f>M961</x:f>
        <x:v>0</x:v>
      </x:c>
      <x:c r="P961" s="23" t="n">
        <x:v>-17.186699771631538</x:v>
      </x:c>
      <x:c r="Q961" s="23" t="n">
        <x:v>3.967223843391139</x:v>
      </x:c>
    </x:row>
    <x:row r="962">
      <x:c r="A962" s="23" t="str">
        <x:v>Switching</x:v>
      </x:c>
      <x:c r="B962" s="23" t="n">
        <x:v>991.0250641405582</x:v>
      </x:c>
      <x:c r="C962" s="23" t="n">
        <x:v>947.96128742164</x:v>
      </x:c>
      <x:c r="D962" s="23" t="n">
        <x:v>421.0090385749936</x:v>
      </x:c>
      <x:c r="E962" s="23" t="n">
        <x:v>88.97576898569241</x:v>
      </x:c>
      <x:c r="F962" s="23" t="n">
        <x:v>25.67813545279205</x:v>
      </x:c>
      <x:c r="G962" s="23" t="n">
        <x:v>0.858752899367828</x:v>
      </x:c>
      <x:c r="H962" s="23" t="n">
        <x:v>17115</x:v>
      </x:c>
      <x:c r="I962" s="23" t="n">
        <x:v>1200</x:v>
      </x:c>
      <x:c r="J962" s="23" t="n">
        <x:f>(IF(A962='Hybrid Calculator'!$B$6,0,1))^2+((B962-'Hybrid Calculator'!$B$7)/1500)^2+((C962-'Hybrid Calculator'!$B$8)/1300)^2+((D962-'Hybrid Calculator'!$B$9)/800)^2+((E962-'Hybrid Calculator'!$B$10)/350)^2+((F962-'Hybrid Calculator'!$B$11)/30)^2+(G962-'Hybrid Calculator'!$B$12)^2+((H962-'Hybrid Calculator'!$E$14)/IF(A962="Lightning",100,30000))^2+((I962-'Hybrid Calculator'!$E$17)/IF(A962="Lightning",100,30000))^2</x:f>
        <x:v>1.5133893131069267</x:v>
      </x:c>
      <x:c r="K962" s="23" t="n">
        <x:f>RANK(J962,$J$2:$J$1401,1)</x:f>
        <x:v>1235</x:v>
      </x:c>
      <x:c r="L962" s="23" t="n">
        <x:f>IF(K962&lt;=7,1,0)</x:f>
        <x:v>0</x:v>
      </x:c>
      <x:c r="M962" s="23" t="n">
        <x:f>IF(L962=1,1/(J962+0.000001),0)</x:f>
        <x:v>0</x:v>
      </x:c>
      <x:c r="N962" s="23" t="n">
        <x:v>-2.0072058695965325</x:v>
      </x:c>
      <x:c r="O962" s="23" t="n">
        <x:f>M962</x:f>
        <x:v>0</x:v>
      </x:c>
      <x:c r="P962" s="23" t="n">
        <x:v>-21.58725952048644</x:v>
      </x:c>
      <x:c r="Q962" s="23" t="n">
        <x:v>-7.130506927132274</x:v>
      </x:c>
    </x:row>
    <x:row r="963">
      <x:c r="A963" s="23" t="str">
        <x:v>Switching</x:v>
      </x:c>
      <x:c r="B963" s="23" t="n">
        <x:v>990.3506128699519</x:v>
      </x:c>
      <x:c r="C963" s="23" t="n">
        <x:v>770.2893944690004</x:v>
      </x:c>
      <x:c r="D963" s="23" t="n">
        <x:v>600.93704322353</x:v>
      </x:c>
      <x:c r="E963" s="23" t="n">
        <x:v>252.68677218817174</x:v>
      </x:c>
      <x:c r="F963" s="23" t="n">
        <x:v>8.747428860981017</x:v>
      </x:c>
      <x:c r="G963" s="23" t="n">
        <x:v>0.8511491994606332</x:v>
      </x:c>
      <x:c r="H963" s="23" t="n">
        <x:v>15365</x:v>
      </x:c>
      <x:c r="I963" s="23" t="n">
        <x:v>1200</x:v>
      </x:c>
      <x:c r="J963" s="23" t="n">
        <x:f>(IF(A963='Hybrid Calculator'!$B$6,0,1))^2+((B963-'Hybrid Calculator'!$B$7)/1500)^2+((C963-'Hybrid Calculator'!$B$8)/1300)^2+((D963-'Hybrid Calculator'!$B$9)/800)^2+((E963-'Hybrid Calculator'!$B$10)/350)^2+((F963-'Hybrid Calculator'!$B$11)/30)^2+(G963-'Hybrid Calculator'!$B$12)^2+((H963-'Hybrid Calculator'!$E$14)/IF(A963="Lightning",100,30000))^2+((I963-'Hybrid Calculator'!$E$17)/IF(A963="Lightning",100,30000))^2</x:f>
        <x:v>1.5585167299875042</x:v>
      </x:c>
      <x:c r="K963" s="23" t="n">
        <x:f>RANK(J963,$J$2:$J$1401,1)</x:f>
        <x:v>1315</x:v>
      </x:c>
      <x:c r="L963" s="23" t="n">
        <x:f>IF(K963&lt;=7,1,0)</x:f>
        <x:v>0</x:v>
      </x:c>
      <x:c r="M963" s="23" t="n">
        <x:f>IF(L963=1,1/(J963+0.000001),0)</x:f>
        <x:v>0</x:v>
      </x:c>
      <x:c r="N963" s="23" t="n">
        <x:v>2.713670303773</x:v>
      </x:c>
      <x:c r="O963" s="23" t="n">
        <x:f>M963</x:f>
        <x:v>0</x:v>
      </x:c>
      <x:c r="P963" s="23" t="n">
        <x:v>10.940969515260349</x:v>
      </x:c>
      <x:c r="Q963" s="23" t="n">
        <x:v>-0.47816363639765314</x:v>
      </x:c>
    </x:row>
    <x:row r="964">
      <x:c r="A964" s="23" t="str">
        <x:v>Switching</x:v>
      </x:c>
      <x:c r="B964" s="23" t="n">
        <x:v>986.182425240986</x:v>
      </x:c>
      <x:c r="C964" s="23" t="n">
        <x:v>976.0659423307516</x:v>
      </x:c>
      <x:c r="D964" s="23" t="n">
        <x:v>667.6014009863138</x:v>
      </x:c>
      <x:c r="E964" s="23" t="n">
        <x:v>309.00245821801946</x:v>
      </x:c>
      <x:c r="F964" s="23" t="n">
        <x:v>19.068846100009978</x:v>
      </x:c>
      <x:c r="G964" s="23" t="n">
        <x:v>0.835334909807425</x:v>
      </x:c>
      <x:c r="H964" s="23" t="n">
        <x:v>12775</x:v>
      </x:c>
      <x:c r="I964" s="23" t="n">
        <x:v>1200</x:v>
      </x:c>
      <x:c r="J964" s="23" t="n">
        <x:f>(IF(A964='Hybrid Calculator'!$B$6,0,1))^2+((B964-'Hybrid Calculator'!$B$7)/1500)^2+((C964-'Hybrid Calculator'!$B$8)/1300)^2+((D964-'Hybrid Calculator'!$B$9)/800)^2+((E964-'Hybrid Calculator'!$B$10)/350)^2+((F964-'Hybrid Calculator'!$B$11)/30)^2+(G964-'Hybrid Calculator'!$B$12)^2+((H964-'Hybrid Calculator'!$E$14)/IF(A964="Lightning",100,30000))^2+((I964-'Hybrid Calculator'!$E$17)/IF(A964="Lightning",100,30000))^2</x:f>
        <x:v>1.5273054879965013</x:v>
      </x:c>
      <x:c r="K964" s="23" t="n">
        <x:f>RANK(J964,$J$2:$J$1401,1)</x:f>
        <x:v>1260</x:v>
      </x:c>
      <x:c r="L964" s="23" t="n">
        <x:f>IF(K964&lt;=7,1,0)</x:f>
        <x:v>0</x:v>
      </x:c>
      <x:c r="M964" s="23" t="n">
        <x:f>IF(L964=1,1/(J964+0.000001),0)</x:f>
        <x:v>0</x:v>
      </x:c>
      <x:c r="N964" s="23" t="n">
        <x:v>3.621638229108356</x:v>
      </x:c>
      <x:c r="O964" s="23" t="n">
        <x:f>M964</x:f>
        <x:v>0</x:v>
      </x:c>
      <x:c r="P964" s="23" t="n">
        <x:v>-24.636904894001873</x:v>
      </x:c>
      <x:c r="Q964" s="23" t="n">
        <x:v>-1.2509556898535266</x:v>
      </x:c>
    </x:row>
    <x:row r="965">
      <x:c r="A965" s="23" t="str">
        <x:v>Switching</x:v>
      </x:c>
      <x:c r="B965" s="23" t="n">
        <x:v>992.2186404815875</x:v>
      </x:c>
      <x:c r="C965" s="23" t="n">
        <x:v>894.4838448893279</x:v>
      </x:c>
      <x:c r="D965" s="23" t="n">
        <x:v>642.528363596648</x:v>
      </x:c>
      <x:c r="E965" s="23" t="n">
        <x:v>123.0268122581765</x:v>
      </x:c>
      <x:c r="F965" s="23" t="n">
        <x:v>9.20481103239581</x:v>
      </x:c>
      <x:c r="G965" s="23" t="n">
        <x:v>0.8258819810301066</x:v>
      </x:c>
      <x:c r="H965" s="23" t="n">
        <x:v>12885</x:v>
      </x:c>
      <x:c r="I965" s="23" t="n">
        <x:v>1200</x:v>
      </x:c>
      <x:c r="J965" s="23" t="n">
        <x:f>(IF(A965='Hybrid Calculator'!$B$6,0,1))^2+((B965-'Hybrid Calculator'!$B$7)/1500)^2+((C965-'Hybrid Calculator'!$B$8)/1300)^2+((D965-'Hybrid Calculator'!$B$9)/800)^2+((E965-'Hybrid Calculator'!$B$10)/350)^2+((F965-'Hybrid Calculator'!$B$11)/30)^2+(G965-'Hybrid Calculator'!$B$12)^2+((H965-'Hybrid Calculator'!$E$14)/IF(A965="Lightning",100,30000))^2+((I965-'Hybrid Calculator'!$E$17)/IF(A965="Lightning",100,30000))^2</x:f>
        <x:v>1.402706147189356</x:v>
      </x:c>
      <x:c r="K965" s="23" t="n">
        <x:f>RANK(J965,$J$2:$J$1401,1)</x:f>
        <x:v>983</x:v>
      </x:c>
      <x:c r="L965" s="23" t="n">
        <x:f>IF(K965&lt;=7,1,0)</x:f>
        <x:v>0</x:v>
      </x:c>
      <x:c r="M965" s="23" t="n">
        <x:f>IF(L965=1,1/(J965+0.000001),0)</x:f>
        <x:v>0</x:v>
      </x:c>
      <x:c r="N965" s="23" t="n">
        <x:v>0.6240267033462317</x:v>
      </x:c>
      <x:c r="O965" s="23" t="n">
        <x:f>M965</x:f>
        <x:v>0</x:v>
      </x:c>
      <x:c r="P965" s="23" t="n">
        <x:v>-1.617470116482309</x:v>
      </x:c>
      <x:c r="Q965" s="23" t="n">
        <x:v>7.64816159478994</x:v>
      </x:c>
    </x:row>
    <x:row r="966">
      <x:c r="A966" s="23" t="str">
        <x:v>Switching</x:v>
      </x:c>
      <x:c r="B966" s="23" t="n">
        <x:v>1025.603439612314</x:v>
      </x:c>
      <x:c r="C966" s="23" t="n">
        <x:v>603.1671599368565</x:v>
      </x:c>
      <x:c r="D966" s="23" t="n">
        <x:v>639.4388174638152</x:v>
      </x:c>
      <x:c r="E966" s="23" t="n">
        <x:v>231.2913413462229</x:v>
      </x:c>
      <x:c r="F966" s="23" t="n">
        <x:v>10.549475710839033</x:v>
      </x:c>
      <x:c r="G966" s="23" t="n">
        <x:v>0.8003443446406163</x:v>
      </x:c>
      <x:c r="H966" s="23" t="n">
        <x:v>14510</x:v>
      </x:c>
      <x:c r="I966" s="23" t="n">
        <x:v>1200</x:v>
      </x:c>
      <x:c r="J966" s="23" t="n">
        <x:f>(IF(A966='Hybrid Calculator'!$B$6,0,1))^2+((B966-'Hybrid Calculator'!$B$7)/1500)^2+((C966-'Hybrid Calculator'!$B$8)/1300)^2+((D966-'Hybrid Calculator'!$B$9)/800)^2+((E966-'Hybrid Calculator'!$B$10)/350)^2+((F966-'Hybrid Calculator'!$B$11)/30)^2+(G966-'Hybrid Calculator'!$B$12)^2+((H966-'Hybrid Calculator'!$E$14)/IF(A966="Lightning",100,30000))^2+((I966-'Hybrid Calculator'!$E$17)/IF(A966="Lightning",100,30000))^2</x:f>
        <x:v>1.495751641703181</x:v>
      </x:c>
      <x:c r="K966" s="23" t="n">
        <x:f>RANK(J966,$J$2:$J$1401,1)</x:f>
        <x:v>1201</x:v>
      </x:c>
      <x:c r="L966" s="23" t="n">
        <x:f>IF(K966&lt;=7,1,0)</x:f>
        <x:v>0</x:v>
      </x:c>
      <x:c r="M966" s="23" t="n">
        <x:f>IF(L966=1,1/(J966+0.000001),0)</x:f>
        <x:v>0</x:v>
      </x:c>
      <x:c r="N966" s="23" t="n">
        <x:v>1.8068496034427994</x:v>
      </x:c>
      <x:c r="O966" s="23" t="n">
        <x:f>M966</x:f>
        <x:v>0</x:v>
      </x:c>
      <x:c r="P966" s="23" t="n">
        <x:v>-61.99379902157989</x:v>
      </x:c>
      <x:c r="Q966" s="23" t="n">
        <x:v>4.657666888895392</x:v>
      </x:c>
    </x:row>
    <x:row r="967">
      <x:c r="A967" s="23" t="str">
        <x:v>Switching</x:v>
      </x:c>
      <x:c r="B967" s="23" t="n">
        <x:v>977.8278820333071</x:v>
      </x:c>
      <x:c r="C967" s="23" t="n">
        <x:v>993.2573078898713</x:v>
      </x:c>
      <x:c r="D967" s="23" t="n">
        <x:v>580.0674279220402</x:v>
      </x:c>
      <x:c r="E967" s="23" t="n">
        <x:v>254.9307019636035</x:v>
      </x:c>
      <x:c r="F967" s="23" t="n">
        <x:v>15.541860508266836</x:v>
      </x:c>
      <x:c r="G967" s="23" t="n">
        <x:v>0.7981327853677794</x:v>
      </x:c>
      <x:c r="H967" s="23" t="n">
        <x:v>11695</x:v>
      </x:c>
      <x:c r="I967" s="23" t="n">
        <x:v>1195</x:v>
      </x:c>
      <x:c r="J967" s="23" t="n">
        <x:f>(IF(A967='Hybrid Calculator'!$B$6,0,1))^2+((B967-'Hybrid Calculator'!$B$7)/1500)^2+((C967-'Hybrid Calculator'!$B$8)/1300)^2+((D967-'Hybrid Calculator'!$B$9)/800)^2+((E967-'Hybrid Calculator'!$B$10)/350)^2+((F967-'Hybrid Calculator'!$B$11)/30)^2+(G967-'Hybrid Calculator'!$B$12)^2+((H967-'Hybrid Calculator'!$E$14)/IF(A967="Lightning",100,30000))^2+((I967-'Hybrid Calculator'!$E$17)/IF(A967="Lightning",100,30000))^2</x:f>
        <x:v>1.3633095047465709</x:v>
      </x:c>
      <x:c r="K967" s="23" t="n">
        <x:f>RANK(J967,$J$2:$J$1401,1)</x:f>
        <x:v>866</x:v>
      </x:c>
      <x:c r="L967" s="23" t="n">
        <x:f>IF(K967&lt;=7,1,0)</x:f>
        <x:v>0</x:v>
      </x:c>
      <x:c r="M967" s="23" t="n">
        <x:f>IF(L967=1,1/(J967+0.000001),0)</x:f>
        <x:v>0</x:v>
      </x:c>
      <x:c r="N967" s="23" t="n">
        <x:v>-0.06686389357037115</x:v>
      </x:c>
      <x:c r="O967" s="23" t="n">
        <x:f>M967</x:f>
        <x:v>0</x:v>
      </x:c>
      <x:c r="P967" s="23" t="n">
        <x:v>-14.21837428500612</x:v>
      </x:c>
      <x:c r="Q967" s="23" t="n">
        <x:v>-4.009737838547039</x:v>
      </x:c>
    </x:row>
    <x:row r="968">
      <x:c r="A968" s="23" t="str">
        <x:v>Switching</x:v>
      </x:c>
      <x:c r="B968" s="23" t="n">
        <x:v>983.2347600255162</x:v>
      </x:c>
      <x:c r="C968" s="23" t="n">
        <x:v>1138.8138955342583</x:v>
      </x:c>
      <x:c r="D968" s="23" t="n">
        <x:v>351.78974997252226</x:v>
      </x:c>
      <x:c r="E968" s="23" t="n">
        <x:v>316.2501260940917</x:v>
      </x:c>
      <x:c r="F968" s="23" t="n">
        <x:v>12.413530983030796</x:v>
      </x:c>
      <x:c r="G968" s="23" t="n">
        <x:v>0.8595323514402844</x:v>
      </x:c>
      <x:c r="H968" s="23" t="n">
        <x:v>13810</x:v>
      </x:c>
      <x:c r="I968" s="23" t="n">
        <x:v>1200</x:v>
      </x:c>
      <x:c r="J968" s="23" t="n">
        <x:f>(IF(A968='Hybrid Calculator'!$B$6,0,1))^2+((B968-'Hybrid Calculator'!$B$7)/1500)^2+((C968-'Hybrid Calculator'!$B$8)/1300)^2+((D968-'Hybrid Calculator'!$B$9)/800)^2+((E968-'Hybrid Calculator'!$B$10)/350)^2+((F968-'Hybrid Calculator'!$B$11)/30)^2+(G968-'Hybrid Calculator'!$B$12)^2+((H968-'Hybrid Calculator'!$E$14)/IF(A968="Lightning",100,30000))^2+((I968-'Hybrid Calculator'!$E$17)/IF(A968="Lightning",100,30000))^2</x:f>
        <x:v>1.6506741405024332</x:v>
      </x:c>
      <x:c r="K968" s="23" t="n">
        <x:f>RANK(J968,$J$2:$J$1401,1)</x:f>
        <x:v>1380</x:v>
      </x:c>
      <x:c r="L968" s="23" t="n">
        <x:f>IF(K968&lt;=7,1,0)</x:f>
        <x:v>0</x:v>
      </x:c>
      <x:c r="M968" s="23" t="n">
        <x:f>IF(L968=1,1/(J968+0.000001),0)</x:f>
        <x:v>0</x:v>
      </x:c>
      <x:c r="N968" s="23" t="n">
        <x:v>-0.26472322776029955</x:v>
      </x:c>
      <x:c r="O968" s="23" t="n">
        <x:f>M968</x:f>
        <x:v>0</x:v>
      </x:c>
      <x:c r="P968" s="23" t="n">
        <x:v>15.500001472031727</x:v>
      </x:c>
      <x:c r="Q968" s="23" t="n">
        <x:v>-2.5257020094787777</x:v>
      </x:c>
    </x:row>
    <x:row r="969">
      <x:c r="A969" s="23" t="str">
        <x:v>Switching</x:v>
      </x:c>
      <x:c r="B969" s="23" t="n">
        <x:v>1057.685695879627</x:v>
      </x:c>
      <x:c r="C969" s="23" t="n">
        <x:v>896.1583390599117</x:v>
      </x:c>
      <x:c r="D969" s="23" t="n">
        <x:v>665.5494657345116</x:v>
      </x:c>
      <x:c r="E969" s="23" t="n">
        <x:v>123.0493294261396</x:v>
      </x:c>
      <x:c r="F969" s="23" t="n">
        <x:v>29.479043363127857</x:v>
      </x:c>
      <x:c r="G969" s="23" t="n">
        <x:v>0.8276966093620286</x:v>
      </x:c>
      <x:c r="H969" s="23" t="n">
        <x:v>12695</x:v>
      </x:c>
      <x:c r="I969" s="23" t="n">
        <x:v>1200</x:v>
      </x:c>
      <x:c r="J969" s="23" t="n">
        <x:f>(IF(A969='Hybrid Calculator'!$B$6,0,1))^2+((B969-'Hybrid Calculator'!$B$7)/1500)^2+((C969-'Hybrid Calculator'!$B$8)/1300)^2+((D969-'Hybrid Calculator'!$B$9)/800)^2+((E969-'Hybrid Calculator'!$B$10)/350)^2+((F969-'Hybrid Calculator'!$B$11)/30)^2+(G969-'Hybrid Calculator'!$B$12)^2+((H969-'Hybrid Calculator'!$E$14)/IF(A969="Lightning",100,30000))^2+((I969-'Hybrid Calculator'!$E$17)/IF(A969="Lightning",100,30000))^2</x:f>
        <x:v>1.4231653823684218</x:v>
      </x:c>
      <x:c r="K969" s="23" t="n">
        <x:f>RANK(J969,$J$2:$J$1401,1)</x:f>
        <x:v>1045</x:v>
      </x:c>
      <x:c r="L969" s="23" t="n">
        <x:f>IF(K969&lt;=7,1,0)</x:f>
        <x:v>0</x:v>
      </x:c>
      <x:c r="M969" s="23" t="n">
        <x:f>IF(L969=1,1/(J969+0.000001),0)</x:f>
        <x:v>0</x:v>
      </x:c>
      <x:c r="N969" s="23" t="n">
        <x:v>-2.7071545922149767</x:v>
      </x:c>
      <x:c r="O969" s="23" t="n">
        <x:f>M969</x:f>
        <x:v>0</x:v>
      </x:c>
      <x:c r="P969" s="23" t="n">
        <x:v>42.21862822374533</x:v>
      </x:c>
      <x:c r="Q969" s="23" t="n">
        <x:v>-6.238201989194295</x:v>
      </x:c>
    </x:row>
    <x:row r="970">
      <x:c r="A970" s="23" t="str">
        <x:v>Switching</x:v>
      </x:c>
      <x:c r="B970" s="23" t="n">
        <x:v>1020.6902566598728</x:v>
      </x:c>
      <x:c r="C970" s="23" t="n">
        <x:v>751.1335399118252</x:v>
      </x:c>
      <x:c r="D970" s="23" t="n">
        <x:v>417.05594658851624</x:v>
      </x:c>
      <x:c r="E970" s="23" t="n">
        <x:v>326.201524452772</x:v>
      </x:c>
      <x:c r="F970" s="23" t="n">
        <x:v>21.332593428902328</x:v>
      </x:c>
      <x:c r="G970" s="23" t="n">
        <x:v>0.8099523515230976</x:v>
      </x:c>
      <x:c r="H970" s="23" t="n">
        <x:v>14310</x:v>
      </x:c>
      <x:c r="I970" s="23" t="n">
        <x:v>1200</x:v>
      </x:c>
      <x:c r="J970" s="23" t="n">
        <x:f>(IF(A970='Hybrid Calculator'!$B$6,0,1))^2+((B970-'Hybrid Calculator'!$B$7)/1500)^2+((C970-'Hybrid Calculator'!$B$8)/1300)^2+((D970-'Hybrid Calculator'!$B$9)/800)^2+((E970-'Hybrid Calculator'!$B$10)/350)^2+((F970-'Hybrid Calculator'!$B$11)/30)^2+(G970-'Hybrid Calculator'!$B$12)^2+((H970-'Hybrid Calculator'!$E$14)/IF(A970="Lightning",100,30000))^2+((I970-'Hybrid Calculator'!$E$17)/IF(A970="Lightning",100,30000))^2</x:f>
        <x:v>1.579121616764143</x:v>
      </x:c>
      <x:c r="K970" s="23" t="n">
        <x:f>RANK(J970,$J$2:$J$1401,1)</x:f>
        <x:v>1334</x:v>
      </x:c>
      <x:c r="L970" s="23" t="n">
        <x:f>IF(K970&lt;=7,1,0)</x:f>
        <x:v>0</x:v>
      </x:c>
      <x:c r="M970" s="23" t="n">
        <x:f>IF(L970=1,1/(J970+0.000001),0)</x:f>
        <x:v>0</x:v>
      </x:c>
      <x:c r="N970" s="23" t="n">
        <x:v>0.49441948613451814</x:v>
      </x:c>
      <x:c r="O970" s="23" t="n">
        <x:f>M970</x:f>
        <x:v>0</x:v>
      </x:c>
      <x:c r="P970" s="23" t="n">
        <x:v>-52.66771593247449</x:v>
      </x:c>
      <x:c r="Q970" s="23" t="n">
        <x:v>-2.8154852800396384</x:v>
      </x:c>
    </x:row>
    <x:row r="971">
      <x:c r="A971" s="23" t="str">
        <x:v>Switching</x:v>
      </x:c>
      <x:c r="B971" s="23" t="n">
        <x:v>1030.227083794307</x:v>
      </x:c>
      <x:c r="C971" s="23" t="n">
        <x:v>1128.93929714337</x:v>
      </x:c>
      <x:c r="D971" s="23" t="n">
        <x:v>372.78261547908187</x:v>
      </x:c>
      <x:c r="E971" s="23" t="n">
        <x:v>284.66094242874533</x:v>
      </x:c>
      <x:c r="F971" s="23" t="n">
        <x:v>13.65076164668426</x:v>
      </x:c>
      <x:c r="G971" s="23" t="n">
        <x:v>0.8002564080152661</x:v>
      </x:c>
      <x:c r="H971" s="23" t="n">
        <x:v>11970</x:v>
      </x:c>
      <x:c r="I971" s="23" t="n">
        <x:v>1200</x:v>
      </x:c>
      <x:c r="J971" s="23" t="n">
        <x:f>(IF(A971='Hybrid Calculator'!$B$6,0,1))^2+((B971-'Hybrid Calculator'!$B$7)/1500)^2+((C971-'Hybrid Calculator'!$B$8)/1300)^2+((D971-'Hybrid Calculator'!$B$9)/800)^2+((E971-'Hybrid Calculator'!$B$10)/350)^2+((F971-'Hybrid Calculator'!$B$11)/30)^2+(G971-'Hybrid Calculator'!$B$12)^2+((H971-'Hybrid Calculator'!$E$14)/IF(A971="Lightning",100,30000))^2+((I971-'Hybrid Calculator'!$E$17)/IF(A971="Lightning",100,30000))^2</x:f>
        <x:v>1.4745470252798536</x:v>
      </x:c>
      <x:c r="K971" s="23" t="n">
        <x:f>RANK(J971,$J$2:$J$1401,1)</x:f>
        <x:v>1167</x:v>
      </x:c>
      <x:c r="L971" s="23" t="n">
        <x:f>IF(K971&lt;=7,1,0)</x:f>
        <x:v>0</x:v>
      </x:c>
      <x:c r="M971" s="23" t="n">
        <x:f>IF(L971=1,1/(J971+0.000001),0)</x:f>
        <x:v>0</x:v>
      </x:c>
      <x:c r="N971" s="23" t="n">
        <x:v>2.9095836394629373</x:v>
      </x:c>
      <x:c r="O971" s="23" t="n">
        <x:f>M971</x:f>
        <x:v>0</x:v>
      </x:c>
      <x:c r="P971" s="23" t="n">
        <x:v>-15.82645519844391</x:v>
      </x:c>
      <x:c r="Q971" s="23" t="n">
        <x:v>-0.3753197299784006</x:v>
      </x:c>
    </x:row>
    <x:row r="972">
      <x:c r="A972" s="23" t="str">
        <x:v>Switching</x:v>
      </x:c>
      <x:c r="B972" s="23" t="n">
        <x:v>1013.0402674898505</x:v>
      </x:c>
      <x:c r="C972" s="23" t="n">
        <x:v>975.4995372495614</x:v>
      </x:c>
      <x:c r="D972" s="23" t="n">
        <x:v>485.8058514073491</x:v>
      </x:c>
      <x:c r="E972" s="23" t="n">
        <x:v>285.7756293215789</x:v>
      </x:c>
      <x:c r="F972" s="23" t="n">
        <x:v>28.980387499555945</x:v>
      </x:c>
      <x:c r="G972" s="23" t="n">
        <x:v>0.7985787983355113</x:v>
      </x:c>
      <x:c r="H972" s="23" t="n">
        <x:v>12240</x:v>
      </x:c>
      <x:c r="I972" s="23" t="n">
        <x:v>1200</x:v>
      </x:c>
      <x:c r="J972" s="23" t="n">
        <x:f>(IF(A972='Hybrid Calculator'!$B$6,0,1))^2+((B972-'Hybrid Calculator'!$B$7)/1500)^2+((C972-'Hybrid Calculator'!$B$8)/1300)^2+((D972-'Hybrid Calculator'!$B$9)/800)^2+((E972-'Hybrid Calculator'!$B$10)/350)^2+((F972-'Hybrid Calculator'!$B$11)/30)^2+(G972-'Hybrid Calculator'!$B$12)^2+((H972-'Hybrid Calculator'!$E$14)/IF(A972="Lightning",100,30000))^2+((I972-'Hybrid Calculator'!$E$17)/IF(A972="Lightning",100,30000))^2</x:f>
        <x:v>1.5246938877622778</x:v>
      </x:c>
      <x:c r="K972" s="23" t="n">
        <x:f>RANK(J972,$J$2:$J$1401,1)</x:f>
        <x:v>1254</x:v>
      </x:c>
      <x:c r="L972" s="23" t="n">
        <x:f>IF(K972&lt;=7,1,0)</x:f>
        <x:v>0</x:v>
      </x:c>
      <x:c r="M972" s="23" t="n">
        <x:f>IF(L972=1,1/(J972+0.000001),0)</x:f>
        <x:v>0</x:v>
      </x:c>
      <x:c r="N972" s="23" t="n">
        <x:v>1.5107680521460054</x:v>
      </x:c>
      <x:c r="O972" s="23" t="n">
        <x:f>M972</x:f>
        <x:v>0</x:v>
      </x:c>
      <x:c r="P972" s="23" t="n">
        <x:v>48.510055085167096</x:v>
      </x:c>
      <x:c r="Q972" s="23" t="n">
        <x:v>-8.219684586565677</x:v>
      </x:c>
    </x:row>
    <x:row r="973">
      <x:c r="A973" s="23" t="str">
        <x:v>Switching</x:v>
      </x:c>
      <x:c r="B973" s="23" t="n">
        <x:v>1006.1562855378725</x:v>
      </x:c>
      <x:c r="C973" s="23" t="n">
        <x:v>715.245533385314</x:v>
      </x:c>
      <x:c r="D973" s="23" t="n">
        <x:v>703.7860752083361</x:v>
      </x:c>
      <x:c r="E973" s="23" t="n">
        <x:v>243.2895905058831</x:v>
      </x:c>
      <x:c r="F973" s="23" t="n">
        <x:v>22.48953424813226</x:v>
      </x:c>
      <x:c r="G973" s="23" t="n">
        <x:v>0.8383250337513164</x:v>
      </x:c>
      <x:c r="H973" s="23" t="n">
        <x:v>12865</x:v>
      </x:c>
      <x:c r="I973" s="23" t="n">
        <x:v>1200</x:v>
      </x:c>
      <x:c r="J973" s="23" t="n">
        <x:f>(IF(A973='Hybrid Calculator'!$B$6,0,1))^2+((B973-'Hybrid Calculator'!$B$7)/1500)^2+((C973-'Hybrid Calculator'!$B$8)/1300)^2+((D973-'Hybrid Calculator'!$B$9)/800)^2+((E973-'Hybrid Calculator'!$B$10)/350)^2+((F973-'Hybrid Calculator'!$B$11)/30)^2+(G973-'Hybrid Calculator'!$B$12)^2+((H973-'Hybrid Calculator'!$E$14)/IF(A973="Lightning",100,30000))^2+((I973-'Hybrid Calculator'!$E$17)/IF(A973="Lightning",100,30000))^2</x:f>
        <x:v>1.4266729781709258</x:v>
      </x:c>
      <x:c r="K973" s="23" t="n">
        <x:f>RANK(J973,$J$2:$J$1401,1)</x:f>
        <x:v>1054</x:v>
      </x:c>
      <x:c r="L973" s="23" t="n">
        <x:f>IF(K973&lt;=7,1,0)</x:f>
        <x:v>0</x:v>
      </x:c>
      <x:c r="M973" s="23" t="n">
        <x:f>IF(L973=1,1/(J973+0.000001),0)</x:f>
        <x:v>0</x:v>
      </x:c>
      <x:c r="N973" s="23" t="n">
        <x:v>1.053344699019874</x:v>
      </x:c>
      <x:c r="O973" s="23" t="n">
        <x:f>M973</x:f>
        <x:v>0</x:v>
      </x:c>
      <x:c r="P973" s="23" t="n">
        <x:v>-10.298001295122504</x:v>
      </x:c>
      <x:c r="Q973" s="23" t="n">
        <x:v>0.330219520643368</x:v>
      </x:c>
    </x:row>
    <x:row r="974">
      <x:c r="A974" s="23" t="str">
        <x:v>Switching</x:v>
      </x:c>
      <x:c r="B974" s="23" t="n">
        <x:v>986.4236390916631</x:v>
      </x:c>
      <x:c r="C974" s="23" t="n">
        <x:v>787.5000676722266</x:v>
      </x:c>
      <x:c r="D974" s="23" t="n">
        <x:v>690.6684894114733</x:v>
      </x:c>
      <x:c r="E974" s="23" t="n">
        <x:v>149.85301355598494</x:v>
      </x:c>
      <x:c r="F974" s="23" t="n">
        <x:v>20.883751676417887</x:v>
      </x:c>
      <x:c r="G974" s="23" t="n">
        <x:v>0.8471221791836434</x:v>
      </x:c>
      <x:c r="H974" s="23" t="n">
        <x:v>15325</x:v>
      </x:c>
      <x:c r="I974" s="23" t="n">
        <x:v>1200</x:v>
      </x:c>
      <x:c r="J974" s="23" t="n">
        <x:f>(IF(A974='Hybrid Calculator'!$B$6,0,1))^2+((B974-'Hybrid Calculator'!$B$7)/1500)^2+((C974-'Hybrid Calculator'!$B$8)/1300)^2+((D974-'Hybrid Calculator'!$B$9)/800)^2+((E974-'Hybrid Calculator'!$B$10)/350)^2+((F974-'Hybrid Calculator'!$B$11)/30)^2+(G974-'Hybrid Calculator'!$B$12)^2+((H974-'Hybrid Calculator'!$E$14)/IF(A974="Lightning",100,30000))^2+((I974-'Hybrid Calculator'!$E$17)/IF(A974="Lightning",100,30000))^2</x:f>
        <x:v>1.4124379403266079</x:v>
      </x:c>
      <x:c r="K974" s="23" t="n">
        <x:f>RANK(J974,$J$2:$J$1401,1)</x:f>
        <x:v>1015</x:v>
      </x:c>
      <x:c r="L974" s="23" t="n">
        <x:f>IF(K974&lt;=7,1,0)</x:f>
        <x:v>0</x:v>
      </x:c>
      <x:c r="M974" s="23" t="n">
        <x:f>IF(L974=1,1/(J974+0.000001),0)</x:f>
        <x:v>0</x:v>
      </x:c>
      <x:c r="N974" s="23" t="n">
        <x:v>-0.6185054869210092</x:v>
      </x:c>
      <x:c r="O974" s="23" t="n">
        <x:f>M974</x:f>
        <x:v>0</x:v>
      </x:c>
      <x:c r="P974" s="23" t="n">
        <x:v>-27.561916835899865</x:v>
      </x:c>
      <x:c r="Q974" s="23" t="n">
        <x:v>-4.909750627949052</x:v>
      </x:c>
    </x:row>
    <x:row r="975">
      <x:c r="A975" s="23" t="str">
        <x:v>Switching</x:v>
      </x:c>
      <x:c r="B975" s="23" t="n">
        <x:v>969.2418819642626</x:v>
      </x:c>
      <x:c r="C975" s="23" t="n">
        <x:v>725.6092937197536</x:v>
      </x:c>
      <x:c r="D975" s="23" t="n">
        <x:v>542.6603416912258</x:v>
      </x:c>
      <x:c r="E975" s="23" t="n">
        <x:v>111.05048544239253</x:v>
      </x:c>
      <x:c r="F975" s="23" t="n">
        <x:v>18.410223263781518</x:v>
      </x:c>
      <x:c r="G975" s="23" t="n">
        <x:v>0.796591586060822</x:v>
      </x:c>
      <x:c r="H975" s="23" t="n">
        <x:v>15505</x:v>
      </x:c>
      <x:c r="I975" s="23" t="n">
        <x:v>1200</x:v>
      </x:c>
      <x:c r="J975" s="23" t="n">
        <x:f>(IF(A975='Hybrid Calculator'!$B$6,0,1))^2+((B975-'Hybrid Calculator'!$B$7)/1500)^2+((C975-'Hybrid Calculator'!$B$8)/1300)^2+((D975-'Hybrid Calculator'!$B$9)/800)^2+((E975-'Hybrid Calculator'!$B$10)/350)^2+((F975-'Hybrid Calculator'!$B$11)/30)^2+(G975-'Hybrid Calculator'!$B$12)^2+((H975-'Hybrid Calculator'!$E$14)/IF(A975="Lightning",100,30000))^2+((I975-'Hybrid Calculator'!$E$17)/IF(A975="Lightning",100,30000))^2</x:f>
        <x:v>1.384189066920441</x:v>
      </x:c>
      <x:c r="K975" s="23" t="n">
        <x:f>RANK(J975,$J$2:$J$1401,1)</x:f>
        <x:v>931</x:v>
      </x:c>
      <x:c r="L975" s="23" t="n">
        <x:f>IF(K975&lt;=7,1,0)</x:f>
        <x:v>0</x:v>
      </x:c>
      <x:c r="M975" s="23" t="n">
        <x:f>IF(L975=1,1/(J975+0.000001),0)</x:f>
        <x:v>0</x:v>
      </x:c>
      <x:c r="N975" s="23" t="n">
        <x:v>-3.5089863569413353</x:v>
      </x:c>
      <x:c r="O975" s="23" t="n">
        <x:f>M975</x:f>
        <x:v>0</x:v>
      </x:c>
      <x:c r="P975" s="23" t="n">
        <x:v>-41.97461533440173</x:v>
      </x:c>
      <x:c r="Q975" s="23" t="n">
        <x:v>7.618624614383293</x:v>
      </x:c>
    </x:row>
    <x:row r="976">
      <x:c r="A976" s="23" t="str">
        <x:v>Switching</x:v>
      </x:c>
      <x:c r="B976" s="23" t="n">
        <x:v>1033.4918861743063</x:v>
      </x:c>
      <x:c r="C976" s="23" t="n">
        <x:v>1108.0594266648404</x:v>
      </x:c>
      <x:c r="D976" s="23" t="n">
        <x:v>639.6082928404212</x:v>
      </x:c>
      <x:c r="E976" s="23" t="n">
        <x:v>291.29211952211335</x:v>
      </x:c>
      <x:c r="F976" s="23" t="n">
        <x:v>14.535279426723719</x:v>
      </x:c>
      <x:c r="G976" s="23" t="n">
        <x:v>0.8573949267738499</x:v>
      </x:c>
      <x:c r="H976" s="23" t="n">
        <x:v>10490</x:v>
      </x:c>
      <x:c r="I976" s="23" t="n">
        <x:v>1195</x:v>
      </x:c>
      <x:c r="J976" s="23" t="n">
        <x:f>(IF(A976='Hybrid Calculator'!$B$6,0,1))^2+((B976-'Hybrid Calculator'!$B$7)/1500)^2+((C976-'Hybrid Calculator'!$B$8)/1300)^2+((D976-'Hybrid Calculator'!$B$9)/800)^2+((E976-'Hybrid Calculator'!$B$10)/350)^2+((F976-'Hybrid Calculator'!$B$11)/30)^2+(G976-'Hybrid Calculator'!$B$12)^2+((H976-'Hybrid Calculator'!$E$14)/IF(A976="Lightning",100,30000))^2+((I976-'Hybrid Calculator'!$E$17)/IF(A976="Lightning",100,30000))^2</x:f>
        <x:v>1.442438811880476</x:v>
      </x:c>
      <x:c r="K976" s="23" t="n">
        <x:f>RANK(J976,$J$2:$J$1401,1)</x:f>
        <x:v>1089</x:v>
      </x:c>
      <x:c r="L976" s="23" t="n">
        <x:f>IF(K976&lt;=7,1,0)</x:f>
        <x:v>0</x:v>
      </x:c>
      <x:c r="M976" s="23" t="n">
        <x:f>IF(L976=1,1/(J976+0.000001),0)</x:f>
        <x:v>0</x:v>
      </x:c>
      <x:c r="N976" s="23" t="n">
        <x:v>2.416360774183204</x:v>
      </x:c>
      <x:c r="O976" s="23" t="n">
        <x:f>M976</x:f>
        <x:v>0</x:v>
      </x:c>
      <x:c r="P976" s="23" t="n">
        <x:v>16.8746130618174</x:v>
      </x:c>
      <x:c r="Q976" s="23" t="n">
        <x:v>-2.8887449230869606</x:v>
      </x:c>
    </x:row>
    <x:row r="977">
      <x:c r="A977" s="23" t="str">
        <x:v>Switching</x:v>
      </x:c>
      <x:c r="B977" s="23" t="n">
        <x:v>1001.3289285940118</x:v>
      </x:c>
      <x:c r="C977" s="23" t="n">
        <x:v>1121.2052882416174</x:v>
      </x:c>
      <x:c r="D977" s="23" t="n">
        <x:v>648.9874218590558</x:v>
      </x:c>
      <x:c r="E977" s="23" t="n">
        <x:v>162.99820870161057</x:v>
      </x:c>
      <x:c r="F977" s="23" t="n">
        <x:v>21.407331655267626</x:v>
      </x:c>
      <x:c r="G977" s="23" t="n">
        <x:v>0.8597358446521685</x:v>
      </x:c>
      <x:c r="H977" s="23" t="n">
        <x:v>12905</x:v>
      </x:c>
      <x:c r="I977" s="23" t="n">
        <x:v>1200</x:v>
      </x:c>
      <x:c r="J977" s="23" t="n">
        <x:f>(IF(A977='Hybrid Calculator'!$B$6,0,1))^2+((B977-'Hybrid Calculator'!$B$7)/1500)^2+((C977-'Hybrid Calculator'!$B$8)/1300)^2+((D977-'Hybrid Calculator'!$B$9)/800)^2+((E977-'Hybrid Calculator'!$B$10)/350)^2+((F977-'Hybrid Calculator'!$B$11)/30)^2+(G977-'Hybrid Calculator'!$B$12)^2+((H977-'Hybrid Calculator'!$E$14)/IF(A977="Lightning",100,30000))^2+((I977-'Hybrid Calculator'!$E$17)/IF(A977="Lightning",100,30000))^2</x:f>
        <x:v>1.355477984419619</x:v>
      </x:c>
      <x:c r="K977" s="23" t="n">
        <x:f>RANK(J977,$J$2:$J$1401,1)</x:f>
        <x:v>847</x:v>
      </x:c>
      <x:c r="L977" s="23" t="n">
        <x:f>IF(K977&lt;=7,1,0)</x:f>
        <x:v>0</x:v>
      </x:c>
      <x:c r="M977" s="23" t="n">
        <x:f>IF(L977=1,1/(J977+0.000001),0)</x:f>
        <x:v>0</x:v>
      </x:c>
      <x:c r="N977" s="23" t="n">
        <x:v>3.492760323803566</x:v>
      </x:c>
      <x:c r="O977" s="23" t="n">
        <x:f>M977</x:f>
        <x:v>0</x:v>
      </x:c>
      <x:c r="P977" s="23" t="n">
        <x:v>14.594085397092385</x:v>
      </x:c>
      <x:c r="Q977" s="23" t="n">
        <x:v>-6.289769272878402</x:v>
      </x:c>
    </x:row>
    <x:row r="978">
      <x:c r="A978" s="23" t="str">
        <x:v>Switching</x:v>
      </x:c>
      <x:c r="B978" s="23" t="n">
        <x:v>1060.4309620568529</x:v>
      </x:c>
      <x:c r="C978" s="23" t="n">
        <x:v>740.9541421686299</x:v>
      </x:c>
      <x:c r="D978" s="23" t="n">
        <x:v>625.0384129583836</x:v>
      </x:c>
      <x:c r="E978" s="23" t="n">
        <x:v>85.47296408331022</x:v>
      </x:c>
      <x:c r="F978" s="23" t="n">
        <x:v>25.121083333157003</x:v>
      </x:c>
      <x:c r="G978" s="23" t="n">
        <x:v>0.8104546954273246</x:v>
      </x:c>
      <x:c r="H978" s="23" t="n">
        <x:v>14735</x:v>
      </x:c>
      <x:c r="I978" s="23" t="n">
        <x:v>1200</x:v>
      </x:c>
      <x:c r="J978" s="23" t="n">
        <x:f>(IF(A978='Hybrid Calculator'!$B$6,0,1))^2+((B978-'Hybrid Calculator'!$B$7)/1500)^2+((C978-'Hybrid Calculator'!$B$8)/1300)^2+((D978-'Hybrid Calculator'!$B$9)/800)^2+((E978-'Hybrid Calculator'!$B$10)/350)^2+((F978-'Hybrid Calculator'!$B$11)/30)^2+(G978-'Hybrid Calculator'!$B$12)^2+((H978-'Hybrid Calculator'!$E$14)/IF(A978="Lightning",100,30000))^2+((I978-'Hybrid Calculator'!$E$17)/IF(A978="Lightning",100,30000))^2</x:f>
        <x:v>1.4144713420929562</x:v>
      </x:c>
      <x:c r="K978" s="23" t="n">
        <x:f>RANK(J978,$J$2:$J$1401,1)</x:f>
        <x:v>1024</x:v>
      </x:c>
      <x:c r="L978" s="23" t="n">
        <x:f>IF(K978&lt;=7,1,0)</x:f>
        <x:v>0</x:v>
      </x:c>
      <x:c r="M978" s="23" t="n">
        <x:f>IF(L978=1,1/(J978+0.000001),0)</x:f>
        <x:v>0</x:v>
      </x:c>
      <x:c r="N978" s="23" t="n">
        <x:v>0.7734872017138059</x:v>
      </x:c>
      <x:c r="O978" s="23" t="n">
        <x:f>M978</x:f>
        <x:v>0</x:v>
      </x:c>
      <x:c r="P978" s="23" t="n">
        <x:v>-32.37271283184964</x:v>
      </x:c>
      <x:c r="Q978" s="23" t="n">
        <x:v>-0.6955826659748254</x:v>
      </x:c>
    </x:row>
    <x:row r="979">
      <x:c r="A979" s="23" t="str">
        <x:v>Switching</x:v>
      </x:c>
      <x:c r="B979" s="23" t="n">
        <x:v>1038.7116934987716</x:v>
      </x:c>
      <x:c r="C979" s="23" t="n">
        <x:v>673.8020347431302</x:v>
      </x:c>
      <x:c r="D979" s="23" t="n">
        <x:v>371.73845609650016</x:v>
      </x:c>
      <x:c r="E979" s="23" t="n">
        <x:v>266.2882600398734</x:v>
      </x:c>
      <x:c r="F979" s="23" t="n">
        <x:v>10.205267989542335</x:v>
      </x:c>
      <x:c r="G979" s="23" t="n">
        <x:v>0.8119347811397165</x:v>
      </x:c>
      <x:c r="H979" s="23" t="n">
        <x:v>16300</x:v>
      </x:c>
      <x:c r="I979" s="23" t="n">
        <x:v>1200</x:v>
      </x:c>
      <x:c r="J979" s="23" t="n">
        <x:f>(IF(A979='Hybrid Calculator'!$B$6,0,1))^2+((B979-'Hybrid Calculator'!$B$7)/1500)^2+((C979-'Hybrid Calculator'!$B$8)/1300)^2+((D979-'Hybrid Calculator'!$B$9)/800)^2+((E979-'Hybrid Calculator'!$B$10)/350)^2+((F979-'Hybrid Calculator'!$B$11)/30)^2+(G979-'Hybrid Calculator'!$B$12)^2+((H979-'Hybrid Calculator'!$E$14)/IF(A979="Lightning",100,30000))^2+((I979-'Hybrid Calculator'!$E$17)/IF(A979="Lightning",100,30000))^2</x:f>
        <x:v>1.5922350462128116</x:v>
      </x:c>
      <x:c r="K979" s="23" t="n">
        <x:f>RANK(J979,$J$2:$J$1401,1)</x:f>
        <x:v>1343</x:v>
      </x:c>
      <x:c r="L979" s="23" t="n">
        <x:f>IF(K979&lt;=7,1,0)</x:f>
        <x:v>0</x:v>
      </x:c>
      <x:c r="M979" s="23" t="n">
        <x:f>IF(L979=1,1/(J979+0.000001),0)</x:f>
        <x:v>0</x:v>
      </x:c>
      <x:c r="N979" s="23" t="n">
        <x:v>1.985850857347117</x:v>
      </x:c>
      <x:c r="O979" s="23" t="n">
        <x:f>M979</x:f>
        <x:v>0</x:v>
      </x:c>
      <x:c r="P979" s="23" t="n">
        <x:v>18.265552641527847</x:v>
      </x:c>
      <x:c r="Q979" s="23" t="n">
        <x:v>8.251799754099466</x:v>
      </x:c>
    </x:row>
    <x:row r="980">
      <x:c r="A980" s="23" t="str">
        <x:v>Switching</x:v>
      </x:c>
      <x:c r="B980" s="23" t="n">
        <x:v>1096.1099517531693</x:v>
      </x:c>
      <x:c r="C980" s="23" t="n">
        <x:v>612.3592735617422</x:v>
      </x:c>
      <x:c r="D980" s="23" t="n">
        <x:v>733.5504868999124</x:v>
      </x:c>
      <x:c r="E980" s="23" t="n">
        <x:v>247.89641609648243</x:v>
      </x:c>
      <x:c r="F980" s="23" t="n">
        <x:v>16.009759174659848</x:v>
      </x:c>
      <x:c r="G980" s="23" t="n">
        <x:v>0.8204935784568079</x:v>
      </x:c>
      <x:c r="H980" s="23" t="n">
        <x:v>13420</x:v>
      </x:c>
      <x:c r="I980" s="23" t="n">
        <x:v>1200</x:v>
      </x:c>
      <x:c r="J980" s="23" t="n">
        <x:f>(IF(A980='Hybrid Calculator'!$B$6,0,1))^2+((B980-'Hybrid Calculator'!$B$7)/1500)^2+((C980-'Hybrid Calculator'!$B$8)/1300)^2+((D980-'Hybrid Calculator'!$B$9)/800)^2+((E980-'Hybrid Calculator'!$B$10)/350)^2+((F980-'Hybrid Calculator'!$B$11)/30)^2+(G980-'Hybrid Calculator'!$B$12)^2+((H980-'Hybrid Calculator'!$E$14)/IF(A980="Lightning",100,30000))^2+((I980-'Hybrid Calculator'!$E$17)/IF(A980="Lightning",100,30000))^2</x:f>
        <x:v>1.4519966004191016</x:v>
      </x:c>
      <x:c r="K980" s="23" t="n">
        <x:f>RANK(J980,$J$2:$J$1401,1)</x:f>
        <x:v>1112</x:v>
      </x:c>
      <x:c r="L980" s="23" t="n">
        <x:f>IF(K980&lt;=7,1,0)</x:f>
        <x:v>0</x:v>
      </x:c>
      <x:c r="M980" s="23" t="n">
        <x:f>IF(L980=1,1/(J980+0.000001),0)</x:f>
        <x:v>0</x:v>
      </x:c>
      <x:c r="N980" s="23" t="n">
        <x:v>2.8105934880378243</x:v>
      </x:c>
      <x:c r="O980" s="23" t="n">
        <x:f>M980</x:f>
        <x:v>0</x:v>
      </x:c>
      <x:c r="P980" s="23" t="n">
        <x:v>-43.58405659199843</x:v>
      </x:c>
      <x:c r="Q980" s="23" t="n">
        <x:v>9.75611185545631</x:v>
      </x:c>
    </x:row>
    <x:row r="981">
      <x:c r="A981" s="23" t="str">
        <x:v>Switching</x:v>
      </x:c>
      <x:c r="B981" s="23" t="n">
        <x:v>1001.6593187698163</x:v>
      </x:c>
      <x:c r="C981" s="23" t="n">
        <x:v>656.2706058146432</x:v>
      </x:c>
      <x:c r="D981" s="23" t="n">
        <x:v>524.5155700482428</x:v>
      </x:c>
      <x:c r="E981" s="23" t="n">
        <x:v>94.78858781047165</x:v>
      </x:c>
      <x:c r="F981" s="23" t="n">
        <x:v>10.916515231598169</x:v>
      </x:c>
      <x:c r="G981" s="23" t="n">
        <x:v>0.8208934542769567</x:v>
      </x:c>
      <x:c r="H981" s="23" t="n">
        <x:v>16765</x:v>
      </x:c>
      <x:c r="I981" s="23" t="n">
        <x:v>1200</x:v>
      </x:c>
      <x:c r="J981" s="23" t="n">
        <x:f>(IF(A981='Hybrid Calculator'!$B$6,0,1))^2+((B981-'Hybrid Calculator'!$B$7)/1500)^2+((C981-'Hybrid Calculator'!$B$8)/1300)^2+((D981-'Hybrid Calculator'!$B$9)/800)^2+((E981-'Hybrid Calculator'!$B$10)/350)^2+((F981-'Hybrid Calculator'!$B$11)/30)^2+(G981-'Hybrid Calculator'!$B$12)^2+((H981-'Hybrid Calculator'!$E$14)/IF(A981="Lightning",100,30000))^2+((I981-'Hybrid Calculator'!$E$17)/IF(A981="Lightning",100,30000))^2</x:f>
        <x:v>1.5035517287090787</x:v>
      </x:c>
      <x:c r="K981" s="23" t="n">
        <x:f>RANK(J981,$J$2:$J$1401,1)</x:f>
        <x:v>1219</x:v>
      </x:c>
      <x:c r="L981" s="23" t="n">
        <x:f>IF(K981&lt;=7,1,0)</x:f>
        <x:v>0</x:v>
      </x:c>
      <x:c r="M981" s="23" t="n">
        <x:f>IF(L981=1,1/(J981+0.000001),0)</x:f>
        <x:v>0</x:v>
      </x:c>
      <x:c r="N981" s="23" t="n">
        <x:v>-0.3192894718983723</x:v>
      </x:c>
      <x:c r="O981" s="23" t="n">
        <x:f>M981</x:f>
        <x:v>0</x:v>
      </x:c>
      <x:c r="P981" s="23" t="n">
        <x:v>5.478005686956294</x:v>
      </x:c>
      <x:c r="Q981" s="23" t="n">
        <x:v>10.489580304711126</x:v>
      </x:c>
    </x:row>
    <x:row r="982">
      <x:c r="A982" s="23" t="str">
        <x:v>Switching</x:v>
      </x:c>
      <x:c r="B982" s="23" t="n">
        <x:v>1099.2077950388193</x:v>
      </x:c>
      <x:c r="C982" s="23" t="n">
        <x:v>775.2711421228014</x:v>
      </x:c>
      <x:c r="D982" s="23" t="n">
        <x:v>720.0222389772534</x:v>
      </x:c>
      <x:c r="E982" s="23" t="n">
        <x:v>181.1005011969246</x:v>
      </x:c>
      <x:c r="F982" s="23" t="n">
        <x:v>18.6279187630862</x:v>
      </x:c>
      <x:c r="G982" s="23" t="n">
        <x:v>0.8589583410066552</x:v>
      </x:c>
      <x:c r="H982" s="23" t="n">
        <x:v>12755</x:v>
      </x:c>
      <x:c r="I982" s="23" t="n">
        <x:v>1200</x:v>
      </x:c>
      <x:c r="J982" s="23" t="n">
        <x:f>(IF(A982='Hybrid Calculator'!$B$6,0,1))^2+((B982-'Hybrid Calculator'!$B$7)/1500)^2+((C982-'Hybrid Calculator'!$B$8)/1300)^2+((D982-'Hybrid Calculator'!$B$9)/800)^2+((E982-'Hybrid Calculator'!$B$10)/350)^2+((F982-'Hybrid Calculator'!$B$11)/30)^2+(G982-'Hybrid Calculator'!$B$12)^2+((H982-'Hybrid Calculator'!$E$14)/IF(A982="Lightning",100,30000))^2+((I982-'Hybrid Calculator'!$E$17)/IF(A982="Lightning",100,30000))^2</x:f>
        <x:v>1.3164363104334134</x:v>
      </x:c>
      <x:c r="K982" s="23" t="n">
        <x:f>RANK(J982,$J$2:$J$1401,1)</x:f>
        <x:v>756</x:v>
      </x:c>
      <x:c r="L982" s="23" t="n">
        <x:f>IF(K982&lt;=7,1,0)</x:f>
        <x:v>0</x:v>
      </x:c>
      <x:c r="M982" s="23" t="n">
        <x:f>IF(L982=1,1/(J982+0.000001),0)</x:f>
        <x:v>0</x:v>
      </x:c>
      <x:c r="N982" s="23" t="n">
        <x:v>1.6760843599755049</x:v>
      </x:c>
      <x:c r="O982" s="23" t="n">
        <x:f>M982</x:f>
        <x:v>0</x:v>
      </x:c>
      <x:c r="P982" s="23" t="n">
        <x:v>9.381219177185358</x:v>
      </x:c>
      <x:c r="Q982" s="23" t="n">
        <x:v>4.078962645806314</x:v>
      </x:c>
    </x:row>
    <x:row r="983">
      <x:c r="A983" s="23" t="str">
        <x:v>Switching</x:v>
      </x:c>
      <x:c r="B983" s="23" t="n">
        <x:v>1033.5251043201424</x:v>
      </x:c>
      <x:c r="C983" s="23" t="n">
        <x:v>858.6076176026836</x:v>
      </x:c>
      <x:c r="D983" s="23" t="n">
        <x:v>595.0057164765894</x:v>
      </x:c>
      <x:c r="E983" s="23" t="n">
        <x:v>226.65336511097848</x:v>
      </x:c>
      <x:c r="F983" s="23" t="n">
        <x:v>8.138894331175834</x:v>
      </x:c>
      <x:c r="G983" s="23" t="n">
        <x:v>0.7908912140922622</x:v>
      </x:c>
      <x:c r="H983" s="23" t="n">
        <x:v>12730</x:v>
      </x:c>
      <x:c r="I983" s="23" t="n">
        <x:v>1200</x:v>
      </x:c>
      <x:c r="J983" s="23" t="n">
        <x:f>(IF(A983='Hybrid Calculator'!$B$6,0,1))^2+((B983-'Hybrid Calculator'!$B$7)/1500)^2+((C983-'Hybrid Calculator'!$B$8)/1300)^2+((D983-'Hybrid Calculator'!$B$9)/800)^2+((E983-'Hybrid Calculator'!$B$10)/350)^2+((F983-'Hybrid Calculator'!$B$11)/30)^2+(G983-'Hybrid Calculator'!$B$12)^2+((H983-'Hybrid Calculator'!$E$14)/IF(A983="Lightning",100,30000))^2+((I983-'Hybrid Calculator'!$E$17)/IF(A983="Lightning",100,30000))^2</x:f>
        <x:v>1.430533603500147</x:v>
      </x:c>
      <x:c r="K983" s="23" t="n">
        <x:f>RANK(J983,$J$2:$J$1401,1)</x:f>
        <x:v>1061</x:v>
      </x:c>
      <x:c r="L983" s="23" t="n">
        <x:f>IF(K983&lt;=7,1,0)</x:f>
        <x:v>0</x:v>
      </x:c>
      <x:c r="M983" s="23" t="n">
        <x:f>IF(L983=1,1/(J983+0.000001),0)</x:f>
        <x:v>0</x:v>
      </x:c>
      <x:c r="N983" s="23" t="n">
        <x:v>1.013375902320604</x:v>
      </x:c>
      <x:c r="O983" s="23" t="n">
        <x:f>M983</x:f>
        <x:v>0</x:v>
      </x:c>
      <x:c r="P983" s="23" t="n">
        <x:v>2.5467275551541206</x:v>
      </x:c>
      <x:c r="Q983" s="23" t="n">
        <x:v>1.9396780389483865</x:v>
      </x:c>
    </x:row>
    <x:row r="984">
      <x:c r="A984" s="23" t="str">
        <x:v>Switching</x:v>
      </x:c>
      <x:c r="B984" s="23" t="n">
        <x:v>971.8211863888428</x:v>
      </x:c>
      <x:c r="C984" s="23" t="n">
        <x:v>797.9643658385612</x:v>
      </x:c>
      <x:c r="D984" s="23" t="n">
        <x:v>712.7640698105097</x:v>
      </x:c>
      <x:c r="E984" s="23" t="n">
        <x:v>303.5803298535757</x:v>
      </x:c>
      <x:c r="F984" s="23" t="n">
        <x:v>17.465853431262076</x:v>
      </x:c>
      <x:c r="G984" s="23" t="n">
        <x:v>0.8500605310755782</x:v>
      </x:c>
      <x:c r="H984" s="23" t="n">
        <x:v>13750</x:v>
      </x:c>
      <x:c r="I984" s="23" t="n">
        <x:v>1200</x:v>
      </x:c>
      <x:c r="J984" s="23" t="n">
        <x:f>(IF(A984='Hybrid Calculator'!$B$6,0,1))^2+((B984-'Hybrid Calculator'!$B$7)/1500)^2+((C984-'Hybrid Calculator'!$B$8)/1300)^2+((D984-'Hybrid Calculator'!$B$9)/800)^2+((E984-'Hybrid Calculator'!$B$10)/350)^2+((F984-'Hybrid Calculator'!$B$11)/30)^2+(G984-'Hybrid Calculator'!$B$12)^2+((H984-'Hybrid Calculator'!$E$14)/IF(A984="Lightning",100,30000))^2+((I984-'Hybrid Calculator'!$E$17)/IF(A984="Lightning",100,30000))^2</x:f>
        <x:v>1.5683269813088418</x:v>
      </x:c>
      <x:c r="K984" s="23" t="n">
        <x:f>RANK(J984,$J$2:$J$1401,1)</x:f>
        <x:v>1327</x:v>
      </x:c>
      <x:c r="L984" s="23" t="n">
        <x:f>IF(K984&lt;=7,1,0)</x:f>
        <x:v>0</x:v>
      </x:c>
      <x:c r="M984" s="23" t="n">
        <x:f>IF(L984=1,1/(J984+0.000001),0)</x:f>
        <x:v>0</x:v>
      </x:c>
      <x:c r="N984" s="23" t="n">
        <x:v>0.35807954370841344</x:v>
      </x:c>
      <x:c r="O984" s="23" t="n">
        <x:f>M984</x:f>
        <x:v>0</x:v>
      </x:c>
      <x:c r="P984" s="23" t="n">
        <x:v>11.758489315655424</x:v>
      </x:c>
      <x:c r="Q984" s="23" t="n">
        <x:v>-0.614435391685106</x:v>
      </x:c>
    </x:row>
    <x:row r="985">
      <x:c r="A985" s="23" t="str">
        <x:v>Switching</x:v>
      </x:c>
      <x:c r="B985" s="23" t="n">
        <x:v>1001.8001895747148</x:v>
      </x:c>
      <x:c r="C985" s="23" t="n">
        <x:v>799.168874649331</x:v>
      </x:c>
      <x:c r="D985" s="23" t="n">
        <x:v>518.9352984540164</x:v>
      </x:c>
      <x:c r="E985" s="23" t="n">
        <x:v>281.3039755402133</x:v>
      </x:c>
      <x:c r="F985" s="23" t="n">
        <x:v>13.183469872456044</x:v>
      </x:c>
      <x:c r="G985" s="23" t="n">
        <x:v>0.8421275532245637</x:v>
      </x:c>
      <x:c r="H985" s="23" t="n">
        <x:v>15600</x:v>
      </x:c>
      <x:c r="I985" s="23" t="n">
        <x:v>1200</x:v>
      </x:c>
      <x:c r="J985" s="23" t="n">
        <x:f>(IF(A985='Hybrid Calculator'!$B$6,0,1))^2+((B985-'Hybrid Calculator'!$B$7)/1500)^2+((C985-'Hybrid Calculator'!$B$8)/1300)^2+((D985-'Hybrid Calculator'!$B$9)/800)^2+((E985-'Hybrid Calculator'!$B$10)/350)^2+((F985-'Hybrid Calculator'!$B$11)/30)^2+(G985-'Hybrid Calculator'!$B$12)^2+((H985-'Hybrid Calculator'!$E$14)/IF(A985="Lightning",100,30000))^2+((I985-'Hybrid Calculator'!$E$17)/IF(A985="Lightning",100,30000))^2</x:f>
        <x:v>1.5245281409196878</x:v>
      </x:c>
      <x:c r="K985" s="23" t="n">
        <x:f>RANK(J985,$J$2:$J$1401,1)</x:f>
        <x:v>1253</x:v>
      </x:c>
      <x:c r="L985" s="23" t="n">
        <x:f>IF(K985&lt;=7,1,0)</x:f>
        <x:v>0</x:v>
      </x:c>
      <x:c r="M985" s="23" t="n">
        <x:f>IF(L985=1,1/(J985+0.000001),0)</x:f>
        <x:v>0</x:v>
      </x:c>
      <x:c r="N985" s="23" t="n">
        <x:v>1.8167483637916177</x:v>
      </x:c>
      <x:c r="O985" s="23" t="n">
        <x:f>M985</x:f>
        <x:v>0</x:v>
      </x:c>
      <x:c r="P985" s="23" t="n">
        <x:v>23.211168559169437</x:v>
      </x:c>
      <x:c r="Q985" s="23" t="n">
        <x:v>4.1710302426815815</x:v>
      </x:c>
    </x:row>
    <x:row r="986">
      <x:c r="A986" s="23" t="str">
        <x:v>Switching</x:v>
      </x:c>
      <x:c r="B986" s="23" t="n">
        <x:v>1080.5782425682992</x:v>
      </x:c>
      <x:c r="C986" s="23" t="n">
        <x:v>750.0251744757406</x:v>
      </x:c>
      <x:c r="D986" s="23" t="n">
        <x:v>692.7621012553573</x:v>
      </x:c>
      <x:c r="E986" s="23" t="n">
        <x:v>193.13703918131068</x:v>
      </x:c>
      <x:c r="F986" s="23" t="n">
        <x:v>29.04610326513648</x:v>
      </x:c>
      <x:c r="G986" s="23" t="n">
        <x:v>0.8034619440534152</x:v>
      </x:c>
      <x:c r="H986" s="23" t="n">
        <x:v>13075</x:v>
      </x:c>
      <x:c r="I986" s="23" t="n">
        <x:v>1200</x:v>
      </x:c>
      <x:c r="J986" s="23" t="n">
        <x:f>(IF(A986='Hybrid Calculator'!$B$6,0,1))^2+((B986-'Hybrid Calculator'!$B$7)/1500)^2+((C986-'Hybrid Calculator'!$B$8)/1300)^2+((D986-'Hybrid Calculator'!$B$9)/800)^2+((E986-'Hybrid Calculator'!$B$10)/350)^2+((F986-'Hybrid Calculator'!$B$11)/30)^2+(G986-'Hybrid Calculator'!$B$12)^2+((H986-'Hybrid Calculator'!$E$14)/IF(A986="Lightning",100,30000))^2+((I986-'Hybrid Calculator'!$E$17)/IF(A986="Lightning",100,30000))^2</x:f>
        <x:v>1.445771742049062</x:v>
      </x:c>
      <x:c r="K986" s="23" t="n">
        <x:f>RANK(J986,$J$2:$J$1401,1)</x:f>
        <x:v>1100</x:v>
      </x:c>
      <x:c r="L986" s="23" t="n">
        <x:f>IF(K986&lt;=7,1,0)</x:f>
        <x:v>0</x:v>
      </x:c>
      <x:c r="M986" s="23" t="n">
        <x:f>IF(L986=1,1/(J986+0.000001),0)</x:f>
        <x:v>0</x:v>
      </x:c>
      <x:c r="N986" s="23" t="n">
        <x:v>0.7601186988503912</x:v>
      </x:c>
      <x:c r="O986" s="23" t="n">
        <x:f>M986</x:f>
        <x:v>0</x:v>
      </x:c>
      <x:c r="P986" s="23" t="n">
        <x:v>-18.443036957793993</x:v>
      </x:c>
      <x:c r="Q986" s="23" t="n">
        <x:v>-16.518142692577385</x:v>
      </x:c>
    </x:row>
    <x:row r="987">
      <x:c r="A987" s="23" t="str">
        <x:v>Switching</x:v>
      </x:c>
      <x:c r="B987" s="23" t="n">
        <x:v>1036.9063887861557</x:v>
      </x:c>
      <x:c r="C987" s="23" t="n">
        <x:v>1216.219377773814</x:v>
      </x:c>
      <x:c r="D987" s="23" t="n">
        <x:v>573.5280861146748</x:v>
      </x:c>
      <x:c r="E987" s="23" t="n">
        <x:v>193.7295113876462</x:v>
      </x:c>
      <x:c r="F987" s="23" t="n">
        <x:v>23.308437319938093</x:v>
      </x:c>
      <x:c r="G987" s="23" t="n">
        <x:v>0.7958019352285192</x:v>
      </x:c>
      <x:c r="H987" s="23" t="n">
        <x:v>10780</x:v>
      </x:c>
      <x:c r="I987" s="23" t="n">
        <x:v>1195</x:v>
      </x:c>
      <x:c r="J987" s="23" t="n">
        <x:f>(IF(A987='Hybrid Calculator'!$B$6,0,1))^2+((B987-'Hybrid Calculator'!$B$7)/1500)^2+((C987-'Hybrid Calculator'!$B$8)/1300)^2+((D987-'Hybrid Calculator'!$B$9)/800)^2+((E987-'Hybrid Calculator'!$B$10)/350)^2+((F987-'Hybrid Calculator'!$B$11)/30)^2+(G987-'Hybrid Calculator'!$B$12)^2+((H987-'Hybrid Calculator'!$E$14)/IF(A987="Lightning",100,30000))^2+((I987-'Hybrid Calculator'!$E$17)/IF(A987="Lightning",100,30000))^2</x:f>
        <x:v>1.3260795925929612</x:v>
      </x:c>
      <x:c r="K987" s="23" t="n">
        <x:f>RANK(J987,$J$2:$J$1401,1)</x:f>
        <x:v>770</x:v>
      </x:c>
      <x:c r="L987" s="23" t="n">
        <x:f>IF(K987&lt;=7,1,0)</x:f>
        <x:v>0</x:v>
      </x:c>
      <x:c r="M987" s="23" t="n">
        <x:f>IF(L987=1,1/(J987+0.000001),0)</x:f>
        <x:v>0</x:v>
      </x:c>
      <x:c r="N987" s="23" t="n">
        <x:v>-1.8824813019101043</x:v>
      </x:c>
      <x:c r="O987" s="23" t="n">
        <x:f>M987</x:f>
        <x:v>0</x:v>
      </x:c>
      <x:c r="P987" s="23" t="n">
        <x:v>-7.911045442544946</x:v>
      </x:c>
      <x:c r="Q987" s="23" t="n">
        <x:v>-15.8469622057886</x:v>
      </x:c>
    </x:row>
    <x:row r="988">
      <x:c r="A988" s="23" t="str">
        <x:v>Switching</x:v>
      </x:c>
      <x:c r="B988" s="23" t="n">
        <x:v>1050.8821219438687</x:v>
      </x:c>
      <x:c r="C988" s="23" t="n">
        <x:v>814.2348605324514</x:v>
      </x:c>
      <x:c r="D988" s="23" t="n">
        <x:v>555.951976031065</x:v>
      </x:c>
      <x:c r="E988" s="23" t="n">
        <x:v>272.0814359909855</x:v>
      </x:c>
      <x:c r="F988" s="23" t="n">
        <x:v>22.190870172344148</x:v>
      </x:c>
      <x:c r="G988" s="23" t="n">
        <x:v>0.8388953708275222</x:v>
      </x:c>
      <x:c r="H988" s="23" t="n">
        <x:v>13020</x:v>
      </x:c>
      <x:c r="I988" s="23" t="n">
        <x:v>1200</x:v>
      </x:c>
      <x:c r="J988" s="23" t="n">
        <x:f>(IF(A988='Hybrid Calculator'!$B$6,0,1))^2+((B988-'Hybrid Calculator'!$B$7)/1500)^2+((C988-'Hybrid Calculator'!$B$8)/1300)^2+((D988-'Hybrid Calculator'!$B$9)/800)^2+((E988-'Hybrid Calculator'!$B$10)/350)^2+((F988-'Hybrid Calculator'!$B$11)/30)^2+(G988-'Hybrid Calculator'!$B$12)^2+((H988-'Hybrid Calculator'!$E$14)/IF(A988="Lightning",100,30000))^2+((I988-'Hybrid Calculator'!$E$17)/IF(A988="Lightning",100,30000))^2</x:f>
        <x:v>1.3934584075864076</x:v>
      </x:c>
      <x:c r="K988" s="23" t="n">
        <x:f>RANK(J988,$J$2:$J$1401,1)</x:f>
        <x:v>959</x:v>
      </x:c>
      <x:c r="L988" s="23" t="n">
        <x:f>IF(K988&lt;=7,1,0)</x:f>
        <x:v>0</x:v>
      </x:c>
      <x:c r="M988" s="23" t="n">
        <x:f>IF(L988=1,1/(J988+0.000001),0)</x:f>
        <x:v>0</x:v>
      </x:c>
      <x:c r="N988" s="23" t="n">
        <x:v>1.0350551294261265</x:v>
      </x:c>
      <x:c r="O988" s="23" t="n">
        <x:f>M988</x:f>
        <x:v>0</x:v>
      </x:c>
      <x:c r="P988" s="23" t="n">
        <x:v>33.91267979965187</x:v>
      </x:c>
      <x:c r="Q988" s="23" t="n">
        <x:v>-6.644840456855945</x:v>
      </x:c>
    </x:row>
    <x:row r="989">
      <x:c r="A989" s="23" t="str">
        <x:v>Switching</x:v>
      </x:c>
      <x:c r="B989" s="23" t="n">
        <x:v>1020.5396385747008</x:v>
      </x:c>
      <x:c r="C989" s="23" t="n">
        <x:v>1151.6712490469217</x:v>
      </x:c>
      <x:c r="D989" s="23" t="n">
        <x:v>435.7009290717542</x:v>
      </x:c>
      <x:c r="E989" s="23" t="n">
        <x:v>225.86896926630288</x:v>
      </x:c>
      <x:c r="F989" s="23" t="n">
        <x:v>17.24747876962647</x:v>
      </x:c>
      <x:c r="G989" s="23" t="n">
        <x:v>0.8307034342270345</x:v>
      </x:c>
      <x:c r="H989" s="23" t="n">
        <x:v>11795</x:v>
      </x:c>
      <x:c r="I989" s="23" t="n">
        <x:v>1195</x:v>
      </x:c>
      <x:c r="J989" s="23" t="n">
        <x:f>(IF(A989='Hybrid Calculator'!$B$6,0,1))^2+((B989-'Hybrid Calculator'!$B$7)/1500)^2+((C989-'Hybrid Calculator'!$B$8)/1300)^2+((D989-'Hybrid Calculator'!$B$9)/800)^2+((E989-'Hybrid Calculator'!$B$10)/350)^2+((F989-'Hybrid Calculator'!$B$11)/30)^2+(G989-'Hybrid Calculator'!$B$12)^2+((H989-'Hybrid Calculator'!$E$14)/IF(A989="Lightning",100,30000))^2+((I989-'Hybrid Calculator'!$E$17)/IF(A989="Lightning",100,30000))^2</x:f>
        <x:v>1.336654757499543</x:v>
      </x:c>
      <x:c r="K989" s="23" t="n">
        <x:f>RANK(J989,$J$2:$J$1401,1)</x:f>
        <x:v>793</x:v>
      </x:c>
      <x:c r="L989" s="23" t="n">
        <x:f>IF(K989&lt;=7,1,0)</x:f>
        <x:v>0</x:v>
      </x:c>
      <x:c r="M989" s="23" t="n">
        <x:f>IF(L989=1,1/(J989+0.000001),0)</x:f>
        <x:v>0</x:v>
      </x:c>
      <x:c r="N989" s="23" t="n">
        <x:v>0.265831567442973</x:v>
      </x:c>
      <x:c r="O989" s="23" t="n">
        <x:f>M989</x:f>
        <x:v>0</x:v>
      </x:c>
      <x:c r="P989" s="23" t="n">
        <x:v>49.74816639865048</x:v>
      </x:c>
      <x:c r="Q989" s="23" t="n">
        <x:v>-3.1474471432649125</x:v>
      </x:c>
    </x:row>
    <x:row r="990">
      <x:c r="A990" s="23" t="str">
        <x:v>Switching</x:v>
      </x:c>
      <x:c r="B990" s="23" t="n">
        <x:v>1037.599357496947</x:v>
      </x:c>
      <x:c r="C990" s="23" t="n">
        <x:v>1059.107140765991</x:v>
      </x:c>
      <x:c r="D990" s="23" t="n">
        <x:v>483.493965305388</x:v>
      </x:c>
      <x:c r="E990" s="23" t="n">
        <x:v>165.64196253428236</x:v>
      </x:c>
      <x:c r="F990" s="23" t="n">
        <x:v>29.709984520450234</x:v>
      </x:c>
      <x:c r="G990" s="23" t="n">
        <x:v>0.8319280840014108</x:v>
      </x:c>
      <x:c r="H990" s="23" t="n">
        <x:v>12520</x:v>
      </x:c>
      <x:c r="I990" s="23" t="n">
        <x:v>1200</x:v>
      </x:c>
      <x:c r="J990" s="23" t="n">
        <x:f>(IF(A990='Hybrid Calculator'!$B$6,0,1))^2+((B990-'Hybrid Calculator'!$B$7)/1500)^2+((C990-'Hybrid Calculator'!$B$8)/1300)^2+((D990-'Hybrid Calculator'!$B$9)/800)^2+((E990-'Hybrid Calculator'!$B$10)/350)^2+((F990-'Hybrid Calculator'!$B$11)/30)^2+(G990-'Hybrid Calculator'!$B$12)^2+((H990-'Hybrid Calculator'!$E$14)/IF(A990="Lightning",100,30000))^2+((I990-'Hybrid Calculator'!$E$17)/IF(A990="Lightning",100,30000))^2</x:f>
        <x:v>1.409079637595138</x:v>
      </x:c>
      <x:c r="K990" s="23" t="n">
        <x:f>RANK(J990,$J$2:$J$1401,1)</x:f>
        <x:v>1002</x:v>
      </x:c>
      <x:c r="L990" s="23" t="n">
        <x:f>IF(K990&lt;=7,1,0)</x:f>
        <x:v>0</x:v>
      </x:c>
      <x:c r="M990" s="23" t="n">
        <x:f>IF(L990=1,1/(J990+0.000001),0)</x:f>
        <x:v>0</x:v>
      </x:c>
      <x:c r="N990" s="23" t="n">
        <x:v>-2.9702526688645605</x:v>
      </x:c>
      <x:c r="O990" s="23" t="n">
        <x:f>M990</x:f>
        <x:v>0</x:v>
      </x:c>
      <x:c r="P990" s="23" t="n">
        <x:v>17.11979846829354</x:v>
      </x:c>
      <x:c r="Q990" s="23" t="n">
        <x:v>-11.482799418827653</x:v>
      </x:c>
    </x:row>
    <x:row r="991">
      <x:c r="A991" s="23" t="str">
        <x:v>Switching</x:v>
      </x:c>
      <x:c r="B991" s="23" t="n">
        <x:v>1035.2980872266926</x:v>
      </x:c>
      <x:c r="C991" s="23" t="n">
        <x:v>1180.8885610895231</x:v>
      </x:c>
      <x:c r="D991" s="23" t="n">
        <x:v>402.67182821407914</x:v>
      </x:c>
      <x:c r="E991" s="23" t="n">
        <x:v>123.30326826311648</x:v>
      </x:c>
      <x:c r="F991" s="23" t="n">
        <x:v>23.9827938308008</x:v>
      </x:c>
      <x:c r="G991" s="23" t="n">
        <x:v>0.7934831653395668</x:v>
      </x:c>
      <x:c r="H991" s="23" t="n">
        <x:v>12530</x:v>
      </x:c>
      <x:c r="I991" s="23" t="n">
        <x:v>1200</x:v>
      </x:c>
      <x:c r="J991" s="23" t="n">
        <x:f>(IF(A991='Hybrid Calculator'!$B$6,0,1))^2+((B991-'Hybrid Calculator'!$B$7)/1500)^2+((C991-'Hybrid Calculator'!$B$8)/1300)^2+((D991-'Hybrid Calculator'!$B$9)/800)^2+((E991-'Hybrid Calculator'!$B$10)/350)^2+((F991-'Hybrid Calculator'!$B$11)/30)^2+(G991-'Hybrid Calculator'!$B$12)^2+((H991-'Hybrid Calculator'!$E$14)/IF(A991="Lightning",100,30000))^2+((I991-'Hybrid Calculator'!$E$17)/IF(A991="Lightning",100,30000))^2</x:f>
        <x:v>1.3615956577926194</x:v>
      </x:c>
      <x:c r="K991" s="23" t="n">
        <x:f>RANK(J991,$J$2:$J$1401,1)</x:f>
        <x:v>858</x:v>
      </x:c>
      <x:c r="L991" s="23" t="n">
        <x:f>IF(K991&lt;=7,1,0)</x:f>
        <x:v>0</x:v>
      </x:c>
      <x:c r="M991" s="23" t="n">
        <x:f>IF(L991=1,1/(J991+0.000001),0)</x:f>
        <x:v>0</x:v>
      </x:c>
      <x:c r="N991" s="23" t="n">
        <x:v>-2.5014554410446124</x:v>
      </x:c>
      <x:c r="O991" s="23" t="n">
        <x:f>M991</x:f>
        <x:v>0</x:v>
      </x:c>
      <x:c r="P991" s="23" t="n">
        <x:v>64.39812872117773</x:v>
      </x:c>
      <x:c r="Q991" s="23" t="n">
        <x:v>-5.516849670062356</x:v>
      </x:c>
    </x:row>
    <x:row r="992">
      <x:c r="A992" s="23" t="str">
        <x:v>Switching</x:v>
      </x:c>
      <x:c r="B992" s="23" t="n">
        <x:v>1072.6416248595342</x:v>
      </x:c>
      <x:c r="C992" s="23" t="n">
        <x:v>1189.4612190895714</x:v>
      </x:c>
      <x:c r="D992" s="23" t="n">
        <x:v>374.0918468683958</x:v>
      </x:c>
      <x:c r="E992" s="23" t="n">
        <x:v>314.8973785410635</x:v>
      </x:c>
      <x:c r="F992" s="23" t="n">
        <x:v>18.386909012682736</x:v>
      </x:c>
      <x:c r="G992" s="23" t="n">
        <x:v>0.7992840081523173</x:v>
      </x:c>
      <x:c r="H992" s="23" t="n">
        <x:v>11385</x:v>
      </x:c>
      <x:c r="I992" s="23" t="n">
        <x:v>1195</x:v>
      </x:c>
      <x:c r="J992" s="23" t="n">
        <x:f>(IF(A992='Hybrid Calculator'!$B$6,0,1))^2+((B992-'Hybrid Calculator'!$B$7)/1500)^2+((C992-'Hybrid Calculator'!$B$8)/1300)^2+((D992-'Hybrid Calculator'!$B$9)/800)^2+((E992-'Hybrid Calculator'!$B$10)/350)^2+((F992-'Hybrid Calculator'!$B$11)/30)^2+(G992-'Hybrid Calculator'!$B$12)^2+((H992-'Hybrid Calculator'!$E$14)/IF(A992="Lightning",100,30000))^2+((I992-'Hybrid Calculator'!$E$17)/IF(A992="Lightning",100,30000))^2</x:f>
        <x:v>1.5148274076608879</x:v>
      </x:c>
      <x:c r="K992" s="23" t="n">
        <x:f>RANK(J992,$J$2:$J$1401,1)</x:f>
        <x:v>1238</x:v>
      </x:c>
      <x:c r="L992" s="23" t="n">
        <x:f>IF(K992&lt;=7,1,0)</x:f>
        <x:v>0</x:v>
      </x:c>
      <x:c r="M992" s="23" t="n">
        <x:f>IF(L992=1,1/(J992+0.000001),0)</x:f>
        <x:v>0</x:v>
      </x:c>
      <x:c r="N992" s="23" t="n">
        <x:v>-1.4311794545412226</x:v>
      </x:c>
      <x:c r="O992" s="23" t="n">
        <x:f>M992</x:f>
        <x:v>0</x:v>
      </x:c>
      <x:c r="P992" s="23" t="n">
        <x:v>-7.790843053639037</x:v>
      </x:c>
      <x:c r="Q992" s="23" t="n">
        <x:v>-10.42293323731019</x:v>
      </x:c>
    </x:row>
    <x:row r="993">
      <x:c r="A993" s="23" t="str">
        <x:v>Switching</x:v>
      </x:c>
      <x:c r="B993" s="23" t="n">
        <x:v>1058.9500352158211</x:v>
      </x:c>
      <x:c r="C993" s="23" t="n">
        <x:v>1002.0371791440994</x:v>
      </x:c>
      <x:c r="D993" s="23" t="n">
        <x:v>404.80554727837443</x:v>
      </x:c>
      <x:c r="E993" s="23" t="n">
        <x:v>141.2567033385858</x:v>
      </x:c>
      <x:c r="F993" s="23" t="n">
        <x:v>18.836465440224856</x:v>
      </x:c>
      <x:c r="G993" s="23" t="n">
        <x:v>0.8371875908039511</x:v>
      </x:c>
      <x:c r="H993" s="23" t="n">
        <x:v>13815</x:v>
      </x:c>
      <x:c r="I993" s="23" t="n">
        <x:v>1200</x:v>
      </x:c>
      <x:c r="J993" s="23" t="n">
        <x:f>(IF(A993='Hybrid Calculator'!$B$6,0,1))^2+((B993-'Hybrid Calculator'!$B$7)/1500)^2+((C993-'Hybrid Calculator'!$B$8)/1300)^2+((D993-'Hybrid Calculator'!$B$9)/800)^2+((E993-'Hybrid Calculator'!$B$10)/350)^2+((F993-'Hybrid Calculator'!$B$11)/30)^2+(G993-'Hybrid Calculator'!$B$12)^2+((H993-'Hybrid Calculator'!$E$14)/IF(A993="Lightning",100,30000))^2+((I993-'Hybrid Calculator'!$E$17)/IF(A993="Lightning",100,30000))^2</x:f>
        <x:v>1.3004965999828413</x:v>
      </x:c>
      <x:c r="K993" s="23" t="n">
        <x:f>RANK(J993,$J$2:$J$1401,1)</x:f>
        <x:v>730</x:v>
      </x:c>
      <x:c r="L993" s="23" t="n">
        <x:f>IF(K993&lt;=7,1,0)</x:f>
        <x:v>0</x:v>
      </x:c>
      <x:c r="M993" s="23" t="n">
        <x:f>IF(L993=1,1/(J993+0.000001),0)</x:f>
        <x:v>0</x:v>
      </x:c>
      <x:c r="N993" s="23" t="n">
        <x:v>0.2455593553679023</x:v>
      </x:c>
      <x:c r="O993" s="23" t="n">
        <x:f>M993</x:f>
        <x:v>0</x:v>
      </x:c>
      <x:c r="P993" s="23" t="n">
        <x:v>2.9137389587158395</x:v>
      </x:c>
      <x:c r="Q993" s="23" t="n">
        <x:v>4.275517689152366</x:v>
      </x:c>
    </x:row>
    <x:row r="994">
      <x:c r="A994" s="23" t="str">
        <x:v>Switching</x:v>
      </x:c>
      <x:c r="B994" s="23" t="n">
        <x:v>1025.687616551295</x:v>
      </x:c>
      <x:c r="C994" s="23" t="n">
        <x:v>666.5177071350627</x:v>
      </x:c>
      <x:c r="D994" s="23" t="n">
        <x:v>466.86964463442564</x:v>
      </x:c>
      <x:c r="E994" s="23" t="n">
        <x:v>167.28894154774025</x:v>
      </x:c>
      <x:c r="F994" s="23" t="n">
        <x:v>24.231313608586788</x:v>
      </x:c>
      <x:c r="G994" s="23" t="n">
        <x:v>0.7978839992196299</x:v>
      </x:c>
      <x:c r="H994" s="23" t="n">
        <x:v>16440</x:v>
      </x:c>
      <x:c r="I994" s="23" t="n">
        <x:v>1200</x:v>
      </x:c>
      <x:c r="J994" s="23" t="n">
        <x:f>(IF(A994='Hybrid Calculator'!$B$6,0,1))^2+((B994-'Hybrid Calculator'!$B$7)/1500)^2+((C994-'Hybrid Calculator'!$B$8)/1300)^2+((D994-'Hybrid Calculator'!$B$9)/800)^2+((E994-'Hybrid Calculator'!$B$10)/350)^2+((F994-'Hybrid Calculator'!$B$11)/30)^2+(G994-'Hybrid Calculator'!$B$12)^2+((H994-'Hybrid Calculator'!$E$14)/IF(A994="Lightning",100,30000))^2+((I994-'Hybrid Calculator'!$E$17)/IF(A994="Lightning",100,30000))^2</x:f>
        <x:v>1.4319434766429664</x:v>
      </x:c>
      <x:c r="K994" s="23" t="n">
        <x:f>RANK(J994,$J$2:$J$1401,1)</x:f>
        <x:v>1063</x:v>
      </x:c>
      <x:c r="L994" s="23" t="n">
        <x:f>IF(K994&lt;=7,1,0)</x:f>
        <x:v>0</x:v>
      </x:c>
      <x:c r="M994" s="23" t="n">
        <x:f>IF(L994=1,1/(J994+0.000001),0)</x:f>
        <x:v>0</x:v>
      </x:c>
      <x:c r="N994" s="23" t="n">
        <x:v>-3.9625462278681027</x:v>
      </x:c>
      <x:c r="O994" s="23" t="n">
        <x:f>M994</x:f>
        <x:v>0</x:v>
      </x:c>
      <x:c r="P994" s="23" t="n">
        <x:v>-43.6229990687757</x:v>
      </x:c>
      <x:c r="Q994" s="23" t="n">
        <x:v>-4.129333525365723</x:v>
      </x:c>
    </x:row>
    <x:row r="995">
      <x:c r="A995" s="23" t="str">
        <x:v>Switching</x:v>
      </x:c>
      <x:c r="B995" s="23" t="n">
        <x:v>1072.7605610270984</x:v>
      </x:c>
      <x:c r="C995" s="23" t="n">
        <x:v>1069.0999168669805</x:v>
      </x:c>
      <x:c r="D995" s="23" t="n">
        <x:v>714.656734187156</x:v>
      </x:c>
      <x:c r="E995" s="23" t="n">
        <x:v>295.56254057213664</x:v>
      </x:c>
      <x:c r="F995" s="23" t="n">
        <x:v>12.123928947839886</x:v>
      </x:c>
      <x:c r="G995" s="23" t="n">
        <x:v>0.8346262682368979</x:v>
      </x:c>
      <x:c r="H995" s="23" t="n">
        <x:v>10285</x:v>
      </x:c>
      <x:c r="I995" s="23" t="n">
        <x:v>1195</x:v>
      </x:c>
      <x:c r="J995" s="23" t="n">
        <x:f>(IF(A995='Hybrid Calculator'!$B$6,0,1))^2+((B995-'Hybrid Calculator'!$B$7)/1500)^2+((C995-'Hybrid Calculator'!$B$8)/1300)^2+((D995-'Hybrid Calculator'!$B$9)/800)^2+((E995-'Hybrid Calculator'!$B$10)/350)^2+((F995-'Hybrid Calculator'!$B$11)/30)^2+(G995-'Hybrid Calculator'!$B$12)^2+((H995-'Hybrid Calculator'!$E$14)/IF(A995="Lightning",100,30000))^2+((I995-'Hybrid Calculator'!$E$17)/IF(A995="Lightning",100,30000))^2</x:f>
        <x:v>1.491812705798791</x:v>
      </x:c>
      <x:c r="K995" s="23" t="n">
        <x:f>RANK(J995,$J$2:$J$1401,1)</x:f>
        <x:v>1193</x:v>
      </x:c>
      <x:c r="L995" s="23" t="n">
        <x:f>IF(K995&lt;=7,1,0)</x:f>
        <x:v>0</x:v>
      </x:c>
      <x:c r="M995" s="23" t="n">
        <x:f>IF(L995=1,1/(J995+0.000001),0)</x:f>
        <x:v>0</x:v>
      </x:c>
      <x:c r="N995" s="23" t="n">
        <x:v>1.0955131839389196</x:v>
      </x:c>
      <x:c r="O995" s="23" t="n">
        <x:f>M995</x:f>
        <x:v>0</x:v>
      </x:c>
      <x:c r="P995" s="23" t="n">
        <x:v>0.949923091186065</x:v>
      </x:c>
      <x:c r="Q995" s="23" t="n">
        <x:v>0.941275982352181</x:v>
      </x:c>
    </x:row>
    <x:row r="996">
      <x:c r="A996" s="23" t="str">
        <x:v>Switching</x:v>
      </x:c>
      <x:c r="B996" s="23" t="n">
        <x:v>1014.4752712454647</x:v>
      </x:c>
      <x:c r="C996" s="23" t="n">
        <x:v>973.8802297855727</x:v>
      </x:c>
      <x:c r="D996" s="23" t="n">
        <x:v>591.8018540367484</x:v>
      </x:c>
      <x:c r="E996" s="23" t="n">
        <x:v>158.44856736483052</x:v>
      </x:c>
      <x:c r="F996" s="23" t="n">
        <x:v>22.133674520999193</x:v>
      </x:c>
      <x:c r="G996" s="23" t="n">
        <x:v>0.8083767868601718</x:v>
      </x:c>
      <x:c r="H996" s="23" t="n">
        <x:v>12405</x:v>
      </x:c>
      <x:c r="I996" s="23" t="n">
        <x:v>1200</x:v>
      </x:c>
      <x:c r="J996" s="23" t="n">
        <x:f>(IF(A996='Hybrid Calculator'!$B$6,0,1))^2+((B996-'Hybrid Calculator'!$B$7)/1500)^2+((C996-'Hybrid Calculator'!$B$8)/1300)^2+((D996-'Hybrid Calculator'!$B$9)/800)^2+((E996-'Hybrid Calculator'!$B$10)/350)^2+((F996-'Hybrid Calculator'!$B$11)/30)^2+(G996-'Hybrid Calculator'!$B$12)^2+((H996-'Hybrid Calculator'!$E$14)/IF(A996="Lightning",100,30000))^2+((I996-'Hybrid Calculator'!$E$17)/IF(A996="Lightning",100,30000))^2</x:f>
        <x:v>1.2836803773058052</x:v>
      </x:c>
      <x:c r="K996" s="23" t="n">
        <x:f>RANK(J996,$J$2:$J$1401,1)</x:f>
        <x:v>713</x:v>
      </x:c>
      <x:c r="L996" s="23" t="n">
        <x:f>IF(K996&lt;=7,1,0)</x:f>
        <x:v>0</x:v>
      </x:c>
      <x:c r="M996" s="23" t="n">
        <x:f>IF(L996=1,1/(J996+0.000001),0)</x:f>
        <x:v>0</x:v>
      </x:c>
      <x:c r="N996" s="23" t="n">
        <x:v>0.1153634693386607</x:v>
      </x:c>
      <x:c r="O996" s="23" t="n">
        <x:f>M996</x:f>
        <x:v>0</x:v>
      </x:c>
      <x:c r="P996" s="23" t="n">
        <x:v>-17.04868455060023</x:v>
      </x:c>
      <x:c r="Q996" s="23" t="n">
        <x:v>-10.371008488778784</x:v>
      </x:c>
    </x:row>
    <x:row r="997">
      <x:c r="A997" s="23" t="str">
        <x:v>Switching</x:v>
      </x:c>
      <x:c r="B997" s="23" t="n">
        <x:v>987.3884791624732</x:v>
      </x:c>
      <x:c r="C997" s="23" t="n">
        <x:v>1222.648483957164</x:v>
      </x:c>
      <x:c r="D997" s="23" t="n">
        <x:v>455.35568045452237</x:v>
      </x:c>
      <x:c r="E997" s="23" t="n">
        <x:v>116.52234561741352</x:v>
      </x:c>
      <x:c r="F997" s="23" t="n">
        <x:v>22.639312023762614</x:v>
      </x:c>
      <x:c r="G997" s="23" t="n">
        <x:v>0.8537631554855034</x:v>
      </x:c>
      <x:c r="H997" s="23" t="n">
        <x:v>13905</x:v>
      </x:c>
      <x:c r="I997" s="23" t="n">
        <x:v>1200</x:v>
      </x:c>
      <x:c r="J997" s="23" t="n">
        <x:f>(IF(A997='Hybrid Calculator'!$B$6,0,1))^2+((B997-'Hybrid Calculator'!$B$7)/1500)^2+((C997-'Hybrid Calculator'!$B$8)/1300)^2+((D997-'Hybrid Calculator'!$B$9)/800)^2+((E997-'Hybrid Calculator'!$B$10)/350)^2+((F997-'Hybrid Calculator'!$B$11)/30)^2+(G997-'Hybrid Calculator'!$B$12)^2+((H997-'Hybrid Calculator'!$E$14)/IF(A997="Lightning",100,30000))^2+((I997-'Hybrid Calculator'!$E$17)/IF(A997="Lightning",100,30000))^2</x:f>
        <x:v>1.4145475049743044</x:v>
      </x:c>
      <x:c r="K997" s="23" t="n">
        <x:f>RANK(J997,$J$2:$J$1401,1)</x:f>
        <x:v>1025</x:v>
      </x:c>
      <x:c r="L997" s="23" t="n">
        <x:f>IF(K997&lt;=7,1,0)</x:f>
        <x:v>0</x:v>
      </x:c>
      <x:c r="M997" s="23" t="n">
        <x:f>IF(L997=1,1/(J997+0.000001),0)</x:f>
        <x:v>0</x:v>
      </x:c>
      <x:c r="N997" s="23" t="n">
        <x:v>1.6790249966412034</x:v>
      </x:c>
      <x:c r="O997" s="23" t="n">
        <x:f>M997</x:f>
        <x:v>0</x:v>
      </x:c>
      <x:c r="P997" s="23" t="n">
        <x:v>65.79685985384094</x:v>
      </x:c>
      <x:c r="Q997" s="23" t="n">
        <x:v>-9.0057492671217</x:v>
      </x:c>
    </x:row>
    <x:row r="998">
      <x:c r="A998" s="23" t="str">
        <x:v>Switching</x:v>
      </x:c>
      <x:c r="B998" s="23" t="n">
        <x:v>978.443312481977</x:v>
      </x:c>
      <x:c r="C998" s="23" t="n">
        <x:v>1207.183454663027</x:v>
      </x:c>
      <x:c r="D998" s="23" t="n">
        <x:v>468.9644046127796</x:v>
      </x:c>
      <x:c r="E998" s="23" t="n">
        <x:v>155.00954758143052</x:v>
      </x:c>
      <x:c r="F998" s="23" t="n">
        <x:v>14.706037699244916</x:v>
      </x:c>
      <x:c r="G998" s="23" t="n">
        <x:v>0.8300744624226355</x:v>
      </x:c>
      <x:c r="H998" s="23" t="n">
        <x:v>13625</x:v>
      </x:c>
      <x:c r="I998" s="23" t="n">
        <x:v>1200</x:v>
      </x:c>
      <x:c r="J998" s="23" t="n">
        <x:f>(IF(A998='Hybrid Calculator'!$B$6,0,1))^2+((B998-'Hybrid Calculator'!$B$7)/1500)^2+((C998-'Hybrid Calculator'!$B$8)/1300)^2+((D998-'Hybrid Calculator'!$B$9)/800)^2+((E998-'Hybrid Calculator'!$B$10)/350)^2+((F998-'Hybrid Calculator'!$B$11)/30)^2+(G998-'Hybrid Calculator'!$B$12)^2+((H998-'Hybrid Calculator'!$E$14)/IF(A998="Lightning",100,30000))^2+((I998-'Hybrid Calculator'!$E$17)/IF(A998="Lightning",100,30000))^2</x:f>
        <x:v>1.3882142278397993</x:v>
      </x:c>
      <x:c r="K998" s="23" t="n">
        <x:f>RANK(J998,$J$2:$J$1401,1)</x:f>
        <x:v>943</x:v>
      </x:c>
      <x:c r="L998" s="23" t="n">
        <x:f>IF(K998&lt;=7,1,0)</x:f>
        <x:v>0</x:v>
      </x:c>
      <x:c r="M998" s="23" t="n">
        <x:f>IF(L998=1,1/(J998+0.000001),0)</x:f>
        <x:v>0</x:v>
      </x:c>
      <x:c r="N998" s="23" t="n">
        <x:v>-0.7400440273474373</x:v>
      </x:c>
      <x:c r="O998" s="23" t="n">
        <x:f>M998</x:f>
        <x:v>0</x:v>
      </x:c>
      <x:c r="P998" s="23" t="n">
        <x:v>41.04909993112187</x:v>
      </x:c>
      <x:c r="Q998" s="23" t="n">
        <x:v>1.164992693420686</x:v>
      </x:c>
    </x:row>
    <x:row r="999">
      <x:c r="A999" s="23" t="str">
        <x:v>Switching</x:v>
      </x:c>
      <x:c r="B999" s="23" t="n">
        <x:v>964.10515679745</x:v>
      </x:c>
      <x:c r="C999" s="23" t="n">
        <x:v>1126.6233762726188</x:v>
      </x:c>
      <x:c r="D999" s="23" t="n">
        <x:v>521.5903772972524</x:v>
      </x:c>
      <x:c r="E999" s="23" t="n">
        <x:v>184.498686385341</x:v>
      </x:c>
      <x:c r="F999" s="23" t="n">
        <x:v>28.67758465697989</x:v>
      </x:c>
      <x:c r="G999" s="23" t="n">
        <x:v>0.8593466290738434</x:v>
      </x:c>
      <x:c r="H999" s="23" t="n">
        <x:v>13615</x:v>
      </x:c>
      <x:c r="I999" s="23" t="n">
        <x:v>1200</x:v>
      </x:c>
      <x:c r="J999" s="23" t="n">
        <x:f>(IF(A999='Hybrid Calculator'!$B$6,0,1))^2+((B999-'Hybrid Calculator'!$B$7)/1500)^2+((C999-'Hybrid Calculator'!$B$8)/1300)^2+((D999-'Hybrid Calculator'!$B$9)/800)^2+((E999-'Hybrid Calculator'!$B$10)/350)^2+((F999-'Hybrid Calculator'!$B$11)/30)^2+(G999-'Hybrid Calculator'!$B$12)^2+((H999-'Hybrid Calculator'!$E$14)/IF(A999="Lightning",100,30000))^2+((I999-'Hybrid Calculator'!$E$17)/IF(A999="Lightning",100,30000))^2</x:f>
        <x:v>1.472762383436308</x:v>
      </x:c>
      <x:c r="K999" s="23" t="n">
        <x:f>RANK(J999,$J$2:$J$1401,1)</x:f>
        <x:v>1164</x:v>
      </x:c>
      <x:c r="L999" s="23" t="n">
        <x:f>IF(K999&lt;=7,1,0)</x:f>
        <x:v>0</x:v>
      </x:c>
      <x:c r="M999" s="23" t="n">
        <x:f>IF(L999=1,1/(J999+0.000001),0)</x:f>
        <x:v>0</x:v>
      </x:c>
      <x:c r="N999" s="23" t="n">
        <x:v>1.3750173278342572</x:v>
      </x:c>
      <x:c r="O999" s="23" t="n">
        <x:f>M999</x:f>
        <x:v>0</x:v>
      </x:c>
      <x:c r="P999" s="23" t="n">
        <x:v>-8.095915694832456</x:v>
      </x:c>
      <x:c r="Q999" s="23" t="n">
        <x:v>-16.447226713803616</x:v>
      </x:c>
    </x:row>
    <x:row r="1000">
      <x:c r="A1000" s="23" t="str">
        <x:v>Switching</x:v>
      </x:c>
      <x:c r="B1000" s="23" t="n">
        <x:v>1079.6504654921591</x:v>
      </x:c>
      <x:c r="C1000" s="23" t="n">
        <x:v>1148.095305764582</x:v>
      </x:c>
      <x:c r="D1000" s="23" t="n">
        <x:v>714.4750604405999</x:v>
      </x:c>
      <x:c r="E1000" s="23" t="n">
        <x:v>295.25442419806495</x:v>
      </x:c>
      <x:c r="F1000" s="23" t="n">
        <x:v>23.79206440038979</x:v>
      </x:c>
      <x:c r="G1000" s="23" t="n">
        <x:v>0.8192394906957634</x:v>
      </x:c>
      <x:c r="H1000" s="23" t="n">
        <x:v>9910</x:v>
      </x:c>
      <x:c r="I1000" s="23" t="n">
        <x:v>1195</x:v>
      </x:c>
      <x:c r="J1000" s="23" t="n">
        <x:f>(IF(A1000='Hybrid Calculator'!$B$6,0,1))^2+((B1000-'Hybrid Calculator'!$B$7)/1500)^2+((C1000-'Hybrid Calculator'!$B$8)/1300)^2+((D1000-'Hybrid Calculator'!$B$9)/800)^2+((E1000-'Hybrid Calculator'!$B$10)/350)^2+((F1000-'Hybrid Calculator'!$B$11)/30)^2+(G1000-'Hybrid Calculator'!$B$12)^2+((H1000-'Hybrid Calculator'!$E$14)/IF(A1000="Lightning",100,30000))^2+((I1000-'Hybrid Calculator'!$E$17)/IF(A1000="Lightning",100,30000))^2</x:f>
        <x:v>1.4903584712425617</x:v>
      </x:c>
      <x:c r="K1000" s="23" t="n">
        <x:f>RANK(J1000,$J$2:$J$1401,1)</x:f>
        <x:v>1191</x:v>
      </x:c>
      <x:c r="L1000" s="23" t="n">
        <x:f>IF(K1000&lt;=7,1,0)</x:f>
        <x:v>0</x:v>
      </x:c>
      <x:c r="M1000" s="23" t="n">
        <x:f>IF(L1000=1,1/(J1000+0.000001),0)</x:f>
        <x:v>0</x:v>
      </x:c>
      <x:c r="N1000" s="23" t="n">
        <x:v>4.3968995423778665</x:v>
      </x:c>
      <x:c r="O1000" s="23" t="n">
        <x:f>M1000</x:f>
        <x:v>0</x:v>
      </x:c>
      <x:c r="P1000" s="23" t="n">
        <x:v>62.79226767722275</x:v>
      </x:c>
      <x:c r="Q1000" s="23" t="n">
        <x:v>-21.535029581973276</x:v>
      </x:c>
    </x:row>
    <x:row r="1001">
      <x:c r="A1001" s="23" t="str">
        <x:v>Switching</x:v>
      </x:c>
      <x:c r="B1001" s="23" t="n">
        <x:v>1065.5528735020198</x:v>
      </x:c>
      <x:c r="C1001" s="23" t="n">
        <x:v>739.4299634965137</x:v>
      </x:c>
      <x:c r="D1001" s="23" t="n">
        <x:v>573.6512103118002</x:v>
      </x:c>
      <x:c r="E1001" s="23" t="n">
        <x:v>283.2946490217</x:v>
      </x:c>
      <x:c r="F1001" s="23" t="n">
        <x:v>15.451825783122331</x:v>
      </x:c>
      <x:c r="G1001" s="23" t="n">
        <x:v>0.7947891044104473</x:v>
      </x:c>
      <x:c r="H1001" s="23" t="n">
        <x:v>13395</x:v>
      </x:c>
      <x:c r="I1001" s="23" t="n">
        <x:v>1200</x:v>
      </x:c>
      <x:c r="J1001" s="23" t="n">
        <x:f>(IF(A1001='Hybrid Calculator'!$B$6,0,1))^2+((B1001-'Hybrid Calculator'!$B$7)/1500)^2+((C1001-'Hybrid Calculator'!$B$8)/1300)^2+((D1001-'Hybrid Calculator'!$B$9)/800)^2+((E1001-'Hybrid Calculator'!$B$10)/350)^2+((F1001-'Hybrid Calculator'!$B$11)/30)^2+(G1001-'Hybrid Calculator'!$B$12)^2+((H1001-'Hybrid Calculator'!$E$14)/IF(A1001="Lightning",100,30000))^2+((I1001-'Hybrid Calculator'!$E$17)/IF(A1001="Lightning",100,30000))^2</x:f>
        <x:v>1.4285437298881392</x:v>
      </x:c>
      <x:c r="K1001" s="23" t="n">
        <x:f>RANK(J1001,$J$2:$J$1401,1)</x:f>
        <x:v>1057</x:v>
      </x:c>
      <x:c r="L1001" s="23" t="n">
        <x:f>IF(K1001&lt;=7,1,0)</x:f>
        <x:v>0</x:v>
      </x:c>
      <x:c r="M1001" s="23" t="n">
        <x:f>IF(L1001=1,1/(J1001+0.000001),0)</x:f>
        <x:v>0</x:v>
      </x:c>
      <x:c r="N1001" s="23" t="n">
        <x:v>-2.1683280158217713</x:v>
      </x:c>
      <x:c r="O1001" s="23" t="n">
        <x:f>M1001</x:f>
        <x:v>0</x:v>
      </x:c>
      <x:c r="P1001" s="23" t="n">
        <x:v>-21.075827268151897</x:v>
      </x:c>
      <x:c r="Q1001" s="23" t="n">
        <x:v>8.96936977768928</x:v>
      </x:c>
    </x:row>
    <x:row r="1002">
      <x:c r="A1002" s="23" t="str">
        <x:v>Switching</x:v>
      </x:c>
      <x:c r="B1002" s="23" t="n">
        <x:v>971.9828741392121</x:v>
      </x:c>
      <x:c r="C1002" s="23" t="n">
        <x:v>942.2759942361154</x:v>
      </x:c>
      <x:c r="D1002" s="23" t="n">
        <x:v>444.000032171607</x:v>
      </x:c>
      <x:c r="E1002" s="23" t="n">
        <x:v>266.23602081788704</x:v>
      </x:c>
      <x:c r="F1002" s="23" t="n">
        <x:v>14.298062023706734</x:v>
      </x:c>
      <x:c r="G1002" s="23" t="n">
        <x:v>0.7928111549909227</x:v>
      </x:c>
      <x:c r="H1002" s="23" t="n">
        <x:v>12940</x:v>
      </x:c>
      <x:c r="I1002" s="23" t="n">
        <x:v>1200</x:v>
      </x:c>
      <x:c r="J1002" s="23" t="n">
        <x:f>(IF(A1002='Hybrid Calculator'!$B$6,0,1))^2+((B1002-'Hybrid Calculator'!$B$7)/1500)^2+((C1002-'Hybrid Calculator'!$B$8)/1300)^2+((D1002-'Hybrid Calculator'!$B$9)/800)^2+((E1002-'Hybrid Calculator'!$B$10)/350)^2+((F1002-'Hybrid Calculator'!$B$11)/30)^2+(G1002-'Hybrid Calculator'!$B$12)^2+((H1002-'Hybrid Calculator'!$E$14)/IF(A1002="Lightning",100,30000))^2+((I1002-'Hybrid Calculator'!$E$17)/IF(A1002="Lightning",100,30000))^2</x:f>
        <x:v>1.4179464133826771</x:v>
      </x:c>
      <x:c r="K1002" s="23" t="n">
        <x:f>RANK(J1002,$J$2:$J$1401,1)</x:f>
        <x:v>1034</x:v>
      </x:c>
      <x:c r="L1002" s="23" t="n">
        <x:f>IF(K1002&lt;=7,1,0)</x:f>
        <x:v>0</x:v>
      </x:c>
      <x:c r="M1002" s="23" t="n">
        <x:f>IF(L1002=1,1/(J1002+0.000001),0)</x:f>
        <x:v>0</x:v>
      </x:c>
      <x:c r="N1002" s="23" t="n">
        <x:v>1.255173630902135</x:v>
      </x:c>
      <x:c r="O1002" s="23" t="n">
        <x:f>M1002</x:f>
        <x:v>0</x:v>
      </x:c>
      <x:c r="P1002" s="23" t="n">
        <x:v>-27.47436002785753</x:v>
      </x:c>
      <x:c r="Q1002" s="23" t="n">
        <x:v>1.8352194644758129</x:v>
      </x:c>
    </x:row>
    <x:row r="1003">
      <x:c r="A1003" s="23" t="str">
        <x:v>Switching</x:v>
      </x:c>
      <x:c r="B1003" s="23" t="n">
        <x:v>970.4237540601753</x:v>
      </x:c>
      <x:c r="C1003" s="23" t="n">
        <x:v>750.0945730600506</x:v>
      </x:c>
      <x:c r="D1003" s="23" t="n">
        <x:v>579.3335157446563</x:v>
      </x:c>
      <x:c r="E1003" s="23" t="n">
        <x:v>245.45128950383514</x:v>
      </x:c>
      <x:c r="F1003" s="23" t="n">
        <x:v>18.267696067225188</x:v>
      </x:c>
      <x:c r="G1003" s="23" t="n">
        <x:v>0.8217857063002885</x:v>
      </x:c>
      <x:c r="H1003" s="23" t="n">
        <x:v>15845</x:v>
      </x:c>
      <x:c r="I1003" s="23" t="n">
        <x:v>1200</x:v>
      </x:c>
      <x:c r="J1003" s="23" t="n">
        <x:f>(IF(A1003='Hybrid Calculator'!$B$6,0,1))^2+((B1003-'Hybrid Calculator'!$B$7)/1500)^2+((C1003-'Hybrid Calculator'!$B$8)/1300)^2+((D1003-'Hybrid Calculator'!$B$9)/800)^2+((E1003-'Hybrid Calculator'!$B$10)/350)^2+((F1003-'Hybrid Calculator'!$B$11)/30)^2+(G1003-'Hybrid Calculator'!$B$12)^2+((H1003-'Hybrid Calculator'!$E$14)/IF(A1003="Lightning",100,30000))^2+((I1003-'Hybrid Calculator'!$E$17)/IF(A1003="Lightning",100,30000))^2</x:f>
        <x:v>1.4607543708546056</x:v>
      </x:c>
      <x:c r="K1003" s="23" t="n">
        <x:f>RANK(J1003,$J$2:$J$1401,1)</x:f>
        <x:v>1134</x:v>
      </x:c>
      <x:c r="L1003" s="23" t="n">
        <x:f>IF(K1003&lt;=7,1,0)</x:f>
        <x:v>0</x:v>
      </x:c>
      <x:c r="M1003" s="23" t="n">
        <x:f>IF(L1003=1,1/(J1003+0.000001),0)</x:f>
        <x:v>0</x:v>
      </x:c>
      <x:c r="N1003" s="23" t="n">
        <x:v>-1.336423878603</x:v>
      </x:c>
      <x:c r="O1003" s="23" t="n">
        <x:f>M1003</x:f>
        <x:v>0</x:v>
      </x:c>
      <x:c r="P1003" s="23" t="n">
        <x:v>-14.573068807839718</x:v>
      </x:c>
      <x:c r="Q1003" s="23" t="n">
        <x:v>5.97455918545586</x:v>
      </x:c>
    </x:row>
    <x:row r="1004">
      <x:c r="A1004" s="23" t="str">
        <x:v>Switching</x:v>
      </x:c>
      <x:c r="B1004" s="23" t="n">
        <x:v>1039.6527506876737</x:v>
      </x:c>
      <x:c r="C1004" s="23" t="n">
        <x:v>1164.410582545679</x:v>
      </x:c>
      <x:c r="D1004" s="23" t="n">
        <x:v>428.9883254095912</x:v>
      </x:c>
      <x:c r="E1004" s="23" t="n">
        <x:v>165.4872430791147</x:v>
      </x:c>
      <x:c r="F1004" s="23" t="n">
        <x:v>26.68268658220768</x:v>
      </x:c>
      <x:c r="G1004" s="23" t="n">
        <x:v>0.8284260056749918</x:v>
      </x:c>
      <x:c r="H1004" s="23" t="n">
        <x:v>12160</x:v>
      </x:c>
      <x:c r="I1004" s="23" t="n">
        <x:v>1200</x:v>
      </x:c>
      <x:c r="J1004" s="23" t="n">
        <x:f>(IF(A1004='Hybrid Calculator'!$B$6,0,1))^2+((B1004-'Hybrid Calculator'!$B$7)/1500)^2+((C1004-'Hybrid Calculator'!$B$8)/1300)^2+((D1004-'Hybrid Calculator'!$B$9)/800)^2+((E1004-'Hybrid Calculator'!$B$10)/350)^2+((F1004-'Hybrid Calculator'!$B$11)/30)^2+(G1004-'Hybrid Calculator'!$B$12)^2+((H1004-'Hybrid Calculator'!$E$14)/IF(A1004="Lightning",100,30000))^2+((I1004-'Hybrid Calculator'!$E$17)/IF(A1004="Lightning",100,30000))^2</x:f>
        <x:v>1.3732750763573203</x:v>
      </x:c>
      <x:c r="K1004" s="23" t="n">
        <x:f>RANK(J1004,$J$2:$J$1401,1)</x:f>
        <x:v>900</x:v>
      </x:c>
      <x:c r="L1004" s="23" t="n">
        <x:f>IF(K1004&lt;=7,1,0)</x:f>
        <x:v>0</x:v>
      </x:c>
      <x:c r="M1004" s="23" t="n">
        <x:f>IF(L1004=1,1/(J1004+0.000001),0)</x:f>
        <x:v>0</x:v>
      </x:c>
      <x:c r="N1004" s="23" t="n">
        <x:v>-0.7177259637575162</x:v>
      </x:c>
      <x:c r="O1004" s="23" t="n">
        <x:f>M1004</x:f>
        <x:v>0</x:v>
      </x:c>
      <x:c r="P1004" s="23" t="n">
        <x:v>51.89078973617188</x:v>
      </x:c>
      <x:c r="Q1004" s="23" t="n">
        <x:v>-14.094961557738543</x:v>
      </x:c>
    </x:row>
    <x:row r="1005">
      <x:c r="A1005" s="23" t="str">
        <x:v>Switching</x:v>
      </x:c>
      <x:c r="B1005" s="23" t="n">
        <x:v>983.1929256324656</x:v>
      </x:c>
      <x:c r="C1005" s="23" t="n">
        <x:v>989.7771617164835</x:v>
      </x:c>
      <x:c r="D1005" s="23" t="n">
        <x:v>586.0309612937272</x:v>
      </x:c>
      <x:c r="E1005" s="23" t="n">
        <x:v>286.421643961221</x:v>
      </x:c>
      <x:c r="F1005" s="23" t="n">
        <x:v>12.041975921485573</x:v>
      </x:c>
      <x:c r="G1005" s="23" t="n">
        <x:v>0.7937042923783884</x:v>
      </x:c>
      <x:c r="H1005" s="23" t="n">
        <x:v>11485</x:v>
      </x:c>
      <x:c r="I1005" s="23" t="n">
        <x:v>1195</x:v>
      </x:c>
      <x:c r="J1005" s="23" t="n">
        <x:f>(IF(A1005='Hybrid Calculator'!$B$6,0,1))^2+((B1005-'Hybrid Calculator'!$B$7)/1500)^2+((C1005-'Hybrid Calculator'!$B$8)/1300)^2+((D1005-'Hybrid Calculator'!$B$9)/800)^2+((E1005-'Hybrid Calculator'!$B$10)/350)^2+((F1005-'Hybrid Calculator'!$B$11)/30)^2+(G1005-'Hybrid Calculator'!$B$12)^2+((H1005-'Hybrid Calculator'!$E$14)/IF(A1005="Lightning",100,30000))^2+((I1005-'Hybrid Calculator'!$E$17)/IF(A1005="Lightning",100,30000))^2</x:f>
        <x:v>1.4556439810009276</x:v>
      </x:c>
      <x:c r="K1005" s="23" t="n">
        <x:f>RANK(J1005,$J$2:$J$1401,1)</x:f>
        <x:v>1117</x:v>
      </x:c>
      <x:c r="L1005" s="23" t="n">
        <x:f>IF(K1005&lt;=7,1,0)</x:f>
        <x:v>0</x:v>
      </x:c>
      <x:c r="M1005" s="23" t="n">
        <x:f>IF(L1005=1,1/(J1005+0.000001),0)</x:f>
        <x:v>0</x:v>
      </x:c>
      <x:c r="N1005" s="23" t="n">
        <x:v>1.75967324737951</x:v>
      </x:c>
      <x:c r="O1005" s="23" t="n">
        <x:f>M1005</x:f>
        <x:v>0</x:v>
      </x:c>
      <x:c r="P1005" s="23" t="n">
        <x:v>-24.195058043238078</x:v>
      </x:c>
      <x:c r="Q1005" s="23" t="n">
        <x:v>-2.4135597640887454</x:v>
      </x:c>
    </x:row>
    <x:row r="1006">
      <x:c r="A1006" s="23" t="str">
        <x:v>Switching</x:v>
      </x:c>
      <x:c r="B1006" s="23" t="n">
        <x:v>1070.6086960854009</x:v>
      </x:c>
      <x:c r="C1006" s="23" t="n">
        <x:v>1142.8009072435088</x:v>
      </x:c>
      <x:c r="D1006" s="23" t="n">
        <x:v>739.8914977908134</x:v>
      </x:c>
      <x:c r="E1006" s="23" t="n">
        <x:v>229.86715180566534</x:v>
      </x:c>
      <x:c r="F1006" s="23" t="n">
        <x:v>23.829116011969745</x:v>
      </x:c>
      <x:c r="G1006" s="23" t="n">
        <x:v>0.8425741979083978</x:v>
      </x:c>
      <x:c r="H1006" s="23" t="n">
        <x:v>10125</x:v>
      </x:c>
      <x:c r="I1006" s="23" t="n">
        <x:v>1195</x:v>
      </x:c>
      <x:c r="J1006" s="23" t="n">
        <x:f>(IF(A1006='Hybrid Calculator'!$B$6,0,1))^2+((B1006-'Hybrid Calculator'!$B$7)/1500)^2+((C1006-'Hybrid Calculator'!$B$8)/1300)^2+((D1006-'Hybrid Calculator'!$B$9)/800)^2+((E1006-'Hybrid Calculator'!$B$10)/350)^2+((F1006-'Hybrid Calculator'!$B$11)/30)^2+(G1006-'Hybrid Calculator'!$B$12)^2+((H1006-'Hybrid Calculator'!$E$14)/IF(A1006="Lightning",100,30000))^2+((I1006-'Hybrid Calculator'!$E$17)/IF(A1006="Lightning",100,30000))^2</x:f>
        <x:v>1.3949081770413256</x:v>
      </x:c>
      <x:c r="K1006" s="23" t="n">
        <x:f>RANK(J1006,$J$2:$J$1401,1)</x:f>
        <x:v>960</x:v>
      </x:c>
      <x:c r="L1006" s="23" t="n">
        <x:f>IF(K1006&lt;=7,1,0)</x:f>
        <x:v>0</x:v>
      </x:c>
      <x:c r="M1006" s="23" t="n">
        <x:f>IF(L1006=1,1/(J1006+0.000001),0)</x:f>
        <x:v>0</x:v>
      </x:c>
      <x:c r="N1006" s="23" t="n">
        <x:v>0.2629892951567854</x:v>
      </x:c>
      <x:c r="O1006" s="23" t="n">
        <x:f>M1006</x:f>
        <x:v>0</x:v>
      </x:c>
      <x:c r="P1006" s="23" t="n">
        <x:v>4.585578682017058</x:v>
      </x:c>
      <x:c r="Q1006" s="23" t="n">
        <x:v>-17.03688946921693</x:v>
      </x:c>
    </x:row>
    <x:row r="1007">
      <x:c r="A1007" s="23" t="str">
        <x:v>Switching</x:v>
      </x:c>
      <x:c r="B1007" s="23" t="n">
        <x:v>1068.9916218514554</x:v>
      </x:c>
      <x:c r="C1007" s="23" t="n">
        <x:v>880.6807889603078</x:v>
      </x:c>
      <x:c r="D1007" s="23" t="n">
        <x:v>653.8082084618509</x:v>
      </x:c>
      <x:c r="E1007" s="23" t="n">
        <x:v>112.88571967277676</x:v>
      </x:c>
      <x:c r="F1007" s="23" t="n">
        <x:v>22.2168683311902</x:v>
      </x:c>
      <x:c r="G1007" s="23" t="n">
        <x:v>0.8407578583527356</x:v>
      </x:c>
      <x:c r="H1007" s="23" t="n">
        <x:v>12980</x:v>
      </x:c>
      <x:c r="I1007" s="23" t="n">
        <x:v>1200</x:v>
      </x:c>
      <x:c r="J1007" s="23" t="n">
        <x:f>(IF(A1007='Hybrid Calculator'!$B$6,0,1))^2+((B1007-'Hybrid Calculator'!$B$7)/1500)^2+((C1007-'Hybrid Calculator'!$B$8)/1300)^2+((D1007-'Hybrid Calculator'!$B$9)/800)^2+((E1007-'Hybrid Calculator'!$B$10)/350)^2+((F1007-'Hybrid Calculator'!$B$11)/30)^2+(G1007-'Hybrid Calculator'!$B$12)^2+((H1007-'Hybrid Calculator'!$E$14)/IF(A1007="Lightning",100,30000))^2+((I1007-'Hybrid Calculator'!$E$17)/IF(A1007="Lightning",100,30000))^2</x:f>
        <x:v>1.308171449162807</x:v>
      </x:c>
      <x:c r="K1007" s="23" t="n">
        <x:f>RANK(J1007,$J$2:$J$1401,1)</x:f>
        <x:v>745</x:v>
      </x:c>
      <x:c r="L1007" s="23" t="n">
        <x:f>IF(K1007&lt;=7,1,0)</x:f>
        <x:v>0</x:v>
      </x:c>
      <x:c r="M1007" s="23" t="n">
        <x:f>IF(L1007=1,1/(J1007+0.000001),0)</x:f>
        <x:v>0</x:v>
      </x:c>
      <x:c r="N1007" s="23" t="n">
        <x:v>0.8041157036865911</x:v>
      </x:c>
      <x:c r="O1007" s="23" t="n">
        <x:f>M1007</x:f>
        <x:v>0</x:v>
      </x:c>
      <x:c r="P1007" s="23" t="n">
        <x:v>-15.744023369162733</x:v>
      </x:c>
      <x:c r="Q1007" s="23" t="n">
        <x:v>-7.264593783997043</x:v>
      </x:c>
    </x:row>
    <x:row r="1008">
      <x:c r="A1008" s="23" t="str">
        <x:v>Switching</x:v>
      </x:c>
      <x:c r="B1008" s="23" t="n">
        <x:v>993.9039975404739</x:v>
      </x:c>
      <x:c r="C1008" s="23" t="n">
        <x:v>976.6370976692997</x:v>
      </x:c>
      <x:c r="D1008" s="23" t="n">
        <x:v>515.1951836422086</x:v>
      </x:c>
      <x:c r="E1008" s="23" t="n">
        <x:v>84.6745227300562</x:v>
      </x:c>
      <x:c r="F1008" s="23" t="n">
        <x:v>22.86885312013328</x:v>
      </x:c>
      <x:c r="G1008" s="23" t="n">
        <x:v>0.7929695439827629</x:v>
      </x:c>
      <x:c r="H1008" s="23" t="n">
        <x:v>13565</x:v>
      </x:c>
      <x:c r="I1008" s="23" t="n">
        <x:v>1200</x:v>
      </x:c>
      <x:c r="J1008" s="23" t="n">
        <x:f>(IF(A1008='Hybrid Calculator'!$B$6,0,1))^2+((B1008-'Hybrid Calculator'!$B$7)/1500)^2+((C1008-'Hybrid Calculator'!$B$8)/1300)^2+((D1008-'Hybrid Calculator'!$B$9)/800)^2+((E1008-'Hybrid Calculator'!$B$10)/350)^2+((F1008-'Hybrid Calculator'!$B$11)/30)^2+(G1008-'Hybrid Calculator'!$B$12)^2+((H1008-'Hybrid Calculator'!$E$14)/IF(A1008="Lightning",100,30000))^2+((I1008-'Hybrid Calculator'!$E$17)/IF(A1008="Lightning",100,30000))^2</x:f>
        <x:v>1.3537059518408383</x:v>
      </x:c>
      <x:c r="K1008" s="23" t="n">
        <x:f>RANK(J1008,$J$2:$J$1401,1)</x:f>
        <x:v>840</x:v>
      </x:c>
      <x:c r="L1008" s="23" t="n">
        <x:f>IF(K1008&lt;=7,1,0)</x:f>
        <x:v>0</x:v>
      </x:c>
      <x:c r="M1008" s="23" t="n">
        <x:f>IF(L1008=1,1/(J1008+0.000001),0)</x:f>
        <x:v>0</x:v>
      </x:c>
      <x:c r="N1008" s="23" t="n">
        <x:v>0.8031149502023709</x:v>
      </x:c>
      <x:c r="O1008" s="23" t="n">
        <x:f>M1008</x:f>
        <x:v>0</x:v>
      </x:c>
      <x:c r="P1008" s="23" t="n">
        <x:v>5.599274529937702</x:v>
      </x:c>
      <x:c r="Q1008" s="23" t="n">
        <x:v>-4.585905982901636</x:v>
      </x:c>
    </x:row>
    <x:row r="1009">
      <x:c r="A1009" s="23" t="str">
        <x:v>Switching</x:v>
      </x:c>
      <x:c r="B1009" s="23" t="n">
        <x:v>1009.6556714386679</x:v>
      </x:c>
      <x:c r="C1009" s="23" t="n">
        <x:v>781.6171268234029</x:v>
      </x:c>
      <x:c r="D1009" s="23" t="n">
        <x:v>658.5968659259379</x:v>
      </x:c>
      <x:c r="E1009" s="23" t="n">
        <x:v>137.92660056613386</x:v>
      </x:c>
      <x:c r="F1009" s="23" t="n">
        <x:v>15.376541670877486</x:v>
      </x:c>
      <x:c r="G1009" s="23" t="n">
        <x:v>0.7938761314796284</x:v>
      </x:c>
      <x:c r="H1009" s="23" t="n">
        <x:v>13550</x:v>
      </x:c>
      <x:c r="I1009" s="23" t="n">
        <x:v>1200</x:v>
      </x:c>
      <x:c r="J1009" s="23" t="n">
        <x:f>(IF(A1009='Hybrid Calculator'!$B$6,0,1))^2+((B1009-'Hybrid Calculator'!$B$7)/1500)^2+((C1009-'Hybrid Calculator'!$B$8)/1300)^2+((D1009-'Hybrid Calculator'!$B$9)/800)^2+((E1009-'Hybrid Calculator'!$B$10)/350)^2+((F1009-'Hybrid Calculator'!$B$11)/30)^2+(G1009-'Hybrid Calculator'!$B$12)^2+((H1009-'Hybrid Calculator'!$E$14)/IF(A1009="Lightning",100,30000))^2+((I1009-'Hybrid Calculator'!$E$17)/IF(A1009="Lightning",100,30000))^2</x:f>
        <x:v>1.3354864276227016</x:v>
      </x:c>
      <x:c r="K1009" s="23" t="n">
        <x:f>RANK(J1009,$J$2:$J$1401,1)</x:f>
        <x:v>788</x:v>
      </x:c>
      <x:c r="L1009" s="23" t="n">
        <x:f>IF(K1009&lt;=7,1,0)</x:f>
        <x:v>0</x:v>
      </x:c>
      <x:c r="M1009" s="23" t="n">
        <x:f>IF(L1009=1,1/(J1009+0.000001),0)</x:f>
        <x:v>0</x:v>
      </x:c>
      <x:c r="N1009" s="23" t="n">
        <x:v>0.6398808577173156</x:v>
      </x:c>
      <x:c r="O1009" s="23" t="n">
        <x:f>M1009</x:f>
        <x:v>0</x:v>
      </x:c>
      <x:c r="P1009" s="23" t="n">
        <x:v>-49.35018558506681</x:v>
      </x:c>
      <x:c r="Q1009" s="23" t="n">
        <x:v>4.884595669224495</x:v>
      </x:c>
    </x:row>
    <x:row r="1010">
      <x:c r="A1010" s="23" t="str">
        <x:v>Switching</x:v>
      </x:c>
      <x:c r="B1010" s="23" t="n">
        <x:v>978.5064092837274</x:v>
      </x:c>
      <x:c r="C1010" s="23" t="n">
        <x:v>670.7338332547806</x:v>
      </x:c>
      <x:c r="D1010" s="23" t="n">
        <x:v>742.1492898836732</x:v>
      </x:c>
      <x:c r="E1010" s="23" t="n">
        <x:v>324.48175641009584</x:v>
      </x:c>
      <x:c r="F1010" s="23" t="n">
        <x:v>12.805284703150392</x:v>
      </x:c>
      <x:c r="G1010" s="23" t="n">
        <x:v>0.8018172943894751</x:v>
      </x:c>
      <x:c r="H1010" s="23" t="n">
        <x:v>12310</x:v>
      </x:c>
      <x:c r="I1010" s="23" t="n">
        <x:v>1200</x:v>
      </x:c>
      <x:c r="J1010" s="23" t="n">
        <x:f>(IF(A1010='Hybrid Calculator'!$B$6,0,1))^2+((B1010-'Hybrid Calculator'!$B$7)/1500)^2+((C1010-'Hybrid Calculator'!$B$8)/1300)^2+((D1010-'Hybrid Calculator'!$B$9)/800)^2+((E1010-'Hybrid Calculator'!$B$10)/350)^2+((F1010-'Hybrid Calculator'!$B$11)/30)^2+(G1010-'Hybrid Calculator'!$B$12)^2+((H1010-'Hybrid Calculator'!$E$14)/IF(A1010="Lightning",100,30000))^2+((I1010-'Hybrid Calculator'!$E$17)/IF(A1010="Lightning",100,30000))^2</x:f>
        <x:v>1.6526653537097682</x:v>
      </x:c>
      <x:c r="K1010" s="23" t="n">
        <x:f>RANK(J1010,$J$2:$J$1401,1)</x:f>
        <x:v>1381</x:v>
      </x:c>
      <x:c r="L1010" s="23" t="n">
        <x:f>IF(K1010&lt;=7,1,0)</x:f>
        <x:v>0</x:v>
      </x:c>
      <x:c r="M1010" s="23" t="n">
        <x:f>IF(L1010=1,1/(J1010+0.000001),0)</x:f>
        <x:v>0</x:v>
      </x:c>
      <x:c r="N1010" s="23" t="n">
        <x:v>4.015997496653284</x:v>
      </x:c>
      <x:c r="O1010" s="23" t="n">
        <x:f>M1010</x:f>
        <x:v>0</x:v>
      </x:c>
      <x:c r="P1010" s="23" t="n">
        <x:v>-57.395798256259695</x:v>
      </x:c>
      <x:c r="Q1010" s="23" t="n">
        <x:v>4.71406735670314</x:v>
      </x:c>
    </x:row>
    <x:row r="1011">
      <x:c r="A1011" s="23" t="str">
        <x:v>Switching</x:v>
      </x:c>
      <x:c r="B1011" s="23" t="n">
        <x:v>1003.9310933672823</x:v>
      </x:c>
      <x:c r="C1011" s="23" t="n">
        <x:v>983.9219431625679</x:v>
      </x:c>
      <x:c r="D1011" s="23" t="n">
        <x:v>550.5457573570311</x:v>
      </x:c>
      <x:c r="E1011" s="23" t="n">
        <x:v>280.7449383381754</x:v>
      </x:c>
      <x:c r="F1011" s="23" t="n">
        <x:v>10.420382328797132</x:v>
      </x:c>
      <x:c r="G1011" s="23" t="n">
        <x:v>0.8539206159720197</x:v>
      </x:c>
      <x:c r="H1011" s="23" t="n">
        <x:v>13745</x:v>
      </x:c>
      <x:c r="I1011" s="23" t="n">
        <x:v>1200</x:v>
      </x:c>
      <x:c r="J1011" s="23" t="n">
        <x:f>(IF(A1011='Hybrid Calculator'!$B$6,0,1))^2+((B1011-'Hybrid Calculator'!$B$7)/1500)^2+((C1011-'Hybrid Calculator'!$B$8)/1300)^2+((D1011-'Hybrid Calculator'!$B$9)/800)^2+((E1011-'Hybrid Calculator'!$B$10)/350)^2+((F1011-'Hybrid Calculator'!$B$11)/30)^2+(G1011-'Hybrid Calculator'!$B$12)^2+((H1011-'Hybrid Calculator'!$E$14)/IF(A1011="Lightning",100,30000))^2+((I1011-'Hybrid Calculator'!$E$17)/IF(A1011="Lightning",100,30000))^2</x:f>
        <x:v>1.5165593066949972</x:v>
      </x:c>
      <x:c r="K1011" s="23" t="n">
        <x:f>RANK(J1011,$J$2:$J$1401,1)</x:f>
        <x:v>1241</x:v>
      </x:c>
      <x:c r="L1011" s="23" t="n">
        <x:f>IF(K1011&lt;=7,1,0)</x:f>
        <x:v>0</x:v>
      </x:c>
      <x:c r="M1011" s="23" t="n">
        <x:f>IF(L1011=1,1/(J1011+0.000001),0)</x:f>
        <x:v>0</x:v>
      </x:c>
      <x:c r="N1011" s="23" t="n">
        <x:v>5.597274027153418</x:v>
      </x:c>
      <x:c r="O1011" s="23" t="n">
        <x:f>M1011</x:f>
        <x:v>0</x:v>
      </x:c>
      <x:c r="P1011" s="23" t="n">
        <x:v>37.608447442140005</x:v>
      </x:c>
      <x:c r="Q1011" s="23" t="n">
        <x:v>1.1793861798144007</x:v>
      </x:c>
    </x:row>
    <x:row r="1012">
      <x:c r="A1012" s="23" t="str">
        <x:v>Switching</x:v>
      </x:c>
      <x:c r="B1012" s="23" t="n">
        <x:v>1044.3203463917598</x:v>
      </x:c>
      <x:c r="C1012" s="23" t="n">
        <x:v>859.9477396928705</x:v>
      </x:c>
      <x:c r="D1012" s="23" t="n">
        <x:v>512.9885893315077</x:v>
      </x:c>
      <x:c r="E1012" s="23" t="n">
        <x:v>252.55263560218737</x:v>
      </x:c>
      <x:c r="F1012" s="23" t="n">
        <x:v>28.6617597239092</x:v>
      </x:c>
      <x:c r="G1012" s="23" t="n">
        <x:v>0.8370843397895806</x:v>
      </x:c>
      <x:c r="H1012" s="23" t="n">
        <x:v>13155</x:v>
      </x:c>
      <x:c r="I1012" s="23" t="n">
        <x:v>1200</x:v>
      </x:c>
      <x:c r="J1012" s="23" t="n">
        <x:f>(IF(A1012='Hybrid Calculator'!$B$6,0,1))^2+((B1012-'Hybrid Calculator'!$B$7)/1500)^2+((C1012-'Hybrid Calculator'!$B$8)/1300)^2+((D1012-'Hybrid Calculator'!$B$9)/800)^2+((E1012-'Hybrid Calculator'!$B$10)/350)^2+((F1012-'Hybrid Calculator'!$B$11)/30)^2+(G1012-'Hybrid Calculator'!$B$12)^2+((H1012-'Hybrid Calculator'!$E$14)/IF(A1012="Lightning",100,30000))^2+((I1012-'Hybrid Calculator'!$E$17)/IF(A1012="Lightning",100,30000))^2</x:f>
        <x:v>1.457967230428484</x:v>
      </x:c>
      <x:c r="K1012" s="23" t="n">
        <x:f>RANK(J1012,$J$2:$J$1401,1)</x:f>
        <x:v>1125</x:v>
      </x:c>
      <x:c r="L1012" s="23" t="n">
        <x:f>IF(K1012&lt;=7,1,0)</x:f>
        <x:v>0</x:v>
      </x:c>
      <x:c r="M1012" s="23" t="n">
        <x:f>IF(L1012=1,1/(J1012+0.000001),0)</x:f>
        <x:v>0</x:v>
      </x:c>
      <x:c r="N1012" s="23" t="n">
        <x:v>-2.0260227988014208</x:v>
      </x:c>
      <x:c r="O1012" s="23" t="n">
        <x:f>M1012</x:f>
        <x:v>0</x:v>
      </x:c>
      <x:c r="P1012" s="23" t="n">
        <x:v>-8.965338103174417</x:v>
      </x:c>
      <x:c r="Q1012" s="23" t="n">
        <x:v>-9.027456597216542</x:v>
      </x:c>
    </x:row>
    <x:row r="1013">
      <x:c r="A1013" s="23" t="str">
        <x:v>Switching</x:v>
      </x:c>
      <x:c r="B1013" s="23" t="n">
        <x:v>1052.19045834383</x:v>
      </x:c>
      <x:c r="C1013" s="23" t="n">
        <x:v>1068.3681577909738</x:v>
      </x:c>
      <x:c r="D1013" s="23" t="n">
        <x:v>356.9484326057136</x:v>
      </x:c>
      <x:c r="E1013" s="23" t="n">
        <x:v>288.88138411100954</x:v>
      </x:c>
      <x:c r="F1013" s="23" t="n">
        <x:v>16.351584679912776</x:v>
      </x:c>
      <x:c r="G1013" s="23" t="n">
        <x:v>0.7921726320497692</x:v>
      </x:c>
      <x:c r="H1013" s="23" t="n">
        <x:v>12475</x:v>
      </x:c>
      <x:c r="I1013" s="23" t="n">
        <x:v>1200</x:v>
      </x:c>
      <x:c r="J1013" s="23" t="n">
        <x:f>(IF(A1013='Hybrid Calculator'!$B$6,0,1))^2+((B1013-'Hybrid Calculator'!$B$7)/1500)^2+((C1013-'Hybrid Calculator'!$B$8)/1300)^2+((D1013-'Hybrid Calculator'!$B$9)/800)^2+((E1013-'Hybrid Calculator'!$B$10)/350)^2+((F1013-'Hybrid Calculator'!$B$11)/30)^2+(G1013-'Hybrid Calculator'!$B$12)^2+((H1013-'Hybrid Calculator'!$E$14)/IF(A1013="Lightning",100,30000))^2+((I1013-'Hybrid Calculator'!$E$17)/IF(A1013="Lightning",100,30000))^2</x:f>
        <x:v>1.4583867001629522</x:v>
      </x:c>
      <x:c r="K1013" s="23" t="n">
        <x:f>RANK(J1013,$J$2:$J$1401,1)</x:f>
        <x:v>1127</x:v>
      </x:c>
      <x:c r="L1013" s="23" t="n">
        <x:f>IF(K1013&lt;=7,1,0)</x:f>
        <x:v>0</x:v>
      </x:c>
      <x:c r="M1013" s="23" t="n">
        <x:f>IF(L1013=1,1/(J1013+0.000001),0)</x:f>
        <x:v>0</x:v>
      </x:c>
      <x:c r="N1013" s="23" t="n">
        <x:v>-1.1885533728378732</x:v>
      </x:c>
      <x:c r="O1013" s="23" t="n">
        <x:f>M1013</x:f>
        <x:v>0</x:v>
      </x:c>
      <x:c r="P1013" s="23" t="n">
        <x:v>-6.318278667664799</x:v>
      </x:c>
      <x:c r="Q1013" s="23" t="n">
        <x:v>3.943464929169295</x:v>
      </x:c>
    </x:row>
    <x:row r="1014">
      <x:c r="A1014" s="23" t="str">
        <x:v>Switching</x:v>
      </x:c>
      <x:c r="B1014" s="23" t="n">
        <x:v>964.0022417996079</x:v>
      </x:c>
      <x:c r="C1014" s="23" t="n">
        <x:v>1106.7473156261258</x:v>
      </x:c>
      <x:c r="D1014" s="23" t="n">
        <x:v>613.9918519183993</x:v>
      </x:c>
      <x:c r="E1014" s="23" t="n">
        <x:v>287.3385392432101</x:v>
      </x:c>
      <x:c r="F1014" s="23" t="n">
        <x:v>29.212470181286335</x:v>
      </x:c>
      <x:c r="G1014" s="23" t="n">
        <x:v>0.8285700033069588</x:v>
      </x:c>
      <x:c r="H1014" s="23" t="n">
        <x:v>12425</x:v>
      </x:c>
      <x:c r="I1014" s="23" t="n">
        <x:v>1200</x:v>
      </x:c>
      <x:c r="J1014" s="23" t="n">
        <x:f>(IF(A1014='Hybrid Calculator'!$B$6,0,1))^2+((B1014-'Hybrid Calculator'!$B$7)/1500)^2+((C1014-'Hybrid Calculator'!$B$8)/1300)^2+((D1014-'Hybrid Calculator'!$B$9)/800)^2+((E1014-'Hybrid Calculator'!$B$10)/350)^2+((F1014-'Hybrid Calculator'!$B$11)/30)^2+(G1014-'Hybrid Calculator'!$B$12)^2+((H1014-'Hybrid Calculator'!$E$14)/IF(A1014="Lightning",100,30000))^2+((I1014-'Hybrid Calculator'!$E$17)/IF(A1014="Lightning",100,30000))^2</x:f>
        <x:v>1.6070076452697863</x:v>
      </x:c>
      <x:c r="K1014" s="23" t="n">
        <x:f>RANK(J1014,$J$2:$J$1401,1)</x:f>
        <x:v>1357</x:v>
      </x:c>
      <x:c r="L1014" s="23" t="n">
        <x:f>IF(K1014&lt;=7,1,0)</x:f>
        <x:v>0</x:v>
      </x:c>
      <x:c r="M1014" s="23" t="n">
        <x:f>IF(L1014=1,1/(J1014+0.000001),0)</x:f>
        <x:v>0</x:v>
      </x:c>
      <x:c r="N1014" s="23" t="n">
        <x:v>1.0508352585802356</x:v>
      </x:c>
      <x:c r="O1014" s="23" t="n">
        <x:f>M1014</x:f>
        <x:v>0</x:v>
      </x:c>
      <x:c r="P1014" s="23" t="n">
        <x:v>-11.075894825222804</x:v>
      </x:c>
      <x:c r="Q1014" s="23" t="n">
        <x:v>-13.625215022669863</x:v>
      </x:c>
    </x:row>
    <x:row r="1015">
      <x:c r="A1015" s="23" t="str">
        <x:v>Switching</x:v>
      </x:c>
      <x:c r="B1015" s="23" t="n">
        <x:v>1071.445340954233</x:v>
      </x:c>
      <x:c r="C1015" s="23" t="n">
        <x:v>1213.4355090325698</x:v>
      </x:c>
      <x:c r="D1015" s="23" t="n">
        <x:v>592.5333050079644</x:v>
      </x:c>
      <x:c r="E1015" s="23" t="n">
        <x:v>107.4659818969667</x:v>
      </x:c>
      <x:c r="F1015" s="23" t="n">
        <x:v>18.782995669636875</x:v>
      </x:c>
      <x:c r="G1015" s="23" t="n">
        <x:v>0.7997379472991452</x:v>
      </x:c>
      <x:c r="H1015" s="23" t="n">
        <x:v>11175</x:v>
      </x:c>
      <x:c r="I1015" s="23" t="n">
        <x:v>1195</x:v>
      </x:c>
      <x:c r="J1015" s="23" t="n">
        <x:f>(IF(A1015='Hybrid Calculator'!$B$6,0,1))^2+((B1015-'Hybrid Calculator'!$B$7)/1500)^2+((C1015-'Hybrid Calculator'!$B$8)/1300)^2+((D1015-'Hybrid Calculator'!$B$9)/800)^2+((E1015-'Hybrid Calculator'!$B$10)/350)^2+((F1015-'Hybrid Calculator'!$B$11)/30)^2+(G1015-'Hybrid Calculator'!$B$12)^2+((H1015-'Hybrid Calculator'!$E$14)/IF(A1015="Lightning",100,30000))^2+((I1015-'Hybrid Calculator'!$E$17)/IF(A1015="Lightning",100,30000))^2</x:f>
        <x:v>1.3013981557392054</x:v>
      </x:c>
      <x:c r="K1015" s="23" t="n">
        <x:f>RANK(J1015,$J$2:$J$1401,1)</x:f>
        <x:v>733</x:v>
      </x:c>
      <x:c r="L1015" s="23" t="n">
        <x:f>IF(K1015&lt;=7,1,0)</x:f>
        <x:v>0</x:v>
      </x:c>
      <x:c r="M1015" s="23" t="n">
        <x:f>IF(L1015=1,1/(J1015+0.000001),0)</x:f>
        <x:v>0</x:v>
      </x:c>
      <x:c r="N1015" s="23" t="n">
        <x:v>-0.25117495138670165</x:v>
      </x:c>
      <x:c r="O1015" s="23" t="n">
        <x:f>M1015</x:f>
        <x:v>0</x:v>
      </x:c>
      <x:c r="P1015" s="23" t="n">
        <x:v>6.316864918717783</x:v>
      </x:c>
      <x:c r="Q1015" s="23" t="n">
        <x:v>-2.6509798158399462</x:v>
      </x:c>
    </x:row>
    <x:row r="1016">
      <x:c r="A1016" s="23" t="str">
        <x:v>Switching</x:v>
      </x:c>
      <x:c r="B1016" s="23" t="n">
        <x:v>1076.2822325574234</x:v>
      </x:c>
      <x:c r="C1016" s="23" t="n">
        <x:v>680.4173115757294</x:v>
      </x:c>
      <x:c r="D1016" s="23" t="n">
        <x:v>552.4583220481873</x:v>
      </x:c>
      <x:c r="E1016" s="23" t="n">
        <x:v>225.58403001865372</x:v>
      </x:c>
      <x:c r="F1016" s="23" t="n">
        <x:v>13.859373765997589</x:v>
      </x:c>
      <x:c r="G1016" s="23" t="n">
        <x:v>0.8450815444416366</x:v>
      </x:c>
      <x:c r="H1016" s="23" t="n">
        <x:v>14665</x:v>
      </x:c>
      <x:c r="I1016" s="23" t="n">
        <x:v>1200</x:v>
      </x:c>
      <x:c r="J1016" s="23" t="n">
        <x:f>(IF(A1016='Hybrid Calculator'!$B$6,0,1))^2+((B1016-'Hybrid Calculator'!$B$7)/1500)^2+((C1016-'Hybrid Calculator'!$B$8)/1300)^2+((D1016-'Hybrid Calculator'!$B$9)/800)^2+((E1016-'Hybrid Calculator'!$B$10)/350)^2+((F1016-'Hybrid Calculator'!$B$11)/30)^2+(G1016-'Hybrid Calculator'!$B$12)^2+((H1016-'Hybrid Calculator'!$E$14)/IF(A1016="Lightning",100,30000))^2+((I1016-'Hybrid Calculator'!$E$17)/IF(A1016="Lightning",100,30000))^2</x:f>
        <x:v>1.385421801211314</x:v>
      </x:c>
      <x:c r="K1016" s="23" t="n">
        <x:f>RANK(J1016,$J$2:$J$1401,1)</x:f>
        <x:v>936</x:v>
      </x:c>
      <x:c r="L1016" s="23" t="n">
        <x:f>IF(K1016&lt;=7,1,0)</x:f>
        <x:v>0</x:v>
      </x:c>
      <x:c r="M1016" s="23" t="n">
        <x:f>IF(L1016=1,1/(J1016+0.000001),0)</x:f>
        <x:v>0</x:v>
      </x:c>
      <x:c r="N1016" s="23" t="n">
        <x:v>-0.5677476894208837</x:v>
      </x:c>
      <x:c r="O1016" s="23" t="n">
        <x:f>M1016</x:f>
        <x:v>0</x:v>
      </x:c>
      <x:c r="P1016" s="23" t="n">
        <x:v>-18.119213549450706</x:v>
      </x:c>
      <x:c r="Q1016" s="23" t="n">
        <x:v>3.689096253325033</x:v>
      </x:c>
    </x:row>
    <x:row r="1017">
      <x:c r="A1017" s="23" t="str">
        <x:v>Switching</x:v>
      </x:c>
      <x:c r="B1017" s="23" t="n">
        <x:v>971.1391658405773</x:v>
      </x:c>
      <x:c r="C1017" s="23" t="n">
        <x:v>623.5342592932284</x:v>
      </x:c>
      <x:c r="D1017" s="23" t="n">
        <x:v>729.3195343576372</x:v>
      </x:c>
      <x:c r="E1017" s="23" t="n">
        <x:v>168.97114696446806</x:v>
      </x:c>
      <x:c r="F1017" s="23" t="n">
        <x:v>8.652786148246378</x:v>
      </x:c>
      <x:c r="G1017" s="23" t="n">
        <x:v>0.8029083347413689</x:v>
      </x:c>
      <x:c r="H1017" s="23" t="n">
        <x:v>14055</x:v>
      </x:c>
      <x:c r="I1017" s="23" t="n">
        <x:v>1200</x:v>
      </x:c>
      <x:c r="J1017" s="23" t="n">
        <x:f>(IF(A1017='Hybrid Calculator'!$B$6,0,1))^2+((B1017-'Hybrid Calculator'!$B$7)/1500)^2+((C1017-'Hybrid Calculator'!$B$8)/1300)^2+((D1017-'Hybrid Calculator'!$B$9)/800)^2+((E1017-'Hybrid Calculator'!$B$10)/350)^2+((F1017-'Hybrid Calculator'!$B$11)/30)^2+(G1017-'Hybrid Calculator'!$B$12)^2+((H1017-'Hybrid Calculator'!$E$14)/IF(A1017="Lightning",100,30000))^2+((I1017-'Hybrid Calculator'!$E$17)/IF(A1017="Lightning",100,30000))^2</x:f>
        <x:v>1.5345053357746543</x:v>
      </x:c>
      <x:c r="K1017" s="23" t="n">
        <x:f>RANK(J1017,$J$2:$J$1401,1)</x:f>
        <x:v>1274</x:v>
      </x:c>
      <x:c r="L1017" s="23" t="n">
        <x:f>IF(K1017&lt;=7,1,0)</x:f>
        <x:v>0</x:v>
      </x:c>
      <x:c r="M1017" s="23" t="n">
        <x:f>IF(L1017=1,1/(J1017+0.000001),0)</x:f>
        <x:v>0</x:v>
      </x:c>
      <x:c r="N1017" s="23" t="n">
        <x:v>1.7001321411887318</x:v>
      </x:c>
      <x:c r="O1017" s="23" t="n">
        <x:f>M1017</x:f>
        <x:v>0</x:v>
      </x:c>
      <x:c r="P1017" s="23" t="n">
        <x:v>0.2970288951901239</x:v>
      </x:c>
      <x:c r="Q1017" s="23" t="n">
        <x:v>10.866713816771835</x:v>
      </x:c>
    </x:row>
    <x:row r="1018">
      <x:c r="A1018" s="23" t="str">
        <x:v>Switching</x:v>
      </x:c>
      <x:c r="B1018" s="23" t="n">
        <x:v>1020.3876895830035</x:v>
      </x:c>
      <x:c r="C1018" s="23" t="n">
        <x:v>1052.4578277370892</x:v>
      </x:c>
      <x:c r="D1018" s="23" t="n">
        <x:v>638.7127758935094</x:v>
      </x:c>
      <x:c r="E1018" s="23" t="n">
        <x:v>159.82583303237334</x:v>
      </x:c>
      <x:c r="F1018" s="23" t="n">
        <x:v>21.529577990993857</x:v>
      </x:c>
      <x:c r="G1018" s="23" t="n">
        <x:v>0.8027239459869452</x:v>
      </x:c>
      <x:c r="H1018" s="23" t="n">
        <x:v>11555</x:v>
      </x:c>
      <x:c r="I1018" s="23" t="n">
        <x:v>1195</x:v>
      </x:c>
      <x:c r="J1018" s="23" t="n">
        <x:f>(IF(A1018='Hybrid Calculator'!$B$6,0,1))^2+((B1018-'Hybrid Calculator'!$B$7)/1500)^2+((C1018-'Hybrid Calculator'!$B$8)/1300)^2+((D1018-'Hybrid Calculator'!$B$9)/800)^2+((E1018-'Hybrid Calculator'!$B$10)/350)^2+((F1018-'Hybrid Calculator'!$B$11)/30)^2+(G1018-'Hybrid Calculator'!$B$12)^2+((H1018-'Hybrid Calculator'!$E$14)/IF(A1018="Lightning",100,30000))^2+((I1018-'Hybrid Calculator'!$E$17)/IF(A1018="Lightning",100,30000))^2</x:f>
        <x:v>1.2869568843647652</x:v>
      </x:c>
      <x:c r="K1018" s="23" t="n">
        <x:f>RANK(J1018,$J$2:$J$1401,1)</x:f>
        <x:v>715</x:v>
      </x:c>
      <x:c r="L1018" s="23" t="n">
        <x:f>IF(K1018&lt;=7,1,0)</x:f>
        <x:v>0</x:v>
      </x:c>
      <x:c r="M1018" s="23" t="n">
        <x:f>IF(L1018=1,1/(J1018+0.000001),0)</x:f>
        <x:v>0</x:v>
      </x:c>
      <x:c r="N1018" s="23" t="n">
        <x:v>-2.1079055955175647</x:v>
      </x:c>
      <x:c r="O1018" s="23" t="n">
        <x:f>M1018</x:f>
        <x:v>0</x:v>
      </x:c>
      <x:c r="P1018" s="23" t="n">
        <x:v>15.073350768998807</x:v>
      </x:c>
      <x:c r="Q1018" s="23" t="n">
        <x:v>-3.1950076076072946</x:v>
      </x:c>
    </x:row>
    <x:row r="1019">
      <x:c r="A1019" s="23" t="str">
        <x:v>Switching</x:v>
      </x:c>
      <x:c r="B1019" s="23" t="n">
        <x:v>1027.5260013178922</x:v>
      </x:c>
      <x:c r="C1019" s="23" t="n">
        <x:v>828.600062080659</x:v>
      </x:c>
      <x:c r="D1019" s="23" t="n">
        <x:v>363.402456138283</x:v>
      </x:c>
      <x:c r="E1019" s="23" t="n">
        <x:v>91.08172792010009</x:v>
      </x:c>
      <x:c r="F1019" s="23" t="n">
        <x:v>18.752121408004314</x:v>
      </x:c>
      <x:c r="G1019" s="23" t="n">
        <x:v>0.8029823074908927</x:v>
      </x:c>
      <x:c r="H1019" s="23" t="n">
        <x:v>16665</x:v>
      </x:c>
      <x:c r="I1019" s="23" t="n">
        <x:v>1200</x:v>
      </x:c>
      <x:c r="J1019" s="23" t="n">
        <x:f>(IF(A1019='Hybrid Calculator'!$B$6,0,1))^2+((B1019-'Hybrid Calculator'!$B$7)/1500)^2+((C1019-'Hybrid Calculator'!$B$8)/1300)^2+((D1019-'Hybrid Calculator'!$B$9)/800)^2+((E1019-'Hybrid Calculator'!$B$10)/350)^2+((F1019-'Hybrid Calculator'!$B$11)/30)^2+(G1019-'Hybrid Calculator'!$B$12)^2+((H1019-'Hybrid Calculator'!$E$14)/IF(A1019="Lightning",100,30000))^2+((I1019-'Hybrid Calculator'!$E$17)/IF(A1019="Lightning",100,30000))^2</x:f>
        <x:v>1.4366045820287203</x:v>
      </x:c>
      <x:c r="K1019" s="23" t="n">
        <x:f>RANK(J1019,$J$2:$J$1401,1)</x:f>
        <x:v>1074</x:v>
      </x:c>
      <x:c r="L1019" s="23" t="n">
        <x:f>IF(K1019&lt;=7,1,0)</x:f>
        <x:v>0</x:v>
      </x:c>
      <x:c r="M1019" s="23" t="n">
        <x:f>IF(L1019=1,1/(J1019+0.000001),0)</x:f>
        <x:v>0</x:v>
      </x:c>
      <x:c r="N1019" s="23" t="n">
        <x:v>-0.9958800396027812</x:v>
      </x:c>
      <x:c r="O1019" s="23" t="n">
        <x:f>M1019</x:f>
        <x:v>0</x:v>
      </x:c>
      <x:c r="P1019" s="23" t="n">
        <x:v>35.84387712886428</x:v>
      </x:c>
      <x:c r="Q1019" s="23" t="n">
        <x:v>6.6285287757536935</x:v>
      </x:c>
    </x:row>
    <x:row r="1020">
      <x:c r="A1020" s="23" t="str">
        <x:v>Switching</x:v>
      </x:c>
      <x:c r="B1020" s="23" t="n">
        <x:v>1019.5350198773667</x:v>
      </x:c>
      <x:c r="C1020" s="23" t="n">
        <x:v>1095.610135665629</x:v>
      </x:c>
      <x:c r="D1020" s="23" t="n">
        <x:v>543.5464698821306</x:v>
      </x:c>
      <x:c r="E1020" s="23" t="n">
        <x:v>225.1298391330056</x:v>
      </x:c>
      <x:c r="F1020" s="23" t="n">
        <x:v>12.795987621881068</x:v>
      </x:c>
      <x:c r="G1020" s="23" t="n">
        <x:v>0.8424675676855259</x:v>
      </x:c>
      <x:c r="H1020" s="23" t="n">
        <x:v>11470</x:v>
      </x:c>
      <x:c r="I1020" s="23" t="n">
        <x:v>1195</x:v>
      </x:c>
      <x:c r="J1020" s="23" t="n">
        <x:f>(IF(A1020='Hybrid Calculator'!$B$6,0,1))^2+((B1020-'Hybrid Calculator'!$B$7)/1500)^2+((C1020-'Hybrid Calculator'!$B$8)/1300)^2+((D1020-'Hybrid Calculator'!$B$9)/800)^2+((E1020-'Hybrid Calculator'!$B$10)/350)^2+((F1020-'Hybrid Calculator'!$B$11)/30)^2+(G1020-'Hybrid Calculator'!$B$12)^2+((H1020-'Hybrid Calculator'!$E$14)/IF(A1020="Lightning",100,30000))^2+((I1020-'Hybrid Calculator'!$E$17)/IF(A1020="Lightning",100,30000))^2</x:f>
        <x:v>1.3408865606410987</x:v>
      </x:c>
      <x:c r="K1020" s="23" t="n">
        <x:f>RANK(J1020,$J$2:$J$1401,1)</x:f>
        <x:v>803</x:v>
      </x:c>
      <x:c r="L1020" s="23" t="n">
        <x:f>IF(K1020&lt;=7,1,0)</x:f>
        <x:v>0</x:v>
      </x:c>
      <x:c r="M1020" s="23" t="n">
        <x:f>IF(L1020=1,1/(J1020+0.000001),0)</x:f>
        <x:v>0</x:v>
      </x:c>
      <x:c r="N1020" s="23" t="n">
        <x:v>4.32186678033122</x:v>
      </x:c>
      <x:c r="O1020" s="23" t="n">
        <x:f>M1020</x:f>
        <x:v>0</x:v>
      </x:c>
      <x:c r="P1020" s="23" t="n">
        <x:v>-18.32339075885784</x:v>
      </x:c>
      <x:c r="Q1020" s="23" t="n">
        <x:v>4.65004866997856</x:v>
      </x:c>
    </x:row>
    <x:row r="1021">
      <x:c r="A1021" s="23" t="str">
        <x:v>Switching</x:v>
      </x:c>
      <x:c r="B1021" s="23" t="n">
        <x:v>966.1556629813276</x:v>
      </x:c>
      <x:c r="C1021" s="23" t="n">
        <x:v>1208.114824583754</x:v>
      </x:c>
      <x:c r="D1021" s="23" t="n">
        <x:v>492.66735715791583</x:v>
      </x:c>
      <x:c r="E1021" s="23" t="n">
        <x:v>253.18779311608523</x:v>
      </x:c>
      <x:c r="F1021" s="23" t="n">
        <x:v>27.391111958306283</x:v>
      </x:c>
      <x:c r="G1021" s="23" t="n">
        <x:v>0.8021733028069139</x:v>
      </x:c>
      <x:c r="H1021" s="23" t="n">
        <x:v>10945</x:v>
      </x:c>
      <x:c r="I1021" s="23" t="n">
        <x:v>1195</x:v>
      </x:c>
      <x:c r="J1021" s="23" t="n">
        <x:f>(IF(A1021='Hybrid Calculator'!$B$6,0,1))^2+((B1021-'Hybrid Calculator'!$B$7)/1500)^2+((C1021-'Hybrid Calculator'!$B$8)/1300)^2+((D1021-'Hybrid Calculator'!$B$9)/800)^2+((E1021-'Hybrid Calculator'!$B$10)/350)^2+((F1021-'Hybrid Calculator'!$B$11)/30)^2+(G1021-'Hybrid Calculator'!$B$12)^2+((H1021-'Hybrid Calculator'!$E$14)/IF(A1021="Lightning",100,30000))^2+((I1021-'Hybrid Calculator'!$E$17)/IF(A1021="Lightning",100,30000))^2</x:f>
        <x:v>1.4780262546343905</x:v>
      </x:c>
      <x:c r="K1021" s="23" t="n">
        <x:f>RANK(J1021,$J$2:$J$1401,1)</x:f>
        <x:v>1173</x:v>
      </x:c>
      <x:c r="L1021" s="23" t="n">
        <x:f>IF(K1021&lt;=7,1,0)</x:f>
        <x:v>0</x:v>
      </x:c>
      <x:c r="M1021" s="23" t="n">
        <x:f>IF(L1021=1,1/(J1021+0.000001),0)</x:f>
        <x:v>0</x:v>
      </x:c>
      <x:c r="N1021" s="23" t="n">
        <x:v>-0.7068762715935009</x:v>
      </x:c>
      <x:c r="O1021" s="23" t="n">
        <x:f>M1021</x:f>
        <x:v>0</x:v>
      </x:c>
      <x:c r="P1021" s="23" t="n">
        <x:v>1.7077971564076506</x:v>
      </x:c>
      <x:c r="Q1021" s="23" t="n">
        <x:v>-19.61352105229969</x:v>
      </x:c>
    </x:row>
    <x:row r="1022">
      <x:c r="A1022" s="23" t="str">
        <x:v>Switching</x:v>
      </x:c>
      <x:c r="B1022" s="23" t="n">
        <x:v>963.377004629001</x:v>
      </x:c>
      <x:c r="C1022" s="23" t="n">
        <x:v>1007.5078966910951</x:v>
      </x:c>
      <x:c r="D1022" s="23" t="n">
        <x:v>587.0362630113959</x:v>
      </x:c>
      <x:c r="E1022" s="23" t="n">
        <x:v>130.07264559390023</x:v>
      </x:c>
      <x:c r="F1022" s="23" t="n">
        <x:v>28.189327839761972</x:v>
      </x:c>
      <x:c r="G1022" s="23" t="n">
        <x:v>0.8158235574536957</x:v>
      </x:c>
      <x:c r="H1022" s="23" t="n">
        <x:v>14465</x:v>
      </x:c>
      <x:c r="I1022" s="23" t="n">
        <x:v>1200</x:v>
      </x:c>
      <x:c r="J1022" s="23" t="n">
        <x:f>(IF(A1022='Hybrid Calculator'!$B$6,0,1))^2+((B1022-'Hybrid Calculator'!$B$7)/1500)^2+((C1022-'Hybrid Calculator'!$B$8)/1300)^2+((D1022-'Hybrid Calculator'!$B$9)/800)^2+((E1022-'Hybrid Calculator'!$B$10)/350)^2+((F1022-'Hybrid Calculator'!$B$11)/30)^2+(G1022-'Hybrid Calculator'!$B$12)^2+((H1022-'Hybrid Calculator'!$E$14)/IF(A1022="Lightning",100,30000))^2+((I1022-'Hybrid Calculator'!$E$17)/IF(A1022="Lightning",100,30000))^2</x:f>
        <x:v>1.4612132651343608</x:v>
      </x:c>
      <x:c r="K1022" s="23" t="n">
        <x:f>RANK(J1022,$J$2:$J$1401,1)</x:f>
        <x:v>1136</x:v>
      </x:c>
      <x:c r="L1022" s="23" t="n">
        <x:f>IF(K1022&lt;=7,1,0)</x:f>
        <x:v>0</x:v>
      </x:c>
      <x:c r="M1022" s="23" t="n">
        <x:f>IF(L1022=1,1/(J1022+0.000001),0)</x:f>
        <x:v>0</x:v>
      </x:c>
      <x:c r="N1022" s="23" t="n">
        <x:v>0.7549021480237172</x:v>
      </x:c>
      <x:c r="O1022" s="23" t="n">
        <x:f>M1022</x:f>
        <x:v>0</x:v>
      </x:c>
      <x:c r="P1022" s="23" t="n">
        <x:v>42.229528031733025</x:v>
      </x:c>
      <x:c r="Q1022" s="23" t="n">
        <x:v>-12.653013178493893</x:v>
      </x:c>
    </x:row>
    <x:row r="1023">
      <x:c r="A1023" s="23" t="str">
        <x:v>Switching</x:v>
      </x:c>
      <x:c r="B1023" s="23" t="n">
        <x:v>985.7368385535665</x:v>
      </x:c>
      <x:c r="C1023" s="23" t="n">
        <x:v>1235.2821417851374</x:v>
      </x:c>
      <x:c r="D1023" s="23" t="n">
        <x:v>602.614823449403</x:v>
      </x:c>
      <x:c r="E1023" s="23" t="n">
        <x:v>194.64331671595573</x:v>
      </x:c>
      <x:c r="F1023" s="23" t="n">
        <x:v>27.868078509811312</x:v>
      </x:c>
      <x:c r="G1023" s="23" t="n">
        <x:v>0.8300114879710601</x:v>
      </x:c>
      <x:c r="H1023" s="23" t="n">
        <x:v>12275</x:v>
      </x:c>
      <x:c r="I1023" s="23" t="n">
        <x:v>1200</x:v>
      </x:c>
      <x:c r="J1023" s="23" t="n">
        <x:f>(IF(A1023='Hybrid Calculator'!$B$6,0,1))^2+((B1023-'Hybrid Calculator'!$B$7)/1500)^2+((C1023-'Hybrid Calculator'!$B$8)/1300)^2+((D1023-'Hybrid Calculator'!$B$9)/800)^2+((E1023-'Hybrid Calculator'!$B$10)/350)^2+((F1023-'Hybrid Calculator'!$B$11)/30)^2+(G1023-'Hybrid Calculator'!$B$12)^2+((H1023-'Hybrid Calculator'!$E$14)/IF(A1023="Lightning",100,30000))^2+((I1023-'Hybrid Calculator'!$E$17)/IF(A1023="Lightning",100,30000))^2</x:f>
        <x:v>1.4715172240772771</x:v>
      </x:c>
      <x:c r="K1023" s="23" t="n">
        <x:f>RANK(J1023,$J$2:$J$1401,1)</x:f>
        <x:v>1161</x:v>
      </x:c>
      <x:c r="L1023" s="23" t="n">
        <x:f>IF(K1023&lt;=7,1,0)</x:f>
        <x:v>0</x:v>
      </x:c>
      <x:c r="M1023" s="23" t="n">
        <x:f>IF(L1023=1,1/(J1023+0.000001),0)</x:f>
        <x:v>0</x:v>
      </x:c>
      <x:c r="N1023" s="23" t="n">
        <x:v>0.8956102734982494</x:v>
      </x:c>
      <x:c r="O1023" s="23" t="n">
        <x:f>M1023</x:f>
        <x:v>0</x:v>
      </x:c>
      <x:c r="P1023" s="23" t="n">
        <x:v>-6.381539450453147</x:v>
      </x:c>
      <x:c r="Q1023" s="23" t="n">
        <x:v>-18.988564457759935</x:v>
      </x:c>
    </x:row>
    <x:row r="1024">
      <x:c r="A1024" s="23" t="str">
        <x:v>Switching</x:v>
      </x:c>
      <x:c r="B1024" s="23" t="n">
        <x:v>972.7892820257694</x:v>
      </x:c>
      <x:c r="C1024" s="23" t="n">
        <x:v>665.3212718549185</x:v>
      </x:c>
      <x:c r="D1024" s="23" t="n">
        <x:v>530.602147988975</x:v>
      </x:c>
      <x:c r="E1024" s="23" t="n">
        <x:v>133.00533614354208</x:v>
      </x:c>
      <x:c r="F1024" s="23" t="n">
        <x:v>9.422196388244629</x:v>
      </x:c>
      <x:c r="G1024" s="23" t="n">
        <x:v>0.8556620309338905</x:v>
      </x:c>
      <x:c r="H1024" s="23" t="n">
        <x:v>18775</x:v>
      </x:c>
      <x:c r="I1024" s="23" t="n">
        <x:v>1200</x:v>
      </x:c>
      <x:c r="J1024" s="23" t="n">
        <x:f>(IF(A1024='Hybrid Calculator'!$B$6,0,1))^2+((B1024-'Hybrid Calculator'!$B$7)/1500)^2+((C1024-'Hybrid Calculator'!$B$8)/1300)^2+((D1024-'Hybrid Calculator'!$B$9)/800)^2+((E1024-'Hybrid Calculator'!$B$10)/350)^2+((F1024-'Hybrid Calculator'!$B$11)/30)^2+(G1024-'Hybrid Calculator'!$B$12)^2+((H1024-'Hybrid Calculator'!$E$14)/IF(A1024="Lightning",100,30000))^2+((I1024-'Hybrid Calculator'!$E$17)/IF(A1024="Lightning",100,30000))^2</x:f>
        <x:v>1.5988412670563756</x:v>
      </x:c>
      <x:c r="K1024" s="23" t="n">
        <x:f>RANK(J1024,$J$2:$J$1401,1)</x:f>
        <x:v>1352</x:v>
      </x:c>
      <x:c r="L1024" s="23" t="n">
        <x:f>IF(K1024&lt;=7,1,0)</x:f>
        <x:v>0</x:v>
      </x:c>
      <x:c r="M1024" s="23" t="n">
        <x:f>IF(L1024=1,1/(J1024+0.000001),0)</x:f>
        <x:v>0</x:v>
      </x:c>
      <x:c r="N1024" s="23" t="n">
        <x:v>2.9748659815533642</x:v>
      </x:c>
      <x:c r="O1024" s="23" t="n">
        <x:f>M1024</x:f>
        <x:v>0</x:v>
      </x:c>
      <x:c r="P1024" s="23" t="n">
        <x:v>-43.208615628293046</x:v>
      </x:c>
      <x:c r="Q1024" s="23" t="n">
        <x:v>14.18245117755282</x:v>
      </x:c>
    </x:row>
    <x:row r="1025">
      <x:c r="A1025" s="23" t="str">
        <x:v>Switching</x:v>
      </x:c>
      <x:c r="B1025" s="23" t="n">
        <x:v>995.7903594826348</x:v>
      </x:c>
      <x:c r="C1025" s="23" t="n">
        <x:v>745.2881240984425</x:v>
      </x:c>
      <x:c r="D1025" s="23" t="n">
        <x:v>422.7440875954926</x:v>
      </x:c>
      <x:c r="E1025" s="23" t="n">
        <x:v>109.27004778757691</x:v>
      </x:c>
      <x:c r="F1025" s="23" t="n">
        <x:v>11.107333651278168</x:v>
      </x:c>
      <x:c r="G1025" s="23" t="n">
        <x:v>0.8464435110753402</x:v>
      </x:c>
      <x:c r="H1025" s="23" t="n">
        <x:v>19535</x:v>
      </x:c>
      <x:c r="I1025" s="23" t="n">
        <x:v>1200</x:v>
      </x:c>
      <x:c r="J1025" s="23" t="n">
        <x:f>(IF(A1025='Hybrid Calculator'!$B$6,0,1))^2+((B1025-'Hybrid Calculator'!$B$7)/1500)^2+((C1025-'Hybrid Calculator'!$B$8)/1300)^2+((D1025-'Hybrid Calculator'!$B$9)/800)^2+((E1025-'Hybrid Calculator'!$B$10)/350)^2+((F1025-'Hybrid Calculator'!$B$11)/30)^2+(G1025-'Hybrid Calculator'!$B$12)^2+((H1025-'Hybrid Calculator'!$E$14)/IF(A1025="Lightning",100,30000))^2+((I1025-'Hybrid Calculator'!$E$17)/IF(A1025="Lightning",100,30000))^2</x:f>
        <x:v>1.5960393426078698</x:v>
      </x:c>
      <x:c r="K1025" s="23" t="n">
        <x:f>RANK(J1025,$J$2:$J$1401,1)</x:f>
        <x:v>1349</x:v>
      </x:c>
      <x:c r="L1025" s="23" t="n">
        <x:f>IF(K1025&lt;=7,1,0)</x:f>
        <x:v>0</x:v>
      </x:c>
      <x:c r="M1025" s="23" t="n">
        <x:f>IF(L1025=1,1/(J1025+0.000001),0)</x:f>
        <x:v>0</x:v>
      </x:c>
      <x:c r="N1025" s="23" t="n">
        <x:v>-0.4705045792217959</x:v>
      </x:c>
      <x:c r="O1025" s="23" t="n">
        <x:f>M1025</x:f>
        <x:v>0</x:v>
      </x:c>
      <x:c r="P1025" s="23" t="n">
        <x:v>-37.986942059647845</x:v>
      </x:c>
      <x:c r="Q1025" s="23" t="n">
        <x:v>18.5884175764254</x:v>
      </x:c>
    </x:row>
    <x:row r="1026">
      <x:c r="A1026" s="23" t="str">
        <x:v>Switching</x:v>
      </x:c>
      <x:c r="B1026" s="23" t="n">
        <x:v>1000.3077888162807</x:v>
      </x:c>
      <x:c r="C1026" s="23" t="n">
        <x:v>849.5550004881807</x:v>
      </x:c>
      <x:c r="D1026" s="23" t="n">
        <x:v>590.3887823224068</x:v>
      </x:c>
      <x:c r="E1026" s="23" t="n">
        <x:v>100.20149579038844</x:v>
      </x:c>
      <x:c r="F1026" s="23" t="n">
        <x:v>25.934179077856243</x:v>
      </x:c>
      <x:c r="G1026" s="23" t="n">
        <x:v>0.8110733856610023</x:v>
      </x:c>
      <x:c r="H1026" s="23" t="n">
        <x:v>13885</x:v>
      </x:c>
      <x:c r="I1026" s="23" t="n">
        <x:v>1200</x:v>
      </x:c>
      <x:c r="J1026" s="23" t="n">
        <x:f>(IF(A1026='Hybrid Calculator'!$B$6,0,1))^2+((B1026-'Hybrid Calculator'!$B$7)/1500)^2+((C1026-'Hybrid Calculator'!$B$8)/1300)^2+((D1026-'Hybrid Calculator'!$B$9)/800)^2+((E1026-'Hybrid Calculator'!$B$10)/350)^2+((F1026-'Hybrid Calculator'!$B$11)/30)^2+(G1026-'Hybrid Calculator'!$B$12)^2+((H1026-'Hybrid Calculator'!$E$14)/IF(A1026="Lightning",100,30000))^2+((I1026-'Hybrid Calculator'!$E$17)/IF(A1026="Lightning",100,30000))^2</x:f>
        <x:v>1.388867705890209</x:v>
      </x:c>
      <x:c r="K1026" s="23" t="n">
        <x:f>RANK(J1026,$J$2:$J$1401,1)</x:f>
        <x:v>946</x:v>
      </x:c>
      <x:c r="L1026" s="23" t="n">
        <x:f>IF(K1026&lt;=7,1,0)</x:f>
        <x:v>0</x:v>
      </x:c>
      <x:c r="M1026" s="23" t="n">
        <x:f>IF(L1026=1,1/(J1026+0.000001),0)</x:f>
        <x:v>0</x:v>
      </x:c>
      <x:c r="N1026" s="23" t="n">
        <x:v>-0.10073025339590913</x:v>
      </x:c>
      <x:c r="O1026" s="23" t="n">
        <x:f>M1026</x:f>
        <x:v>0</x:v>
      </x:c>
      <x:c r="P1026" s="23" t="n">
        <x:v>7.079520351363044</x:v>
      </x:c>
      <x:c r="Q1026" s="23" t="n">
        <x:v>0.7580318215348143</x:v>
      </x:c>
    </x:row>
    <x:row r="1027">
      <x:c r="A1027" s="23" t="str">
        <x:v>Switching</x:v>
      </x:c>
      <x:c r="B1027" s="23" t="n">
        <x:v>1034.9079347099178</x:v>
      </x:c>
      <x:c r="C1027" s="23" t="n">
        <x:v>883.5439610294998</x:v>
      </x:c>
      <x:c r="D1027" s="23" t="n">
        <x:v>667.0318833552301</x:v>
      </x:c>
      <x:c r="E1027" s="23" t="n">
        <x:v>323.7931584427133</x:v>
      </x:c>
      <x:c r="F1027" s="23" t="n">
        <x:v>18.21449885284528</x:v>
      </x:c>
      <x:c r="G1027" s="23" t="n">
        <x:v>0.8278525881189853</x:v>
      </x:c>
      <x:c r="H1027" s="23" t="n">
        <x:v>11410</x:v>
      </x:c>
      <x:c r="I1027" s="23" t="n">
        <x:v>1195</x:v>
      </x:c>
      <x:c r="J1027" s="23" t="n">
        <x:f>(IF(A1027='Hybrid Calculator'!$B$6,0,1))^2+((B1027-'Hybrid Calculator'!$B$7)/1500)^2+((C1027-'Hybrid Calculator'!$B$8)/1300)^2+((D1027-'Hybrid Calculator'!$B$9)/800)^2+((E1027-'Hybrid Calculator'!$B$10)/350)^2+((F1027-'Hybrid Calculator'!$B$11)/30)^2+(G1027-'Hybrid Calculator'!$B$12)^2+((H1027-'Hybrid Calculator'!$E$14)/IF(A1027="Lightning",100,30000))^2+((I1027-'Hybrid Calculator'!$E$17)/IF(A1027="Lightning",100,30000))^2</x:f>
        <x:v>1.5035163662249698</x:v>
      </x:c>
      <x:c r="K1027" s="23" t="n">
        <x:f>RANK(J1027,$J$2:$J$1401,1)</x:f>
        <x:v>1218</x:v>
      </x:c>
      <x:c r="L1027" s="23" t="n">
        <x:f>IF(K1027&lt;=7,1,0)</x:f>
        <x:v>0</x:v>
      </x:c>
      <x:c r="M1027" s="23" t="n">
        <x:f>IF(L1027=1,1/(J1027+0.000001),0)</x:f>
        <x:v>0</x:v>
      </x:c>
      <x:c r="N1027" s="23" t="n">
        <x:v>-0.07280277906144761</x:v>
      </x:c>
      <x:c r="O1027" s="23" t="n">
        <x:f>M1027</x:f>
        <x:v>0</x:v>
      </x:c>
      <x:c r="P1027" s="23" t="n">
        <x:v>12.975290434547787</x:v>
      </x:c>
      <x:c r="Q1027" s="23" t="n">
        <x:v>-3.4904413573374313</x:v>
      </x:c>
    </x:row>
    <x:row r="1028">
      <x:c r="A1028" s="23" t="str">
        <x:v>Switching</x:v>
      </x:c>
      <x:c r="B1028" s="23" t="n">
        <x:v>1040.6837400048971</x:v>
      </x:c>
      <x:c r="C1028" s="23" t="n">
        <x:v>980.2146716392599</x:v>
      </x:c>
      <x:c r="D1028" s="23" t="n">
        <x:v>706.772013194859</x:v>
      </x:c>
      <x:c r="E1028" s="23" t="n">
        <x:v>98.55647616321221</x:v>
      </x:c>
      <x:c r="F1028" s="23" t="n">
        <x:v>10.420225633308291</x:v>
      </x:c>
      <x:c r="G1028" s="23" t="n">
        <x:v>0.7940274750930257</x:v>
      </x:c>
      <x:c r="H1028" s="23" t="n">
        <x:v>11975</x:v>
      </x:c>
      <x:c r="I1028" s="23" t="n">
        <x:v>1200</x:v>
      </x:c>
      <x:c r="J1028" s="23" t="n">
        <x:f>(IF(A1028='Hybrid Calculator'!$B$6,0,1))^2+((B1028-'Hybrid Calculator'!$B$7)/1500)^2+((C1028-'Hybrid Calculator'!$B$8)/1300)^2+((D1028-'Hybrid Calculator'!$B$9)/800)^2+((E1028-'Hybrid Calculator'!$B$10)/350)^2+((F1028-'Hybrid Calculator'!$B$11)/30)^2+(G1028-'Hybrid Calculator'!$B$12)^2+((H1028-'Hybrid Calculator'!$E$14)/IF(A1028="Lightning",100,30000))^2+((I1028-'Hybrid Calculator'!$E$17)/IF(A1028="Lightning",100,30000))^2</x:f>
        <x:v>1.3968360162801887</x:v>
      </x:c>
      <x:c r="K1028" s="23" t="n">
        <x:f>RANK(J1028,$J$2:$J$1401,1)</x:f>
        <x:v>967</x:v>
      </x:c>
      <x:c r="L1028" s="23" t="n">
        <x:f>IF(K1028&lt;=7,1,0)</x:f>
        <x:v>0</x:v>
      </x:c>
      <x:c r="M1028" s="23" t="n">
        <x:f>IF(L1028=1,1/(J1028+0.000001),0)</x:f>
        <x:v>0</x:v>
      </x:c>
      <x:c r="N1028" s="23" t="n">
        <x:v>1.1354628954682653</x:v>
      </x:c>
      <x:c r="O1028" s="23" t="n">
        <x:f>M1028</x:f>
        <x:v>0</x:v>
      </x:c>
      <x:c r="P1028" s="23" t="n">
        <x:v>45.24311821457286</x:v>
      </x:c>
      <x:c r="Q1028" s="23" t="n">
        <x:v>-2.763477896196946</x:v>
      </x:c>
    </x:row>
    <x:row r="1029">
      <x:c r="A1029" s="23" t="str">
        <x:v>Switching</x:v>
      </x:c>
      <x:c r="B1029" s="23" t="n">
        <x:v>1063.9266403974034</x:v>
      </x:c>
      <x:c r="C1029" s="23" t="n">
        <x:v>714.9099631467834</x:v>
      </x:c>
      <x:c r="D1029" s="23" t="n">
        <x:v>571.4468196965754</x:v>
      </x:c>
      <x:c r="E1029" s="23" t="n">
        <x:v>243.73914456926286</x:v>
      </x:c>
      <x:c r="F1029" s="23" t="n">
        <x:v>26.359540801960975</x:v>
      </x:c>
      <x:c r="G1029" s="23" t="n">
        <x:v>0.808603707482107</x:v>
      </x:c>
      <x:c r="H1029" s="23" t="n">
        <x:v>13975</x:v>
      </x:c>
      <x:c r="I1029" s="23" t="n">
        <x:v>1200</x:v>
      </x:c>
      <x:c r="J1029" s="23" t="n">
        <x:f>(IF(A1029='Hybrid Calculator'!$B$6,0,1))^2+((B1029-'Hybrid Calculator'!$B$7)/1500)^2+((C1029-'Hybrid Calculator'!$B$8)/1300)^2+((D1029-'Hybrid Calculator'!$B$9)/800)^2+((E1029-'Hybrid Calculator'!$B$10)/350)^2+((F1029-'Hybrid Calculator'!$B$11)/30)^2+(G1029-'Hybrid Calculator'!$B$12)^2+((H1029-'Hybrid Calculator'!$E$14)/IF(A1029="Lightning",100,30000))^2+((I1029-'Hybrid Calculator'!$E$17)/IF(A1029="Lightning",100,30000))^2</x:f>
        <x:v>1.4341998245059882</x:v>
      </x:c>
      <x:c r="K1029" s="23" t="n">
        <x:f>RANK(J1029,$J$2:$J$1401,1)</x:f>
        <x:v>1067</x:v>
      </x:c>
      <x:c r="L1029" s="23" t="n">
        <x:f>IF(K1029&lt;=7,1,0)</x:f>
        <x:v>0</x:v>
      </x:c>
      <x:c r="M1029" s="23" t="n">
        <x:f>IF(L1029=1,1/(J1029+0.000001),0)</x:f>
        <x:v>0</x:v>
      </x:c>
      <x:c r="N1029" s="23" t="n">
        <x:v>-1.9977923917836051</x:v>
      </x:c>
      <x:c r="O1029" s="23" t="n">
        <x:f>M1029</x:f>
        <x:v>0</x:v>
      </x:c>
      <x:c r="P1029" s="23" t="n">
        <x:v>-32.06484289201808</x:v>
      </x:c>
      <x:c r="Q1029" s="23" t="n">
        <x:v>-7.042938924477539</x:v>
      </x:c>
    </x:row>
    <x:row r="1030">
      <x:c r="A1030" s="23" t="str">
        <x:v>Switching</x:v>
      </x:c>
      <x:c r="B1030" s="23" t="n">
        <x:v>1044.256326253526</x:v>
      </x:c>
      <x:c r="C1030" s="23" t="n">
        <x:v>1236.4251666353084</x:v>
      </x:c>
      <x:c r="D1030" s="23" t="n">
        <x:v>629.3463502079248</x:v>
      </x:c>
      <x:c r="E1030" s="23" t="n">
        <x:v>253.75439702300355</x:v>
      </x:c>
      <x:c r="F1030" s="23" t="n">
        <x:v>16.511510320939124</x:v>
      </x:c>
      <x:c r="G1030" s="23" t="n">
        <x:v>0.7928969073551707</x:v>
      </x:c>
      <x:c r="H1030" s="23" t="n">
        <x:v>10090</x:v>
      </x:c>
      <x:c r="I1030" s="23" t="n">
        <x:v>1195</x:v>
      </x:c>
      <x:c r="J1030" s="23" t="n">
        <x:f>(IF(A1030='Hybrid Calculator'!$B$6,0,1))^2+((B1030-'Hybrid Calculator'!$B$7)/1500)^2+((C1030-'Hybrid Calculator'!$B$8)/1300)^2+((D1030-'Hybrid Calculator'!$B$9)/800)^2+((E1030-'Hybrid Calculator'!$B$10)/350)^2+((F1030-'Hybrid Calculator'!$B$11)/30)^2+(G1030-'Hybrid Calculator'!$B$12)^2+((H1030-'Hybrid Calculator'!$E$14)/IF(A1030="Lightning",100,30000))^2+((I1030-'Hybrid Calculator'!$E$17)/IF(A1030="Lightning",100,30000))^2</x:f>
        <x:v>1.3854563673249094</x:v>
      </x:c>
      <x:c r="K1030" s="23" t="n">
        <x:f>RANK(J1030,$J$2:$J$1401,1)</x:f>
        <x:v>937</x:v>
      </x:c>
      <x:c r="L1030" s="23" t="n">
        <x:f>IF(K1030&lt;=7,1,0)</x:f>
        <x:v>0</x:v>
      </x:c>
      <x:c r="M1030" s="23" t="n">
        <x:f>IF(L1030=1,1/(J1030+0.000001),0)</x:f>
        <x:v>0</x:v>
      </x:c>
      <x:c r="N1030" s="23" t="n">
        <x:v>3.500447885072333</x:v>
      </x:c>
      <x:c r="O1030" s="23" t="n">
        <x:f>M1030</x:f>
        <x:v>0</x:v>
      </x:c>
      <x:c r="P1030" s="23" t="n">
        <x:v>4.3329521990626745</x:v>
      </x:c>
      <x:c r="Q1030" s="23" t="n">
        <x:v>-9.739741475279288</x:v>
      </x:c>
    </x:row>
    <x:row r="1031">
      <x:c r="A1031" s="23" t="str">
        <x:v>Switching</x:v>
      </x:c>
      <x:c r="B1031" s="23" t="n">
        <x:v>950.759935786482</x:v>
      </x:c>
      <x:c r="C1031" s="23" t="n">
        <x:v>675.942489085719</x:v>
      </x:c>
      <x:c r="D1031" s="23" t="n">
        <x:v>488.5166699998081</x:v>
      </x:c>
      <x:c r="E1031" s="23" t="n">
        <x:v>176.59913729410619</x:v>
      </x:c>
      <x:c r="F1031" s="23" t="n">
        <x:v>28.945888947229832</x:v>
      </x:c>
      <x:c r="G1031" s="23" t="n">
        <x:v>0.8567971281707287</x:v>
      </x:c>
      <x:c r="H1031" s="23" t="n">
        <x:v>18605</x:v>
      </x:c>
      <x:c r="I1031" s="23" t="n">
        <x:v>1200</x:v>
      </x:c>
      <x:c r="J1031" s="23" t="n">
        <x:f>(IF(A1031='Hybrid Calculator'!$B$6,0,1))^2+((B1031-'Hybrid Calculator'!$B$7)/1500)^2+((C1031-'Hybrid Calculator'!$B$8)/1300)^2+((D1031-'Hybrid Calculator'!$B$9)/800)^2+((E1031-'Hybrid Calculator'!$B$10)/350)^2+((F1031-'Hybrid Calculator'!$B$11)/30)^2+(G1031-'Hybrid Calculator'!$B$12)^2+((H1031-'Hybrid Calculator'!$E$14)/IF(A1031="Lightning",100,30000))^2+((I1031-'Hybrid Calculator'!$E$17)/IF(A1031="Lightning",100,30000))^2</x:f>
        <x:v>1.630536445864068</x:v>
      </x:c>
      <x:c r="K1031" s="23" t="n">
        <x:f>RANK(J1031,$J$2:$J$1401,1)</x:f>
        <x:v>1367</x:v>
      </x:c>
      <x:c r="L1031" s="23" t="n">
        <x:f>IF(K1031&lt;=7,1,0)</x:f>
        <x:v>0</x:v>
      </x:c>
      <x:c r="M1031" s="23" t="n">
        <x:f>IF(L1031=1,1/(J1031+0.000001),0)</x:f>
        <x:v>0</x:v>
      </x:c>
      <x:c r="N1031" s="23" t="n">
        <x:v>-3.5818082113802916</x:v>
      </x:c>
      <x:c r="O1031" s="23" t="n">
        <x:f>M1031</x:f>
        <x:v>0</x:v>
      </x:c>
      <x:c r="P1031" s="23" t="n">
        <x:v>16.503530725731707</x:v>
      </x:c>
      <x:c r="Q1031" s="23" t="n">
        <x:v>-4.730737048565629</x:v>
      </x:c>
    </x:row>
    <x:row r="1032">
      <x:c r="A1032" s="23" t="str">
        <x:v>Switching</x:v>
      </x:c>
      <x:c r="B1032" s="23" t="n">
        <x:v>1019.4568436127156</x:v>
      </x:c>
      <x:c r="C1032" s="23" t="n">
        <x:v>764.7734892438166</x:v>
      </x:c>
      <x:c r="D1032" s="23" t="n">
        <x:v>531.9247668609023</x:v>
      </x:c>
      <x:c r="E1032" s="23" t="n">
        <x:v>90.61645784648135</x:v>
      </x:c>
      <x:c r="F1032" s="23" t="n">
        <x:v>22.82922386750579</x:v>
      </x:c>
      <x:c r="G1032" s="23" t="n">
        <x:v>0.837891312877182</x:v>
      </x:c>
      <x:c r="H1032" s="23" t="n">
        <x:v>15415</x:v>
      </x:c>
      <x:c r="I1032" s="23" t="n">
        <x:v>1200</x:v>
      </x:c>
      <x:c r="J1032" s="23" t="n">
        <x:f>(IF(A1032='Hybrid Calculator'!$B$6,0,1))^2+((B1032-'Hybrid Calculator'!$B$7)/1500)^2+((C1032-'Hybrid Calculator'!$B$8)/1300)^2+((D1032-'Hybrid Calculator'!$B$9)/800)^2+((E1032-'Hybrid Calculator'!$B$10)/350)^2+((F1032-'Hybrid Calculator'!$B$11)/30)^2+(G1032-'Hybrid Calculator'!$B$12)^2+((H1032-'Hybrid Calculator'!$E$14)/IF(A1032="Lightning",100,30000))^2+((I1032-'Hybrid Calculator'!$E$17)/IF(A1032="Lightning",100,30000))^2</x:f>
        <x:v>1.3927665615367433</x:v>
      </x:c>
      <x:c r="K1032" s="23" t="n">
        <x:f>RANK(J1032,$J$2:$J$1401,1)</x:f>
        <x:v>956</x:v>
      </x:c>
      <x:c r="L1032" s="23" t="n">
        <x:f>IF(K1032&lt;=7,1,0)</x:f>
        <x:v>0</x:v>
      </x:c>
      <x:c r="M1032" s="23" t="n">
        <x:f>IF(L1032=1,1/(J1032+0.000001),0)</x:f>
        <x:v>0</x:v>
      </x:c>
      <x:c r="N1032" s="23" t="n">
        <x:v>-2.9788693638575126</x:v>
      </x:c>
      <x:c r="O1032" s="23" t="n">
        <x:f>M1032</x:f>
        <x:v>0</x:v>
      </x:c>
      <x:c r="P1032" s="23" t="n">
        <x:v>16.496780780528752</x:v>
      </x:c>
      <x:c r="Q1032" s="23" t="n">
        <x:v>2.823564810898006</x:v>
      </x:c>
    </x:row>
    <x:row r="1033">
      <x:c r="A1033" s="23" t="str">
        <x:v>Switching</x:v>
      </x:c>
      <x:c r="B1033" s="23" t="n">
        <x:v>1083.741962548811</x:v>
      </x:c>
      <x:c r="C1033" s="23" t="n">
        <x:v>927.6942739961669</x:v>
      </x:c>
      <x:c r="D1033" s="23" t="n">
        <x:v>451.45701663568616</x:v>
      </x:c>
      <x:c r="E1033" s="23" t="n">
        <x:v>226.90169040113688</x:v>
      </x:c>
      <x:c r="F1033" s="23" t="n">
        <x:v>16.38041121000424</x:v>
      </x:c>
      <x:c r="G1033" s="23" t="n">
        <x:v>0.7936999063519762</x:v>
      </x:c>
      <x:c r="H1033" s="23" t="n">
        <x:v>13315</x:v>
      </x:c>
      <x:c r="I1033" s="23" t="n">
        <x:v>1200</x:v>
      </x:c>
      <x:c r="J1033" s="23" t="n">
        <x:f>(IF(A1033='Hybrid Calculator'!$B$6,0,1))^2+((B1033-'Hybrid Calculator'!$B$7)/1500)^2+((C1033-'Hybrid Calculator'!$B$8)/1300)^2+((D1033-'Hybrid Calculator'!$B$9)/800)^2+((E1033-'Hybrid Calculator'!$B$10)/350)^2+((F1033-'Hybrid Calculator'!$B$11)/30)^2+(G1033-'Hybrid Calculator'!$B$12)^2+((H1033-'Hybrid Calculator'!$E$14)/IF(A1033="Lightning",100,30000))^2+((I1033-'Hybrid Calculator'!$E$17)/IF(A1033="Lightning",100,30000))^2</x:f>
        <x:v>1.3100178448889648</x:v>
      </x:c>
      <x:c r="K1033" s="23" t="n">
        <x:f>RANK(J1033,$J$2:$J$1401,1)</x:f>
        <x:v>748</x:v>
      </x:c>
      <x:c r="L1033" s="23" t="n">
        <x:f>IF(K1033&lt;=7,1,0)</x:f>
        <x:v>0</x:v>
      </x:c>
      <x:c r="M1033" s="23" t="n">
        <x:f>IF(L1033=1,1/(J1033+0.000001),0)</x:f>
        <x:v>0</x:v>
      </x:c>
      <x:c r="N1033" s="23" t="n">
        <x:v>-2.0975362571886933</x:v>
      </x:c>
      <x:c r="O1033" s="23" t="n">
        <x:f>M1033</x:f>
        <x:v>0</x:v>
      </x:c>
      <x:c r="P1033" s="23" t="n">
        <x:v>16.62893572876601</x:v>
      </x:c>
      <x:c r="Q1033" s="23" t="n">
        <x:v>-2.0658049827816285</x:v>
      </x:c>
    </x:row>
    <x:row r="1034">
      <x:c r="A1034" s="23" t="str">
        <x:v>Switching</x:v>
      </x:c>
      <x:c r="B1034" s="23" t="n">
        <x:v>988.369282358326</x:v>
      </x:c>
      <x:c r="C1034" s="23" t="n">
        <x:v>1098.8866503466852</x:v>
      </x:c>
      <x:c r="D1034" s="23" t="n">
        <x:v>353.1461529433727</x:v>
      </x:c>
      <x:c r="E1034" s="23" t="n">
        <x:v>170.40953539079055</x:v>
      </x:c>
      <x:c r="F1034" s="23" t="n">
        <x:v>29.20037469919771</x:v>
      </x:c>
      <x:c r="G1034" s="23" t="n">
        <x:v>0.8182853374048137</x:v>
      </x:c>
      <x:c r="H1034" s="23" t="n">
        <x:v>13180</x:v>
      </x:c>
      <x:c r="I1034" s="23" t="n">
        <x:v>1200</x:v>
      </x:c>
      <x:c r="J1034" s="23" t="n">
        <x:f>(IF(A1034='Hybrid Calculator'!$B$6,0,1))^2+((B1034-'Hybrid Calculator'!$B$7)/1500)^2+((C1034-'Hybrid Calculator'!$B$8)/1300)^2+((D1034-'Hybrid Calculator'!$B$9)/800)^2+((E1034-'Hybrid Calculator'!$B$10)/350)^2+((F1034-'Hybrid Calculator'!$B$11)/30)^2+(G1034-'Hybrid Calculator'!$B$12)^2+((H1034-'Hybrid Calculator'!$E$14)/IF(A1034="Lightning",100,30000))^2+((I1034-'Hybrid Calculator'!$E$17)/IF(A1034="Lightning",100,30000))^2</x:f>
        <x:v>1.4787917723381616</x:v>
      </x:c>
      <x:c r="K1034" s="23" t="n">
        <x:f>RANK(J1034,$J$2:$J$1401,1)</x:f>
        <x:v>1174</x:v>
      </x:c>
      <x:c r="L1034" s="23" t="n">
        <x:f>IF(K1034&lt;=7,1,0)</x:f>
        <x:v>0</x:v>
      </x:c>
      <x:c r="M1034" s="23" t="n">
        <x:f>IF(L1034=1,1/(J1034+0.000001),0)</x:f>
        <x:v>0</x:v>
      </x:c>
      <x:c r="N1034" s="23" t="n">
        <x:v>-2.837366908575831</x:v>
      </x:c>
      <x:c r="O1034" s="23" t="n">
        <x:f>M1034</x:f>
        <x:v>0</x:v>
      </x:c>
      <x:c r="P1034" s="23" t="n">
        <x:v>-0.9126113663387514</x:v>
      </x:c>
      <x:c r="Q1034" s="23" t="n">
        <x:v>-13.738631473603505</x:v>
      </x:c>
    </x:row>
    <x:row r="1035">
      <x:c r="A1035" s="23" t="str">
        <x:v>Switching</x:v>
      </x:c>
      <x:c r="B1035" s="23" t="n">
        <x:v>1056.778358842712</x:v>
      </x:c>
      <x:c r="C1035" s="23" t="n">
        <x:v>1177.0390640944242</x:v>
      </x:c>
      <x:c r="D1035" s="23" t="n">
        <x:v>474.06520238146186</x:v>
      </x:c>
      <x:c r="E1035" s="23" t="n">
        <x:v>158.3882449613884</x:v>
      </x:c>
      <x:c r="F1035" s="23" t="n">
        <x:v>8.216598646249622</x:v>
      </x:c>
      <x:c r="G1035" s="23" t="n">
        <x:v>0.7997209129016847</x:v>
      </x:c>
      <x:c r="H1035" s="23" t="n">
        <x:v>11820</x:v>
      </x:c>
      <x:c r="I1035" s="23" t="n">
        <x:v>1195</x:v>
      </x:c>
      <x:c r="J1035" s="23" t="n">
        <x:f>(IF(A1035='Hybrid Calculator'!$B$6,0,1))^2+((B1035-'Hybrid Calculator'!$B$7)/1500)^2+((C1035-'Hybrid Calculator'!$B$8)/1300)^2+((D1035-'Hybrid Calculator'!$B$9)/800)^2+((E1035-'Hybrid Calculator'!$B$10)/350)^2+((F1035-'Hybrid Calculator'!$B$11)/30)^2+(G1035-'Hybrid Calculator'!$B$12)^2+((H1035-'Hybrid Calculator'!$E$14)/IF(A1035="Lightning",100,30000))^2+((I1035-'Hybrid Calculator'!$E$17)/IF(A1035="Lightning",100,30000))^2</x:f>
        <x:v>1.3985288763216714</x:v>
      </x:c>
      <x:c r="K1035" s="23" t="n">
        <x:f>RANK(J1035,$J$2:$J$1401,1)</x:f>
        <x:v>971</x:v>
      </x:c>
      <x:c r="L1035" s="23" t="n">
        <x:f>IF(K1035&lt;=7,1,0)</x:f>
        <x:v>0</x:v>
      </x:c>
      <x:c r="M1035" s="23" t="n">
        <x:f>IF(L1035=1,1/(J1035+0.000001),0)</x:f>
        <x:v>0</x:v>
      </x:c>
      <x:c r="N1035" s="23" t="n">
        <x:v>0.3517957682000201</x:v>
      </x:c>
      <x:c r="O1035" s="23" t="n">
        <x:f>M1035</x:f>
        <x:v>0</x:v>
      </x:c>
      <x:c r="P1035" s="23" t="n">
        <x:v>-16.095486888945743</x:v>
      </x:c>
      <x:c r="Q1035" s="23" t="n">
        <x:v>-0.13068379504125005</x:v>
      </x:c>
    </x:row>
    <x:row r="1036">
      <x:c r="A1036" s="23" t="str">
        <x:v>Switching</x:v>
      </x:c>
      <x:c r="B1036" s="23" t="n">
        <x:v>994.7986978106201</x:v>
      </x:c>
      <x:c r="C1036" s="23" t="n">
        <x:v>1197.4948126240633</x:v>
      </x:c>
      <x:c r="D1036" s="23" t="n">
        <x:v>569.3398470059037</x:v>
      </x:c>
      <x:c r="E1036" s="23" t="n">
        <x:v>300.790431892965</x:v>
      </x:c>
      <x:c r="F1036" s="23" t="n">
        <x:v>8.234399506822228</x:v>
      </x:c>
      <x:c r="G1036" s="23" t="n">
        <x:v>0.8569218730484136</x:v>
      </x:c>
      <x:c r="H1036" s="23" t="n">
        <x:v>12065</x:v>
      </x:c>
      <x:c r="I1036" s="23" t="n">
        <x:v>1200</x:v>
      </x:c>
      <x:c r="J1036" s="23" t="n">
        <x:f>(IF(A1036='Hybrid Calculator'!$B$6,0,1))^2+((B1036-'Hybrid Calculator'!$B$7)/1500)^2+((C1036-'Hybrid Calculator'!$B$8)/1300)^2+((D1036-'Hybrid Calculator'!$B$9)/800)^2+((E1036-'Hybrid Calculator'!$B$10)/350)^2+((F1036-'Hybrid Calculator'!$B$11)/30)^2+(G1036-'Hybrid Calculator'!$B$12)^2+((H1036-'Hybrid Calculator'!$E$14)/IF(A1036="Lightning",100,30000))^2+((I1036-'Hybrid Calculator'!$E$17)/IF(A1036="Lightning",100,30000))^2</x:f>
        <x:v>1.6272220793544188</x:v>
      </x:c>
      <x:c r="K1036" s="23" t="n">
        <x:f>RANK(J1036,$J$2:$J$1401,1)</x:f>
        <x:v>1366</x:v>
      </x:c>
      <x:c r="L1036" s="23" t="n">
        <x:f>IF(K1036&lt;=7,1,0)</x:f>
        <x:v>0</x:v>
      </x:c>
      <x:c r="M1036" s="23" t="n">
        <x:f>IF(L1036=1,1/(J1036+0.000001),0)</x:f>
        <x:v>0</x:v>
      </x:c>
      <x:c r="N1036" s="23" t="n">
        <x:v>4.739498553258159</x:v>
      </x:c>
      <x:c r="O1036" s="23" t="n">
        <x:f>M1036</x:f>
        <x:v>0</x:v>
      </x:c>
      <x:c r="P1036" s="23" t="n">
        <x:v>11.363736136412172</x:v>
      </x:c>
      <x:c r="Q1036" s="23" t="n">
        <x:v>-6.907635988158972</x:v>
      </x:c>
    </x:row>
    <x:row r="1037">
      <x:c r="A1037" s="23" t="str">
        <x:v>Switching</x:v>
      </x:c>
      <x:c r="B1037" s="23" t="n">
        <x:v>976.0386688285507</x:v>
      </x:c>
      <x:c r="C1037" s="23" t="n">
        <x:v>602.7821704046801</x:v>
      </x:c>
      <x:c r="D1037" s="23" t="n">
        <x:v>685.7766353525221</x:v>
      </x:c>
      <x:c r="E1037" s="23" t="n">
        <x:v>266.49209127761424</x:v>
      </x:c>
      <x:c r="F1037" s="23" t="n">
        <x:v>13.038076036144048</x:v>
      </x:c>
      <x:c r="G1037" s="23" t="n">
        <x:v>0.8049785938719288</x:v>
      </x:c>
      <x:c r="H1037" s="23" t="n">
        <x:v>13750</x:v>
      </x:c>
      <x:c r="I1037" s="23" t="n">
        <x:v>1200</x:v>
      </x:c>
      <x:c r="J1037" s="23" t="n">
        <x:f>(IF(A1037='Hybrid Calculator'!$B$6,0,1))^2+((B1037-'Hybrid Calculator'!$B$7)/1500)^2+((C1037-'Hybrid Calculator'!$B$8)/1300)^2+((D1037-'Hybrid Calculator'!$B$9)/800)^2+((E1037-'Hybrid Calculator'!$B$10)/350)^2+((F1037-'Hybrid Calculator'!$B$11)/30)^2+(G1037-'Hybrid Calculator'!$B$12)^2+((H1037-'Hybrid Calculator'!$E$14)/IF(A1037="Lightning",100,30000))^2+((I1037-'Hybrid Calculator'!$E$17)/IF(A1037="Lightning",100,30000))^2</x:f>
        <x:v>1.5339055089683455</x:v>
      </x:c>
      <x:c r="K1037" s="23" t="n">
        <x:f>RANK(J1037,$J$2:$J$1401,1)</x:f>
        <x:v>1272</x:v>
      </x:c>
      <x:c r="L1037" s="23" t="n">
        <x:f>IF(K1037&lt;=7,1,0)</x:f>
        <x:v>0</x:v>
      </x:c>
      <x:c r="M1037" s="23" t="n">
        <x:f>IF(L1037=1,1/(J1037+0.000001),0)</x:f>
        <x:v>0</x:v>
      </x:c>
      <x:c r="N1037" s="23" t="n">
        <x:v>-1.10845734806</x:v>
      </x:c>
      <x:c r="O1037" s="23" t="n">
        <x:f>M1037</x:f>
        <x:v>0</x:v>
      </x:c>
      <x:c r="P1037" s="23" t="n">
        <x:v>-15.817023103111751</x:v>
      </x:c>
      <x:c r="Q1037" s="23" t="n">
        <x:v>8.564481082131692</x:v>
      </x:c>
    </x:row>
    <x:row r="1038">
      <x:c r="A1038" s="23" t="str">
        <x:v>Switching</x:v>
      </x:c>
      <x:c r="B1038" s="23" t="n">
        <x:v>1040.2100870385766</x:v>
      </x:c>
      <x:c r="C1038" s="23" t="n">
        <x:v>948.9983581355773</x:v>
      </x:c>
      <x:c r="D1038" s="23" t="n">
        <x:v>716.4737256243825</x:v>
      </x:c>
      <x:c r="E1038" s="23" t="n">
        <x:v>312.85757150733843</x:v>
      </x:c>
      <x:c r="F1038" s="23" t="n">
        <x:v>13.124261623248458</x:v>
      </x:c>
      <x:c r="G1038" s="23" t="n">
        <x:v>0.7924561505881138</x:v>
      </x:c>
      <x:c r="H1038" s="23" t="n">
        <x:v>10810</x:v>
      </x:c>
      <x:c r="I1038" s="23" t="n">
        <x:v>1195</x:v>
      </x:c>
      <x:c r="J1038" s="23" t="n">
        <x:f>(IF(A1038='Hybrid Calculator'!$B$6,0,1))^2+((B1038-'Hybrid Calculator'!$B$7)/1500)^2+((C1038-'Hybrid Calculator'!$B$8)/1300)^2+((D1038-'Hybrid Calculator'!$B$9)/800)^2+((E1038-'Hybrid Calculator'!$B$10)/350)^2+((F1038-'Hybrid Calculator'!$B$11)/30)^2+(G1038-'Hybrid Calculator'!$B$12)^2+((H1038-'Hybrid Calculator'!$E$14)/IF(A1038="Lightning",100,30000))^2+((I1038-'Hybrid Calculator'!$E$17)/IF(A1038="Lightning",100,30000))^2</x:f>
        <x:v>1.5243671156055534</x:v>
      </x:c>
      <x:c r="K1038" s="23" t="n">
        <x:f>RANK(J1038,$J$2:$J$1401,1)</x:f>
        <x:v>1252</x:v>
      </x:c>
      <x:c r="L1038" s="23" t="n">
        <x:f>IF(K1038&lt;=7,1,0)</x:f>
        <x:v>0</x:v>
      </x:c>
      <x:c r="M1038" s="23" t="n">
        <x:f>IF(L1038=1,1/(J1038+0.000001),0)</x:f>
        <x:v>0</x:v>
      </x:c>
      <x:c r="N1038" s="23" t="n">
        <x:v>5.291279728796553</x:v>
      </x:c>
      <x:c r="O1038" s="23" t="n">
        <x:f>M1038</x:f>
        <x:v>0</x:v>
      </x:c>
      <x:c r="P1038" s="23" t="n">
        <x:v>24.075607634721564</x:v>
      </x:c>
      <x:c r="Q1038" s="23" t="n">
        <x:v>-7.382295880017182</x:v>
      </x:c>
    </x:row>
    <x:row r="1039">
      <x:c r="A1039" s="23" t="str">
        <x:v>Switching</x:v>
      </x:c>
      <x:c r="B1039" s="23" t="n">
        <x:v>1058.8562153861858</x:v>
      </x:c>
      <x:c r="C1039" s="23" t="n">
        <x:v>935.0788429612294</x:v>
      </x:c>
      <x:c r="D1039" s="23" t="n">
        <x:v>635.8610601164401</x:v>
      </x:c>
      <x:c r="E1039" s="23" t="n">
        <x:v>189.6984415780753</x:v>
      </x:c>
      <x:c r="F1039" s="23" t="n">
        <x:v>17.458657030481845</x:v>
      </x:c>
      <x:c r="G1039" s="23" t="n">
        <x:v>0.8163682306231931</x:v>
      </x:c>
      <x:c r="H1039" s="23" t="n">
        <x:v>12145</x:v>
      </x:c>
      <x:c r="I1039" s="23" t="n">
        <x:v>1200</x:v>
      </x:c>
      <x:c r="J1039" s="23" t="n">
        <x:f>(IF(A1039='Hybrid Calculator'!$B$6,0,1))^2+((B1039-'Hybrid Calculator'!$B$7)/1500)^2+((C1039-'Hybrid Calculator'!$B$8)/1300)^2+((D1039-'Hybrid Calculator'!$B$9)/800)^2+((E1039-'Hybrid Calculator'!$B$10)/350)^2+((F1039-'Hybrid Calculator'!$B$11)/30)^2+(G1039-'Hybrid Calculator'!$B$12)^2+((H1039-'Hybrid Calculator'!$E$14)/IF(A1039="Lightning",100,30000))^2+((I1039-'Hybrid Calculator'!$E$17)/IF(A1039="Lightning",100,30000))^2</x:f>
        <x:v>1.2708673432800972</x:v>
      </x:c>
      <x:c r="K1039" s="23" t="n">
        <x:f>RANK(J1039,$J$2:$J$1401,1)</x:f>
        <x:v>703</x:v>
      </x:c>
      <x:c r="L1039" s="23" t="n">
        <x:f>IF(K1039&lt;=7,1,0)</x:f>
        <x:v>0</x:v>
      </x:c>
      <x:c r="M1039" s="23" t="n">
        <x:f>IF(L1039=1,1/(J1039+0.000001),0)</x:f>
        <x:v>0</x:v>
      </x:c>
      <x:c r="N1039" s="23" t="n">
        <x:v>1.2533342614916307</x:v>
      </x:c>
      <x:c r="O1039" s="23" t="n">
        <x:f>M1039</x:f>
        <x:v>0</x:v>
      </x:c>
      <x:c r="P1039" s="23" t="n">
        <x:v>-9.327528673785764</x:v>
      </x:c>
      <x:c r="Q1039" s="23" t="n">
        <x:v>-1.36371083042377</x:v>
      </x:c>
    </x:row>
    <x:row r="1040">
      <x:c r="A1040" s="23" t="str">
        <x:v>Switching</x:v>
      </x:c>
      <x:c r="B1040" s="23" t="n">
        <x:v>1035.6609130976722</x:v>
      </x:c>
      <x:c r="C1040" s="23" t="n">
        <x:v>672.7310943068005</x:v>
      </x:c>
      <x:c r="D1040" s="23" t="n">
        <x:v>582.735513523221</x:v>
      </x:c>
      <x:c r="E1040" s="23" t="n">
        <x:v>189.42151787457988</x:v>
      </x:c>
      <x:c r="F1040" s="23" t="n">
        <x:v>22.173031688667834</x:v>
      </x:c>
      <x:c r="G1040" s="23" t="n">
        <x:v>0.792434330272954</x:v>
      </x:c>
      <x:c r="H1040" s="23" t="n">
        <x:v>14800</x:v>
      </x:c>
      <x:c r="I1040" s="23" t="n">
        <x:v>1200</x:v>
      </x:c>
      <x:c r="J1040" s="23" t="n">
        <x:f>(IF(A1040='Hybrid Calculator'!$B$6,0,1))^2+((B1040-'Hybrid Calculator'!$B$7)/1500)^2+((C1040-'Hybrid Calculator'!$B$8)/1300)^2+((D1040-'Hybrid Calculator'!$B$9)/800)^2+((E1040-'Hybrid Calculator'!$B$10)/350)^2+((F1040-'Hybrid Calculator'!$B$11)/30)^2+(G1040-'Hybrid Calculator'!$B$12)^2+((H1040-'Hybrid Calculator'!$E$14)/IF(A1040="Lightning",100,30000))^2+((I1040-'Hybrid Calculator'!$E$17)/IF(A1040="Lightning",100,30000))^2</x:f>
        <x:v>1.368367244629414</x:v>
      </x:c>
      <x:c r="K1040" s="23" t="n">
        <x:f>RANK(J1040,$J$2:$J$1401,1)</x:f>
        <x:v>878</x:v>
      </x:c>
      <x:c r="L1040" s="23" t="n">
        <x:f>IF(K1040&lt;=7,1,0)</x:f>
        <x:v>0</x:v>
      </x:c>
      <x:c r="M1040" s="23" t="n">
        <x:f>IF(L1040=1,1/(J1040+0.000001),0)</x:f>
        <x:v>0</x:v>
      </x:c>
      <x:c r="N1040" s="23" t="n">
        <x:v>-4.607060956041636</x:v>
      </x:c>
      <x:c r="O1040" s="23" t="n">
        <x:f>M1040</x:f>
        <x:v>0</x:v>
      </x:c>
      <x:c r="P1040" s="23" t="n">
        <x:v>-22.371730045710137</x:v>
      </x:c>
      <x:c r="Q1040" s="23" t="n">
        <x:v>2.0271848858619705</x:v>
      </x:c>
    </x:row>
    <x:row r="1041">
      <x:c r="A1041" s="23" t="str">
        <x:v>Switching</x:v>
      </x:c>
      <x:c r="B1041" s="23" t="n">
        <x:v>1010.1001719362102</x:v>
      </x:c>
      <x:c r="C1041" s="23" t="n">
        <x:v>1137.7767038997263</x:v>
      </x:c>
      <x:c r="D1041" s="23" t="n">
        <x:v>732.4633072130382</x:v>
      </x:c>
      <x:c r="E1041" s="23" t="n">
        <x:v>224.2912322236225</x:v>
      </x:c>
      <x:c r="F1041" s="23" t="n">
        <x:v>23.165393623989075</x:v>
      </x:c>
      <x:c r="G1041" s="23" t="n">
        <x:v>0.815503754876554</x:v>
      </x:c>
      <x:c r="H1041" s="23" t="n">
        <x:v>10210</x:v>
      </x:c>
      <x:c r="I1041" s="23" t="n">
        <x:v>1195</x:v>
      </x:c>
      <x:c r="J1041" s="23" t="n">
        <x:f>(IF(A1041='Hybrid Calculator'!$B$6,0,1))^2+((B1041-'Hybrid Calculator'!$B$7)/1500)^2+((C1041-'Hybrid Calculator'!$B$8)/1300)^2+((D1041-'Hybrid Calculator'!$B$9)/800)^2+((E1041-'Hybrid Calculator'!$B$10)/350)^2+((F1041-'Hybrid Calculator'!$B$11)/30)^2+(G1041-'Hybrid Calculator'!$B$12)^2+((H1041-'Hybrid Calculator'!$E$14)/IF(A1041="Lightning",100,30000))^2+((I1041-'Hybrid Calculator'!$E$17)/IF(A1041="Lightning",100,30000))^2</x:f>
        <x:v>1.3954221908469087</x:v>
      </x:c>
      <x:c r="K1041" s="23" t="n">
        <x:f>RANK(J1041,$J$2:$J$1401,1)</x:f>
        <x:v>964</x:v>
      </x:c>
      <x:c r="L1041" s="23" t="n">
        <x:f>IF(K1041&lt;=7,1,0)</x:f>
        <x:v>0</x:v>
      </x:c>
      <x:c r="M1041" s="23" t="n">
        <x:f>IF(L1041=1,1/(J1041+0.000001),0)</x:f>
        <x:v>0</x:v>
      </x:c>
      <x:c r="N1041" s="23" t="n">
        <x:v>-0.46665988804647895</x:v>
      </x:c>
      <x:c r="O1041" s="23" t="n">
        <x:f>M1041</x:f>
        <x:v>0</x:v>
      </x:c>
      <x:c r="P1041" s="23" t="n">
        <x:v>21.970044766351748</x:v>
      </x:c>
      <x:c r="Q1041" s="23" t="n">
        <x:v>-8.411736827312552</x:v>
      </x:c>
    </x:row>
    <x:row r="1042">
      <x:c r="A1042" s="23" t="str">
        <x:v>Switching</x:v>
      </x:c>
      <x:c r="B1042" s="23" t="n">
        <x:v>988.2476234342903</x:v>
      </x:c>
      <x:c r="C1042" s="23" t="n">
        <x:v>1080.1643512095325</x:v>
      </x:c>
      <x:c r="D1042" s="23" t="n">
        <x:v>670.0869103893638</x:v>
      </x:c>
      <x:c r="E1042" s="23" t="n">
        <x:v>304.3394030374475</x:v>
      </x:c>
      <x:c r="F1042" s="23" t="n">
        <x:v>17.139495242387056</x:v>
      </x:c>
      <x:c r="G1042" s="23" t="n">
        <x:v>0.8266285491012968</x:v>
      </x:c>
      <x:c r="H1042" s="23" t="n">
        <x:v>12145</x:v>
      </x:c>
      <x:c r="I1042" s="23" t="n">
        <x:v>1200</x:v>
      </x:c>
      <x:c r="J1042" s="23" t="n">
        <x:f>(IF(A1042='Hybrid Calculator'!$B$6,0,1))^2+((B1042-'Hybrid Calculator'!$B$7)/1500)^2+((C1042-'Hybrid Calculator'!$B$8)/1300)^2+((D1042-'Hybrid Calculator'!$B$9)/800)^2+((E1042-'Hybrid Calculator'!$B$10)/350)^2+((F1042-'Hybrid Calculator'!$B$11)/30)^2+(G1042-'Hybrid Calculator'!$B$12)^2+((H1042-'Hybrid Calculator'!$E$14)/IF(A1042="Lightning",100,30000))^2+((I1042-'Hybrid Calculator'!$E$17)/IF(A1042="Lightning",100,30000))^2</x:f>
        <x:v>1.5219601691491966</x:v>
      </x:c>
      <x:c r="K1042" s="23" t="n">
        <x:f>RANK(J1042,$J$2:$J$1401,1)</x:f>
        <x:v>1250</x:v>
      </x:c>
      <x:c r="L1042" s="23" t="n">
        <x:f>IF(K1042&lt;=7,1,0)</x:f>
        <x:v>0</x:v>
      </x:c>
      <x:c r="M1042" s="23" t="n">
        <x:f>IF(L1042=1,1/(J1042+0.000001),0)</x:f>
        <x:v>0</x:v>
      </x:c>
      <x:c r="N1042" s="23" t="n">
        <x:v>4.925536842085137</x:v>
      </x:c>
      <x:c r="O1042" s="23" t="n">
        <x:f>M1042</x:f>
        <x:v>0</x:v>
      </x:c>
      <x:c r="P1042" s="23" t="n">
        <x:v>60.74970578640887</x:v>
      </x:c>
      <x:c r="Q1042" s="23" t="n">
        <x:v>-10.146563119761822</x:v>
      </x:c>
    </x:row>
    <x:row r="1043">
      <x:c r="A1043" s="23" t="str">
        <x:v>Switching</x:v>
      </x:c>
      <x:c r="B1043" s="23" t="n">
        <x:v>1065.6794266891666</x:v>
      </x:c>
      <x:c r="C1043" s="23" t="n">
        <x:v>960.1865839911625</x:v>
      </x:c>
      <x:c r="D1043" s="23" t="n">
        <x:v>674.4074289686978</x:v>
      </x:c>
      <x:c r="E1043" s="23" t="n">
        <x:v>311.3320692628622</x:v>
      </x:c>
      <x:c r="F1043" s="23" t="n">
        <x:v>14.301394785288721</x:v>
      </x:c>
      <x:c r="G1043" s="23" t="n">
        <x:v>0.8038360667182133</x:v>
      </x:c>
      <x:c r="H1043" s="23" t="n">
        <x:v>10990</x:v>
      </x:c>
      <x:c r="I1043" s="23" t="n">
        <x:v>1195</x:v>
      </x:c>
      <x:c r="J1043" s="23" t="n">
        <x:f>(IF(A1043='Hybrid Calculator'!$B$6,0,1))^2+((B1043-'Hybrid Calculator'!$B$7)/1500)^2+((C1043-'Hybrid Calculator'!$B$8)/1300)^2+((D1043-'Hybrid Calculator'!$B$9)/800)^2+((E1043-'Hybrid Calculator'!$B$10)/350)^2+((F1043-'Hybrid Calculator'!$B$11)/30)^2+(G1043-'Hybrid Calculator'!$B$12)^2+((H1043-'Hybrid Calculator'!$E$14)/IF(A1043="Lightning",100,30000))^2+((I1043-'Hybrid Calculator'!$E$17)/IF(A1043="Lightning",100,30000))^2</x:f>
        <x:v>1.4789197130743634</x:v>
      </x:c>
      <x:c r="K1043" s="23" t="n">
        <x:f>RANK(J1043,$J$2:$J$1401,1)</x:f>
        <x:v>1175</x:v>
      </x:c>
      <x:c r="L1043" s="23" t="n">
        <x:f>IF(K1043&lt;=7,1,0)</x:f>
        <x:v>0</x:v>
      </x:c>
      <x:c r="M1043" s="23" t="n">
        <x:f>IF(L1043=1,1/(J1043+0.000001),0)</x:f>
        <x:v>0</x:v>
      </x:c>
      <x:c r="N1043" s="23" t="n">
        <x:v>0.23945992991377807</x:v>
      </x:c>
      <x:c r="O1043" s="23" t="n">
        <x:f>M1043</x:f>
        <x:v>0</x:v>
      </x:c>
      <x:c r="P1043" s="23" t="n">
        <x:v>-0.7728289177566694</x:v>
      </x:c>
      <x:c r="Q1043" s="23" t="n">
        <x:v>0.5882451566399141</x:v>
      </x:c>
    </x:row>
    <x:row r="1044">
      <x:c r="A1044" s="23" t="str">
        <x:v>Switching</x:v>
      </x:c>
      <x:c r="B1044" s="23" t="n">
        <x:v>1011.2867942312732</x:v>
      </x:c>
      <x:c r="C1044" s="23" t="n">
        <x:v>975.1713593606837</x:v>
      </x:c>
      <x:c r="D1044" s="23" t="n">
        <x:v>725.6209380924702</x:v>
      </x:c>
      <x:c r="E1044" s="23" t="n">
        <x:v>165.25347377872095</x:v>
      </x:c>
      <x:c r="F1044" s="23" t="n">
        <x:v>16.57634964492172</x:v>
      </x:c>
      <x:c r="G1044" s="23" t="n">
        <x:v>0.8459561186819338</x:v>
      </x:c>
      <x:c r="H1044" s="23" t="n">
        <x:v>13370</x:v>
      </x:c>
      <x:c r="I1044" s="23" t="n">
        <x:v>1200</x:v>
      </x:c>
      <x:c r="J1044" s="23" t="n">
        <x:f>(IF(A1044='Hybrid Calculator'!$B$6,0,1))^2+((B1044-'Hybrid Calculator'!$B$7)/1500)^2+((C1044-'Hybrid Calculator'!$B$8)/1300)^2+((D1044-'Hybrid Calculator'!$B$9)/800)^2+((E1044-'Hybrid Calculator'!$B$10)/350)^2+((F1044-'Hybrid Calculator'!$B$11)/30)^2+(G1044-'Hybrid Calculator'!$B$12)^2+((H1044-'Hybrid Calculator'!$E$14)/IF(A1044="Lightning",100,30000))^2+((I1044-'Hybrid Calculator'!$E$17)/IF(A1044="Lightning",100,30000))^2</x:f>
        <x:v>1.3702348587573248</x:v>
      </x:c>
      <x:c r="K1044" s="23" t="n">
        <x:f>RANK(J1044,$J$2:$J$1401,1)</x:f>
        <x:v>887</x:v>
      </x:c>
      <x:c r="L1044" s="23" t="n">
        <x:f>IF(K1044&lt;=7,1,0)</x:f>
        <x:v>0</x:v>
      </x:c>
      <x:c r="M1044" s="23" t="n">
        <x:f>IF(L1044=1,1/(J1044+0.000001),0)</x:f>
        <x:v>0</x:v>
      </x:c>
      <x:c r="N1044" s="23" t="n">
        <x:v>3.6453475603548497</x:v>
      </x:c>
      <x:c r="O1044" s="23" t="n">
        <x:f>M1044</x:f>
        <x:v>0</x:v>
      </x:c>
      <x:c r="P1044" s="23" t="n">
        <x:v>-1.608554742324941</x:v>
      </x:c>
      <x:c r="Q1044" s="23" t="n">
        <x:v>1.3491524253068974</x:v>
      </x:c>
    </x:row>
    <x:row r="1045">
      <x:c r="A1045" s="23" t="str">
        <x:v>Switching</x:v>
      </x:c>
      <x:c r="B1045" s="23" t="n">
        <x:v>975.1246750238352</x:v>
      </x:c>
      <x:c r="C1045" s="23" t="n">
        <x:v>968.7850622460246</x:v>
      </x:c>
      <x:c r="D1045" s="23" t="n">
        <x:v>694.1103055141866</x:v>
      </x:c>
      <x:c r="E1045" s="23" t="n">
        <x:v>267.94574413914233</x:v>
      </x:c>
      <x:c r="F1045" s="23" t="n">
        <x:v>25.49265752127394</x:v>
      </x:c>
      <x:c r="G1045" s="23" t="n">
        <x:v>0.8375812078919262</x:v>
      </x:c>
      <x:c r="H1045" s="23" t="n">
        <x:v>12920</x:v>
      </x:c>
      <x:c r="I1045" s="23" t="n">
        <x:v>1200</x:v>
      </x:c>
      <x:c r="J1045" s="23" t="n">
        <x:f>(IF(A1045='Hybrid Calculator'!$B$6,0,1))^2+((B1045-'Hybrid Calculator'!$B$7)/1500)^2+((C1045-'Hybrid Calculator'!$B$8)/1300)^2+((D1045-'Hybrid Calculator'!$B$9)/800)^2+((E1045-'Hybrid Calculator'!$B$10)/350)^2+((F1045-'Hybrid Calculator'!$B$11)/30)^2+(G1045-'Hybrid Calculator'!$B$12)^2+((H1045-'Hybrid Calculator'!$E$14)/IF(A1045="Lightning",100,30000))^2+((I1045-'Hybrid Calculator'!$E$17)/IF(A1045="Lightning",100,30000))^2</x:f>
        <x:v>1.5109475458002464</x:v>
      </x:c>
      <x:c r="K1045" s="23" t="n">
        <x:f>RANK(J1045,$J$2:$J$1401,1)</x:f>
        <x:v>1229</x:v>
      </x:c>
      <x:c r="L1045" s="23" t="n">
        <x:f>IF(K1045&lt;=7,1,0)</x:f>
        <x:v>0</x:v>
      </x:c>
      <x:c r="M1045" s="23" t="n">
        <x:f>IF(L1045=1,1/(J1045+0.000001),0)</x:f>
        <x:v>0</x:v>
      </x:c>
      <x:c r="N1045" s="23" t="n">
        <x:v>-0.3892063755986044</x:v>
      </x:c>
      <x:c r="O1045" s="23" t="n">
        <x:f>M1045</x:f>
        <x:v>0</x:v>
      </x:c>
      <x:c r="P1045" s="23" t="n">
        <x:v>-9.836831354451533</x:v>
      </x:c>
      <x:c r="Q1045" s="23" t="n">
        <x:v>-9.204924942977186</x:v>
      </x:c>
    </x:row>
    <x:row r="1046">
      <x:c r="A1046" s="23" t="str">
        <x:v>Switching</x:v>
      </x:c>
      <x:c r="B1046" s="23" t="n">
        <x:v>963.5396690107882</x:v>
      </x:c>
      <x:c r="C1046" s="23" t="n">
        <x:v>1046.2049720226787</x:v>
      </x:c>
      <x:c r="D1046" s="23" t="n">
        <x:v>494.307834841311</x:v>
      </x:c>
      <x:c r="E1046" s="23" t="n">
        <x:v>138.2602639333345</x:v>
      </x:c>
      <x:c r="F1046" s="23" t="n">
        <x:v>27.785975160077214</x:v>
      </x:c>
      <x:c r="G1046" s="23" t="n">
        <x:v>0.832944436587859</x:v>
      </x:c>
      <x:c r="H1046" s="23" t="n">
        <x:v>14860</x:v>
      </x:c>
      <x:c r="I1046" s="23" t="n">
        <x:v>1200</x:v>
      </x:c>
      <x:c r="J1046" s="23" t="n">
        <x:f>(IF(A1046='Hybrid Calculator'!$B$6,0,1))^2+((B1046-'Hybrid Calculator'!$B$7)/1500)^2+((C1046-'Hybrid Calculator'!$B$8)/1300)^2+((D1046-'Hybrid Calculator'!$B$9)/800)^2+((E1046-'Hybrid Calculator'!$B$10)/350)^2+((F1046-'Hybrid Calculator'!$B$11)/30)^2+(G1046-'Hybrid Calculator'!$B$12)^2+((H1046-'Hybrid Calculator'!$E$14)/IF(A1046="Lightning",100,30000))^2+((I1046-'Hybrid Calculator'!$E$17)/IF(A1046="Lightning",100,30000))^2</x:f>
        <x:v>1.4598158696739922</x:v>
      </x:c>
      <x:c r="K1046" s="23" t="n">
        <x:f>RANK(J1046,$J$2:$J$1401,1)</x:f>
        <x:v>1131</x:v>
      </x:c>
      <x:c r="L1046" s="23" t="n">
        <x:f>IF(K1046&lt;=7,1,0)</x:f>
        <x:v>0</x:v>
      </x:c>
      <x:c r="M1046" s="23" t="n">
        <x:f>IF(L1046=1,1/(J1046+0.000001),0)</x:f>
        <x:v>0</x:v>
      </x:c>
      <x:c r="N1046" s="23" t="n">
        <x:v>1.4881806115027416</x:v>
      </x:c>
      <x:c r="O1046" s="23" t="n">
        <x:f>M1046</x:f>
        <x:v>0</x:v>
      </x:c>
      <x:c r="P1046" s="23" t="n">
        <x:v>38.040455594597006</x:v>
      </x:c>
      <x:c r="Q1046" s="23" t="n">
        <x:v>-10.95743127079379</x:v>
      </x:c>
    </x:row>
    <x:row r="1047">
      <x:c r="A1047" s="23" t="str">
        <x:v>Switching</x:v>
      </x:c>
      <x:c r="B1047" s="23" t="n">
        <x:v>1060.8590278425254</x:v>
      </x:c>
      <x:c r="C1047" s="23" t="n">
        <x:v>854.4956938596442</x:v>
      </x:c>
      <x:c r="D1047" s="23" t="n">
        <x:v>656.6251733340323</x:v>
      </x:c>
      <x:c r="E1047" s="23" t="n">
        <x:v>180.66938702948391</x:v>
      </x:c>
      <x:c r="F1047" s="23" t="n">
        <x:v>9.800677553284913</x:v>
      </x:c>
      <x:c r="G1047" s="23" t="n">
        <x:v>0.853629608550109</x:v>
      </x:c>
      <x:c r="H1047" s="23" t="n">
        <x:v>12640</x:v>
      </x:c>
      <x:c r="I1047" s="23" t="n">
        <x:v>1200</x:v>
      </x:c>
      <x:c r="J1047" s="23" t="n">
        <x:f>(IF(A1047='Hybrid Calculator'!$B$6,0,1))^2+((B1047-'Hybrid Calculator'!$B$7)/1500)^2+((C1047-'Hybrid Calculator'!$B$8)/1300)^2+((D1047-'Hybrid Calculator'!$B$9)/800)^2+((E1047-'Hybrid Calculator'!$B$10)/350)^2+((F1047-'Hybrid Calculator'!$B$11)/30)^2+(G1047-'Hybrid Calculator'!$B$12)^2+((H1047-'Hybrid Calculator'!$E$14)/IF(A1047="Lightning",100,30000))^2+((I1047-'Hybrid Calculator'!$E$17)/IF(A1047="Lightning",100,30000))^2</x:f>
        <x:v>1.367825524491006</x:v>
      </x:c>
      <x:c r="K1047" s="23" t="n">
        <x:f>RANK(J1047,$J$2:$J$1401,1)</x:f>
        <x:v>876</x:v>
      </x:c>
      <x:c r="L1047" s="23" t="n">
        <x:f>IF(K1047&lt;=7,1,0)</x:f>
        <x:v>0</x:v>
      </x:c>
      <x:c r="M1047" s="23" t="n">
        <x:f>IF(L1047=1,1/(J1047+0.000001),0)</x:f>
        <x:v>0</x:v>
      </x:c>
      <x:c r="N1047" s="23" t="n">
        <x:v>-0.09063548859606385</x:v>
      </x:c>
      <x:c r="O1047" s="23" t="n">
        <x:f>M1047</x:f>
        <x:v>0</x:v>
      </x:c>
      <x:c r="P1047" s="23" t="n">
        <x:v>3.5340160952127917</x:v>
      </x:c>
      <x:c r="Q1047" s="23" t="n">
        <x:v>3.6858403765415915</x:v>
      </x:c>
    </x:row>
    <x:row r="1048">
      <x:c r="A1048" s="23" t="str">
        <x:v>Switching</x:v>
      </x:c>
      <x:c r="B1048" s="23" t="n">
        <x:v>985.313213779591</x:v>
      </x:c>
      <x:c r="C1048" s="23" t="n">
        <x:v>654.4989019283094</x:v>
      </x:c>
      <x:c r="D1048" s="23" t="n">
        <x:v>527.3393239825964</x:v>
      </x:c>
      <x:c r="E1048" s="23" t="n">
        <x:v>225.42457525385544</x:v>
      </x:c>
      <x:c r="F1048" s="23" t="n">
        <x:v>21.212444690056145</x:v>
      </x:c>
      <x:c r="G1048" s="23" t="n">
        <x:v>0.846290217160713</x:v>
      </x:c>
      <x:c r="H1048" s="23" t="n">
        <x:v>17730</x:v>
      </x:c>
      <x:c r="I1048" s="23" t="n">
        <x:v>1200</x:v>
      </x:c>
      <x:c r="J1048" s="23" t="n">
        <x:f>(IF(A1048='Hybrid Calculator'!$B$6,0,1))^2+((B1048-'Hybrid Calculator'!$B$7)/1500)^2+((C1048-'Hybrid Calculator'!$B$8)/1300)^2+((D1048-'Hybrid Calculator'!$B$9)/800)^2+((E1048-'Hybrid Calculator'!$B$10)/350)^2+((F1048-'Hybrid Calculator'!$B$11)/30)^2+(G1048-'Hybrid Calculator'!$B$12)^2+((H1048-'Hybrid Calculator'!$E$14)/IF(A1048="Lightning",100,30000))^2+((I1048-'Hybrid Calculator'!$E$17)/IF(A1048="Lightning",100,30000))^2</x:f>
        <x:v>1.5138591943701525</x:v>
      </x:c>
      <x:c r="K1048" s="23" t="n">
        <x:f>RANK(J1048,$J$2:$J$1401,1)</x:f>
        <x:v>1236</x:v>
      </x:c>
      <x:c r="L1048" s="23" t="n">
        <x:f>IF(K1048&lt;=7,1,0)</x:f>
        <x:v>0</x:v>
      </x:c>
      <x:c r="M1048" s="23" t="n">
        <x:f>IF(L1048=1,1/(J1048+0.000001),0)</x:f>
        <x:v>0</x:v>
      </x:c>
      <x:c r="N1048" s="23" t="n">
        <x:v>-2.860979719842362</x:v>
      </x:c>
      <x:c r="O1048" s="23" t="n">
        <x:f>M1048</x:f>
        <x:v>0</x:v>
      </x:c>
      <x:c r="P1048" s="23" t="n">
        <x:v>-27.359774343016397</x:v>
      </x:c>
      <x:c r="Q1048" s="23" t="n">
        <x:v>2.1183611672890947</x:v>
      </x:c>
    </x:row>
    <x:row r="1049">
      <x:c r="A1049" s="23" t="str">
        <x:v>Switching</x:v>
      </x:c>
      <x:c r="B1049" s="23" t="n">
        <x:v>952.865122014191</x:v>
      </x:c>
      <x:c r="C1049" s="23" t="n">
        <x:v>611.4004245493561</x:v>
      </x:c>
      <x:c r="D1049" s="23" t="n">
        <x:v>562.3798149637878</x:v>
      </x:c>
      <x:c r="E1049" s="23" t="n">
        <x:v>83.70611750986427</x:v>
      </x:c>
      <x:c r="F1049" s="23" t="n">
        <x:v>28.615328803192824</x:v>
      </x:c>
      <x:c r="G1049" s="23" t="n">
        <x:v>0.83890336798504</x:v>
      </x:c>
      <x:c r="H1049" s="23" t="n">
        <x:v>19840</x:v>
      </x:c>
      <x:c r="I1049" s="23" t="n">
        <x:v>1200</x:v>
      </x:c>
      <x:c r="J1049" s="23" t="n">
        <x:f>(IF(A1049='Hybrid Calculator'!$B$6,0,1))^2+((B1049-'Hybrid Calculator'!$B$7)/1500)^2+((C1049-'Hybrid Calculator'!$B$8)/1300)^2+((D1049-'Hybrid Calculator'!$B$9)/800)^2+((E1049-'Hybrid Calculator'!$B$10)/350)^2+((F1049-'Hybrid Calculator'!$B$11)/30)^2+(G1049-'Hybrid Calculator'!$B$12)^2+((H1049-'Hybrid Calculator'!$E$14)/IF(A1049="Lightning",100,30000))^2+((I1049-'Hybrid Calculator'!$E$17)/IF(A1049="Lightning",100,30000))^2</x:f>
        <x:v>1.7254548098377058</x:v>
      </x:c>
      <x:c r="K1049" s="23" t="n">
        <x:f>RANK(J1049,$J$2:$J$1401,1)</x:f>
        <x:v>1393</x:v>
      </x:c>
      <x:c r="L1049" s="23" t="n">
        <x:f>IF(K1049&lt;=7,1,0)</x:f>
        <x:v>0</x:v>
      </x:c>
      <x:c r="M1049" s="23" t="n">
        <x:f>IF(L1049=1,1/(J1049+0.000001),0)</x:f>
        <x:v>0</x:v>
      </x:c>
      <x:c r="N1049" s="23" t="n">
        <x:v>-0.6397853263070203</x:v>
      </x:c>
      <x:c r="O1049" s="23" t="n">
        <x:f>M1049</x:f>
        <x:v>0</x:v>
      </x:c>
      <x:c r="P1049" s="23" t="n">
        <x:v>-36.42828900432232</x:v>
      </x:c>
      <x:c r="Q1049" s="23" t="n">
        <x:v>-4.266539010691986</x:v>
      </x:c>
    </x:row>
    <x:row r="1050">
      <x:c r="A1050" s="23" t="str">
        <x:v>Switching</x:v>
      </x:c>
      <x:c r="B1050" s="23" t="n">
        <x:v>1043.5508877504617</x:v>
      </x:c>
      <x:c r="C1050" s="23" t="n">
        <x:v>1149.6531437966041</x:v>
      </x:c>
      <x:c r="D1050" s="23" t="n">
        <x:v>443.9213691279292</x:v>
      </x:c>
      <x:c r="E1050" s="23" t="n">
        <x:v>180.85928469197825</x:v>
      </x:c>
      <x:c r="F1050" s="23" t="n">
        <x:v>17.668463930487633</x:v>
      </x:c>
      <x:c r="G1050" s="23" t="n">
        <x:v>0.8190098783210852</x:v>
      </x:c>
      <x:c r="H1050" s="23" t="n">
        <x:v>12050</x:v>
      </x:c>
      <x:c r="I1050" s="23" t="n">
        <x:v>1200</x:v>
      </x:c>
      <x:c r="J1050" s="23" t="n">
        <x:f>(IF(A1050='Hybrid Calculator'!$B$6,0,1))^2+((B1050-'Hybrid Calculator'!$B$7)/1500)^2+((C1050-'Hybrid Calculator'!$B$8)/1300)^2+((D1050-'Hybrid Calculator'!$B$9)/800)^2+((E1050-'Hybrid Calculator'!$B$10)/350)^2+((F1050-'Hybrid Calculator'!$B$11)/30)^2+(G1050-'Hybrid Calculator'!$B$12)^2+((H1050-'Hybrid Calculator'!$E$14)/IF(A1050="Lightning",100,30000))^2+((I1050-'Hybrid Calculator'!$E$17)/IF(A1050="Lightning",100,30000))^2</x:f>
        <x:v>1.2927904527032723</x:v>
      </x:c>
      <x:c r="K1050" s="23" t="n">
        <x:f>RANK(J1050,$J$2:$J$1401,1)</x:f>
        <x:v>720</x:v>
      </x:c>
      <x:c r="L1050" s="23" t="n">
        <x:f>IF(K1050&lt;=7,1,0)</x:f>
        <x:v>0</x:v>
      </x:c>
      <x:c r="M1050" s="23" t="n">
        <x:f>IF(L1050=1,1/(J1050+0.000001),0)</x:f>
        <x:v>0</x:v>
      </x:c>
      <x:c r="N1050" s="23" t="n">
        <x:v>-1.4156438615501656</x:v>
      </x:c>
      <x:c r="O1050" s="23" t="n">
        <x:f>M1050</x:f>
        <x:v>0</x:v>
      </x:c>
      <x:c r="P1050" s="23" t="n">
        <x:v>17.84019918365084</x:v>
      </x:c>
      <x:c r="Q1050" s="23" t="n">
        <x:v>-3.438424691626551</x:v>
      </x:c>
    </x:row>
    <x:row r="1051">
      <x:c r="A1051" s="23" t="str">
        <x:v>Switching</x:v>
      </x:c>
      <x:c r="B1051" s="23" t="n">
        <x:v>1081.8933379952796</x:v>
      </x:c>
      <x:c r="C1051" s="23" t="n">
        <x:v>1006.6260842373595</x:v>
      </x:c>
      <x:c r="D1051" s="23" t="n">
        <x:v>526.1903834529221</x:v>
      </x:c>
      <x:c r="E1051" s="23" t="n">
        <x:v>200.27760269120336</x:v>
      </x:c>
      <x:c r="F1051" s="23" t="n">
        <x:v>19.936018025968224</x:v>
      </x:c>
      <x:c r="G1051" s="23" t="n">
        <x:v>0.7950850868737326</x:v>
      </x:c>
      <x:c r="H1051" s="23" t="n">
        <x:v>12340</x:v>
      </x:c>
      <x:c r="I1051" s="23" t="n">
        <x:v>1200</x:v>
      </x:c>
      <x:c r="J1051" s="23" t="n">
        <x:f>(IF(A1051='Hybrid Calculator'!$B$6,0,1))^2+((B1051-'Hybrid Calculator'!$B$7)/1500)^2+((C1051-'Hybrid Calculator'!$B$8)/1300)^2+((D1051-'Hybrid Calculator'!$B$9)/800)^2+((E1051-'Hybrid Calculator'!$B$10)/350)^2+((F1051-'Hybrid Calculator'!$B$11)/30)^2+(G1051-'Hybrid Calculator'!$B$12)^2+((H1051-'Hybrid Calculator'!$E$14)/IF(A1051="Lightning",100,30000))^2+((I1051-'Hybrid Calculator'!$E$17)/IF(A1051="Lightning",100,30000))^2</x:f>
        <x:v>1.26081680212213</x:v>
      </x:c>
      <x:c r="K1051" s="23" t="n">
        <x:f>RANK(J1051,$J$2:$J$1401,1)</x:f>
        <x:v>701</x:v>
      </x:c>
      <x:c r="L1051" s="23" t="n">
        <x:f>IF(K1051&lt;=7,1,0)</x:f>
        <x:v>0</x:v>
      </x:c>
      <x:c r="M1051" s="23" t="n">
        <x:f>IF(L1051=1,1/(J1051+0.000001),0)</x:f>
        <x:v>0</x:v>
      </x:c>
      <x:c r="N1051" s="23" t="n">
        <x:v>-1.6344975890257274</x:v>
      </x:c>
      <x:c r="O1051" s="23" t="n">
        <x:f>M1051</x:f>
        <x:v>0</x:v>
      </x:c>
      <x:c r="P1051" s="23" t="n">
        <x:v>-16.9898568718595</x:v>
      </x:c>
      <x:c r="Q1051" s="23" t="n">
        <x:v>-3.9871775504777816</x:v>
      </x:c>
    </x:row>
    <x:row r="1052">
      <x:c r="A1052" s="23" t="str">
        <x:v>Switching</x:v>
      </x:c>
      <x:c r="B1052" s="23" t="n">
        <x:v>1044.461715919897</x:v>
      </x:c>
      <x:c r="C1052" s="23" t="n">
        <x:v>700.1076371292584</x:v>
      </x:c>
      <x:c r="D1052" s="23" t="n">
        <x:v>607.3149299249053</x:v>
      </x:c>
      <x:c r="E1052" s="23" t="n">
        <x:v>97.60027633281425</x:v>
      </x:c>
      <x:c r="F1052" s="23" t="n">
        <x:v>21.99022863432765</x:v>
      </x:c>
      <x:c r="G1052" s="23" t="n">
        <x:v>0.7979897033818998</x:v>
      </x:c>
      <x:c r="H1052" s="23" t="n">
        <x:v>15220</x:v>
      </x:c>
      <x:c r="I1052" s="23" t="n">
        <x:v>1200</x:v>
      </x:c>
      <x:c r="J1052" s="23" t="n">
        <x:f>(IF(A1052='Hybrid Calculator'!$B$6,0,1))^2+((B1052-'Hybrid Calculator'!$B$7)/1500)^2+((C1052-'Hybrid Calculator'!$B$8)/1300)^2+((D1052-'Hybrid Calculator'!$B$9)/800)^2+((E1052-'Hybrid Calculator'!$B$10)/350)^2+((F1052-'Hybrid Calculator'!$B$11)/30)^2+(G1052-'Hybrid Calculator'!$B$12)^2+((H1052-'Hybrid Calculator'!$E$14)/IF(A1052="Lightning",100,30000))^2+((I1052-'Hybrid Calculator'!$E$17)/IF(A1052="Lightning",100,30000))^2</x:f>
        <x:v>1.3893153656033355</x:v>
      </x:c>
      <x:c r="K1052" s="23" t="n">
        <x:f>RANK(J1052,$J$2:$J$1401,1)</x:f>
        <x:v>949</x:v>
      </x:c>
      <x:c r="L1052" s="23" t="n">
        <x:f>IF(K1052&lt;=7,1,0)</x:f>
        <x:v>0</x:v>
      </x:c>
      <x:c r="M1052" s="23" t="n">
        <x:f>IF(L1052=1,1/(J1052+0.000001),0)</x:f>
        <x:v>0</x:v>
      </x:c>
      <x:c r="N1052" s="23" t="n">
        <x:v>0.1508593690813882</x:v>
      </x:c>
      <x:c r="O1052" s="23" t="n">
        <x:f>M1052</x:f>
        <x:v>0</x:v>
      </x:c>
      <x:c r="P1052" s="23" t="n">
        <x:v>-2.8563721413088388</x:v>
      </x:c>
      <x:c r="Q1052" s="23" t="n">
        <x:v>0.0016918922572131123</x:v>
      </x:c>
    </x:row>
    <x:row r="1053">
      <x:c r="A1053" s="23" t="str">
        <x:v>Switching</x:v>
      </x:c>
      <x:c r="B1053" s="23" t="n">
        <x:v>985.1098694023676</x:v>
      </x:c>
      <x:c r="C1053" s="23" t="n">
        <x:v>993.3677448658273</x:v>
      </x:c>
      <x:c r="D1053" s="23" t="n">
        <x:v>503.21044521406293</x:v>
      </x:c>
      <x:c r="E1053" s="23" t="n">
        <x:v>274.21695452183485</x:v>
      </x:c>
      <x:c r="F1053" s="23" t="n">
        <x:v>11.10133563214913</x:v>
      </x:c>
      <x:c r="G1053" s="23" t="n">
        <x:v>0.8596391768334434</x:v>
      </x:c>
      <x:c r="H1053" s="23" t="n">
        <x:v>14090</x:v>
      </x:c>
      <x:c r="I1053" s="23" t="n">
        <x:v>1200</x:v>
      </x:c>
      <x:c r="J1053" s="23" t="n">
        <x:f>(IF(A1053='Hybrid Calculator'!$B$6,0,1))^2+((B1053-'Hybrid Calculator'!$B$7)/1500)^2+((C1053-'Hybrid Calculator'!$B$8)/1300)^2+((D1053-'Hybrid Calculator'!$B$9)/800)^2+((E1053-'Hybrid Calculator'!$B$10)/350)^2+((F1053-'Hybrid Calculator'!$B$11)/30)^2+(G1053-'Hybrid Calculator'!$B$12)^2+((H1053-'Hybrid Calculator'!$E$14)/IF(A1053="Lightning",100,30000))^2+((I1053-'Hybrid Calculator'!$E$17)/IF(A1053="Lightning",100,30000))^2</x:f>
        <x:v>1.5070896456732046</x:v>
      </x:c>
      <x:c r="K1053" s="23" t="n">
        <x:f>RANK(J1053,$J$2:$J$1401,1)</x:f>
        <x:v>1223</x:v>
      </x:c>
      <x:c r="L1053" s="23" t="n">
        <x:f>IF(K1053&lt;=7,1,0)</x:f>
        <x:v>0</x:v>
      </x:c>
      <x:c r="M1053" s="23" t="n">
        <x:f>IF(L1053=1,1/(J1053+0.000001),0)</x:f>
        <x:v>0</x:v>
      </x:c>
      <x:c r="N1053" s="23" t="n">
        <x:v>0.8376042257428935</x:v>
      </x:c>
      <x:c r="O1053" s="23" t="n">
        <x:f>M1053</x:f>
        <x:v>0</x:v>
      </x:c>
      <x:c r="P1053" s="23" t="n">
        <x:v>35.79891218672719</x:v>
      </x:c>
      <x:c r="Q1053" s="23" t="n">
        <x:v>-3.7906206766838295</x:v>
      </x:c>
    </x:row>
    <x:row r="1054">
      <x:c r="A1054" s="23" t="str">
        <x:v>Switching</x:v>
      </x:c>
      <x:c r="B1054" s="23" t="n">
        <x:v>1051.1689204955474</x:v>
      </x:c>
      <x:c r="C1054" s="23" t="n">
        <x:v>1175.4582031746395</x:v>
      </x:c>
      <x:c r="D1054" s="23" t="n">
        <x:v>361.7436610162258</x:v>
      </x:c>
      <x:c r="E1054" s="23" t="n">
        <x:v>149.86263900762424</x:v>
      </x:c>
      <x:c r="F1054" s="23" t="n">
        <x:v>22.80258198734373</x:v>
      </x:c>
      <x:c r="G1054" s="23" t="n">
        <x:v>0.8567417504801416</x:v>
      </x:c>
      <x:c r="H1054" s="23" t="n">
        <x:v>12675</x:v>
      </x:c>
      <x:c r="I1054" s="23" t="n">
        <x:v>1200</x:v>
      </x:c>
      <x:c r="J1054" s="23" t="n">
        <x:f>(IF(A1054='Hybrid Calculator'!$B$6,0,1))^2+((B1054-'Hybrid Calculator'!$B$7)/1500)^2+((C1054-'Hybrid Calculator'!$B$8)/1300)^2+((D1054-'Hybrid Calculator'!$B$9)/800)^2+((E1054-'Hybrid Calculator'!$B$10)/350)^2+((F1054-'Hybrid Calculator'!$B$11)/30)^2+(G1054-'Hybrid Calculator'!$B$12)^2+((H1054-'Hybrid Calculator'!$E$14)/IF(A1054="Lightning",100,30000))^2+((I1054-'Hybrid Calculator'!$E$17)/IF(A1054="Lightning",100,30000))^2</x:f>
        <x:v>1.3552081788426247</x:v>
      </x:c>
      <x:c r="K1054" s="23" t="n">
        <x:f>RANK(J1054,$J$2:$J$1401,1)</x:f>
        <x:v>845</x:v>
      </x:c>
      <x:c r="L1054" s="23" t="n">
        <x:f>IF(K1054&lt;=7,1,0)</x:f>
        <x:v>0</x:v>
      </x:c>
      <x:c r="M1054" s="23" t="n">
        <x:f>IF(L1054=1,1/(J1054+0.000001),0)</x:f>
        <x:v>0</x:v>
      </x:c>
      <x:c r="N1054" s="23" t="n">
        <x:v>-0.12727946358788245</x:v>
      </x:c>
      <x:c r="O1054" s="23" t="n">
        <x:f>M1054</x:f>
        <x:v>0</x:v>
      </x:c>
      <x:c r="P1054" s="23" t="n">
        <x:v>27.864671585185533</x:v>
      </x:c>
      <x:c r="Q1054" s="23" t="n">
        <x:v>-2.2344355633388204</x:v>
      </x:c>
    </x:row>
    <x:row r="1055">
      <x:c r="A1055" s="23" t="str">
        <x:v>Switching</x:v>
      </x:c>
      <x:c r="B1055" s="23" t="n">
        <x:v>1038.2156139123254</x:v>
      </x:c>
      <x:c r="C1055" s="23" t="n">
        <x:v>730.6829735636711</x:v>
      </x:c>
      <x:c r="D1055" s="23" t="n">
        <x:v>430.0093858502805</x:v>
      </x:c>
      <x:c r="E1055" s="23" t="n">
        <x:v>153.38101707864553</x:v>
      </x:c>
      <x:c r="F1055" s="23" t="n">
        <x:v>16.48934465786442</x:v>
      </x:c>
      <x:c r="G1055" s="23" t="n">
        <x:v>0.8587594955693931</x:v>
      </x:c>
      <x:c r="H1055" s="23" t="n">
        <x:v>16275</x:v>
      </x:c>
      <x:c r="I1055" s="23" t="n">
        <x:v>1200</x:v>
      </x:c>
      <x:c r="J1055" s="23" t="n">
        <x:f>(IF(A1055='Hybrid Calculator'!$B$6,0,1))^2+((B1055-'Hybrid Calculator'!$B$7)/1500)^2+((C1055-'Hybrid Calculator'!$B$8)/1300)^2+((D1055-'Hybrid Calculator'!$B$9)/800)^2+((E1055-'Hybrid Calculator'!$B$10)/350)^2+((F1055-'Hybrid Calculator'!$B$11)/30)^2+(G1055-'Hybrid Calculator'!$B$12)^2+((H1055-'Hybrid Calculator'!$E$14)/IF(A1055="Lightning",100,30000))^2+((I1055-'Hybrid Calculator'!$E$17)/IF(A1055="Lightning",100,30000))^2</x:f>
        <x:v>1.3826903071310497</x:v>
      </x:c>
      <x:c r="K1055" s="23" t="n">
        <x:f>RANK(J1055,$J$2:$J$1401,1)</x:f>
        <x:v>924</x:v>
      </x:c>
      <x:c r="L1055" s="23" t="n">
        <x:f>IF(K1055&lt;=7,1,0)</x:f>
        <x:v>0</x:v>
      </x:c>
      <x:c r="M1055" s="23" t="n">
        <x:f>IF(L1055=1,1/(J1055+0.000001),0)</x:f>
        <x:v>0</x:v>
      </x:c>
      <x:c r="N1055" s="23" t="n">
        <x:v>-1.67737273340353</x:v>
      </x:c>
      <x:c r="O1055" s="23" t="n">
        <x:f>M1055</x:f>
        <x:v>0</x:v>
      </x:c>
      <x:c r="P1055" s="23" t="n">
        <x:v>19.877619413607135</x:v>
      </x:c>
      <x:c r="Q1055" s="23" t="n">
        <x:v>16.041599255781875</x:v>
      </x:c>
    </x:row>
    <x:row r="1056">
      <x:c r="A1056" s="23" t="str">
        <x:v>Switching</x:v>
      </x:c>
      <x:c r="B1056" s="23" t="n">
        <x:v>1035.444728937</x:v>
      </x:c>
      <x:c r="C1056" s="23" t="n">
        <x:v>698.9909089519642</x:v>
      </x:c>
      <x:c r="D1056" s="23" t="n">
        <x:v>716.8722772970796</x:v>
      </x:c>
      <x:c r="E1056" s="23" t="n">
        <x:v>187.3719440610148</x:v>
      </x:c>
      <x:c r="F1056" s="23" t="n">
        <x:v>16.290053540840745</x:v>
      </x:c>
      <x:c r="G1056" s="23" t="n">
        <x:v>0.829974974275101</x:v>
      </x:c>
      <x:c r="H1056" s="23" t="n">
        <x:v>13340</x:v>
      </x:c>
      <x:c r="I1056" s="23" t="n">
        <x:v>1200</x:v>
      </x:c>
      <x:c r="J1056" s="23" t="n">
        <x:f>(IF(A1056='Hybrid Calculator'!$B$6,0,1))^2+((B1056-'Hybrid Calculator'!$B$7)/1500)^2+((C1056-'Hybrid Calculator'!$B$8)/1300)^2+((D1056-'Hybrid Calculator'!$B$9)/800)^2+((E1056-'Hybrid Calculator'!$B$10)/350)^2+((F1056-'Hybrid Calculator'!$B$11)/30)^2+(G1056-'Hybrid Calculator'!$B$12)^2+((H1056-'Hybrid Calculator'!$E$14)/IF(A1056="Lightning",100,30000))^2+((I1056-'Hybrid Calculator'!$E$17)/IF(A1056="Lightning",100,30000))^2</x:f>
        <x:v>1.369139598647243</x:v>
      </x:c>
      <x:c r="K1056" s="23" t="n">
        <x:f>RANK(J1056,$J$2:$J$1401,1)</x:f>
        <x:v>883</x:v>
      </x:c>
      <x:c r="L1056" s="23" t="n">
        <x:f>IF(K1056&lt;=7,1,0)</x:f>
        <x:v>0</x:v>
      </x:c>
      <x:c r="M1056" s="23" t="n">
        <x:f>IF(L1056=1,1/(J1056+0.000001),0)</x:f>
        <x:v>0</x:v>
      </x:c>
      <x:c r="N1056" s="23" t="n">
        <x:v>-0.5977915722145895</x:v>
      </x:c>
      <x:c r="O1056" s="23" t="n">
        <x:f>M1056</x:f>
        <x:v>0</x:v>
      </x:c>
      <x:c r="P1056" s="23" t="n">
        <x:v>-59.263490543788976</x:v>
      </x:c>
      <x:c r="Q1056" s="23" t="n">
        <x:v>8.89945609383085</x:v>
      </x:c>
    </x:row>
    <x:row r="1057">
      <x:c r="A1057" s="23" t="str">
        <x:v>Switching</x:v>
      </x:c>
      <x:c r="B1057" s="23" t="n">
        <x:v>1024.7348272823729</x:v>
      </x:c>
      <x:c r="C1057" s="23" t="n">
        <x:v>703.1003463314846</x:v>
      </x:c>
      <x:c r="D1057" s="23" t="n">
        <x:v>508.4132903255522</x:v>
      </x:c>
      <x:c r="E1057" s="23" t="n">
        <x:v>190.31645559705794</x:v>
      </x:c>
      <x:c r="F1057" s="23" t="n">
        <x:v>13.03973237471655</x:v>
      </x:c>
      <x:c r="G1057" s="23" t="n">
        <x:v>0.8273052923986689</x:v>
      </x:c>
      <x:c r="H1057" s="23" t="n">
        <x:v>15255</x:v>
      </x:c>
      <x:c r="I1057" s="23" t="n">
        <x:v>1200</x:v>
      </x:c>
      <x:c r="J1057" s="23" t="n">
        <x:f>(IF(A1057='Hybrid Calculator'!$B$6,0,1))^2+((B1057-'Hybrid Calculator'!$B$7)/1500)^2+((C1057-'Hybrid Calculator'!$B$8)/1300)^2+((D1057-'Hybrid Calculator'!$B$9)/800)^2+((E1057-'Hybrid Calculator'!$B$10)/350)^2+((F1057-'Hybrid Calculator'!$B$11)/30)^2+(G1057-'Hybrid Calculator'!$B$12)^2+((H1057-'Hybrid Calculator'!$E$14)/IF(A1057="Lightning",100,30000))^2+((I1057-'Hybrid Calculator'!$E$17)/IF(A1057="Lightning",100,30000))^2</x:f>
        <x:v>1.3889483419262336</x:v>
      </x:c>
      <x:c r="K1057" s="23" t="n">
        <x:f>RANK(J1057,$J$2:$J$1401,1)</x:f>
        <x:v>947</x:v>
      </x:c>
      <x:c r="L1057" s="23" t="n">
        <x:f>IF(K1057&lt;=7,1,0)</x:f>
        <x:v>0</x:v>
      </x:c>
      <x:c r="M1057" s="23" t="n">
        <x:f>IF(L1057=1,1/(J1057+0.000001),0)</x:f>
        <x:v>0</x:v>
      </x:c>
      <x:c r="N1057" s="23" t="n">
        <x:v>-2.0959305899491483</x:v>
      </x:c>
      <x:c r="O1057" s="23" t="n">
        <x:f>M1057</x:f>
        <x:v>0</x:v>
      </x:c>
      <x:c r="P1057" s="23" t="n">
        <x:v>16.92252120268131</x:v>
      </x:c>
      <x:c r="Q1057" s="23" t="n">
        <x:v>7.740492698148955</x:v>
      </x:c>
    </x:row>
    <x:row r="1058">
      <x:c r="A1058" s="23" t="str">
        <x:v>Switching</x:v>
      </x:c>
      <x:c r="B1058" s="23" t="n">
        <x:v>1089.691425091587</x:v>
      </x:c>
      <x:c r="C1058" s="23" t="n">
        <x:v>1053.9633357548155</x:v>
      </x:c>
      <x:c r="D1058" s="23" t="n">
        <x:v>365.3178256005049</x:v>
      </x:c>
      <x:c r="E1058" s="23" t="n">
        <x:v>203.80304344696924</x:v>
      </x:c>
      <x:c r="F1058" s="23" t="n">
        <x:v>14.152129252441227</x:v>
      </x:c>
      <x:c r="G1058" s="23" t="n">
        <x:v>0.8413463208894245</x:v>
      </x:c>
      <x:c r="H1058" s="23" t="n">
        <x:v>13175</x:v>
      </x:c>
      <x:c r="I1058" s="23" t="n">
        <x:v>1200</x:v>
      </x:c>
      <x:c r="J1058" s="23" t="n">
        <x:f>(IF(A1058='Hybrid Calculator'!$B$6,0,1))^2+((B1058-'Hybrid Calculator'!$B$7)/1500)^2+((C1058-'Hybrid Calculator'!$B$8)/1300)^2+((D1058-'Hybrid Calculator'!$B$9)/800)^2+((E1058-'Hybrid Calculator'!$B$10)/350)^2+((F1058-'Hybrid Calculator'!$B$11)/30)^2+(G1058-'Hybrid Calculator'!$B$12)^2+((H1058-'Hybrid Calculator'!$E$14)/IF(A1058="Lightning",100,30000))^2+((I1058-'Hybrid Calculator'!$E$17)/IF(A1058="Lightning",100,30000))^2</x:f>
        <x:v>1.3409594663152602</x:v>
      </x:c>
      <x:c r="K1058" s="23" t="n">
        <x:f>RANK(J1058,$J$2:$J$1401,1)</x:f>
        <x:v>804</x:v>
      </x:c>
      <x:c r="L1058" s="23" t="n">
        <x:f>IF(K1058&lt;=7,1,0)</x:f>
        <x:v>0</x:v>
      </x:c>
      <x:c r="M1058" s="23" t="n">
        <x:f>IF(L1058=1,1/(J1058+0.000001),0)</x:f>
        <x:v>0</x:v>
      </x:c>
      <x:c r="N1058" s="23" t="n">
        <x:v>2.580700233528603</x:v>
      </x:c>
      <x:c r="O1058" s="23" t="n">
        <x:f>M1058</x:f>
        <x:v>0</x:v>
      </x:c>
      <x:c r="P1058" s="23" t="n">
        <x:v>-27.000731812239792</x:v>
      </x:c>
      <x:c r="Q1058" s="23" t="n">
        <x:v>-1.6353112198460167</x:v>
      </x:c>
    </x:row>
    <x:row r="1059">
      <x:c r="A1059" s="23" t="str">
        <x:v>Switching</x:v>
      </x:c>
      <x:c r="B1059" s="23" t="n">
        <x:v>963.0434531136416</x:v>
      </x:c>
      <x:c r="C1059" s="23" t="n">
        <x:v>769.8847808409482</x:v>
      </x:c>
      <x:c r="D1059" s="23" t="n">
        <x:v>545.8605918101966</x:v>
      </x:c>
      <x:c r="E1059" s="23" t="n">
        <x:v>171.2562854355201</x:v>
      </x:c>
      <x:c r="F1059" s="23" t="n">
        <x:v>23.622776604723185</x:v>
      </x:c>
      <x:c r="G1059" s="23" t="n">
        <x:v>0.7945228662900627</x:v>
      </x:c>
      <x:c r="H1059" s="23" t="n">
        <x:v>14380</x:v>
      </x:c>
      <x:c r="I1059" s="23" t="n">
        <x:v>1200</x:v>
      </x:c>
      <x:c r="J1059" s="23" t="n">
        <x:f>(IF(A1059='Hybrid Calculator'!$B$6,0,1))^2+((B1059-'Hybrid Calculator'!$B$7)/1500)^2+((C1059-'Hybrid Calculator'!$B$8)/1300)^2+((D1059-'Hybrid Calculator'!$B$9)/800)^2+((E1059-'Hybrid Calculator'!$B$10)/350)^2+((F1059-'Hybrid Calculator'!$B$11)/30)^2+(G1059-'Hybrid Calculator'!$B$12)^2+((H1059-'Hybrid Calculator'!$E$14)/IF(A1059="Lightning",100,30000))^2+((I1059-'Hybrid Calculator'!$E$17)/IF(A1059="Lightning",100,30000))^2</x:f>
        <x:v>1.3651259682664443</x:v>
      </x:c>
      <x:c r="K1059" s="23" t="n">
        <x:f>RANK(J1059,$J$2:$J$1401,1)</x:f>
        <x:v>870</x:v>
      </x:c>
      <x:c r="L1059" s="23" t="n">
        <x:f>IF(K1059&lt;=7,1,0)</x:f>
        <x:v>0</x:v>
      </x:c>
      <x:c r="M1059" s="23" t="n">
        <x:f>IF(L1059=1,1/(J1059+0.000001),0)</x:f>
        <x:v>0</x:v>
      </x:c>
      <x:c r="N1059" s="23" t="n">
        <x:v>-3.776400412214741</x:v>
      </x:c>
      <x:c r="O1059" s="23" t="n">
        <x:f>M1059</x:f>
        <x:v>0</x:v>
      </x:c>
      <x:c r="P1059" s="23" t="n">
        <x:v>-25.731741377030175</x:v>
      </x:c>
      <x:c r="Q1059" s="23" t="n">
        <x:v>-2.0950685366207153</x:v>
      </x:c>
    </x:row>
    <x:row r="1060">
      <x:c r="A1060" s="23" t="str">
        <x:v>Switching</x:v>
      </x:c>
      <x:c r="B1060" s="23" t="n">
        <x:v>1072.9189469013363</x:v>
      </x:c>
      <x:c r="C1060" s="23" t="n">
        <x:v>797.1716185915284</x:v>
      </x:c>
      <x:c r="D1060" s="23" t="n">
        <x:v>683.4647668525577</x:v>
      </x:c>
      <x:c r="E1060" s="23" t="n">
        <x:v>164.6702766721137</x:v>
      </x:c>
      <x:c r="F1060" s="23" t="n">
        <x:v>16.913928605616093</x:v>
      </x:c>
      <x:c r="G1060" s="23" t="n">
        <x:v>0.7970183225930669</x:v>
      </x:c>
      <x:c r="H1060" s="23" t="n">
        <x:v>13000</x:v>
      </x:c>
      <x:c r="I1060" s="23" t="n">
        <x:v>1200</x:v>
      </x:c>
      <x:c r="J1060" s="23" t="n">
        <x:f>(IF(A1060='Hybrid Calculator'!$B$6,0,1))^2+((B1060-'Hybrid Calculator'!$B$7)/1500)^2+((C1060-'Hybrid Calculator'!$B$8)/1300)^2+((D1060-'Hybrid Calculator'!$B$9)/800)^2+((E1060-'Hybrid Calculator'!$B$10)/350)^2+((F1060-'Hybrid Calculator'!$B$11)/30)^2+(G1060-'Hybrid Calculator'!$B$12)^2+((H1060-'Hybrid Calculator'!$E$14)/IF(A1060="Lightning",100,30000))^2+((I1060-'Hybrid Calculator'!$E$17)/IF(A1060="Lightning",100,30000))^2</x:f>
        <x:v>1.3022881859715145</x:v>
      </x:c>
      <x:c r="K1060" s="23" t="n">
        <x:f>RANK(J1060,$J$2:$J$1401,1)</x:f>
        <x:v>735</x:v>
      </x:c>
      <x:c r="L1060" s="23" t="n">
        <x:f>IF(K1060&lt;=7,1,0)</x:f>
        <x:v>0</x:v>
      </x:c>
      <x:c r="M1060" s="23" t="n">
        <x:f>IF(L1060=1,1/(J1060+0.000001),0)</x:f>
        <x:v>0</x:v>
      </x:c>
      <x:c r="N1060" s="23" t="n">
        <x:v>0.28736283563966936</x:v>
      </x:c>
      <x:c r="O1060" s="23" t="n">
        <x:f>M1060</x:f>
        <x:v>0</x:v>
      </x:c>
      <x:c r="P1060" s="23" t="n">
        <x:v>-41.14286292169527</x:v>
      </x:c>
      <x:c r="Q1060" s="23" t="n">
        <x:v>5.241997928636238</x:v>
      </x:c>
    </x:row>
    <x:row r="1061">
      <x:c r="A1061" s="23" t="str">
        <x:v>Switching</x:v>
      </x:c>
      <x:c r="B1061" s="23" t="n">
        <x:v>959.3663248349912</x:v>
      </x:c>
      <x:c r="C1061" s="23" t="n">
        <x:v>1108.11002550181</x:v>
      </x:c>
      <x:c r="D1061" s="23" t="n">
        <x:v>469.1646662540734</x:v>
      </x:c>
      <x:c r="E1061" s="23" t="n">
        <x:v>242.82734414562583</x:v>
      </x:c>
      <x:c r="F1061" s="23" t="n">
        <x:v>29.474727211985737</x:v>
      </x:c>
      <x:c r="G1061" s="23" t="n">
        <x:v>0.8584282644232736</x:v>
      </x:c>
      <x:c r="H1061" s="23" t="n">
        <x:v>13710</x:v>
      </x:c>
      <x:c r="I1061" s="23" t="n">
        <x:v>1200</x:v>
      </x:c>
      <x:c r="J1061" s="23" t="n">
        <x:f>(IF(A1061='Hybrid Calculator'!$B$6,0,1))^2+((B1061-'Hybrid Calculator'!$B$7)/1500)^2+((C1061-'Hybrid Calculator'!$B$8)/1300)^2+((D1061-'Hybrid Calculator'!$B$9)/800)^2+((E1061-'Hybrid Calculator'!$B$10)/350)^2+((F1061-'Hybrid Calculator'!$B$11)/30)^2+(G1061-'Hybrid Calculator'!$B$12)^2+((H1061-'Hybrid Calculator'!$E$14)/IF(A1061="Lightning",100,30000))^2+((I1061-'Hybrid Calculator'!$E$17)/IF(A1061="Lightning",100,30000))^2</x:f>
        <x:v>1.5517770819139654</x:v>
      </x:c>
      <x:c r="K1061" s="23" t="n">
        <x:f>RANK(J1061,$J$2:$J$1401,1)</x:f>
        <x:v>1306</x:v>
      </x:c>
      <x:c r="L1061" s="23" t="n">
        <x:f>IF(K1061&lt;=7,1,0)</x:f>
        <x:v>0</x:v>
      </x:c>
      <x:c r="M1061" s="23" t="n">
        <x:f>IF(L1061=1,1/(J1061+0.000001),0)</x:f>
        <x:v>0</x:v>
      </x:c>
      <x:c r="N1061" s="23" t="n">
        <x:v>-3.024785267771165</x:v>
      </x:c>
      <x:c r="O1061" s="23" t="n">
        <x:f>M1061</x:f>
        <x:v>0</x:v>
      </x:c>
      <x:c r="P1061" s="23" t="n">
        <x:v>8.20248898707041</x:v>
      </x:c>
      <x:c r="Q1061" s="23" t="n">
        <x:v>-18.411849515080007</x:v>
      </x:c>
    </x:row>
    <x:row r="1062">
      <x:c r="A1062" s="23" t="str">
        <x:v>Switching</x:v>
      </x:c>
      <x:c r="B1062" s="23" t="n">
        <x:v>951.0924625443295</x:v>
      </x:c>
      <x:c r="C1062" s="23" t="n">
        <x:v>672.049449023325</x:v>
      </x:c>
      <x:c r="D1062" s="23" t="n">
        <x:v>357.7413737773895</x:v>
      </x:c>
      <x:c r="E1062" s="23" t="n">
        <x:v>207.88374902447686</x:v>
      </x:c>
      <x:c r="F1062" s="23" t="n">
        <x:v>8.559852528385818</x:v>
      </x:c>
      <x:c r="G1062" s="23" t="n">
        <x:v>0.8463923398382031</x:v>
      </x:c>
      <x:c r="H1062" s="23" t="n">
        <x:v>20160</x:v>
      </x:c>
      <x:c r="I1062" s="23" t="n">
        <x:v>1200</x:v>
      </x:c>
      <x:c r="J1062" s="23" t="n">
        <x:f>(IF(A1062='Hybrid Calculator'!$B$6,0,1))^2+((B1062-'Hybrid Calculator'!$B$7)/1500)^2+((C1062-'Hybrid Calculator'!$B$8)/1300)^2+((D1062-'Hybrid Calculator'!$B$9)/800)^2+((E1062-'Hybrid Calculator'!$B$10)/350)^2+((F1062-'Hybrid Calculator'!$B$11)/30)^2+(G1062-'Hybrid Calculator'!$B$12)^2+((H1062-'Hybrid Calculator'!$E$14)/IF(A1062="Lightning",100,30000))^2+((I1062-'Hybrid Calculator'!$E$17)/IF(A1062="Lightning",100,30000))^2</x:f>
        <x:v>1.7388893288038672</x:v>
      </x:c>
      <x:c r="K1062" s="23" t="n">
        <x:f>RANK(J1062,$J$2:$J$1401,1)</x:f>
        <x:v>1397</x:v>
      </x:c>
      <x:c r="L1062" s="23" t="n">
        <x:f>IF(K1062&lt;=7,1,0)</x:f>
        <x:v>0</x:v>
      </x:c>
      <x:c r="M1062" s="23" t="n">
        <x:f>IF(L1062=1,1/(J1062+0.000001),0)</x:f>
        <x:v>0</x:v>
      </x:c>
      <x:c r="N1062" s="23" t="n">
        <x:v>0.618543675189045</x:v>
      </x:c>
      <x:c r="O1062" s="23" t="n">
        <x:f>M1062</x:f>
        <x:v>0</x:v>
      </x:c>
      <x:c r="P1062" s="23" t="n">
        <x:v>14.494247744958102</x:v>
      </x:c>
      <x:c r="Q1062" s="23" t="n">
        <x:v>12.269502520127276</x:v>
      </x:c>
    </x:row>
    <x:row r="1063">
      <x:c r="A1063" s="23" t="str">
        <x:v>Switching</x:v>
      </x:c>
      <x:c r="B1063" s="23" t="n">
        <x:v>974.3580334703438</x:v>
      </x:c>
      <x:c r="C1063" s="23" t="n">
        <x:v>777.9804863967001</x:v>
      </x:c>
      <x:c r="D1063" s="23" t="n">
        <x:v>363.8853228650987</x:v>
      </x:c>
      <x:c r="E1063" s="23" t="n">
        <x:v>180.91826098505408</x:v>
      </x:c>
      <x:c r="F1063" s="23" t="n">
        <x:v>10.40971635049209</x:v>
      </x:c>
      <x:c r="G1063" s="23" t="n">
        <x:v>0.8545966307912022</x:v>
      </x:c>
      <x:c r="H1063" s="23" t="n">
        <x:v>18860</x:v>
      </x:c>
      <x:c r="I1063" s="23" t="n">
        <x:v>1200</x:v>
      </x:c>
      <x:c r="J1063" s="23" t="n">
        <x:f>(IF(A1063='Hybrid Calculator'!$B$6,0,1))^2+((B1063-'Hybrid Calculator'!$B$7)/1500)^2+((C1063-'Hybrid Calculator'!$B$8)/1300)^2+((D1063-'Hybrid Calculator'!$B$9)/800)^2+((E1063-'Hybrid Calculator'!$B$10)/350)^2+((F1063-'Hybrid Calculator'!$B$11)/30)^2+(G1063-'Hybrid Calculator'!$B$12)^2+((H1063-'Hybrid Calculator'!$E$14)/IF(A1063="Lightning",100,30000))^2+((I1063-'Hybrid Calculator'!$E$17)/IF(A1063="Lightning",100,30000))^2</x:f>
        <x:v>1.5986635944293885</x:v>
      </x:c>
      <x:c r="K1063" s="23" t="n">
        <x:f>RANK(J1063,$J$2:$J$1401,1)</x:f>
        <x:v>1350</x:v>
      </x:c>
      <x:c r="L1063" s="23" t="n">
        <x:f>IF(K1063&lt;=7,1,0)</x:f>
        <x:v>0</x:v>
      </x:c>
      <x:c r="M1063" s="23" t="n">
        <x:f>IF(L1063=1,1/(J1063+0.000001),0)</x:f>
        <x:v>0</x:v>
      </x:c>
      <x:c r="N1063" s="23" t="n">
        <x:v>2.482621494570452</x:v>
      </x:c>
      <x:c r="O1063" s="23" t="n">
        <x:f>M1063</x:f>
        <x:v>0</x:v>
      </x:c>
      <x:c r="P1063" s="23" t="n">
        <x:v>-5.676159828673917</x:v>
      </x:c>
      <x:c r="Q1063" s="23" t="n">
        <x:v>9.011011303113037</x:v>
      </x:c>
    </x:row>
    <x:row r="1064">
      <x:c r="A1064" s="23" t="str">
        <x:v>Switching</x:v>
      </x:c>
      <x:c r="B1064" s="23" t="n">
        <x:v>990.2562832459807</x:v>
      </x:c>
      <x:c r="C1064" s="23" t="n">
        <x:v>926.2142520747148</x:v>
      </x:c>
      <x:c r="D1064" s="23" t="n">
        <x:v>430.8485211804509</x:v>
      </x:c>
      <x:c r="E1064" s="23" t="n">
        <x:v>129.46567449951544</x:v>
      </x:c>
      <x:c r="F1064" s="23" t="n">
        <x:v>22.155970325693488</x:v>
      </x:c>
      <x:c r="G1064" s="23" t="n">
        <x:v>0.8017723147687502</x:v>
      </x:c>
      <x:c r="H1064" s="23" t="n">
        <x:v>14385</x:v>
      </x:c>
      <x:c r="I1064" s="23" t="n">
        <x:v>1200</x:v>
      </x:c>
      <x:c r="J1064" s="23" t="n">
        <x:f>(IF(A1064='Hybrid Calculator'!$B$6,0,1))^2+((B1064-'Hybrid Calculator'!$B$7)/1500)^2+((C1064-'Hybrid Calculator'!$B$8)/1300)^2+((D1064-'Hybrid Calculator'!$B$9)/800)^2+((E1064-'Hybrid Calculator'!$B$10)/350)^2+((F1064-'Hybrid Calculator'!$B$11)/30)^2+(G1064-'Hybrid Calculator'!$B$12)^2+((H1064-'Hybrid Calculator'!$E$14)/IF(A1064="Lightning",100,30000))^2+((I1064-'Hybrid Calculator'!$E$17)/IF(A1064="Lightning",100,30000))^2</x:f>
        <x:v>1.3433940671142817</x:v>
      </x:c>
      <x:c r="K1064" s="23" t="n">
        <x:f>RANK(J1064,$J$2:$J$1401,1)</x:f>
        <x:v>813</x:v>
      </x:c>
      <x:c r="L1064" s="23" t="n">
        <x:f>IF(K1064&lt;=7,1,0)</x:f>
        <x:v>0</x:v>
      </x:c>
      <x:c r="M1064" s="23" t="n">
        <x:f>IF(L1064=1,1/(J1064+0.000001),0)</x:f>
        <x:v>0</x:v>
      </x:c>
      <x:c r="N1064" s="23" t="n">
        <x:v>-2.787599827842257</x:v>
      </x:c>
      <x:c r="O1064" s="23" t="n">
        <x:f>M1064</x:f>
        <x:v>0</x:v>
      </x:c>
      <x:c r="P1064" s="23" t="n">
        <x:v>36.475164575900635</x:v>
      </x:c>
      <x:c r="Q1064" s="23" t="n">
        <x:v>3.6713635153922723</x:v>
      </x:c>
    </x:row>
    <x:row r="1065">
      <x:c r="A1065" s="23" t="str">
        <x:v>Switching</x:v>
      </x:c>
      <x:c r="B1065" s="23" t="n">
        <x:v>1038.9353518025018</x:v>
      </x:c>
      <x:c r="C1065" s="23" t="n">
        <x:v>608.1001062178984</x:v>
      </x:c>
      <x:c r="D1065" s="23" t="n">
        <x:v>370.15171060338616</x:v>
      </x:c>
      <x:c r="E1065" s="23" t="n">
        <x:v>280.3245565574616</x:v>
      </x:c>
      <x:c r="F1065" s="23" t="n">
        <x:v>11.653830577153713</x:v>
      </x:c>
      <x:c r="G1065" s="23" t="n">
        <x:v>0.8521566024096683</x:v>
      </x:c>
      <x:c r="H1065" s="23" t="n">
        <x:v>16990</x:v>
      </x:c>
      <x:c r="I1065" s="23" t="n">
        <x:v>1200</x:v>
      </x:c>
      <x:c r="J1065" s="23" t="n">
        <x:f>(IF(A1065='Hybrid Calculator'!$B$6,0,1))^2+((B1065-'Hybrid Calculator'!$B$7)/1500)^2+((C1065-'Hybrid Calculator'!$B$8)/1300)^2+((D1065-'Hybrid Calculator'!$B$9)/800)^2+((E1065-'Hybrid Calculator'!$B$10)/350)^2+((F1065-'Hybrid Calculator'!$B$11)/30)^2+(G1065-'Hybrid Calculator'!$B$12)^2+((H1065-'Hybrid Calculator'!$E$14)/IF(A1065="Lightning",100,30000))^2+((I1065-'Hybrid Calculator'!$E$17)/IF(A1065="Lightning",100,30000))^2</x:f>
        <x:v>1.6393551073615193</x:v>
      </x:c>
      <x:c r="K1065" s="23" t="n">
        <x:f>RANK(J1065,$J$2:$J$1401,1)</x:f>
        <x:v>1371</x:v>
      </x:c>
      <x:c r="L1065" s="23" t="n">
        <x:f>IF(K1065&lt;=7,1,0)</x:f>
        <x:v>0</x:v>
      </x:c>
      <x:c r="M1065" s="23" t="n">
        <x:f>IF(L1065=1,1/(J1065+0.000001),0)</x:f>
        <x:v>0</x:v>
      </x:c>
      <x:c r="N1065" s="23" t="n">
        <x:v>0.5485084366427202</x:v>
      </x:c>
      <x:c r="O1065" s="23" t="n">
        <x:f>M1065</x:f>
        <x:v>0</x:v>
      </x:c>
      <x:c r="P1065" s="23" t="n">
        <x:v>-4.42277176843254</x:v>
      </x:c>
      <x:c r="Q1065" s="23" t="n">
        <x:v>18.3610763130373</x:v>
      </x:c>
    </x:row>
    <x:row r="1066">
      <x:c r="A1066" s="23" t="str">
        <x:v>Switching</x:v>
      </x:c>
      <x:c r="B1066" s="23" t="n">
        <x:v>986.8253705091774</x:v>
      </x:c>
      <x:c r="C1066" s="23" t="n">
        <x:v>752.7802662341855</x:v>
      </x:c>
      <x:c r="D1066" s="23" t="n">
        <x:v>396.8293169513345</x:v>
      </x:c>
      <x:c r="E1066" s="23" t="n">
        <x:v>244.51600572327152</x:v>
      </x:c>
      <x:c r="F1066" s="23" t="n">
        <x:v>13.583029912784696</x:v>
      </x:c>
      <x:c r="G1066" s="23" t="n">
        <x:v>0.828369778834749</x:v>
      </x:c>
      <x:c r="H1066" s="23" t="n">
        <x:v>17895</x:v>
      </x:c>
      <x:c r="I1066" s="23" t="n">
        <x:v>1200</x:v>
      </x:c>
      <x:c r="J1066" s="23" t="n">
        <x:f>(IF(A1066='Hybrid Calculator'!$B$6,0,1))^2+((B1066-'Hybrid Calculator'!$B$7)/1500)^2+((C1066-'Hybrid Calculator'!$B$8)/1300)^2+((D1066-'Hybrid Calculator'!$B$9)/800)^2+((E1066-'Hybrid Calculator'!$B$10)/350)^2+((F1066-'Hybrid Calculator'!$B$11)/30)^2+(G1066-'Hybrid Calculator'!$B$12)^2+((H1066-'Hybrid Calculator'!$E$14)/IF(A1066="Lightning",100,30000))^2+((I1066-'Hybrid Calculator'!$E$17)/IF(A1066="Lightning",100,30000))^2</x:f>
        <x:v>1.5627746125382915</x:v>
      </x:c>
      <x:c r="K1066" s="23" t="n">
        <x:f>RANK(J1066,$J$2:$J$1401,1)</x:f>
        <x:v>1321</x:v>
      </x:c>
      <x:c r="L1066" s="23" t="n">
        <x:f>IF(K1066&lt;=7,1,0)</x:f>
        <x:v>0</x:v>
      </x:c>
      <x:c r="M1066" s="23" t="n">
        <x:f>IF(L1066=1,1/(J1066+0.000001),0)</x:f>
        <x:v>0</x:v>
      </x:c>
      <x:c r="N1066" s="23" t="n">
        <x:v>-0.13481240782491</x:v>
      </x:c>
      <x:c r="O1066" s="23" t="n">
        <x:f>M1066</x:f>
        <x:v>0</x:v>
      </x:c>
      <x:c r="P1066" s="23" t="n">
        <x:v>-7.940023411870698</x:v>
      </x:c>
      <x:c r="Q1066" s="23" t="n">
        <x:v>11.621600601440832</x:v>
      </x:c>
    </x:row>
    <x:row r="1067">
      <x:c r="A1067" s="23" t="str">
        <x:v>Switching</x:v>
      </x:c>
      <x:c r="B1067" s="23" t="n">
        <x:v>1063.4996547945775</x:v>
      </x:c>
      <x:c r="C1067" s="23" t="n">
        <x:v>1242.6642735721543</x:v>
      </x:c>
      <x:c r="D1067" s="23" t="n">
        <x:v>690.5611523427069</x:v>
      </x:c>
      <x:c r="E1067" s="23" t="n">
        <x:v>234.08152085728943</x:v>
      </x:c>
      <x:c r="F1067" s="23" t="n">
        <x:v>17.021933615673333</x:v>
      </x:c>
      <x:c r="G1067" s="23" t="n">
        <x:v>0.8448708492750302</x:v>
      </x:c>
      <x:c r="H1067" s="23" t="n">
        <x:v>9865</x:v>
      </x:c>
      <x:c r="I1067" s="23" t="n">
        <x:v>1195</x:v>
      </x:c>
      <x:c r="J1067" s="23" t="n">
        <x:f>(IF(A1067='Hybrid Calculator'!$B$6,0,1))^2+((B1067-'Hybrid Calculator'!$B$7)/1500)^2+((C1067-'Hybrid Calculator'!$B$8)/1300)^2+((D1067-'Hybrid Calculator'!$B$9)/800)^2+((E1067-'Hybrid Calculator'!$B$10)/350)^2+((F1067-'Hybrid Calculator'!$B$11)/30)^2+(G1067-'Hybrid Calculator'!$B$12)^2+((H1067-'Hybrid Calculator'!$E$14)/IF(A1067="Lightning",100,30000))^2+((I1067-'Hybrid Calculator'!$E$17)/IF(A1067="Lightning",100,30000))^2</x:f>
        <x:v>1.375371765772572</x:v>
      </x:c>
      <x:c r="K1067" s="23" t="n">
        <x:f>RANK(J1067,$J$2:$J$1401,1)</x:f>
        <x:v>905</x:v>
      </x:c>
      <x:c r="L1067" s="23" t="n">
        <x:f>IF(K1067&lt;=7,1,0)</x:f>
        <x:v>0</x:v>
      </x:c>
      <x:c r="M1067" s="23" t="n">
        <x:f>IF(L1067=1,1/(J1067+0.000001),0)</x:f>
        <x:v>0</x:v>
      </x:c>
      <x:c r="N1067" s="23" t="n">
        <x:v>1.4450298924188019</x:v>
      </x:c>
      <x:c r="O1067" s="23" t="n">
        <x:f>M1067</x:f>
        <x:v>0</x:v>
      </x:c>
      <x:c r="P1067" s="23" t="n">
        <x:v>45.15977077511843</x:v>
      </x:c>
      <x:c r="Q1067" s="23" t="n">
        <x:v>-10.75828349533549</x:v>
      </x:c>
    </x:row>
    <x:row r="1068">
      <x:c r="A1068" s="23" t="str">
        <x:v>Switching</x:v>
      </x:c>
      <x:c r="B1068" s="23" t="n">
        <x:v>955.2090173354372</x:v>
      </x:c>
      <x:c r="C1068" s="23" t="n">
        <x:v>1141.625346580986</x:v>
      </x:c>
      <x:c r="D1068" s="23" t="n">
        <x:v>585.9765525907278</x:v>
      </x:c>
      <x:c r="E1068" s="23" t="n">
        <x:v>183.51766896201298</x:v>
      </x:c>
      <x:c r="F1068" s="23" t="n">
        <x:v>13.011246931739151</x:v>
      </x:c>
      <x:c r="G1068" s="23" t="n">
        <x:v>0.8122490179981106</x:v>
      </x:c>
      <x:c r="H1068" s="23" t="n">
        <x:v>13055</x:v>
      </x:c>
      <x:c r="I1068" s="23" t="n">
        <x:v>1200</x:v>
      </x:c>
      <x:c r="J1068" s="23" t="n">
        <x:f>(IF(A1068='Hybrid Calculator'!$B$6,0,1))^2+((B1068-'Hybrid Calculator'!$B$7)/1500)^2+((C1068-'Hybrid Calculator'!$B$8)/1300)^2+((D1068-'Hybrid Calculator'!$B$9)/800)^2+((E1068-'Hybrid Calculator'!$B$10)/350)^2+((F1068-'Hybrid Calculator'!$B$11)/30)^2+(G1068-'Hybrid Calculator'!$B$12)^2+((H1068-'Hybrid Calculator'!$E$14)/IF(A1068="Lightning",100,30000))^2+((I1068-'Hybrid Calculator'!$E$17)/IF(A1068="Lightning",100,30000))^2</x:f>
        <x:v>1.3921241473322417</x:v>
      </x:c>
      <x:c r="K1068" s="23" t="n">
        <x:f>RANK(J1068,$J$2:$J$1401,1)</x:f>
        <x:v>954</x:v>
      </x:c>
      <x:c r="L1068" s="23" t="n">
        <x:f>IF(K1068&lt;=7,1,0)</x:f>
        <x:v>0</x:v>
      </x:c>
      <x:c r="M1068" s="23" t="n">
        <x:f>IF(L1068=1,1/(J1068+0.000001),0)</x:f>
        <x:v>0</x:v>
      </x:c>
      <x:c r="N1068" s="23" t="n">
        <x:v>0.10074733235552458</x:v>
      </x:c>
      <x:c r="O1068" s="23" t="n">
        <x:f>M1068</x:f>
        <x:v>0</x:v>
      </x:c>
      <x:c r="P1068" s="23" t="n">
        <x:v>27.982025407207857</x:v>
      </x:c>
      <x:c r="Q1068" s="23" t="n">
        <x:v>3.258592067381983</x:v>
      </x:c>
    </x:row>
    <x:row r="1069">
      <x:c r="A1069" s="23" t="str">
        <x:v>Switching</x:v>
      </x:c>
      <x:c r="B1069" s="23" t="n">
        <x:v>963.5701590566896</x:v>
      </x:c>
      <x:c r="C1069" s="23" t="n">
        <x:v>619.1274727229029</x:v>
      </x:c>
      <x:c r="D1069" s="23" t="n">
        <x:v>356.1404752545059</x:v>
      </x:c>
      <x:c r="E1069" s="23" t="n">
        <x:v>248.12512220349163</x:v>
      </x:c>
      <x:c r="F1069" s="23" t="n">
        <x:v>10.468642889987677</x:v>
      </x:c>
      <x:c r="G1069" s="23" t="n">
        <x:v>0.8122725749947131</x:v>
      </x:c>
      <x:c r="H1069" s="23" t="n">
        <x:v>20395</x:v>
      </x:c>
      <x:c r="I1069" s="23" t="n">
        <x:v>1200</x:v>
      </x:c>
      <x:c r="J1069" s="23" t="n">
        <x:f>(IF(A1069='Hybrid Calculator'!$B$6,0,1))^2+((B1069-'Hybrid Calculator'!$B$7)/1500)^2+((C1069-'Hybrid Calculator'!$B$8)/1300)^2+((D1069-'Hybrid Calculator'!$B$9)/800)^2+((E1069-'Hybrid Calculator'!$B$10)/350)^2+((F1069-'Hybrid Calculator'!$B$11)/30)^2+(G1069-'Hybrid Calculator'!$B$12)^2+((H1069-'Hybrid Calculator'!$E$14)/IF(A1069="Lightning",100,30000))^2+((I1069-'Hybrid Calculator'!$E$17)/IF(A1069="Lightning",100,30000))^2</x:f>
        <x:v>1.7702802897292265</x:v>
      </x:c>
      <x:c r="K1069" s="23" t="n">
        <x:f>RANK(J1069,$J$2:$J$1401,1)</x:f>
        <x:v>1400</x:v>
      </x:c>
      <x:c r="L1069" s="23" t="n">
        <x:f>IF(K1069&lt;=7,1,0)</x:f>
        <x:v>0</x:v>
      </x:c>
      <x:c r="M1069" s="23" t="n">
        <x:f>IF(L1069=1,1/(J1069+0.000001),0)</x:f>
        <x:v>0</x:v>
      </x:c>
      <x:c r="N1069" s="23" t="n">
        <x:v>-2.1544538941667213</x:v>
      </x:c>
      <x:c r="O1069" s="23" t="n">
        <x:f>M1069</x:f>
        <x:v>0</x:v>
      </x:c>
      <x:c r="P1069" s="23" t="n">
        <x:v>3.850645535795138</x:v>
      </x:c>
      <x:c r="Q1069" s="23" t="n">
        <x:v>17.068945242898053</x:v>
      </x:c>
    </x:row>
    <x:row r="1070">
      <x:c r="A1070" s="23" t="str">
        <x:v>Switching</x:v>
      </x:c>
      <x:c r="B1070" s="23" t="n">
        <x:v>1065.2615424711257</x:v>
      </x:c>
      <x:c r="C1070" s="23" t="n">
        <x:v>835.6984346988611</x:v>
      </x:c>
      <x:c r="D1070" s="23" t="n">
        <x:v>590.2838794514537</x:v>
      </x:c>
      <x:c r="E1070" s="23" t="n">
        <x:v>216.7944500525482</x:v>
      </x:c>
      <x:c r="F1070" s="23" t="n">
        <x:v>16.00718256831169</x:v>
      </x:c>
      <x:c r="G1070" s="23" t="n">
        <x:v>0.8242300458834507</x:v>
      </x:c>
      <x:c r="H1070" s="23" t="n">
        <x:v>13020</x:v>
      </x:c>
      <x:c r="I1070" s="23" t="n">
        <x:v>1200</x:v>
      </x:c>
      <x:c r="J1070" s="23" t="n">
        <x:f>(IF(A1070='Hybrid Calculator'!$B$6,0,1))^2+((B1070-'Hybrid Calculator'!$B$7)/1500)^2+((C1070-'Hybrid Calculator'!$B$8)/1300)^2+((D1070-'Hybrid Calculator'!$B$9)/800)^2+((E1070-'Hybrid Calculator'!$B$10)/350)^2+((F1070-'Hybrid Calculator'!$B$11)/30)^2+(G1070-'Hybrid Calculator'!$B$12)^2+((H1070-'Hybrid Calculator'!$E$14)/IF(A1070="Lightning",100,30000))^2+((I1070-'Hybrid Calculator'!$E$17)/IF(A1070="Lightning",100,30000))^2</x:f>
        <x:v>1.302162607492182</x:v>
      </x:c>
      <x:c r="K1070" s="23" t="n">
        <x:f>RANK(J1070,$J$2:$J$1401,1)</x:f>
        <x:v>734</x:v>
      </x:c>
      <x:c r="L1070" s="23" t="n">
        <x:f>IF(K1070&lt;=7,1,0)</x:f>
        <x:v>0</x:v>
      </x:c>
      <x:c r="M1070" s="23" t="n">
        <x:f>IF(L1070=1,1/(J1070+0.000001),0)</x:f>
        <x:v>0</x:v>
      </x:c>
      <x:c r="N1070" s="23" t="n">
        <x:v>-1.770996763126675</x:v>
      </x:c>
      <x:c r="O1070" s="23" t="n">
        <x:f>M1070</x:f>
        <x:v>0</x:v>
      </x:c>
      <x:c r="P1070" s="23" t="n">
        <x:v>-18.024693971376564</x:v>
      </x:c>
      <x:c r="Q1070" s="23" t="n">
        <x:v>8.688552204171401</x:v>
      </x:c>
    </x:row>
    <x:row r="1071">
      <x:c r="A1071" s="23" t="str">
        <x:v>Switching</x:v>
      </x:c>
      <x:c r="B1071" s="23" t="n">
        <x:v>1023.1119685922749</x:v>
      </x:c>
      <x:c r="C1071" s="23" t="n">
        <x:v>968.0354268988594</x:v>
      </x:c>
      <x:c r="D1071" s="23" t="n">
        <x:v>425.3249269910157</x:v>
      </x:c>
      <x:c r="E1071" s="23" t="n">
        <x:v>279.0793184377253</x:v>
      </x:c>
      <x:c r="F1071" s="23" t="n">
        <x:v>13.41548021743074</x:v>
      </x:c>
      <x:c r="G1071" s="23" t="n">
        <x:v>0.8390076818829403</x:v>
      </x:c>
      <x:c r="H1071" s="23" t="n">
        <x:v>12785</x:v>
      </x:c>
      <x:c r="I1071" s="23" t="n">
        <x:v>1200</x:v>
      </x:c>
      <x:c r="J1071" s="23" t="n">
        <x:f>(IF(A1071='Hybrid Calculator'!$B$6,0,1))^2+((B1071-'Hybrid Calculator'!$B$7)/1500)^2+((C1071-'Hybrid Calculator'!$B$8)/1300)^2+((D1071-'Hybrid Calculator'!$B$9)/800)^2+((E1071-'Hybrid Calculator'!$B$10)/350)^2+((F1071-'Hybrid Calculator'!$B$11)/30)^2+(G1071-'Hybrid Calculator'!$B$12)^2+((H1071-'Hybrid Calculator'!$E$14)/IF(A1071="Lightning",100,30000))^2+((I1071-'Hybrid Calculator'!$E$17)/IF(A1071="Lightning",100,30000))^2</x:f>
        <x:v>1.43557346655599</x:v>
      </x:c>
      <x:c r="K1071" s="23" t="n">
        <x:f>RANK(J1071,$J$2:$J$1401,1)</x:f>
        <x:v>1072</x:v>
      </x:c>
      <x:c r="L1071" s="23" t="n">
        <x:f>IF(K1071&lt;=7,1,0)</x:f>
        <x:v>0</x:v>
      </x:c>
      <x:c r="M1071" s="23" t="n">
        <x:f>IF(L1071=1,1/(J1071+0.000001),0)</x:f>
        <x:v>0</x:v>
      </x:c>
      <x:c r="N1071" s="23" t="n">
        <x:v>0.9901951998039351</x:v>
      </x:c>
      <x:c r="O1071" s="23" t="n">
        <x:f>M1071</x:f>
        <x:v>0</x:v>
      </x:c>
      <x:c r="P1071" s="23" t="n">
        <x:v>18.20018932036828</x:v>
      </x:c>
      <x:c r="Q1071" s="23" t="n">
        <x:v>4.480647279276582</x:v>
      </x:c>
    </x:row>
    <x:row r="1072">
      <x:c r="A1072" s="23" t="str">
        <x:v>Switching</x:v>
      </x:c>
      <x:c r="B1072" s="23" t="n">
        <x:v>1020.3934685559943</x:v>
      </x:c>
      <x:c r="C1072" s="23" t="n">
        <x:v>1135.8529036981054</x:v>
      </x:c>
      <x:c r="D1072" s="23" t="n">
        <x:v>539.5213976502419</x:v>
      </x:c>
      <x:c r="E1072" s="23" t="n">
        <x:v>329.2818487226032</x:v>
      </x:c>
      <x:c r="F1072" s="23" t="n">
        <x:v>23.687054614536464</x:v>
      </x:c>
      <x:c r="G1072" s="23" t="n">
        <x:v>0.8147410440794193</x:v>
      </x:c>
      <x:c r="H1072" s="23" t="n">
        <x:v>10670</x:v>
      </x:c>
      <x:c r="I1072" s="23" t="n">
        <x:v>1195</x:v>
      </x:c>
      <x:c r="J1072" s="23" t="n">
        <x:f>(IF(A1072='Hybrid Calculator'!$B$6,0,1))^2+((B1072-'Hybrid Calculator'!$B$7)/1500)^2+((C1072-'Hybrid Calculator'!$B$8)/1300)^2+((D1072-'Hybrid Calculator'!$B$9)/800)^2+((E1072-'Hybrid Calculator'!$B$10)/350)^2+((F1072-'Hybrid Calculator'!$B$11)/30)^2+(G1072-'Hybrid Calculator'!$B$12)^2+((H1072-'Hybrid Calculator'!$E$14)/IF(A1072="Lightning",100,30000))^2+((I1072-'Hybrid Calculator'!$E$17)/IF(A1072="Lightning",100,30000))^2</x:f>
        <x:v>1.5426923959116767</x:v>
      </x:c>
      <x:c r="K1072" s="23" t="n">
        <x:f>RANK(J1072,$J$2:$J$1401,1)</x:f>
        <x:v>1286</x:v>
      </x:c>
      <x:c r="L1072" s="23" t="n">
        <x:f>IF(K1072&lt;=7,1,0)</x:f>
        <x:v>0</x:v>
      </x:c>
      <x:c r="M1072" s="23" t="n">
        <x:f>IF(L1072=1,1/(J1072+0.000001),0)</x:f>
        <x:v>0</x:v>
      </x:c>
      <x:c r="N1072" s="23" t="n">
        <x:v>2.4343668341987836</x:v>
      </x:c>
      <x:c r="O1072" s="23" t="n">
        <x:f>M1072</x:f>
        <x:v>0</x:v>
      </x:c>
      <x:c r="P1072" s="23" t="n">
        <x:v>-4.223397120842947</x:v>
      </x:c>
      <x:c r="Q1072" s="23" t="n">
        <x:v>-10.447563209555938</x:v>
      </x:c>
    </x:row>
    <x:row r="1073">
      <x:c r="A1073" s="23" t="str">
        <x:v>Switching</x:v>
      </x:c>
      <x:c r="B1073" s="23" t="n">
        <x:v>1041.494941606652</x:v>
      </x:c>
      <x:c r="C1073" s="23" t="n">
        <x:v>830.0480361096561</x:v>
      </x:c>
      <x:c r="D1073" s="23" t="n">
        <x:v>356.6151431761682</x:v>
      </x:c>
      <x:c r="E1073" s="23" t="n">
        <x:v>308.5140628227964</x:v>
      </x:c>
      <x:c r="F1073" s="23" t="n">
        <x:v>23.790465538855642</x:v>
      </x:c>
      <x:c r="G1073" s="23" t="n">
        <x:v>0.82132359710522</x:v>
      </x:c>
      <x:c r="H1073" s="23" t="n">
        <x:v>14305</x:v>
      </x:c>
      <x:c r="I1073" s="23" t="n">
        <x:v>1200</x:v>
      </x:c>
      <x:c r="J1073" s="23" t="n">
        <x:f>(IF(A1073='Hybrid Calculator'!$B$6,0,1))^2+((B1073-'Hybrid Calculator'!$B$7)/1500)^2+((C1073-'Hybrid Calculator'!$B$8)/1300)^2+((D1073-'Hybrid Calculator'!$B$9)/800)^2+((E1073-'Hybrid Calculator'!$B$10)/350)^2+((F1073-'Hybrid Calculator'!$B$11)/30)^2+(G1073-'Hybrid Calculator'!$B$12)^2+((H1073-'Hybrid Calculator'!$E$14)/IF(A1073="Lightning",100,30000))^2+((I1073-'Hybrid Calculator'!$E$17)/IF(A1073="Lightning",100,30000))^2</x:f>
        <x:v>1.5612605391788326</x:v>
      </x:c>
      <x:c r="K1073" s="23" t="n">
        <x:f>RANK(J1073,$J$2:$J$1401,1)</x:f>
        <x:v>1318</x:v>
      </x:c>
      <x:c r="L1073" s="23" t="n">
        <x:f>IF(K1073&lt;=7,1,0)</x:f>
        <x:v>0</x:v>
      </x:c>
      <x:c r="M1073" s="23" t="n">
        <x:f>IF(L1073=1,1/(J1073+0.000001),0)</x:f>
        <x:v>0</x:v>
      </x:c>
      <x:c r="N1073" s="23" t="n">
        <x:v>0.22029865743380128</x:v>
      </x:c>
      <x:c r="O1073" s="23" t="n">
        <x:f>M1073</x:f>
        <x:v>0</x:v>
      </x:c>
      <x:c r="P1073" s="23" t="n">
        <x:v>15.908196770858922</x:v>
      </x:c>
      <x:c r="Q1073" s="23" t="n">
        <x:v>1.3750705206475686</x:v>
      </x:c>
    </x:row>
    <x:row r="1074">
      <x:c r="A1074" s="23" t="str">
        <x:v>Switching</x:v>
      </x:c>
      <x:c r="B1074" s="23" t="n">
        <x:v>1048.8678682595491</x:v>
      </x:c>
      <x:c r="C1074" s="23" t="n">
        <x:v>919.9079951620661</x:v>
      </x:c>
      <x:c r="D1074" s="23" t="n">
        <x:v>386.36388946324587</x:v>
      </x:c>
      <x:c r="E1074" s="23" t="n">
        <x:v>265.9599990420975</x:v>
      </x:c>
      <x:c r="F1074" s="23" t="n">
        <x:v>19.125183565542102</x:v>
      </x:c>
      <x:c r="G1074" s="23" t="n">
        <x:v>0.8007161389035173</x:v>
      </x:c>
      <x:c r="H1074" s="23" t="n">
        <x:v>13600</x:v>
      </x:c>
      <x:c r="I1074" s="23" t="n">
        <x:v>1200</x:v>
      </x:c>
      <x:c r="J1074" s="23" t="n">
        <x:f>(IF(A1074='Hybrid Calculator'!$B$6,0,1))^2+((B1074-'Hybrid Calculator'!$B$7)/1500)^2+((C1074-'Hybrid Calculator'!$B$8)/1300)^2+((D1074-'Hybrid Calculator'!$B$9)/800)^2+((E1074-'Hybrid Calculator'!$B$10)/350)^2+((F1074-'Hybrid Calculator'!$B$11)/30)^2+(G1074-'Hybrid Calculator'!$B$12)^2+((H1074-'Hybrid Calculator'!$E$14)/IF(A1074="Lightning",100,30000))^2+((I1074-'Hybrid Calculator'!$E$17)/IF(A1074="Lightning",100,30000))^2</x:f>
        <x:v>1.4020586694959956</x:v>
      </x:c>
      <x:c r="K1074" s="23" t="n">
        <x:f>RANK(J1074,$J$2:$J$1401,1)</x:f>
        <x:v>980</x:v>
      </x:c>
      <x:c r="L1074" s="23" t="n">
        <x:f>IF(K1074&lt;=7,1,0)</x:f>
        <x:v>0</x:v>
      </x:c>
      <x:c r="M1074" s="23" t="n">
        <x:f>IF(L1074=1,1/(J1074+0.000001),0)</x:f>
        <x:v>0</x:v>
      </x:c>
      <x:c r="N1074" s="23" t="n">
        <x:v>0.006152440884989119</x:v>
      </x:c>
      <x:c r="O1074" s="23" t="n">
        <x:f>M1074</x:f>
        <x:v>0</x:v>
      </x:c>
      <x:c r="P1074" s="23" t="n">
        <x:v>35.46549307560463</x:v>
      </x:c>
      <x:c r="Q1074" s="23" t="n">
        <x:v>-0.18072553122010504</x:v>
      </x:c>
    </x:row>
    <x:row r="1075">
      <x:c r="A1075" s="23" t="str">
        <x:v>Switching</x:v>
      </x:c>
      <x:c r="B1075" s="23" t="n">
        <x:v>1061.8458385230042</x:v>
      </x:c>
      <x:c r="C1075" s="23" t="n">
        <x:v>1162.3700311640278</x:v>
      </x:c>
      <x:c r="D1075" s="23" t="n">
        <x:v>645.1184527017176</x:v>
      </x:c>
      <x:c r="E1075" s="23" t="n">
        <x:v>165.56907228194177</x:v>
      </x:c>
      <x:c r="F1075" s="23" t="n">
        <x:v>22.87702412577346</x:v>
      </x:c>
      <x:c r="G1075" s="23" t="n">
        <x:v>0.8083796087699011</x:v>
      </x:c>
      <x:c r="H1075" s="23" t="n">
        <x:v>10840</x:v>
      </x:c>
      <x:c r="I1075" s="23" t="n">
        <x:v>1195</x:v>
      </x:c>
      <x:c r="J1075" s="23" t="n">
        <x:f>(IF(A1075='Hybrid Calculator'!$B$6,0,1))^2+((B1075-'Hybrid Calculator'!$B$7)/1500)^2+((C1075-'Hybrid Calculator'!$B$8)/1300)^2+((D1075-'Hybrid Calculator'!$B$9)/800)^2+((E1075-'Hybrid Calculator'!$B$10)/350)^2+((F1075-'Hybrid Calculator'!$B$11)/30)^2+(G1075-'Hybrid Calculator'!$B$12)^2+((H1075-'Hybrid Calculator'!$E$14)/IF(A1075="Lightning",100,30000))^2+((I1075-'Hybrid Calculator'!$E$17)/IF(A1075="Lightning",100,30000))^2</x:f>
        <x:v>1.3035376517676116</x:v>
      </x:c>
      <x:c r="K1075" s="23" t="n">
        <x:f>RANK(J1075,$J$2:$J$1401,1)</x:f>
        <x:v>738</x:v>
      </x:c>
      <x:c r="L1075" s="23" t="n">
        <x:f>IF(K1075&lt;=7,1,0)</x:f>
        <x:v>0</x:v>
      </x:c>
      <x:c r="M1075" s="23" t="n">
        <x:f>IF(L1075=1,1/(J1075+0.000001),0)</x:f>
        <x:v>0</x:v>
      </x:c>
      <x:c r="N1075" s="23" t="n">
        <x:v>1.7611018741348232</x:v>
      </x:c>
      <x:c r="O1075" s="23" t="n">
        <x:f>M1075</x:f>
        <x:v>0</x:v>
      </x:c>
      <x:c r="P1075" s="23" t="n">
        <x:v>66.33842775576659</x:v>
      </x:c>
      <x:c r="Q1075" s="23" t="n">
        <x:v>-11.019112522124487</x:v>
      </x:c>
    </x:row>
    <x:row r="1076">
      <x:c r="A1076" s="23" t="str">
        <x:v>Switching</x:v>
      </x:c>
      <x:c r="B1076" s="23" t="n">
        <x:v>1006.084891106002</x:v>
      </x:c>
      <x:c r="C1076" s="23" t="n">
        <x:v>1201.3731271610595</x:v>
      </x:c>
      <x:c r="D1076" s="23" t="n">
        <x:v>416.41965843737125</x:v>
      </x:c>
      <x:c r="E1076" s="23" t="n">
        <x:v>127.74228407768533</x:v>
      </x:c>
      <x:c r="F1076" s="23" t="n">
        <x:v>11.02908340934664</x:v>
      </x:c>
      <x:c r="G1076" s="23" t="n">
        <x:v>0.8162673031049781</x:v>
      </x:c>
      <x:c r="H1076" s="23" t="n">
        <x:v>12250</x:v>
      </x:c>
      <x:c r="I1076" s="23" t="n">
        <x:v>1200</x:v>
      </x:c>
      <x:c r="J1076" s="23" t="n">
        <x:f>(IF(A1076='Hybrid Calculator'!$B$6,0,1))^2+((B1076-'Hybrid Calculator'!$B$7)/1500)^2+((C1076-'Hybrid Calculator'!$B$8)/1300)^2+((D1076-'Hybrid Calculator'!$B$9)/800)^2+((E1076-'Hybrid Calculator'!$B$10)/350)^2+((F1076-'Hybrid Calculator'!$B$11)/30)^2+(G1076-'Hybrid Calculator'!$B$12)^2+((H1076-'Hybrid Calculator'!$E$14)/IF(A1076="Lightning",100,30000))^2+((I1076-'Hybrid Calculator'!$E$17)/IF(A1076="Lightning",100,30000))^2</x:f>
        <x:v>1.3949517704570338</x:v>
      </x:c>
      <x:c r="K1076" s="23" t="n">
        <x:f>RANK(J1076,$J$2:$J$1401,1)</x:f>
        <x:v>961</x:v>
      </x:c>
      <x:c r="L1076" s="23" t="n">
        <x:f>IF(K1076&lt;=7,1,0)</x:f>
        <x:v>0</x:v>
      </x:c>
      <x:c r="M1076" s="23" t="n">
        <x:f>IF(L1076=1,1/(J1076+0.000001),0)</x:f>
        <x:v>0</x:v>
      </x:c>
      <x:c r="N1076" s="23" t="n">
        <x:v>2.5877473931522843</x:v>
      </x:c>
      <x:c r="O1076" s="23" t="n">
        <x:f>M1076</x:f>
        <x:v>0</x:v>
      </x:c>
      <x:c r="P1076" s="23" t="n">
        <x:v>11.968492289547612</x:v>
      </x:c>
      <x:c r="Q1076" s="23" t="n">
        <x:v>5.841724691622176</x:v>
      </x:c>
    </x:row>
    <x:row r="1077">
      <x:c r="A1077" s="23" t="str">
        <x:v>Switching</x:v>
      </x:c>
      <x:c r="B1077" s="23" t="n">
        <x:v>1081.2372830114327</x:v>
      </x:c>
      <x:c r="C1077" s="23" t="n">
        <x:v>920.2974710147828</x:v>
      </x:c>
      <x:c r="D1077" s="23" t="n">
        <x:v>535.467731487006</x:v>
      </x:c>
      <x:c r="E1077" s="23" t="n">
        <x:v>186.36287357192487</x:v>
      </x:c>
      <x:c r="F1077" s="23" t="n">
        <x:v>27.461138527374715</x:v>
      </x:c>
      <x:c r="G1077" s="23" t="n">
        <x:v>0.8180024620890618</x:v>
      </x:c>
      <x:c r="H1077" s="23" t="n">
        <x:v>13025</x:v>
      </x:c>
      <x:c r="I1077" s="23" t="n">
        <x:v>1200</x:v>
      </x:c>
      <x:c r="J1077" s="23" t="n">
        <x:f>(IF(A1077='Hybrid Calculator'!$B$6,0,1))^2+((B1077-'Hybrid Calculator'!$B$7)/1500)^2+((C1077-'Hybrid Calculator'!$B$8)/1300)^2+((D1077-'Hybrid Calculator'!$B$9)/800)^2+((E1077-'Hybrid Calculator'!$B$10)/350)^2+((F1077-'Hybrid Calculator'!$B$11)/30)^2+(G1077-'Hybrid Calculator'!$B$12)^2+((H1077-'Hybrid Calculator'!$E$14)/IF(A1077="Lightning",100,30000))^2+((I1077-'Hybrid Calculator'!$E$17)/IF(A1077="Lightning",100,30000))^2</x:f>
        <x:v>1.3460235766517312</x:v>
      </x:c>
      <x:c r="K1077" s="23" t="n">
        <x:f>RANK(J1077,$J$2:$J$1401,1)</x:f>
        <x:v>821</x:v>
      </x:c>
      <x:c r="L1077" s="23" t="n">
        <x:f>IF(K1077&lt;=7,1,0)</x:f>
        <x:v>0</x:v>
      </x:c>
      <x:c r="M1077" s="23" t="n">
        <x:f>IF(L1077=1,1/(J1077+0.000001),0)</x:f>
        <x:v>0</x:v>
      </x:c>
      <x:c r="N1077" s="23" t="n">
        <x:v>0.4336227391783041</x:v>
      </x:c>
      <x:c r="O1077" s="23" t="n">
        <x:f>M1077</x:f>
        <x:v>0</x:v>
      </x:c>
      <x:c r="P1077" s="23" t="n">
        <x:v>1.986115304766372</x:v>
      </x:c>
      <x:c r="Q1077" s="23" t="n">
        <x:v>-9.70168859485807</x:v>
      </x:c>
    </x:row>
    <x:row r="1078">
      <x:c r="A1078" s="23" t="str">
        <x:v>Switching</x:v>
      </x:c>
      <x:c r="B1078" s="23" t="n">
        <x:v>1095.1089355628937</x:v>
      </x:c>
      <x:c r="C1078" s="23" t="n">
        <x:v>1190.9714271198027</x:v>
      </x:c>
      <x:c r="D1078" s="23" t="n">
        <x:v>515.0281673297286</x:v>
      </x:c>
      <x:c r="E1078" s="23" t="n">
        <x:v>82.90731602581218</x:v>
      </x:c>
      <x:c r="F1078" s="23" t="n">
        <x:v>17.611787524074316</x:v>
      </x:c>
      <x:c r="G1078" s="23" t="n">
        <x:v>0.8085245620110073</x:v>
      </x:c>
      <x:c r="H1078" s="23" t="n">
        <x:v>11955</x:v>
      </x:c>
      <x:c r="I1078" s="23" t="n">
        <x:v>1200</x:v>
      </x:c>
      <x:c r="J1078" s="23" t="n">
        <x:f>(IF(A1078='Hybrid Calculator'!$B$6,0,1))^2+((B1078-'Hybrid Calculator'!$B$7)/1500)^2+((C1078-'Hybrid Calculator'!$B$8)/1300)^2+((D1078-'Hybrid Calculator'!$B$9)/800)^2+((E1078-'Hybrid Calculator'!$B$10)/350)^2+((F1078-'Hybrid Calculator'!$B$11)/30)^2+(G1078-'Hybrid Calculator'!$B$12)^2+((H1078-'Hybrid Calculator'!$E$14)/IF(A1078="Lightning",100,30000))^2+((I1078-'Hybrid Calculator'!$E$17)/IF(A1078="Lightning",100,30000))^2</x:f>
        <x:v>1.3142800704964903</x:v>
      </x:c>
      <x:c r="K1078" s="23" t="n">
        <x:f>RANK(J1078,$J$2:$J$1401,1)</x:f>
        <x:v>751</x:v>
      </x:c>
      <x:c r="L1078" s="23" t="n">
        <x:f>IF(K1078&lt;=7,1,0)</x:f>
        <x:v>0</x:v>
      </x:c>
      <x:c r="M1078" s="23" t="n">
        <x:f>IF(L1078=1,1/(J1078+0.000001),0)</x:f>
        <x:v>0</x:v>
      </x:c>
      <x:c r="N1078" s="23" t="n">
        <x:v>1.1462243290424112</x:v>
      </x:c>
      <x:c r="O1078" s="23" t="n">
        <x:f>M1078</x:f>
        <x:v>0</x:v>
      </x:c>
      <x:c r="P1078" s="23" t="n">
        <x:v>31.88672218273632</x:v>
      </x:c>
      <x:c r="Q1078" s="23" t="n">
        <x:v>-1.7088923837650327</x:v>
      </x:c>
    </x:row>
    <x:row r="1079">
      <x:c r="A1079" s="23" t="str">
        <x:v>Switching</x:v>
      </x:c>
      <x:c r="B1079" s="23" t="n">
        <x:v>1001.4246661332436</x:v>
      </x:c>
      <x:c r="C1079" s="23" t="n">
        <x:v>720.4910772619769</x:v>
      </x:c>
      <x:c r="D1079" s="23" t="n">
        <x:v>635.4299535043538</x:v>
      </x:c>
      <x:c r="E1079" s="23" t="n">
        <x:v>197.36501473933458</x:v>
      </x:c>
      <x:c r="F1079" s="23" t="n">
        <x:v>13.29548660153523</x:v>
      </x:c>
      <x:c r="G1079" s="23" t="n">
        <x:v>0.8569101867405698</x:v>
      </x:c>
      <x:c r="H1079" s="23" t="n">
        <x:v>16065</x:v>
      </x:c>
      <x:c r="I1079" s="23" t="n">
        <x:v>1200</x:v>
      </x:c>
      <x:c r="J1079" s="23" t="n">
        <x:f>(IF(A1079='Hybrid Calculator'!$B$6,0,1))^2+((B1079-'Hybrid Calculator'!$B$7)/1500)^2+((C1079-'Hybrid Calculator'!$B$8)/1300)^2+((D1079-'Hybrid Calculator'!$B$9)/800)^2+((E1079-'Hybrid Calculator'!$B$10)/350)^2+((F1079-'Hybrid Calculator'!$B$11)/30)^2+(G1079-'Hybrid Calculator'!$B$12)^2+((H1079-'Hybrid Calculator'!$E$14)/IF(A1079="Lightning",100,30000))^2+((I1079-'Hybrid Calculator'!$E$17)/IF(A1079="Lightning",100,30000))^2</x:f>
        <x:v>1.4546081759648712</x:v>
      </x:c>
      <x:c r="K1079" s="23" t="n">
        <x:f>RANK(J1079,$J$2:$J$1401,1)</x:f>
        <x:v>1115</x:v>
      </x:c>
      <x:c r="L1079" s="23" t="n">
        <x:f>IF(K1079&lt;=7,1,0)</x:f>
        <x:v>0</x:v>
      </x:c>
      <x:c r="M1079" s="23" t="n">
        <x:f>IF(L1079=1,1/(J1079+0.000001),0)</x:f>
        <x:v>0</x:v>
      </x:c>
      <x:c r="N1079" s="23" t="n">
        <x:v>2.668966447348339</x:v>
      </x:c>
      <x:c r="O1079" s="23" t="n">
        <x:f>M1079</x:f>
        <x:v>0</x:v>
      </x:c>
      <x:c r="P1079" s="23" t="n">
        <x:v>-0.27271120980003616</x:v>
      </x:c>
      <x:c r="Q1079" s="23" t="n">
        <x:v>9.926821223678985</x:v>
      </x:c>
    </x:row>
    <x:row r="1080">
      <x:c r="A1080" s="23" t="str">
        <x:v>Switching</x:v>
      </x:c>
      <x:c r="B1080" s="23" t="n">
        <x:v>1095.1689759735018</x:v>
      </x:c>
      <x:c r="C1080" s="23" t="n">
        <x:v>708.9507857221179</x:v>
      </x:c>
      <x:c r="D1080" s="23" t="n">
        <x:v>448.4912557527423</x:v>
      </x:c>
      <x:c r="E1080" s="23" t="n">
        <x:v>112.44313906179741</x:v>
      </x:c>
      <x:c r="F1080" s="23" t="n">
        <x:v>27.805617175996304</x:v>
      </x:c>
      <x:c r="G1080" s="23" t="n">
        <x:v>0.841301633885596</x:v>
      </x:c>
      <x:c r="H1080" s="23" t="n">
        <x:v>16840</x:v>
      </x:c>
      <x:c r="I1080" s="23" t="n">
        <x:v>1200</x:v>
      </x:c>
      <x:c r="J1080" s="23" t="n">
        <x:f>(IF(A1080='Hybrid Calculator'!$B$6,0,1))^2+((B1080-'Hybrid Calculator'!$B$7)/1500)^2+((C1080-'Hybrid Calculator'!$B$8)/1300)^2+((D1080-'Hybrid Calculator'!$B$9)/800)^2+((E1080-'Hybrid Calculator'!$B$10)/350)^2+((F1080-'Hybrid Calculator'!$B$11)/30)^2+(G1080-'Hybrid Calculator'!$B$12)^2+((H1080-'Hybrid Calculator'!$E$14)/IF(A1080="Lightning",100,30000))^2+((I1080-'Hybrid Calculator'!$E$17)/IF(A1080="Lightning",100,30000))^2</x:f>
        <x:v>1.4872132328450145</x:v>
      </x:c>
      <x:c r="K1080" s="23" t="n">
        <x:f>RANK(J1080,$J$2:$J$1401,1)</x:f>
        <x:v>1188</x:v>
      </x:c>
      <x:c r="L1080" s="23" t="n">
        <x:f>IF(K1080&lt;=7,1,0)</x:f>
        <x:v>0</x:v>
      </x:c>
      <x:c r="M1080" s="23" t="n">
        <x:f>IF(L1080=1,1/(J1080+0.000001),0)</x:f>
        <x:v>0</x:v>
      </x:c>
      <x:c r="N1080" s="23" t="n">
        <x:v>-5.42248229583609</x:v>
      </x:c>
      <x:c r="O1080" s="23" t="n">
        <x:f>M1080</x:f>
        <x:v>0</x:v>
      </x:c>
      <x:c r="P1080" s="23" t="n">
        <x:v>-41.4828208316012</x:v>
      </x:c>
      <x:c r="Q1080" s="23" t="n">
        <x:v>-2.708346698732612</x:v>
      </x:c>
    </x:row>
    <x:row r="1081">
      <x:c r="A1081" s="23" t="str">
        <x:v>Switching</x:v>
      </x:c>
      <x:c r="B1081" s="23" t="n">
        <x:v>1086.822743632365</x:v>
      </x:c>
      <x:c r="C1081" s="23" t="n">
        <x:v>871.9377193367109</x:v>
      </x:c>
      <x:c r="D1081" s="23" t="n">
        <x:v>525.829612929374</x:v>
      </x:c>
      <x:c r="E1081" s="23" t="n">
        <x:v>130.5552846007049</x:v>
      </x:c>
      <x:c r="F1081" s="23" t="n">
        <x:v>16.28229437628761</x:v>
      </x:c>
      <x:c r="G1081" s="23" t="n">
        <x:v>0.8257642267039046</x:v>
      </x:c>
      <x:c r="H1081" s="23" t="n">
        <x:v>13995</x:v>
      </x:c>
      <x:c r="I1081" s="23" t="n">
        <x:v>1200</x:v>
      </x:c>
      <x:c r="J1081" s="23" t="n">
        <x:f>(IF(A1081='Hybrid Calculator'!$B$6,0,1))^2+((B1081-'Hybrid Calculator'!$B$7)/1500)^2+((C1081-'Hybrid Calculator'!$B$8)/1300)^2+((D1081-'Hybrid Calculator'!$B$9)/800)^2+((E1081-'Hybrid Calculator'!$B$10)/350)^2+((F1081-'Hybrid Calculator'!$B$11)/30)^2+(G1081-'Hybrid Calculator'!$B$12)^2+((H1081-'Hybrid Calculator'!$E$14)/IF(A1081="Lightning",100,30000))^2+((I1081-'Hybrid Calculator'!$E$17)/IF(A1081="Lightning",100,30000))^2</x:f>
        <x:v>1.2783440780605468</x:v>
      </x:c>
      <x:c r="K1081" s="23" t="n">
        <x:f>RANK(J1081,$J$2:$J$1401,1)</x:f>
        <x:v>707</x:v>
      </x:c>
      <x:c r="L1081" s="23" t="n">
        <x:f>IF(K1081&lt;=7,1,0)</x:f>
        <x:v>0</x:v>
      </x:c>
      <x:c r="M1081" s="23" t="n">
        <x:f>IF(L1081=1,1/(J1081+0.000001),0)</x:f>
        <x:v>0</x:v>
      </x:c>
      <x:c r="N1081" s="23" t="n">
        <x:v>-1.3957064704401034</x:v>
      </x:c>
      <x:c r="O1081" s="23" t="n">
        <x:f>M1081</x:f>
        <x:v>0</x:v>
      </x:c>
      <x:c r="P1081" s="23" t="n">
        <x:v>-1.6784451420789992</x:v>
      </x:c>
      <x:c r="Q1081" s="23" t="n">
        <x:v>11.37586335354058</x:v>
      </x:c>
    </x:row>
    <x:row r="1082">
      <x:c r="A1082" s="23" t="str">
        <x:v>Switching</x:v>
      </x:c>
      <x:c r="B1082" s="23" t="n">
        <x:v>1061.3141640322283</x:v>
      </x:c>
      <x:c r="C1082" s="23" t="n">
        <x:v>1225.2824097988196</x:v>
      </x:c>
      <x:c r="D1082" s="23" t="n">
        <x:v>446.3781923055649</x:v>
      </x:c>
      <x:c r="E1082" s="23" t="n">
        <x:v>83.10913095017895</x:v>
      </x:c>
      <x:c r="F1082" s="23" t="n">
        <x:v>11.098641905002296</x:v>
      </x:c>
      <x:c r="G1082" s="23" t="n">
        <x:v>0.803078607020434</x:v>
      </x:c>
      <x:c r="H1082" s="23" t="n">
        <x:v>12185</x:v>
      </x:c>
      <x:c r="I1082" s="23" t="n">
        <x:v>1200</x:v>
      </x:c>
      <x:c r="J1082" s="23" t="n">
        <x:f>(IF(A1082='Hybrid Calculator'!$B$6,0,1))^2+((B1082-'Hybrid Calculator'!$B$7)/1500)^2+((C1082-'Hybrid Calculator'!$B$8)/1300)^2+((D1082-'Hybrid Calculator'!$B$9)/800)^2+((E1082-'Hybrid Calculator'!$B$10)/350)^2+((F1082-'Hybrid Calculator'!$B$11)/30)^2+(G1082-'Hybrid Calculator'!$B$12)^2+((H1082-'Hybrid Calculator'!$E$14)/IF(A1082="Lightning",100,30000))^2+((I1082-'Hybrid Calculator'!$E$17)/IF(A1082="Lightning",100,30000))^2</x:f>
        <x:v>1.4094466053610106</x:v>
      </x:c>
      <x:c r="K1082" s="23" t="n">
        <x:f>RANK(J1082,$J$2:$J$1401,1)</x:f>
        <x:v>1006</x:v>
      </x:c>
      <x:c r="L1082" s="23" t="n">
        <x:f>IF(K1082&lt;=7,1,0)</x:f>
        <x:v>0</x:v>
      </x:c>
      <x:c r="M1082" s="23" t="n">
        <x:f>IF(L1082=1,1/(J1082+0.000001),0)</x:f>
        <x:v>0</x:v>
      </x:c>
      <x:c r="N1082" s="23" t="n">
        <x:v>2.2580806231297856</x:v>
      </x:c>
      <x:c r="O1082" s="23" t="n">
        <x:f>M1082</x:f>
        <x:v>0</x:v>
      </x:c>
      <x:c r="P1082" s="23" t="n">
        <x:v>74.22700362140267</x:v>
      </x:c>
      <x:c r="Q1082" s="23" t="n">
        <x:v>4.518424513462605</x:v>
      </x:c>
    </x:row>
    <x:row r="1083">
      <x:c r="A1083" s="23" t="str">
        <x:v>Switching</x:v>
      </x:c>
      <x:c r="B1083" s="23" t="n">
        <x:v>959.9739913712256</x:v>
      </x:c>
      <x:c r="C1083" s="23" t="n">
        <x:v>1221.3886690326035</x:v>
      </x:c>
      <x:c r="D1083" s="23" t="n">
        <x:v>397.85580104216933</x:v>
      </x:c>
      <x:c r="E1083" s="23" t="n">
        <x:v>124.78556627873331</x:v>
      </x:c>
      <x:c r="F1083" s="23" t="n">
        <x:v>8.327984956558794</x:v>
      </x:c>
      <x:c r="G1083" s="23" t="n">
        <x:v>0.8356696272734553</x:v>
      </x:c>
      <x:c r="H1083" s="23" t="n">
        <x:v>14305</x:v>
      </x:c>
      <x:c r="I1083" s="23" t="n">
        <x:v>1200</x:v>
      </x:c>
      <x:c r="J1083" s="23" t="n">
        <x:f>(IF(A1083='Hybrid Calculator'!$B$6,0,1))^2+((B1083-'Hybrid Calculator'!$B$7)/1500)^2+((C1083-'Hybrid Calculator'!$B$8)/1300)^2+((D1083-'Hybrid Calculator'!$B$9)/800)^2+((E1083-'Hybrid Calculator'!$B$10)/350)^2+((F1083-'Hybrid Calculator'!$B$11)/30)^2+(G1083-'Hybrid Calculator'!$B$12)^2+((H1083-'Hybrid Calculator'!$E$14)/IF(A1083="Lightning",100,30000))^2+((I1083-'Hybrid Calculator'!$E$17)/IF(A1083="Lightning",100,30000))^2</x:f>
        <x:v>1.5417475216770142</x:v>
      </x:c>
      <x:c r="K1083" s="23" t="n">
        <x:f>RANK(J1083,$J$2:$J$1401,1)</x:f>
        <x:v>1284</x:v>
      </x:c>
      <x:c r="L1083" s="23" t="n">
        <x:f>IF(K1083&lt;=7,1,0)</x:f>
        <x:v>0</x:v>
      </x:c>
      <x:c r="M1083" s="23" t="n">
        <x:f>IF(L1083=1,1/(J1083+0.000001),0)</x:f>
        <x:v>0</x:v>
      </x:c>
      <x:c r="N1083" s="23" t="n">
        <x:v>-0.5086412757521828</x:v>
      </x:c>
      <x:c r="O1083" s="23" t="n">
        <x:f>M1083</x:f>
        <x:v>0</x:v>
      </x:c>
      <x:c r="P1083" s="23" t="n">
        <x:v>-8.83861679601614</x:v>
      </x:c>
      <x:c r="Q1083" s="23" t="n">
        <x:v>-2.909935199405254</x:v>
      </x:c>
    </x:row>
    <x:row r="1084">
      <x:c r="A1084" s="23" t="str">
        <x:v>Switching</x:v>
      </x:c>
      <x:c r="B1084" s="23" t="n">
        <x:v>1096.643221564591</x:v>
      </x:c>
      <x:c r="C1084" s="23" t="n">
        <x:v>1006.4016521326266</x:v>
      </x:c>
      <x:c r="D1084" s="23" t="n">
        <x:v>635.2063031867146</x:v>
      </x:c>
      <x:c r="E1084" s="23" t="n">
        <x:v>277.64940958702937</x:v>
      </x:c>
      <x:c r="F1084" s="23" t="n">
        <x:v>24.940866207703948</x:v>
      </x:c>
      <x:c r="G1084" s="23" t="n">
        <x:v>0.7916477803257295</x:v>
      </x:c>
      <x:c r="H1084" s="23" t="n">
        <x:v>11145</x:v>
      </x:c>
      <x:c r="I1084" s="23" t="n">
        <x:v>1195</x:v>
      </x:c>
      <x:c r="J1084" s="23" t="n">
        <x:f>(IF(A1084='Hybrid Calculator'!$B$6,0,1))^2+((B1084-'Hybrid Calculator'!$B$7)/1500)^2+((C1084-'Hybrid Calculator'!$B$8)/1300)^2+((D1084-'Hybrid Calculator'!$B$9)/800)^2+((E1084-'Hybrid Calculator'!$B$10)/350)^2+((F1084-'Hybrid Calculator'!$B$11)/30)^2+(G1084-'Hybrid Calculator'!$B$12)^2+((H1084-'Hybrid Calculator'!$E$14)/IF(A1084="Lightning",100,30000))^2+((I1084-'Hybrid Calculator'!$E$17)/IF(A1084="Lightning",100,30000))^2</x:f>
        <x:v>1.4091680957485873</x:v>
      </x:c>
      <x:c r="K1084" s="23" t="n">
        <x:f>RANK(J1084,$J$2:$J$1401,1)</x:f>
        <x:v>1003</x:v>
      </x:c>
      <x:c r="L1084" s="23" t="n">
        <x:f>IF(K1084&lt;=7,1,0)</x:f>
        <x:v>0</x:v>
      </x:c>
      <x:c r="M1084" s="23" t="n">
        <x:f>IF(L1084=1,1/(J1084+0.000001),0)</x:f>
        <x:v>0</x:v>
      </x:c>
      <x:c r="N1084" s="23" t="n">
        <x:v>1.4681807261847837</x:v>
      </x:c>
      <x:c r="O1084" s="23" t="n">
        <x:f>M1084</x:f>
        <x:v>0</x:v>
      </x:c>
      <x:c r="P1084" s="23" t="n">
        <x:v>24.257792939526098</x:v>
      </x:c>
      <x:c r="Q1084" s="23" t="n">
        <x:v>-10.047945142593107</x:v>
      </x:c>
    </x:row>
    <x:row r="1085">
      <x:c r="A1085" s="23" t="str">
        <x:v>Switching</x:v>
      </x:c>
      <x:c r="B1085" s="23" t="n">
        <x:v>987.5571117387153</x:v>
      </x:c>
      <x:c r="C1085" s="23" t="n">
        <x:v>759.5840178662911</x:v>
      </x:c>
      <x:c r="D1085" s="23" t="n">
        <x:v>436.63573572412133</x:v>
      </x:c>
      <x:c r="E1085" s="23" t="n">
        <x:v>231.52086387388408</x:v>
      </x:c>
      <x:c r="F1085" s="23" t="n">
        <x:v>14.596186969894916</x:v>
      </x:c>
      <x:c r="G1085" s="23" t="n">
        <x:v>0.8068940537096932</x:v>
      </x:c>
      <x:c r="H1085" s="23" t="n">
        <x:v>14980</x:v>
      </x:c>
      <x:c r="I1085" s="23" t="n">
        <x:v>1200</x:v>
      </x:c>
      <x:c r="J1085" s="23" t="n">
        <x:f>(IF(A1085='Hybrid Calculator'!$B$6,0,1))^2+((B1085-'Hybrid Calculator'!$B$7)/1500)^2+((C1085-'Hybrid Calculator'!$B$8)/1300)^2+((D1085-'Hybrid Calculator'!$B$9)/800)^2+((E1085-'Hybrid Calculator'!$B$10)/350)^2+((F1085-'Hybrid Calculator'!$B$11)/30)^2+(G1085-'Hybrid Calculator'!$B$12)^2+((H1085-'Hybrid Calculator'!$E$14)/IF(A1085="Lightning",100,30000))^2+((I1085-'Hybrid Calculator'!$E$17)/IF(A1085="Lightning",100,30000))^2</x:f>
        <x:v>1.4167192091091807</x:v>
      </x:c>
      <x:c r="K1085" s="23" t="n">
        <x:f>RANK(J1085,$J$2:$J$1401,1)</x:f>
        <x:v>1029</x:v>
      </x:c>
      <x:c r="L1085" s="23" t="n">
        <x:f>IF(K1085&lt;=7,1,0)</x:f>
        <x:v>0</x:v>
      </x:c>
      <x:c r="M1085" s="23" t="n">
        <x:f>IF(L1085=1,1/(J1085+0.000001),0)</x:f>
        <x:v>0</x:v>
      </x:c>
      <x:c r="N1085" s="23" t="n">
        <x:v>1.4548763904657562</x:v>
      </x:c>
      <x:c r="O1085" s="23" t="n">
        <x:f>M1085</x:f>
        <x:v>0</x:v>
      </x:c>
      <x:c r="P1085" s="23" t="n">
        <x:v>16.369502720838227</x:v>
      </x:c>
      <x:c r="Q1085" s="23" t="n">
        <x:v>13.438369001101819</x:v>
      </x:c>
    </x:row>
    <x:row r="1086">
      <x:c r="A1086" s="23" t="str">
        <x:v>Switching</x:v>
      </x:c>
      <x:c r="B1086" s="23" t="n">
        <x:v>950.3233688650653</x:v>
      </x:c>
      <x:c r="C1086" s="23" t="n">
        <x:v>994.2047143937089</x:v>
      </x:c>
      <x:c r="D1086" s="23" t="n">
        <x:v>630.4125357419252</x:v>
      </x:c>
      <x:c r="E1086" s="23" t="n">
        <x:v>186.55188577948138</x:v>
      </x:c>
      <x:c r="F1086" s="23" t="n">
        <x:v>15.629079432226717</x:v>
      </x:c>
      <x:c r="G1086" s="23" t="n">
        <x:v>0.7983854354801588</x:v>
      </x:c>
      <x:c r="H1086" s="23" t="n">
        <x:v>13775</x:v>
      </x:c>
      <x:c r="I1086" s="23" t="n">
        <x:v>1200</x:v>
      </x:c>
      <x:c r="J1086" s="23" t="n">
        <x:f>(IF(A1086='Hybrid Calculator'!$B$6,0,1))^2+((B1086-'Hybrid Calculator'!$B$7)/1500)^2+((C1086-'Hybrid Calculator'!$B$8)/1300)^2+((D1086-'Hybrid Calculator'!$B$9)/800)^2+((E1086-'Hybrid Calculator'!$B$10)/350)^2+((F1086-'Hybrid Calculator'!$B$11)/30)^2+(G1086-'Hybrid Calculator'!$B$12)^2+((H1086-'Hybrid Calculator'!$E$14)/IF(A1086="Lightning",100,30000))^2+((I1086-'Hybrid Calculator'!$E$17)/IF(A1086="Lightning",100,30000))^2</x:f>
        <x:v>1.3703920350907086</x:v>
      </x:c>
      <x:c r="K1086" s="23" t="n">
        <x:f>RANK(J1086,$J$2:$J$1401,1)</x:f>
        <x:v>888</x:v>
      </x:c>
      <x:c r="L1086" s="23" t="n">
        <x:f>IF(K1086&lt;=7,1,0)</x:f>
        <x:v>0</x:v>
      </x:c>
      <x:c r="M1086" s="23" t="n">
        <x:f>IF(L1086=1,1/(J1086+0.000001),0)</x:f>
        <x:v>0</x:v>
      </x:c>
      <x:c r="N1086" s="23" t="n">
        <x:v>4.324152720051387</x:v>
      </x:c>
      <x:c r="O1086" s="23" t="n">
        <x:f>M1086</x:f>
        <x:v>0</x:v>
      </x:c>
      <x:c r="P1086" s="23" t="n">
        <x:v>-14.44194705788641</x:v>
      </x:c>
      <x:c r="Q1086" s="23" t="n">
        <x:v>-5.471016409468575</x:v>
      </x:c>
    </x:row>
    <x:row r="1087">
      <x:c r="A1087" s="23" t="str">
        <x:v>Switching</x:v>
      </x:c>
      <x:c r="B1087" s="23" t="n">
        <x:v>1015.0325419730507</x:v>
      </x:c>
      <x:c r="C1087" s="23" t="n">
        <x:v>935.1308485027403</x:v>
      </x:c>
      <x:c r="D1087" s="23" t="n">
        <x:v>706.3373575918376</x:v>
      </x:c>
      <x:c r="E1087" s="23" t="n">
        <x:v>164.10796418320388</x:v>
      </x:c>
      <x:c r="F1087" s="23" t="n">
        <x:v>18.39271557657048</x:v>
      </x:c>
      <x:c r="G1087" s="23" t="n">
        <x:v>0.8221000475808978</x:v>
      </x:c>
      <x:c r="H1087" s="23" t="n">
        <x:v>11845</x:v>
      </x:c>
      <x:c r="I1087" s="23" t="n">
        <x:v>1195</x:v>
      </x:c>
      <x:c r="J1087" s="23" t="n">
        <x:f>(IF(A1087='Hybrid Calculator'!$B$6,0,1))^2+((B1087-'Hybrid Calculator'!$B$7)/1500)^2+((C1087-'Hybrid Calculator'!$B$8)/1300)^2+((D1087-'Hybrid Calculator'!$B$9)/800)^2+((E1087-'Hybrid Calculator'!$B$10)/350)^2+((F1087-'Hybrid Calculator'!$B$11)/30)^2+(G1087-'Hybrid Calculator'!$B$12)^2+((H1087-'Hybrid Calculator'!$E$14)/IF(A1087="Lightning",100,30000))^2+((I1087-'Hybrid Calculator'!$E$17)/IF(A1087="Lightning",100,30000))^2</x:f>
        <x:v>1.3032541734429175</x:v>
      </x:c>
      <x:c r="K1087" s="23" t="n">
        <x:f>RANK(J1087,$J$2:$J$1401,1)</x:f>
        <x:v>737</x:v>
      </x:c>
      <x:c r="L1087" s="23" t="n">
        <x:f>IF(K1087&lt;=7,1,0)</x:f>
        <x:v>0</x:v>
      </x:c>
      <x:c r="M1087" s="23" t="n">
        <x:f>IF(L1087=1,1/(J1087+0.000001),0)</x:f>
        <x:v>0</x:v>
      </x:c>
      <x:c r="N1087" s="23" t="n">
        <x:v>4.046871970994772</x:v>
      </x:c>
      <x:c r="O1087" s="23" t="n">
        <x:f>M1087</x:f>
        <x:v>0</x:v>
      </x:c>
      <x:c r="P1087" s="23" t="n">
        <x:v>-20.47280226672774</x:v>
      </x:c>
      <x:c r="Q1087" s="23" t="n">
        <x:v>-3.3692002543843955</x:v>
      </x:c>
    </x:row>
    <x:row r="1088">
      <x:c r="A1088" s="23" t="str">
        <x:v>Switching</x:v>
      </x:c>
      <x:c r="B1088" s="23" t="n">
        <x:v>1081.6914157476276</x:v>
      </x:c>
      <x:c r="C1088" s="23" t="n">
        <x:v>1203.2325683976524</x:v>
      </x:c>
      <x:c r="D1088" s="23" t="n">
        <x:v>684.9884828552604</x:v>
      </x:c>
      <x:c r="E1088" s="23" t="n">
        <x:v>329.2824008804746</x:v>
      </x:c>
      <x:c r="F1088" s="23" t="n">
        <x:v>16.56614573672414</x:v>
      </x:c>
      <x:c r="G1088" s="23" t="n">
        <x:v>0.8438551877462306</x:v>
      </x:c>
      <x:c r="H1088" s="23" t="n">
        <x:v>9645</x:v>
      </x:c>
      <x:c r="I1088" s="23" t="n">
        <x:v>1195</x:v>
      </x:c>
      <x:c r="J1088" s="23" t="n">
        <x:f>(IF(A1088='Hybrid Calculator'!$B$6,0,1))^2+((B1088-'Hybrid Calculator'!$B$7)/1500)^2+((C1088-'Hybrid Calculator'!$B$8)/1300)^2+((D1088-'Hybrid Calculator'!$B$9)/800)^2+((E1088-'Hybrid Calculator'!$B$10)/350)^2+((F1088-'Hybrid Calculator'!$B$11)/30)^2+(G1088-'Hybrid Calculator'!$B$12)^2+((H1088-'Hybrid Calculator'!$E$14)/IF(A1088="Lightning",100,30000))^2+((I1088-'Hybrid Calculator'!$E$17)/IF(A1088="Lightning",100,30000))^2</x:f>
        <x:v>1.550606691670849</x:v>
      </x:c>
      <x:c r="K1088" s="23" t="n">
        <x:f>RANK(J1088,$J$2:$J$1401,1)</x:f>
        <x:v>1301</x:v>
      </x:c>
      <x:c r="L1088" s="23" t="n">
        <x:f>IF(K1088&lt;=7,1,0)</x:f>
        <x:v>0</x:v>
      </x:c>
      <x:c r="M1088" s="23" t="n">
        <x:f>IF(L1088=1,1/(J1088+0.000001),0)</x:f>
        <x:v>0</x:v>
      </x:c>
      <x:c r="N1088" s="23" t="n">
        <x:v>5.6377670712806776</x:v>
      </x:c>
      <x:c r="O1088" s="23" t="n">
        <x:f>M1088</x:f>
        <x:v>0</x:v>
      </x:c>
      <x:c r="P1088" s="23" t="n">
        <x:v>13.7419966987527</x:v>
      </x:c>
      <x:c r="Q1088" s="23" t="n">
        <x:v>-4.7005431569518805</x:v>
      </x:c>
    </x:row>
    <x:row r="1089">
      <x:c r="A1089" s="23" t="str">
        <x:v>Switching</x:v>
      </x:c>
      <x:c r="B1089" s="23" t="n">
        <x:v>1009.2877188813873</x:v>
      </x:c>
      <x:c r="C1089" s="23" t="n">
        <x:v>711.285360599868</x:v>
      </x:c>
      <x:c r="D1089" s="23" t="n">
        <x:v>607.4133400805295</x:v>
      </x:c>
      <x:c r="E1089" s="23" t="n">
        <x:v>226.45295776426792</x:v>
      </x:c>
      <x:c r="F1089" s="23" t="n">
        <x:v>22.831481392029673</x:v>
      </x:c>
      <x:c r="G1089" s="23" t="n">
        <x:v>0.8242286114348099</x:v>
      </x:c>
      <x:c r="H1089" s="23" t="n">
        <x:v>13840</x:v>
      </x:c>
      <x:c r="I1089" s="23" t="n">
        <x:v>1200</x:v>
      </x:c>
      <x:c r="J1089" s="23" t="n">
        <x:f>(IF(A1089='Hybrid Calculator'!$B$6,0,1))^2+((B1089-'Hybrid Calculator'!$B$7)/1500)^2+((C1089-'Hybrid Calculator'!$B$8)/1300)^2+((D1089-'Hybrid Calculator'!$B$9)/800)^2+((E1089-'Hybrid Calculator'!$B$10)/350)^2+((F1089-'Hybrid Calculator'!$B$11)/30)^2+(G1089-'Hybrid Calculator'!$B$12)^2+((H1089-'Hybrid Calculator'!$E$14)/IF(A1089="Lightning",100,30000))^2+((I1089-'Hybrid Calculator'!$E$17)/IF(A1089="Lightning",100,30000))^2</x:f>
        <x:v>1.387627068022075</x:v>
      </x:c>
      <x:c r="K1089" s="23" t="n">
        <x:f>RANK(J1089,$J$2:$J$1401,1)</x:f>
        <x:v>940</x:v>
      </x:c>
      <x:c r="L1089" s="23" t="n">
        <x:f>IF(K1089&lt;=7,1,0)</x:f>
        <x:v>0</x:v>
      </x:c>
      <x:c r="M1089" s="23" t="n">
        <x:f>IF(L1089=1,1/(J1089+0.000001),0)</x:f>
        <x:v>0</x:v>
      </x:c>
      <x:c r="N1089" s="23" t="n">
        <x:v>1.4337133392608052</x:v>
      </x:c>
      <x:c r="O1089" s="23" t="n">
        <x:f>M1089</x:f>
        <x:v>0</x:v>
      </x:c>
      <x:c r="P1089" s="23" t="n">
        <x:v>-40.759764637278295</x:v>
      </x:c>
      <x:c r="Q1089" s="23" t="n">
        <x:v>0.5816293126032406</x:v>
      </x:c>
    </x:row>
    <x:row r="1090">
      <x:c r="A1090" s="23" t="str">
        <x:v>Switching</x:v>
      </x:c>
      <x:c r="B1090" s="23" t="n">
        <x:v>1034.9000437418</x:v>
      </x:c>
      <x:c r="C1090" s="23" t="n">
        <x:v>1166.4512333576567</x:v>
      </x:c>
      <x:c r="D1090" s="23" t="n">
        <x:v>714.706975966692</x:v>
      </x:c>
      <x:c r="E1090" s="23" t="n">
        <x:v>313.4988419315778</x:v>
      </x:c>
      <x:c r="F1090" s="23" t="n">
        <x:v>27.261717437766492</x:v>
      </x:c>
      <x:c r="G1090" s="23" t="n">
        <x:v>0.8008550707786344</x:v>
      </x:c>
      <x:c r="H1090" s="23" t="n">
        <x:v>9745</x:v>
      </x:c>
      <x:c r="I1090" s="23" t="n">
        <x:v>1195</x:v>
      </x:c>
      <x:c r="J1090" s="23" t="n">
        <x:f>(IF(A1090='Hybrid Calculator'!$B$6,0,1))^2+((B1090-'Hybrid Calculator'!$B$7)/1500)^2+((C1090-'Hybrid Calculator'!$B$8)/1300)^2+((D1090-'Hybrid Calculator'!$B$9)/800)^2+((E1090-'Hybrid Calculator'!$B$10)/350)^2+((F1090-'Hybrid Calculator'!$B$11)/30)^2+(G1090-'Hybrid Calculator'!$B$12)^2+((H1090-'Hybrid Calculator'!$E$14)/IF(A1090="Lightning",100,30000))^2+((I1090-'Hybrid Calculator'!$E$17)/IF(A1090="Lightning",100,30000))^2</x:f>
        <x:v>1.6087607498325371</x:v>
      </x:c>
      <x:c r="K1090" s="23" t="n">
        <x:f>RANK(J1090,$J$2:$J$1401,1)</x:f>
        <x:v>1358</x:v>
      </x:c>
      <x:c r="L1090" s="23" t="n">
        <x:f>IF(K1090&lt;=7,1,0)</x:f>
        <x:v>0</x:v>
      </x:c>
      <x:c r="M1090" s="23" t="n">
        <x:f>IF(L1090=1,1/(J1090+0.000001),0)</x:f>
        <x:v>0</x:v>
      </x:c>
      <x:c r="N1090" s="23" t="n">
        <x:v>-0.721091742420441</x:v>
      </x:c>
      <x:c r="O1090" s="23" t="n">
        <x:f>M1090</x:f>
        <x:v>0</x:v>
      </x:c>
      <x:c r="P1090" s="23" t="n">
        <x:v>59.58605160744855</x:v>
      </x:c>
      <x:c r="Q1090" s="23" t="n">
        <x:v>-22.651877454733267</x:v>
      </x:c>
    </x:row>
    <x:row r="1091">
      <x:c r="A1091" s="23" t="str">
        <x:v>Switching</x:v>
      </x:c>
      <x:c r="B1091" s="23" t="n">
        <x:v>1097.1753440680914</x:v>
      </x:c>
      <x:c r="C1091" s="23" t="n">
        <x:v>924.9789213761687</x:v>
      </x:c>
      <x:c r="D1091" s="23" t="n">
        <x:v>653.1063689850271</x:v>
      </x:c>
      <x:c r="E1091" s="23" t="n">
        <x:v>219.53874458093196</x:v>
      </x:c>
      <x:c r="F1091" s="23" t="n">
        <x:v>11.329970070626587</x:v>
      </x:c>
      <x:c r="G1091" s="23" t="n">
        <x:v>0.8269896072056144</x:v>
      </x:c>
      <x:c r="H1091" s="23" t="n">
        <x:v>11895</x:v>
      </x:c>
      <x:c r="I1091" s="23" t="n">
        <x:v>1195</x:v>
      </x:c>
      <x:c r="J1091" s="23" t="n">
        <x:f>(IF(A1091='Hybrid Calculator'!$B$6,0,1))^2+((B1091-'Hybrid Calculator'!$B$7)/1500)^2+((C1091-'Hybrid Calculator'!$B$8)/1300)^2+((D1091-'Hybrid Calculator'!$B$9)/800)^2+((E1091-'Hybrid Calculator'!$B$10)/350)^2+((F1091-'Hybrid Calculator'!$B$11)/30)^2+(G1091-'Hybrid Calculator'!$B$12)^2+((H1091-'Hybrid Calculator'!$E$14)/IF(A1091="Lightning",100,30000))^2+((I1091-'Hybrid Calculator'!$E$17)/IF(A1091="Lightning",100,30000))^2</x:f>
        <x:v>1.341777252167835</x:v>
      </x:c>
      <x:c r="K1091" s="23" t="n">
        <x:f>RANK(J1091,$J$2:$J$1401,1)</x:f>
        <x:v>806</x:v>
      </x:c>
      <x:c r="L1091" s="23" t="n">
        <x:f>IF(K1091&lt;=7,1,0)</x:f>
        <x:v>0</x:v>
      </x:c>
      <x:c r="M1091" s="23" t="n">
        <x:f>IF(L1091=1,1/(J1091+0.000001),0)</x:f>
        <x:v>0</x:v>
      </x:c>
      <x:c r="N1091" s="23" t="n">
        <x:v>2.252379890002686</x:v>
      </x:c>
      <x:c r="O1091" s="23" t="n">
        <x:f>M1091</x:f>
        <x:v>0</x:v>
      </x:c>
      <x:c r="P1091" s="23" t="n">
        <x:v>43.446969845622334</x:v>
      </x:c>
      <x:c r="Q1091" s="23" t="n">
        <x:v>-4.764454941030408</x:v>
      </x:c>
    </x:row>
    <x:row r="1092">
      <x:c r="A1092" s="23" t="str">
        <x:v>Switching</x:v>
      </x:c>
      <x:c r="B1092" s="23" t="n">
        <x:v>1003.3277296461165</x:v>
      </x:c>
      <x:c r="C1092" s="23" t="n">
        <x:v>706.597391271498</x:v>
      </x:c>
      <x:c r="D1092" s="23" t="n">
        <x:v>612.2463831678033</x:v>
      </x:c>
      <x:c r="E1092" s="23" t="n">
        <x:v>177.1059855655767</x:v>
      </x:c>
      <x:c r="F1092" s="23" t="n">
        <x:v>21.168367059901357</x:v>
      </x:c>
      <x:c r="G1092" s="23" t="n">
        <x:v>0.8516441563447007</x:v>
      </x:c>
      <x:c r="H1092" s="23" t="n">
        <x:v>16680</x:v>
      </x:c>
      <x:c r="I1092" s="23" t="n">
        <x:v>1200</x:v>
      </x:c>
      <x:c r="J1092" s="23" t="n">
        <x:f>(IF(A1092='Hybrid Calculator'!$B$6,0,1))^2+((B1092-'Hybrid Calculator'!$B$7)/1500)^2+((C1092-'Hybrid Calculator'!$B$8)/1300)^2+((D1092-'Hybrid Calculator'!$B$9)/800)^2+((E1092-'Hybrid Calculator'!$B$10)/350)^2+((F1092-'Hybrid Calculator'!$B$11)/30)^2+(G1092-'Hybrid Calculator'!$B$12)^2+((H1092-'Hybrid Calculator'!$E$14)/IF(A1092="Lightning",100,30000))^2+((I1092-'Hybrid Calculator'!$E$17)/IF(A1092="Lightning",100,30000))^2</x:f>
        <x:v>1.4346100871183027</x:v>
      </x:c>
      <x:c r="K1092" s="23" t="n">
        <x:f>RANK(J1092,$J$2:$J$1401,1)</x:f>
        <x:v>1070</x:v>
      </x:c>
      <x:c r="L1092" s="23" t="n">
        <x:f>IF(K1092&lt;=7,1,0)</x:f>
        <x:v>0</x:v>
      </x:c>
      <x:c r="M1092" s="23" t="n">
        <x:f>IF(L1092=1,1/(J1092+0.000001),0)</x:f>
        <x:v>0</x:v>
      </x:c>
      <x:c r="N1092" s="23" t="n">
        <x:v>-2.766292691282217</x:v>
      </x:c>
      <x:c r="O1092" s="23" t="n">
        <x:f>M1092</x:f>
        <x:v>0</x:v>
      </x:c>
      <x:c r="P1092" s="23" t="n">
        <x:v>-50.257839772398256</x:v>
      </x:c>
      <x:c r="Q1092" s="23" t="n">
        <x:v>-1.7133983158139472</x:v>
      </x:c>
    </x:row>
    <x:row r="1093">
      <x:c r="A1093" s="23" t="str">
        <x:v>Switching</x:v>
      </x:c>
      <x:c r="B1093" s="23" t="n">
        <x:v>1083.3569164969958</x:v>
      </x:c>
      <x:c r="C1093" s="23" t="n">
        <x:v>1062.9835509927943</x:v>
      </x:c>
      <x:c r="D1093" s="23" t="n">
        <x:v>379.9449005164206</x:v>
      </x:c>
      <x:c r="E1093" s="23" t="n">
        <x:v>161.22455258853734</x:v>
      </x:c>
      <x:c r="F1093" s="23" t="n">
        <x:v>17.45246969209984</x:v>
      </x:c>
      <x:c r="G1093" s="23" t="n">
        <x:v>0.806888256915845</x:v>
      </x:c>
      <x:c r="H1093" s="23" t="n">
        <x:v>13330</x:v>
      </x:c>
      <x:c r="I1093" s="23" t="n">
        <x:v>1200</x:v>
      </x:c>
      <x:c r="J1093" s="23" t="n">
        <x:f>(IF(A1093='Hybrid Calculator'!$B$6,0,1))^2+((B1093-'Hybrid Calculator'!$B$7)/1500)^2+((C1093-'Hybrid Calculator'!$B$8)/1300)^2+((D1093-'Hybrid Calculator'!$B$9)/800)^2+((E1093-'Hybrid Calculator'!$B$10)/350)^2+((F1093-'Hybrid Calculator'!$B$11)/30)^2+(G1093-'Hybrid Calculator'!$B$12)^2+((H1093-'Hybrid Calculator'!$E$14)/IF(A1093="Lightning",100,30000))^2+((I1093-'Hybrid Calculator'!$E$17)/IF(A1093="Lightning",100,30000))^2</x:f>
        <x:v>1.3011450990866185</x:v>
      </x:c>
      <x:c r="K1093" s="23" t="n">
        <x:f>RANK(J1093,$J$2:$J$1401,1)</x:f>
        <x:v>731</x:v>
      </x:c>
      <x:c r="L1093" s="23" t="n">
        <x:f>IF(K1093&lt;=7,1,0)</x:f>
        <x:v>0</x:v>
      </x:c>
      <x:c r="M1093" s="23" t="n">
        <x:f>IF(L1093=1,1/(J1093+0.000001),0)</x:f>
        <x:v>0</x:v>
      </x:c>
      <x:c r="N1093" s="23" t="n">
        <x:v>2.714463290633091</x:v>
      </x:c>
      <x:c r="O1093" s="23" t="n">
        <x:f>M1093</x:f>
        <x:v>0</x:v>
      </x:c>
      <x:c r="P1093" s="23" t="n">
        <x:v>-22.319976764140847</x:v>
      </x:c>
      <x:c r="Q1093" s="23" t="n">
        <x:v>0.8609076146933603</x:v>
      </x:c>
    </x:row>
    <x:row r="1094">
      <x:c r="A1094" s="23" t="str">
        <x:v>Switching</x:v>
      </x:c>
      <x:c r="B1094" s="23" t="n">
        <x:v>1087.506140768528</x:v>
      </x:c>
      <x:c r="C1094" s="23" t="n">
        <x:v>1225.616029871162</x:v>
      </x:c>
      <x:c r="D1094" s="23" t="n">
        <x:v>581.1172174289823</x:v>
      </x:c>
      <x:c r="E1094" s="23" t="n">
        <x:v>130.48010364407673</x:v>
      </x:c>
      <x:c r="F1094" s="23" t="n">
        <x:v>25.9110932033509</x:v>
      </x:c>
      <x:c r="G1094" s="23" t="n">
        <x:v>0.833297555197496</x:v>
      </x:c>
      <x:c r="H1094" s="23" t="n">
        <x:v>11040</x:v>
      </x:c>
      <x:c r="I1094" s="23" t="n">
        <x:v>1195</x:v>
      </x:c>
      <x:c r="J1094" s="23" t="n">
        <x:f>(IF(A1094='Hybrid Calculator'!$B$6,0,1))^2+((B1094-'Hybrid Calculator'!$B$7)/1500)^2+((C1094-'Hybrid Calculator'!$B$8)/1300)^2+((D1094-'Hybrid Calculator'!$B$9)/800)^2+((E1094-'Hybrid Calculator'!$B$10)/350)^2+((F1094-'Hybrid Calculator'!$B$11)/30)^2+(G1094-'Hybrid Calculator'!$B$12)^2+((H1094-'Hybrid Calculator'!$E$14)/IF(A1094="Lightning",100,30000))^2+((I1094-'Hybrid Calculator'!$E$17)/IF(A1094="Lightning",100,30000))^2</x:f>
        <x:v>1.3444234402202502</x:v>
      </x:c>
      <x:c r="K1094" s="23" t="n">
        <x:f>RANK(J1094,$J$2:$J$1401,1)</x:f>
        <x:v>816</x:v>
      </x:c>
      <x:c r="L1094" s="23" t="n">
        <x:f>IF(K1094&lt;=7,1,0)</x:f>
        <x:v>0</x:v>
      </x:c>
      <x:c r="M1094" s="23" t="n">
        <x:f>IF(L1094=1,1/(J1094+0.000001),0)</x:f>
        <x:v>0</x:v>
      </x:c>
      <x:c r="N1094" s="23" t="n">
        <x:v>1.5664128183485673</x:v>
      </x:c>
      <x:c r="O1094" s="23" t="n">
        <x:f>M1094</x:f>
        <x:v>0</x:v>
      </x:c>
      <x:c r="P1094" s="23" t="n">
        <x:v>5.785239281750819</x:v>
      </x:c>
      <x:c r="Q1094" s="23" t="n">
        <x:v>-10.611095809745393</x:v>
      </x:c>
    </x:row>
    <x:row r="1095">
      <x:c r="A1095" s="23" t="str">
        <x:v>Switching</x:v>
      </x:c>
      <x:c r="B1095" s="23" t="n">
        <x:v>970.0814700336196</x:v>
      </x:c>
      <x:c r="C1095" s="23" t="n">
        <x:v>1225.3775948891416</x:v>
      </x:c>
      <x:c r="D1095" s="23" t="n">
        <x:v>746.6627881862223</x:v>
      </x:c>
      <x:c r="E1095" s="23" t="n">
        <x:v>93.70803802274168</x:v>
      </x:c>
      <x:c r="F1095" s="23" t="n">
        <x:v>23.928598162252456</x:v>
      </x:c>
      <x:c r="G1095" s="23" t="n">
        <x:v>0.8315211957739667</x:v>
      </x:c>
      <x:c r="H1095" s="23" t="n">
        <x:v>12080</x:v>
      </x:c>
      <x:c r="I1095" s="23" t="n">
        <x:v>1200</x:v>
      </x:c>
      <x:c r="J1095" s="23" t="n">
        <x:f>(IF(A1095='Hybrid Calculator'!$B$6,0,1))^2+((B1095-'Hybrid Calculator'!$B$7)/1500)^2+((C1095-'Hybrid Calculator'!$B$8)/1300)^2+((D1095-'Hybrid Calculator'!$B$9)/800)^2+((E1095-'Hybrid Calculator'!$B$10)/350)^2+((F1095-'Hybrid Calculator'!$B$11)/30)^2+(G1095-'Hybrid Calculator'!$B$12)^2+((H1095-'Hybrid Calculator'!$E$14)/IF(A1095="Lightning",100,30000))^2+((I1095-'Hybrid Calculator'!$E$17)/IF(A1095="Lightning",100,30000))^2</x:f>
        <x:v>1.4915018189189264</x:v>
      </x:c>
      <x:c r="K1095" s="23" t="n">
        <x:f>RANK(J1095,$J$2:$J$1401,1)</x:f>
        <x:v>1192</x:v>
      </x:c>
      <x:c r="L1095" s="23" t="n">
        <x:f>IF(K1095&lt;=7,1,0)</x:f>
        <x:v>0</x:v>
      </x:c>
      <x:c r="M1095" s="23" t="n">
        <x:f>IF(L1095=1,1/(J1095+0.000001),0)</x:f>
        <x:v>0</x:v>
      </x:c>
      <x:c r="N1095" s="23" t="n">
        <x:v>2.795289680733106</x:v>
      </x:c>
      <x:c r="O1095" s="23" t="n">
        <x:f>M1095</x:f>
        <x:v>0</x:v>
      </x:c>
      <x:c r="P1095" s="23" t="n">
        <x:v>74.42692949668299</x:v>
      </x:c>
      <x:c r="Q1095" s="23" t="n">
        <x:v>-7.389223632345079</x:v>
      </x:c>
    </x:row>
    <x:row r="1096">
      <x:c r="A1096" s="23" t="str">
        <x:v>Switching</x:v>
      </x:c>
      <x:c r="B1096" s="23" t="n">
        <x:v>1033.3482459886</x:v>
      </x:c>
      <x:c r="C1096" s="23" t="n">
        <x:v>1139.778937830124</x:v>
      </x:c>
      <x:c r="D1096" s="23" t="n">
        <x:v>466.8836120516062</x:v>
      </x:c>
      <x:c r="E1096" s="23" t="n">
        <x:v>197.98586806980893</x:v>
      </x:c>
      <x:c r="F1096" s="23" t="n">
        <x:v>28.773798489011824</x:v>
      </x:c>
      <x:c r="G1096" s="23" t="n">
        <x:v>0.8285745112108999</x:v>
      </x:c>
      <x:c r="H1096" s="23" t="n">
        <x:v>11850</x:v>
      </x:c>
      <x:c r="I1096" s="23" t="n">
        <x:v>1195</x:v>
      </x:c>
      <x:c r="J1096" s="23" t="n">
        <x:f>(IF(A1096='Hybrid Calculator'!$B$6,0,1))^2+((B1096-'Hybrid Calculator'!$B$7)/1500)^2+((C1096-'Hybrid Calculator'!$B$8)/1300)^2+((D1096-'Hybrid Calculator'!$B$9)/800)^2+((E1096-'Hybrid Calculator'!$B$10)/350)^2+((F1096-'Hybrid Calculator'!$B$11)/30)^2+(G1096-'Hybrid Calculator'!$B$12)^2+((H1096-'Hybrid Calculator'!$E$14)/IF(A1096="Lightning",100,30000))^2+((I1096-'Hybrid Calculator'!$E$17)/IF(A1096="Lightning",100,30000))^2</x:f>
        <x:v>1.4119564223733176</x:v>
      </x:c>
      <x:c r="K1096" s="23" t="n">
        <x:f>RANK(J1096,$J$2:$J$1401,1)</x:f>
        <x:v>1013</x:v>
      </x:c>
      <x:c r="L1096" s="23" t="n">
        <x:f>IF(K1096&lt;=7,1,0)</x:f>
        <x:v>0</x:v>
      </x:c>
      <x:c r="M1096" s="23" t="n">
        <x:f>IF(L1096=1,1/(J1096+0.000001),0)</x:f>
        <x:v>0</x:v>
      </x:c>
      <x:c r="N1096" s="23" t="n">
        <x:v>1.2825156174533845</x:v>
      </x:c>
      <x:c r="O1096" s="23" t="n">
        <x:f>M1096</x:f>
        <x:v>0</x:v>
      </x:c>
      <x:c r="P1096" s="23" t="n">
        <x:v>59.81563495476303</x:v>
      </x:c>
      <x:c r="Q1096" s="23" t="n">
        <x:v>-17.323260947835365</x:v>
      </x:c>
    </x:row>
    <x:row r="1097">
      <x:c r="A1097" s="23" t="str">
        <x:v>Switching</x:v>
      </x:c>
      <x:c r="B1097" s="23" t="n">
        <x:v>974.9423958710395</x:v>
      </x:c>
      <x:c r="C1097" s="23" t="n">
        <x:v>1149.8888976406306</x:v>
      </x:c>
      <x:c r="D1097" s="23" t="n">
        <x:v>732.0242787711322</x:v>
      </x:c>
      <x:c r="E1097" s="23" t="n">
        <x:v>240.65544250886887</x:v>
      </x:c>
      <x:c r="F1097" s="23" t="n">
        <x:v>13.232397999148816</x:v>
      </x:c>
      <x:c r="G1097" s="23" t="n">
        <x:v>0.8360505454987288</x:v>
      </x:c>
      <x:c r="H1097" s="23" t="n">
        <x:v>11755</x:v>
      </x:c>
      <x:c r="I1097" s="23" t="n">
        <x:v>1195</x:v>
      </x:c>
      <x:c r="J1097" s="23" t="n">
        <x:f>(IF(A1097='Hybrid Calculator'!$B$6,0,1))^2+((B1097-'Hybrid Calculator'!$B$7)/1500)^2+((C1097-'Hybrid Calculator'!$B$8)/1300)^2+((D1097-'Hybrid Calculator'!$B$9)/800)^2+((E1097-'Hybrid Calculator'!$B$10)/350)^2+((F1097-'Hybrid Calculator'!$B$11)/30)^2+(G1097-'Hybrid Calculator'!$B$12)^2+((H1097-'Hybrid Calculator'!$E$14)/IF(A1097="Lightning",100,30000))^2+((I1097-'Hybrid Calculator'!$E$17)/IF(A1097="Lightning",100,30000))^2</x:f>
        <x:v>1.4792840505817837</x:v>
      </x:c>
      <x:c r="K1097" s="23" t="n">
        <x:f>RANK(J1097,$J$2:$J$1401,1)</x:f>
        <x:v>1176</x:v>
      </x:c>
      <x:c r="L1097" s="23" t="n">
        <x:f>IF(K1097&lt;=7,1,0)</x:f>
        <x:v>0</x:v>
      </x:c>
      <x:c r="M1097" s="23" t="n">
        <x:f>IF(L1097=1,1/(J1097+0.000001),0)</x:f>
        <x:v>0</x:v>
      </x:c>
      <x:c r="N1097" s="23" t="n">
        <x:v>5.8225801257201795</x:v>
      </x:c>
      <x:c r="O1097" s="23" t="n">
        <x:f>M1097</x:f>
        <x:v>0</x:v>
      </x:c>
      <x:c r="P1097" s="23" t="n">
        <x:v>-0.9136411489421334</x:v>
      </x:c>
      <x:c r="Q1097" s="23" t="n">
        <x:v>0.7619466248690969</x:v>
      </x:c>
    </x:row>
    <x:row r="1098">
      <x:c r="A1098" s="23" t="str">
        <x:v>Switching</x:v>
      </x:c>
      <x:c r="B1098" s="23" t="n">
        <x:v>1083.745914651081</x:v>
      </x:c>
      <x:c r="C1098" s="23" t="n">
        <x:v>833.9774080435745</x:v>
      </x:c>
      <x:c r="D1098" s="23" t="n">
        <x:v>502.9648697003722</x:v>
      </x:c>
      <x:c r="E1098" s="23" t="n">
        <x:v>295.10325075360015</x:v>
      </x:c>
      <x:c r="F1098" s="23" t="n">
        <x:v>12.178031396120787</x:v>
      </x:c>
      <x:c r="G1098" s="23" t="n">
        <x:v>0.7928735743113794</x:v>
      </x:c>
      <x:c r="H1098" s="23" t="n">
        <x:v>13105</x:v>
      </x:c>
      <x:c r="I1098" s="23" t="n">
        <x:v>1200</x:v>
      </x:c>
      <x:c r="J1098" s="23" t="n">
        <x:f>(IF(A1098='Hybrid Calculator'!$B$6,0,1))^2+((B1098-'Hybrid Calculator'!$B$7)/1500)^2+((C1098-'Hybrid Calculator'!$B$8)/1300)^2+((D1098-'Hybrid Calculator'!$B$9)/800)^2+((E1098-'Hybrid Calculator'!$B$10)/350)^2+((F1098-'Hybrid Calculator'!$B$11)/30)^2+(G1098-'Hybrid Calculator'!$B$12)^2+((H1098-'Hybrid Calculator'!$E$14)/IF(A1098="Lightning",100,30000))^2+((I1098-'Hybrid Calculator'!$E$17)/IF(A1098="Lightning",100,30000))^2</x:f>
        <x:v>1.4598482973477578</x:v>
      </x:c>
      <x:c r="K1098" s="23" t="n">
        <x:f>RANK(J1098,$J$2:$J$1401,1)</x:f>
        <x:v>1132</x:v>
      </x:c>
      <x:c r="L1098" s="23" t="n">
        <x:f>IF(K1098&lt;=7,1,0)</x:f>
        <x:v>0</x:v>
      </x:c>
      <x:c r="M1098" s="23" t="n">
        <x:f>IF(L1098=1,1/(J1098+0.000001),0)</x:f>
        <x:v>0</x:v>
      </x:c>
      <x:c r="N1098" s="23" t="n">
        <x:v>3.044844419183164</x:v>
      </x:c>
      <x:c r="O1098" s="23" t="n">
        <x:f>M1098</x:f>
        <x:v>0</x:v>
      </x:c>
      <x:c r="P1098" s="23" t="n">
        <x:v>-31.29002339756471</x:v>
      </x:c>
      <x:c r="Q1098" s="23" t="n">
        <x:v>9.845010313369585</x:v>
      </x:c>
    </x:row>
    <x:row r="1099">
      <x:c r="A1099" s="23" t="str">
        <x:v>Switching</x:v>
      </x:c>
      <x:c r="B1099" s="23" t="n">
        <x:v>1095.351147663314</x:v>
      </x:c>
      <x:c r="C1099" s="23" t="n">
        <x:v>1052.7227184502408</x:v>
      </x:c>
      <x:c r="D1099" s="23" t="n">
        <x:v>372.38311963155866</x:v>
      </x:c>
      <x:c r="E1099" s="23" t="n">
        <x:v>177.89494331926107</x:v>
      </x:c>
      <x:c r="F1099" s="23" t="n">
        <x:v>20.280002790037543</x:v>
      </x:c>
      <x:c r="G1099" s="23" t="n">
        <x:v>0.7926650356827304</x:v>
      </x:c>
      <x:c r="H1099" s="23" t="n">
        <x:v>13340</x:v>
      </x:c>
      <x:c r="I1099" s="23" t="n">
        <x:v>1200</x:v>
      </x:c>
      <x:c r="J1099" s="23" t="n">
        <x:f>(IF(A1099='Hybrid Calculator'!$B$6,0,1))^2+((B1099-'Hybrid Calculator'!$B$7)/1500)^2+((C1099-'Hybrid Calculator'!$B$8)/1300)^2+((D1099-'Hybrid Calculator'!$B$9)/800)^2+((E1099-'Hybrid Calculator'!$B$10)/350)^2+((F1099-'Hybrid Calculator'!$B$11)/30)^2+(G1099-'Hybrid Calculator'!$B$12)^2+((H1099-'Hybrid Calculator'!$E$14)/IF(A1099="Lightning",100,30000))^2+((I1099-'Hybrid Calculator'!$E$17)/IF(A1099="Lightning",100,30000))^2</x:f>
        <x:v>1.3064642366603025</x:v>
      </x:c>
      <x:c r="K1099" s="23" t="n">
        <x:f>RANK(J1099,$J$2:$J$1401,1)</x:f>
        <x:v>742</x:v>
      </x:c>
      <x:c r="L1099" s="23" t="n">
        <x:f>IF(K1099&lt;=7,1,0)</x:f>
        <x:v>0</x:v>
      </x:c>
      <x:c r="M1099" s="23" t="n">
        <x:f>IF(L1099=1,1/(J1099+0.000001),0)</x:f>
        <x:v>0</x:v>
      </x:c>
      <x:c r="N1099" s="23" t="n">
        <x:v>2.2373037586590954</x:v>
      </x:c>
      <x:c r="O1099" s="23" t="n">
        <x:f>M1099</x:f>
        <x:v>0</x:v>
      </x:c>
      <x:c r="P1099" s="23" t="n">
        <x:v>-23.258607554425453</x:v>
      </x:c>
      <x:c r="Q1099" s="23" t="n">
        <x:v>-4.021636791752371</x:v>
      </x:c>
    </x:row>
    <x:row r="1100">
      <x:c r="A1100" s="23" t="str">
        <x:v>Switching</x:v>
      </x:c>
      <x:c r="B1100" s="23" t="n">
        <x:v>1069.1466700518504</x:v>
      </x:c>
      <x:c r="C1100" s="23" t="n">
        <x:v>1234.3057594378479</x:v>
      </x:c>
      <x:c r="D1100" s="23" t="n">
        <x:v>471.64459452033043</x:v>
      </x:c>
      <x:c r="E1100" s="23" t="n">
        <x:v>181.95071384077892</x:v>
      </x:c>
      <x:c r="F1100" s="23" t="n">
        <x:v>14.245607784949243</x:v>
      </x:c>
      <x:c r="G1100" s="23" t="n">
        <x:v>0.8138373483135365</x:v>
      </x:c>
      <x:c r="H1100" s="23" t="n">
        <x:v>11330</x:v>
      </x:c>
      <x:c r="I1100" s="23" t="n">
        <x:v>1195</x:v>
      </x:c>
      <x:c r="J1100" s="23" t="n">
        <x:f>(IF(A1100='Hybrid Calculator'!$B$6,0,1))^2+((B1100-'Hybrid Calculator'!$B$7)/1500)^2+((C1100-'Hybrid Calculator'!$B$8)/1300)^2+((D1100-'Hybrid Calculator'!$B$9)/800)^2+((E1100-'Hybrid Calculator'!$B$10)/350)^2+((F1100-'Hybrid Calculator'!$B$11)/30)^2+(G1100-'Hybrid Calculator'!$B$12)^2+((H1100-'Hybrid Calculator'!$E$14)/IF(A1100="Lightning",100,30000))^2+((I1100-'Hybrid Calculator'!$E$17)/IF(A1100="Lightning",100,30000))^2</x:f>
        <x:v>1.3163074582707779</x:v>
      </x:c>
      <x:c r="K1100" s="23" t="n">
        <x:f>RANK(J1100,$J$2:$J$1401,1)</x:f>
        <x:v>755</x:v>
      </x:c>
      <x:c r="L1100" s="23" t="n">
        <x:f>IF(K1100&lt;=7,1,0)</x:f>
        <x:v>0</x:v>
      </x:c>
      <x:c r="M1100" s="23" t="n">
        <x:f>IF(L1100=1,1/(J1100+0.000001),0)</x:f>
        <x:v>0</x:v>
      </x:c>
      <x:c r="N1100" s="23" t="n">
        <x:v>4.555352531067825</x:v>
      </x:c>
      <x:c r="O1100" s="23" t="n">
        <x:f>M1100</x:f>
        <x:v>0</x:v>
      </x:c>
      <x:c r="P1100" s="23" t="n">
        <x:v>64.24891773234276</x:v>
      </x:c>
      <x:c r="Q1100" s="23" t="n">
        <x:v>-4.706722413233365</x:v>
      </x:c>
    </x:row>
    <x:row r="1101">
      <x:c r="A1101" s="23" t="str">
        <x:v>Switching</x:v>
      </x:c>
      <x:c r="B1101" s="23" t="n">
        <x:v>1061.118247907143</x:v>
      </x:c>
      <x:c r="C1101" s="23" t="n">
        <x:v>1193.700610846281</x:v>
      </x:c>
      <x:c r="D1101" s="23" t="n">
        <x:v>480.90036204084754</x:v>
      </x:c>
      <x:c r="E1101" s="23" t="n">
        <x:v>217.22076930571347</x:v>
      </x:c>
      <x:c r="F1101" s="23" t="n">
        <x:v>26.484011562075466</x:v>
      </x:c>
      <x:c r="G1101" s="23" t="n">
        <x:v>0.8426236424874515</x:v>
      </x:c>
      <x:c r="H1101" s="23" t="n">
        <x:v>11305</x:v>
      </x:c>
      <x:c r="I1101" s="23" t="n">
        <x:v>1195</x:v>
      </x:c>
      <x:c r="J1101" s="23" t="n">
        <x:f>(IF(A1101='Hybrid Calculator'!$B$6,0,1))^2+((B1101-'Hybrid Calculator'!$B$7)/1500)^2+((C1101-'Hybrid Calculator'!$B$8)/1300)^2+((D1101-'Hybrid Calculator'!$B$9)/800)^2+((E1101-'Hybrid Calculator'!$B$10)/350)^2+((F1101-'Hybrid Calculator'!$B$11)/30)^2+(G1101-'Hybrid Calculator'!$B$12)^2+((H1101-'Hybrid Calculator'!$E$14)/IF(A1101="Lightning",100,30000))^2+((I1101-'Hybrid Calculator'!$E$17)/IF(A1101="Lightning",100,30000))^2</x:f>
        <x:v>1.3798151285275946</x:v>
      </x:c>
      <x:c r="K1101" s="23" t="n">
        <x:f>RANK(J1101,$J$2:$J$1401,1)</x:f>
        <x:v>916</x:v>
      </x:c>
      <x:c r="L1101" s="23" t="n">
        <x:f>IF(K1101&lt;=7,1,0)</x:f>
        <x:v>0</x:v>
      </x:c>
      <x:c r="M1101" s="23" t="n">
        <x:f>IF(L1101=1,1/(J1101+0.000001),0)</x:f>
        <x:v>0</x:v>
      </x:c>
      <x:c r="N1101" s="23" t="n">
        <x:v>-2.503683439010416</x:v>
      </x:c>
      <x:c r="O1101" s="23" t="n">
        <x:f>M1101</x:f>
        <x:v>0</x:v>
      </x:c>
      <x:c r="P1101" s="23" t="n">
        <x:v>8.934810231250594</x:v>
      </x:c>
      <x:c r="Q1101" s="23" t="n">
        <x:v>-14.285021045980102</x:v>
      </x:c>
    </x:row>
    <x:row r="1102">
      <x:c r="A1102" s="23" t="str">
        <x:v>Switching</x:v>
      </x:c>
      <x:c r="B1102" s="23" t="n">
        <x:v>1006.7657924257219</x:v>
      </x:c>
      <x:c r="C1102" s="23" t="n">
        <x:v>1102.8730227961205</x:v>
      </x:c>
      <x:c r="D1102" s="23" t="n">
        <x:v>486.4393198862672</x:v>
      </x:c>
      <x:c r="E1102" s="23" t="n">
        <x:v>300.8505487651564</x:v>
      </x:c>
      <x:c r="F1102" s="23" t="n">
        <x:v>14.045627737417817</x:v>
      </x:c>
      <x:c r="G1102" s="23" t="n">
        <x:v>0.846328111619223</x:v>
      </x:c>
      <x:c r="H1102" s="23" t="n">
        <x:v>13200</x:v>
      </x:c>
      <x:c r="I1102" s="23" t="n">
        <x:v>1200</x:v>
      </x:c>
      <x:c r="J1102" s="23" t="n">
        <x:f>(IF(A1102='Hybrid Calculator'!$B$6,0,1))^2+((B1102-'Hybrid Calculator'!$B$7)/1500)^2+((C1102-'Hybrid Calculator'!$B$8)/1300)^2+((D1102-'Hybrid Calculator'!$B$9)/800)^2+((E1102-'Hybrid Calculator'!$B$10)/350)^2+((F1102-'Hybrid Calculator'!$B$11)/30)^2+(G1102-'Hybrid Calculator'!$B$12)^2+((H1102-'Hybrid Calculator'!$E$14)/IF(A1102="Lightning",100,30000))^2+((I1102-'Hybrid Calculator'!$E$17)/IF(A1102="Lightning",100,30000))^2</x:f>
        <x:v>1.5180383230992243</x:v>
      </x:c>
      <x:c r="K1102" s="23" t="n">
        <x:f>RANK(J1102,$J$2:$J$1401,1)</x:f>
        <x:v>1244</x:v>
      </x:c>
      <x:c r="L1102" s="23" t="n">
        <x:f>IF(K1102&lt;=7,1,0)</x:f>
        <x:v>0</x:v>
      </x:c>
      <x:c r="M1102" s="23" t="n">
        <x:f>IF(L1102=1,1/(J1102+0.000001),0)</x:f>
        <x:v>0</x:v>
      </x:c>
      <x:c r="N1102" s="23" t="n">
        <x:v>1.840417068176322</x:v>
      </x:c>
      <x:c r="O1102" s="23" t="n">
        <x:f>M1102</x:f>
        <x:v>0</x:v>
      </x:c>
      <x:c r="P1102" s="23" t="n">
        <x:v>48.43369942012259</x:v>
      </x:c>
      <x:c r="Q1102" s="23" t="n">
        <x:v>-0.020914443685228434</x:v>
      </x:c>
    </x:row>
    <x:row r="1103">
      <x:c r="A1103" s="23" t="str">
        <x:v>Switching</x:v>
      </x:c>
      <x:c r="B1103" s="23" t="n">
        <x:v>1093.5676978551783</x:v>
      </x:c>
      <x:c r="C1103" s="23" t="n">
        <x:v>633.2912083016708</x:v>
      </x:c>
      <x:c r="D1103" s="23" t="n">
        <x:v>597.3492437042296</x:v>
      </x:c>
      <x:c r="E1103" s="23" t="n">
        <x:v>263.93998243846</x:v>
      </x:c>
      <x:c r="F1103" s="23" t="n">
        <x:v>8.729112633038312</x:v>
      </x:c>
      <x:c r="G1103" s="23" t="n">
        <x:v>0.7944513747701422</x:v>
      </x:c>
      <x:c r="H1103" s="23" t="n">
        <x:v>14310</x:v>
      </x:c>
      <x:c r="I1103" s="23" t="n">
        <x:v>1200</x:v>
      </x:c>
      <x:c r="J1103" s="23" t="n">
        <x:f>(IF(A1103='Hybrid Calculator'!$B$6,0,1))^2+((B1103-'Hybrid Calculator'!$B$7)/1500)^2+((C1103-'Hybrid Calculator'!$B$8)/1300)^2+((D1103-'Hybrid Calculator'!$B$9)/800)^2+((E1103-'Hybrid Calculator'!$B$10)/350)^2+((F1103-'Hybrid Calculator'!$B$11)/30)^2+(G1103-'Hybrid Calculator'!$B$12)^2+((H1103-'Hybrid Calculator'!$E$14)/IF(A1103="Lightning",100,30000))^2+((I1103-'Hybrid Calculator'!$E$17)/IF(A1103="Lightning",100,30000))^2</x:f>
        <x:v>1.5316019527813651</x:v>
      </x:c>
      <x:c r="K1103" s="23" t="n">
        <x:f>RANK(J1103,$J$2:$J$1401,1)</x:f>
        <x:v>1267</x:v>
      </x:c>
      <x:c r="L1103" s="23" t="n">
        <x:f>IF(K1103&lt;=7,1,0)</x:f>
        <x:v>0</x:v>
      </x:c>
      <x:c r="M1103" s="23" t="n">
        <x:f>IF(L1103=1,1/(J1103+0.000001),0)</x:f>
        <x:v>0</x:v>
      </x:c>
      <x:c r="N1103" s="23" t="n">
        <x:v>-1.1254300374746151</x:v>
      </x:c>
      <x:c r="O1103" s="23" t="n">
        <x:f>M1103</x:f>
        <x:v>0</x:v>
      </x:c>
      <x:c r="P1103" s="23" t="n">
        <x:v>12.43710864792547</x:v>
      </x:c>
      <x:c r="Q1103" s="23" t="n">
        <x:v>14.154916249203552</x:v>
      </x:c>
    </x:row>
    <x:row r="1104">
      <x:c r="A1104" s="23" t="str">
        <x:v>Switching</x:v>
      </x:c>
      <x:c r="B1104" s="23" t="n">
        <x:v>979.5035362010822</x:v>
      </x:c>
      <x:c r="C1104" s="23" t="n">
        <x:v>639.0229763113894</x:v>
      </x:c>
      <x:c r="D1104" s="23" t="n">
        <x:v>579.5931678265333</x:v>
      </x:c>
      <x:c r="E1104" s="23" t="n">
        <x:v>118.81478094263002</x:v>
      </x:c>
      <x:c r="F1104" s="23" t="n">
        <x:v>28.439366151578724</x:v>
      </x:c>
      <x:c r="G1104" s="23" t="n">
        <x:v>0.8127084835688584</x:v>
      </x:c>
      <x:c r="H1104" s="23" t="n">
        <x:v>15990</x:v>
      </x:c>
      <x:c r="I1104" s="23" t="n">
        <x:v>1200</x:v>
      </x:c>
      <x:c r="J1104" s="23" t="n">
        <x:f>(IF(A1104='Hybrid Calculator'!$B$6,0,1))^2+((B1104-'Hybrid Calculator'!$B$7)/1500)^2+((C1104-'Hybrid Calculator'!$B$8)/1300)^2+((D1104-'Hybrid Calculator'!$B$9)/800)^2+((E1104-'Hybrid Calculator'!$B$10)/350)^2+((F1104-'Hybrid Calculator'!$B$11)/30)^2+(G1104-'Hybrid Calculator'!$B$12)^2+((H1104-'Hybrid Calculator'!$E$14)/IF(A1104="Lightning",100,30000))^2+((I1104-'Hybrid Calculator'!$E$17)/IF(A1104="Lightning",100,30000))^2</x:f>
        <x:v>1.5260532041036883</x:v>
      </x:c>
      <x:c r="K1104" s="23" t="n">
        <x:f>RANK(J1104,$J$2:$J$1401,1)</x:f>
        <x:v>1257</x:v>
      </x:c>
      <x:c r="L1104" s="23" t="n">
        <x:f>IF(K1104&lt;=7,1,0)</x:f>
        <x:v>0</x:v>
      </x:c>
      <x:c r="M1104" s="23" t="n">
        <x:f>IF(L1104=1,1/(J1104+0.000001),0)</x:f>
        <x:v>0</x:v>
      </x:c>
      <x:c r="N1104" s="23" t="n">
        <x:v>-1.9926136617546035</x:v>
      </x:c>
      <x:c r="O1104" s="23" t="n">
        <x:f>M1104</x:f>
        <x:v>0</x:v>
      </x:c>
      <x:c r="P1104" s="23" t="n">
        <x:v>-1.3914248154442248</x:v>
      </x:c>
      <x:c r="Q1104" s="23" t="n">
        <x:v>-2.959752326045191</x:v>
      </x:c>
    </x:row>
    <x:row r="1105">
      <x:c r="A1105" s="23" t="str">
        <x:v>Switching</x:v>
      </x:c>
      <x:c r="B1105" s="23" t="n">
        <x:v>1073.9626328810118</x:v>
      </x:c>
      <x:c r="C1105" s="23" t="n">
        <x:v>1193.2613358367234</x:v>
      </x:c>
      <x:c r="D1105" s="23" t="n">
        <x:v>521.3709565810859</x:v>
      </x:c>
      <x:c r="E1105" s="23" t="n">
        <x:v>164.95645073708147</x:v>
      </x:c>
      <x:c r="F1105" s="23" t="n">
        <x:v>25.17585176927969</x:v>
      </x:c>
      <x:c r="G1105" s="23" t="n">
        <x:v>0.7959174044243992</x:v>
      </x:c>
      <x:c r="H1105" s="23" t="n">
        <x:v>11380</x:v>
      </x:c>
      <x:c r="I1105" s="23" t="n">
        <x:v>1195</x:v>
      </x:c>
      <x:c r="J1105" s="23" t="n">
        <x:f>(IF(A1105='Hybrid Calculator'!$B$6,0,1))^2+((B1105-'Hybrid Calculator'!$B$7)/1500)^2+((C1105-'Hybrid Calculator'!$B$8)/1300)^2+((D1105-'Hybrid Calculator'!$B$9)/800)^2+((E1105-'Hybrid Calculator'!$B$10)/350)^2+((F1105-'Hybrid Calculator'!$B$11)/30)^2+(G1105-'Hybrid Calculator'!$B$12)^2+((H1105-'Hybrid Calculator'!$E$14)/IF(A1105="Lightning",100,30000))^2+((I1105-'Hybrid Calculator'!$E$17)/IF(A1105="Lightning",100,30000))^2</x:f>
        <x:v>1.3212802476678924</x:v>
      </x:c>
      <x:c r="K1105" s="23" t="n">
        <x:f>RANK(J1105,$J$2:$J$1401,1)</x:f>
        <x:v>761</x:v>
      </x:c>
      <x:c r="L1105" s="23" t="n">
        <x:f>IF(K1105&lt;=7,1,0)</x:f>
        <x:v>0</x:v>
      </x:c>
      <x:c r="M1105" s="23" t="n">
        <x:f>IF(L1105=1,1/(J1105+0.000001),0)</x:f>
        <x:v>0</x:v>
      </x:c>
      <x:c r="N1105" s="23" t="n">
        <x:v>1.7767261316422776</x:v>
      </x:c>
      <x:c r="O1105" s="23" t="n">
        <x:f>M1105</x:f>
        <x:v>0</x:v>
      </x:c>
      <x:c r="P1105" s="23" t="n">
        <x:v>42.478875750220595</x:v>
      </x:c>
      <x:c r="Q1105" s="23" t="n">
        <x:v>-13.122230136430971</x:v>
      </x:c>
    </x:row>
    <x:row r="1106">
      <x:c r="A1106" s="23" t="str">
        <x:v>Switching</x:v>
      </x:c>
      <x:c r="B1106" s="23" t="n">
        <x:v>1016.5766722057015</x:v>
      </x:c>
      <x:c r="C1106" s="23" t="n">
        <x:v>906.4246950554661</x:v>
      </x:c>
      <x:c r="D1106" s="23" t="n">
        <x:v>730.9116197749972</x:v>
      </x:c>
      <x:c r="E1106" s="23" t="n">
        <x:v>210.20822900580242</x:v>
      </x:c>
      <x:c r="F1106" s="23" t="n">
        <x:v>22.20345313102007</x:v>
      </x:c>
      <x:c r="G1106" s="23" t="n">
        <x:v>0.8409612936736085</x:v>
      </x:c>
      <x:c r="H1106" s="23" t="n">
        <x:v>11575</x:v>
      </x:c>
      <x:c r="I1106" s="23" t="n">
        <x:v>1195</x:v>
      </x:c>
      <x:c r="J1106" s="23" t="n">
        <x:f>(IF(A1106='Hybrid Calculator'!$B$6,0,1))^2+((B1106-'Hybrid Calculator'!$B$7)/1500)^2+((C1106-'Hybrid Calculator'!$B$8)/1300)^2+((D1106-'Hybrid Calculator'!$B$9)/800)^2+((E1106-'Hybrid Calculator'!$B$10)/350)^2+((F1106-'Hybrid Calculator'!$B$11)/30)^2+(G1106-'Hybrid Calculator'!$B$12)^2+((H1106-'Hybrid Calculator'!$E$14)/IF(A1106="Lightning",100,30000))^2+((I1106-'Hybrid Calculator'!$E$17)/IF(A1106="Lightning",100,30000))^2</x:f>
        <x:v>1.353710264126418</x:v>
      </x:c>
      <x:c r="K1106" s="23" t="n">
        <x:f>RANK(J1106,$J$2:$J$1401,1)</x:f>
        <x:v>841</x:v>
      </x:c>
      <x:c r="L1106" s="23" t="n">
        <x:f>IF(K1106&lt;=7,1,0)</x:f>
        <x:v>0</x:v>
      </x:c>
      <x:c r="M1106" s="23" t="n">
        <x:f>IF(L1106=1,1/(J1106+0.000001),0)</x:f>
        <x:v>0</x:v>
      </x:c>
      <x:c r="N1106" s="23" t="n">
        <x:v>-1.3155820673524659</x:v>
      </x:c>
      <x:c r="O1106" s="23" t="n">
        <x:f>M1106</x:f>
        <x:v>0</x:v>
      </x:c>
      <x:c r="P1106" s="23" t="n">
        <x:v>-28.420286570530152</x:v>
      </x:c>
      <x:c r="Q1106" s="23" t="n">
        <x:v>-6.203409017631657</x:v>
      </x:c>
    </x:row>
    <x:row r="1107">
      <x:c r="A1107" s="23" t="str">
        <x:v>Switching</x:v>
      </x:c>
      <x:c r="B1107" s="23" t="n">
        <x:v>1074.3295068969019</x:v>
      </x:c>
      <x:c r="C1107" s="23" t="n">
        <x:v>634.1369665926322</x:v>
      </x:c>
      <x:c r="D1107" s="23" t="n">
        <x:v>527.0841744728386</x:v>
      </x:c>
      <x:c r="E1107" s="23" t="n">
        <x:v>286.213494297117</x:v>
      </x:c>
      <x:c r="F1107" s="23" t="n">
        <x:v>14.653847365174443</x:v>
      </x:c>
      <x:c r="G1107" s="23" t="n">
        <x:v>0.8487968576094136</x:v>
      </x:c>
      <x:c r="H1107" s="23" t="n">
        <x:v>14775</x:v>
      </x:c>
      <x:c r="I1107" s="23" t="n">
        <x:v>1200</x:v>
      </x:c>
      <x:c r="J1107" s="23" t="n">
        <x:f>(IF(A1107='Hybrid Calculator'!$B$6,0,1))^2+((B1107-'Hybrid Calculator'!$B$7)/1500)^2+((C1107-'Hybrid Calculator'!$B$8)/1300)^2+((D1107-'Hybrid Calculator'!$B$9)/800)^2+((E1107-'Hybrid Calculator'!$B$10)/350)^2+((F1107-'Hybrid Calculator'!$B$11)/30)^2+(G1107-'Hybrid Calculator'!$B$12)^2+((H1107-'Hybrid Calculator'!$E$14)/IF(A1107="Lightning",100,30000))^2+((I1107-'Hybrid Calculator'!$E$17)/IF(A1107="Lightning",100,30000))^2</x:f>
        <x:v>1.494550882113352</x:v>
      </x:c>
      <x:c r="K1107" s="23" t="n">
        <x:f>RANK(J1107,$J$2:$J$1401,1)</x:f>
        <x:v>1196</x:v>
      </x:c>
      <x:c r="L1107" s="23" t="n">
        <x:f>IF(K1107&lt;=7,1,0)</x:f>
        <x:v>0</x:v>
      </x:c>
      <x:c r="M1107" s="23" t="n">
        <x:f>IF(L1107=1,1/(J1107+0.000001),0)</x:f>
        <x:v>0</x:v>
      </x:c>
      <x:c r="N1107" s="23" t="n">
        <x:v>0.23048333010476085</x:v>
      </x:c>
      <x:c r="O1107" s="23" t="n">
        <x:f>M1107</x:f>
        <x:v>0</x:v>
      </x:c>
      <x:c r="P1107" s="23" t="n">
        <x:v>-54.63512706437905</x:v>
      </x:c>
      <x:c r="Q1107" s="23" t="n">
        <x:v>9.981745231811146</x:v>
      </x:c>
    </x:row>
    <x:row r="1108">
      <x:c r="A1108" s="23" t="str">
        <x:v>Switching</x:v>
      </x:c>
      <x:c r="B1108" s="23" t="n">
        <x:v>1049.9594134744257</x:v>
      </x:c>
      <x:c r="C1108" s="23" t="n">
        <x:v>721.8694287235849</x:v>
      </x:c>
      <x:c r="D1108" s="23" t="n">
        <x:v>512.6401891931891</x:v>
      </x:c>
      <x:c r="E1108" s="23" t="n">
        <x:v>302.08998893620446</x:v>
      </x:c>
      <x:c r="F1108" s="23" t="n">
        <x:v>21.010890547186136</x:v>
      </x:c>
      <x:c r="G1108" s="23" t="n">
        <x:v>0.8020322058373132</x:v>
      </x:c>
      <x:c r="H1108" s="23" t="n">
        <x:v>13920</x:v>
      </x:c>
      <x:c r="I1108" s="23" t="n">
        <x:v>1200</x:v>
      </x:c>
      <x:c r="J1108" s="23" t="n">
        <x:f>(IF(A1108='Hybrid Calculator'!$B$6,0,1))^2+((B1108-'Hybrid Calculator'!$B$7)/1500)^2+((C1108-'Hybrid Calculator'!$B$8)/1300)^2+((D1108-'Hybrid Calculator'!$B$9)/800)^2+((E1108-'Hybrid Calculator'!$B$10)/350)^2+((F1108-'Hybrid Calculator'!$B$11)/30)^2+(G1108-'Hybrid Calculator'!$B$12)^2+((H1108-'Hybrid Calculator'!$E$14)/IF(A1108="Lightning",100,30000))^2+((I1108-'Hybrid Calculator'!$E$17)/IF(A1108="Lightning",100,30000))^2</x:f>
        <x:v>1.4839191675396126</x:v>
      </x:c>
      <x:c r="K1108" s="23" t="n">
        <x:f>RANK(J1108,$J$2:$J$1401,1)</x:f>
        <x:v>1183</x:v>
      </x:c>
      <x:c r="L1108" s="23" t="n">
        <x:f>IF(K1108&lt;=7,1,0)</x:f>
        <x:v>0</x:v>
      </x:c>
      <x:c r="M1108" s="23" t="n">
        <x:f>IF(L1108=1,1/(J1108+0.000001),0)</x:f>
        <x:v>0</x:v>
      </x:c>
      <x:c r="N1108" s="23" t="n">
        <x:v>-2.676578127800326</x:v>
      </x:c>
      <x:c r="O1108" s="23" t="n">
        <x:f>M1108</x:f>
        <x:v>0</x:v>
      </x:c>
      <x:c r="P1108" s="23" t="n">
        <x:v>10.818761300472488</x:v>
      </x:c>
      <x:c r="Q1108" s="23" t="n">
        <x:v>0.49684064997586574</x:v>
      </x:c>
    </x:row>
    <x:row r="1109">
      <x:c r="A1109" s="23" t="str">
        <x:v>Switching</x:v>
      </x:c>
      <x:c r="B1109" s="23" t="n">
        <x:v>1023.2830127817579</x:v>
      </x:c>
      <x:c r="C1109" s="23" t="n">
        <x:v>999.7965895337984</x:v>
      </x:c>
      <x:c r="D1109" s="23" t="n">
        <x:v>517.1618019230664</x:v>
      </x:c>
      <x:c r="E1109" s="23" t="n">
        <x:v>262.98323825001717</x:v>
      </x:c>
      <x:c r="F1109" s="23" t="n">
        <x:v>28.562529067043215</x:v>
      </x:c>
      <x:c r="G1109" s="23" t="n">
        <x:v>0.8501007766230032</x:v>
      </x:c>
      <x:c r="H1109" s="23" t="n">
        <x:v>12015</x:v>
      </x:c>
      <x:c r="I1109" s="23" t="n">
        <x:v>1200</x:v>
      </x:c>
      <x:c r="J1109" s="23" t="n">
        <x:f>(IF(A1109='Hybrid Calculator'!$B$6,0,1))^2+((B1109-'Hybrid Calculator'!$B$7)/1500)^2+((C1109-'Hybrid Calculator'!$B$8)/1300)^2+((D1109-'Hybrid Calculator'!$B$9)/800)^2+((E1109-'Hybrid Calculator'!$B$10)/350)^2+((F1109-'Hybrid Calculator'!$B$11)/30)^2+(G1109-'Hybrid Calculator'!$B$12)^2+((H1109-'Hybrid Calculator'!$E$14)/IF(A1109="Lightning",100,30000))^2+((I1109-'Hybrid Calculator'!$E$17)/IF(A1109="Lightning",100,30000))^2</x:f>
        <x:v>1.4636795462422751</x:v>
      </x:c>
      <x:c r="K1109" s="23" t="n">
        <x:f>RANK(J1109,$J$2:$J$1401,1)</x:f>
        <x:v>1144</x:v>
      </x:c>
      <x:c r="L1109" s="23" t="n">
        <x:f>IF(K1109&lt;=7,1,0)</x:f>
        <x:v>0</x:v>
      </x:c>
      <x:c r="M1109" s="23" t="n">
        <x:f>IF(L1109=1,1/(J1109+0.000001),0)</x:f>
        <x:v>0</x:v>
      </x:c>
      <x:c r="N1109" s="23" t="n">
        <x:v>-1.6795636878408118</x:v>
      </x:c>
      <x:c r="O1109" s="23" t="n">
        <x:f>M1109</x:f>
        <x:v>0</x:v>
      </x:c>
      <x:c r="P1109" s="23" t="n">
        <x:v>15.712048065212457</x:v>
      </x:c>
      <x:c r="Q1109" s="23" t="n">
        <x:v>-14.779401875178337</x:v>
      </x:c>
    </x:row>
    <x:row r="1110">
      <x:c r="A1110" s="23" t="str">
        <x:v>Switching</x:v>
      </x:c>
      <x:c r="B1110" s="23" t="n">
        <x:v>961.8824163684621</x:v>
      </x:c>
      <x:c r="C1110" s="23" t="n">
        <x:v>879.5689449761994</x:v>
      </x:c>
      <x:c r="D1110" s="23" t="n">
        <x:v>566.3573481142521</x:v>
      </x:c>
      <x:c r="E1110" s="23" t="n">
        <x:v>273.3106653741561</x:v>
      </x:c>
      <x:c r="F1110" s="23" t="n">
        <x:v>29.498304112814367</x:v>
      </x:c>
      <x:c r="G1110" s="23" t="n">
        <x:v>0.8467855200706982</x:v>
      </x:c>
      <x:c r="H1110" s="23" t="n">
        <x:v>14510</x:v>
      </x:c>
      <x:c r="I1110" s="23" t="n">
        <x:v>1200</x:v>
      </x:c>
      <x:c r="J1110" s="23" t="n">
        <x:f>(IF(A1110='Hybrid Calculator'!$B$6,0,1))^2+((B1110-'Hybrid Calculator'!$B$7)/1500)^2+((C1110-'Hybrid Calculator'!$B$8)/1300)^2+((D1110-'Hybrid Calculator'!$B$9)/800)^2+((E1110-'Hybrid Calculator'!$B$10)/350)^2+((F1110-'Hybrid Calculator'!$B$11)/30)^2+(G1110-'Hybrid Calculator'!$B$12)^2+((H1110-'Hybrid Calculator'!$E$14)/IF(A1110="Lightning",100,30000))^2+((I1110-'Hybrid Calculator'!$E$17)/IF(A1110="Lightning",100,30000))^2</x:f>
        <x:v>1.595826192577511</x:v>
      </x:c>
      <x:c r="K1110" s="23" t="n">
        <x:f>RANK(J1110,$J$2:$J$1401,1)</x:f>
        <x:v>1348</x:v>
      </x:c>
      <x:c r="L1110" s="23" t="n">
        <x:f>IF(K1110&lt;=7,1,0)</x:f>
        <x:v>0</x:v>
      </x:c>
      <x:c r="M1110" s="23" t="n">
        <x:f>IF(L1110=1,1/(J1110+0.000001),0)</x:f>
        <x:v>0</x:v>
      </x:c>
      <x:c r="N1110" s="23" t="n">
        <x:v>-3.457476661959845</x:v>
      </x:c>
      <x:c r="O1110" s="23" t="n">
        <x:f>M1110</x:f>
        <x:v>0</x:v>
      </x:c>
      <x:c r="P1110" s="23" t="n">
        <x:v>6.384996385304021</x:v>
      </x:c>
      <x:c r="Q1110" s="23" t="n">
        <x:v>-9.223144531090043</x:v>
      </x:c>
    </x:row>
    <x:row r="1111">
      <x:c r="A1111" s="23" t="str">
        <x:v>Switching</x:v>
      </x:c>
      <x:c r="B1111" s="23" t="n">
        <x:v>1034.2093083891086</x:v>
      </x:c>
      <x:c r="C1111" s="23" t="n">
        <x:v>1182.6451668515801</x:v>
      </x:c>
      <x:c r="D1111" s="23" t="n">
        <x:v>534.4909592531621</x:v>
      </x:c>
      <x:c r="E1111" s="23" t="n">
        <x:v>272.7362867863849</x:v>
      </x:c>
      <x:c r="F1111" s="23" t="n">
        <x:v>23.556648844387382</x:v>
      </x:c>
      <x:c r="G1111" s="23" t="n">
        <x:v>0.8476265432592481</x:v>
      </x:c>
      <x:c r="H1111" s="23" t="n">
        <x:v>10745</x:v>
      </x:c>
      <x:c r="I1111" s="23" t="n">
        <x:v>1195</x:v>
      </x:c>
      <x:c r="J1111" s="23" t="n">
        <x:f>(IF(A1111='Hybrid Calculator'!$B$6,0,1))^2+((B1111-'Hybrid Calculator'!$B$7)/1500)^2+((C1111-'Hybrid Calculator'!$B$8)/1300)^2+((D1111-'Hybrid Calculator'!$B$9)/800)^2+((E1111-'Hybrid Calculator'!$B$10)/350)^2+((F1111-'Hybrid Calculator'!$B$11)/30)^2+(G1111-'Hybrid Calculator'!$B$12)^2+((H1111-'Hybrid Calculator'!$E$14)/IF(A1111="Lightning",100,30000))^2+((I1111-'Hybrid Calculator'!$E$17)/IF(A1111="Lightning",100,30000))^2</x:f>
        <x:v>1.415968489352859</x:v>
      </x:c>
      <x:c r="K1111" s="23" t="n">
        <x:f>RANK(J1111,$J$2:$J$1401,1)</x:f>
        <x:v>1027</x:v>
      </x:c>
      <x:c r="L1111" s="23" t="n">
        <x:f>IF(K1111&lt;=7,1,0)</x:f>
        <x:v>0</x:v>
      </x:c>
      <x:c r="M1111" s="23" t="n">
        <x:f>IF(L1111=1,1/(J1111+0.000001),0)</x:f>
        <x:v>0</x:v>
      </x:c>
      <x:c r="N1111" s="23" t="n">
        <x:v>2.0142958721322657</x:v>
      </x:c>
      <x:c r="O1111" s="23" t="n">
        <x:f>M1111</x:f>
        <x:v>0</x:v>
      </x:c>
      <x:c r="P1111" s="23" t="n">
        <x:v>18.092989237217353</x:v>
      </x:c>
      <x:c r="Q1111" s="23" t="n">
        <x:v>-6.54688539624226</x:v>
      </x:c>
    </x:row>
    <x:row r="1112">
      <x:c r="A1112" s="23" t="str">
        <x:v>Switching</x:v>
      </x:c>
      <x:c r="B1112" s="23" t="n">
        <x:v>1010.0621272809803</x:v>
      </x:c>
      <x:c r="C1112" s="23" t="n">
        <x:v>1023.8978022127412</x:v>
      </x:c>
      <x:c r="D1112" s="23" t="n">
        <x:v>745.4906741157174</x:v>
      </x:c>
      <x:c r="E1112" s="23" t="n">
        <x:v>210.47478353837505</x:v>
      </x:c>
      <x:c r="F1112" s="23" t="n">
        <x:v>16.631586210802197</x:v>
      </x:c>
      <x:c r="G1112" s="23" t="n">
        <x:v>0.7907350984145888</x:v>
      </x:c>
      <x:c r="H1112" s="23" t="n">
        <x:v>10800</x:v>
      </x:c>
      <x:c r="I1112" s="23" t="n">
        <x:v>1195</x:v>
      </x:c>
      <x:c r="J1112" s="23" t="n">
        <x:f>(IF(A1112='Hybrid Calculator'!$B$6,0,1))^2+((B1112-'Hybrid Calculator'!$B$7)/1500)^2+((C1112-'Hybrid Calculator'!$B$8)/1300)^2+((D1112-'Hybrid Calculator'!$B$9)/800)^2+((E1112-'Hybrid Calculator'!$B$10)/350)^2+((F1112-'Hybrid Calculator'!$B$11)/30)^2+(G1112-'Hybrid Calculator'!$B$12)^2+((H1112-'Hybrid Calculator'!$E$14)/IF(A1112="Lightning",100,30000))^2+((I1112-'Hybrid Calculator'!$E$17)/IF(A1112="Lightning",100,30000))^2</x:f>
        <x:v>1.3530941511911654</x:v>
      </x:c>
      <x:c r="K1112" s="23" t="n">
        <x:f>RANK(J1112,$J$2:$J$1401,1)</x:f>
        <x:v>838</x:v>
      </x:c>
      <x:c r="L1112" s="23" t="n">
        <x:f>IF(K1112&lt;=7,1,0)</x:f>
        <x:v>0</x:v>
      </x:c>
      <x:c r="M1112" s="23" t="n">
        <x:f>IF(L1112=1,1/(J1112+0.000001),0)</x:f>
        <x:v>0</x:v>
      </x:c>
      <x:c r="N1112" s="23" t="n">
        <x:v>-0.04448063727255658</x:v>
      </x:c>
      <x:c r="O1112" s="23" t="n">
        <x:f>M1112</x:f>
        <x:v>0</x:v>
      </x:c>
      <x:c r="P1112" s="23" t="n">
        <x:v>48.09261159085645</x:v>
      </x:c>
      <x:c r="Q1112" s="23" t="n">
        <x:v>-3.616823445797422</x:v>
      </x:c>
    </x:row>
    <x:row r="1113">
      <x:c r="A1113" s="23" t="str">
        <x:v>Switching</x:v>
      </x:c>
      <x:c r="B1113" s="23" t="n">
        <x:v>955.6542016216554</x:v>
      </x:c>
      <x:c r="C1113" s="23" t="n">
        <x:v>1229.9127546371892</x:v>
      </x:c>
      <x:c r="D1113" s="23" t="n">
        <x:v>615.4502459801733</x:v>
      </x:c>
      <x:c r="E1113" s="23" t="n">
        <x:v>245.69833573885262</x:v>
      </x:c>
      <x:c r="F1113" s="23" t="n">
        <x:v>15.155518204439431</x:v>
      </x:c>
      <x:c r="G1113" s="23" t="n">
        <x:v>0.8158768998319283</x:v>
      </x:c>
      <x:c r="H1113" s="23" t="n">
        <x:v>11930</x:v>
      </x:c>
      <x:c r="I1113" s="23" t="n">
        <x:v>1195</x:v>
      </x:c>
      <x:c r="J1113" s="23" t="n">
        <x:f>(IF(A1113='Hybrid Calculator'!$B$6,0,1))^2+((B1113-'Hybrid Calculator'!$B$7)/1500)^2+((C1113-'Hybrid Calculator'!$B$8)/1300)^2+((D1113-'Hybrid Calculator'!$B$9)/800)^2+((E1113-'Hybrid Calculator'!$B$10)/350)^2+((F1113-'Hybrid Calculator'!$B$11)/30)^2+(G1113-'Hybrid Calculator'!$B$12)^2+((H1113-'Hybrid Calculator'!$E$14)/IF(A1113="Lightning",100,30000))^2+((I1113-'Hybrid Calculator'!$E$17)/IF(A1113="Lightning",100,30000))^2</x:f>
        <x:v>1.449678382017872</x:v>
      </x:c>
      <x:c r="K1113" s="23" t="n">
        <x:f>RANK(J1113,$J$2:$J$1401,1)</x:f>
        <x:v>1108</x:v>
      </x:c>
      <x:c r="L1113" s="23" t="n">
        <x:f>IF(K1113&lt;=7,1,0)</x:f>
        <x:v>0</x:v>
      </x:c>
      <x:c r="M1113" s="23" t="n">
        <x:f>IF(L1113=1,1/(J1113+0.000001),0)</x:f>
        <x:v>0</x:v>
      </x:c>
      <x:c r="N1113" s="23" t="n">
        <x:v>1.2994417914940755</x:v>
      </x:c>
      <x:c r="O1113" s="23" t="n">
        <x:f>M1113</x:f>
        <x:v>0</x:v>
      </x:c>
      <x:c r="P1113" s="23" t="n">
        <x:v>3.95315944581489</x:v>
      </x:c>
      <x:c r="Q1113" s="23" t="n">
        <x:v>-3.691408197306828</x:v>
      </x:c>
    </x:row>
    <x:row r="1114">
      <x:c r="A1114" s="23" t="str">
        <x:v>Switching</x:v>
      </x:c>
      <x:c r="B1114" s="23" t="n">
        <x:v>1026.4118430903181</x:v>
      </x:c>
      <x:c r="C1114" s="23" t="n">
        <x:v>1070.2971335151233</x:v>
      </x:c>
      <x:c r="D1114" s="23" t="n">
        <x:v>651.2975033372641</x:v>
      </x:c>
      <x:c r="E1114" s="23" t="n">
        <x:v>155.73103037429973</x:v>
      </x:c>
      <x:c r="F1114" s="23" t="n">
        <x:v>8.206868153996766</x:v>
      </x:c>
      <x:c r="G1114" s="23" t="n">
        <x:v>0.8549330400372855</x:v>
      </x:c>
      <x:c r="H1114" s="23" t="n">
        <x:v>11390</x:v>
      </x:c>
      <x:c r="I1114" s="23" t="n">
        <x:v>1195</x:v>
      </x:c>
      <x:c r="J1114" s="23" t="n">
        <x:f>(IF(A1114='Hybrid Calculator'!$B$6,0,1))^2+((B1114-'Hybrid Calculator'!$B$7)/1500)^2+((C1114-'Hybrid Calculator'!$B$8)/1300)^2+((D1114-'Hybrid Calculator'!$B$9)/800)^2+((E1114-'Hybrid Calculator'!$B$10)/350)^2+((F1114-'Hybrid Calculator'!$B$11)/30)^2+(G1114-'Hybrid Calculator'!$B$12)^2+((H1114-'Hybrid Calculator'!$E$14)/IF(A1114="Lightning",100,30000))^2+((I1114-'Hybrid Calculator'!$E$17)/IF(A1114="Lightning",100,30000))^2</x:f>
        <x:v>1.398707622388699</x:v>
      </x:c>
      <x:c r="K1114" s="23" t="n">
        <x:f>RANK(J1114,$J$2:$J$1401,1)</x:f>
        <x:v>972</x:v>
      </x:c>
      <x:c r="L1114" s="23" t="n">
        <x:f>IF(K1114&lt;=7,1,0)</x:f>
        <x:v>0</x:v>
      </x:c>
      <x:c r="M1114" s="23" t="n">
        <x:f>IF(L1114=1,1/(J1114+0.000001),0)</x:f>
        <x:v>0</x:v>
      </x:c>
      <x:c r="N1114" s="23" t="n">
        <x:v>2.042811630936569</x:v>
      </x:c>
      <x:c r="O1114" s="23" t="n">
        <x:f>M1114</x:f>
        <x:v>0</x:v>
      </x:c>
      <x:c r="P1114" s="23" t="n">
        <x:v>39.35525793627539</x:v>
      </x:c>
      <x:c r="Q1114" s="23" t="n">
        <x:v>0.032347190574000706</x:v>
      </x:c>
    </x:row>
    <x:row r="1115">
      <x:c r="A1115" s="23" t="str">
        <x:v>Switching</x:v>
      </x:c>
      <x:c r="B1115" s="23" t="n">
        <x:v>1000.6029920070432</x:v>
      </x:c>
      <x:c r="C1115" s="23" t="n">
        <x:v>732.9497846309096</x:v>
      </x:c>
      <x:c r="D1115" s="23" t="n">
        <x:v>376.8965828232467</x:v>
      </x:c>
      <x:c r="E1115" s="23" t="n">
        <x:v>160.59440867509693</x:v>
      </x:c>
      <x:c r="F1115" s="23" t="n">
        <x:v>27.106287985574454</x:v>
      </x:c>
      <x:c r="G1115" s="23" t="n">
        <x:v>0.8129176300205291</x:v>
      </x:c>
      <x:c r="H1115" s="23" t="n">
        <x:v>16835</x:v>
      </x:c>
      <x:c r="I1115" s="23" t="n">
        <x:v>1200</x:v>
      </x:c>
      <x:c r="J1115" s="23" t="n">
        <x:f>(IF(A1115='Hybrid Calculator'!$B$6,0,1))^2+((B1115-'Hybrid Calculator'!$B$7)/1500)^2+((C1115-'Hybrid Calculator'!$B$8)/1300)^2+((D1115-'Hybrid Calculator'!$B$9)/800)^2+((E1115-'Hybrid Calculator'!$B$10)/350)^2+((F1115-'Hybrid Calculator'!$B$11)/30)^2+(G1115-'Hybrid Calculator'!$B$12)^2+((H1115-'Hybrid Calculator'!$E$14)/IF(A1115="Lightning",100,30000))^2+((I1115-'Hybrid Calculator'!$E$17)/IF(A1115="Lightning",100,30000))^2</x:f>
        <x:v>1.5096746139212902</x:v>
      </x:c>
      <x:c r="K1115" s="23" t="n">
        <x:f>RANK(J1115,$J$2:$J$1401,1)</x:f>
        <x:v>1227</x:v>
      </x:c>
      <x:c r="L1115" s="23" t="n">
        <x:f>IF(K1115&lt;=7,1,0)</x:f>
        <x:v>0</x:v>
      </x:c>
      <x:c r="M1115" s="23" t="n">
        <x:f>IF(L1115=1,1/(J1115+0.000001),0)</x:f>
        <x:v>0</x:v>
      </x:c>
      <x:c r="N1115" s="23" t="n">
        <x:v>-0.5991601240110924</x:v>
      </x:c>
      <x:c r="O1115" s="23" t="n">
        <x:f>M1115</x:f>
        <x:v>0</x:v>
      </x:c>
      <x:c r="P1115" s="23" t="n">
        <x:v>-3.7114629238162706</x:v>
      </x:c>
      <x:c r="Q1115" s="23" t="n">
        <x:v>0.998725246331901</x:v>
      </x:c>
    </x:row>
    <x:row r="1116">
      <x:c r="A1116" s="23" t="str">
        <x:v>Switching</x:v>
      </x:c>
      <x:c r="B1116" s="23" t="n">
        <x:v>1023.4196473378688</x:v>
      </x:c>
      <x:c r="C1116" s="23" t="n">
        <x:v>1136.879468697589</x:v>
      </x:c>
      <x:c r="D1116" s="23" t="n">
        <x:v>473.7403301522136</x:v>
      </x:c>
      <x:c r="E1116" s="23" t="n">
        <x:v>184.67112652258947</x:v>
      </x:c>
      <x:c r="F1116" s="23" t="n">
        <x:v>9.398496568202972</x:v>
      </x:c>
      <x:c r="G1116" s="23" t="n">
        <x:v>0.8462980837211944</x:v>
      </x:c>
      <x:c r="H1116" s="23" t="n">
        <x:v>11910</x:v>
      </x:c>
      <x:c r="I1116" s="23" t="n">
        <x:v>1195</x:v>
      </x:c>
      <x:c r="J1116" s="23" t="n">
        <x:f>(IF(A1116='Hybrid Calculator'!$B$6,0,1))^2+((B1116-'Hybrid Calculator'!$B$7)/1500)^2+((C1116-'Hybrid Calculator'!$B$8)/1300)^2+((D1116-'Hybrid Calculator'!$B$9)/800)^2+((E1116-'Hybrid Calculator'!$B$10)/350)^2+((F1116-'Hybrid Calculator'!$B$11)/30)^2+(G1116-'Hybrid Calculator'!$B$12)^2+((H1116-'Hybrid Calculator'!$E$14)/IF(A1116="Lightning",100,30000))^2+((I1116-'Hybrid Calculator'!$E$17)/IF(A1116="Lightning",100,30000))^2</x:f>
        <x:v>1.3818052070439653</x:v>
      </x:c>
      <x:c r="K1116" s="23" t="n">
        <x:f>RANK(J1116,$J$2:$J$1401,1)</x:f>
        <x:v>922</x:v>
      </x:c>
      <x:c r="L1116" s="23" t="n">
        <x:f>IF(K1116&lt;=7,1,0)</x:f>
        <x:v>0</x:v>
      </x:c>
      <x:c r="M1116" s="23" t="n">
        <x:f>IF(L1116=1,1/(J1116+0.000001),0)</x:f>
        <x:v>0</x:v>
      </x:c>
      <x:c r="N1116" s="23" t="n">
        <x:v>1.6189567153702171</x:v>
      </x:c>
      <x:c r="O1116" s="23" t="n">
        <x:f>M1116</x:f>
        <x:v>0</x:v>
      </x:c>
      <x:c r="P1116" s="23" t="n">
        <x:v>-11.94994821254295</x:v>
      </x:c>
      <x:c r="Q1116" s="23" t="n">
        <x:v>5.582807812898864</x:v>
      </x:c>
    </x:row>
    <x:row r="1117">
      <x:c r="A1117" s="23" t="str">
        <x:v>Switching</x:v>
      </x:c>
      <x:c r="B1117" s="23" t="n">
        <x:v>1034.0553657268174</x:v>
      </x:c>
      <x:c r="C1117" s="23" t="n">
        <x:v>1003.2020488521084</x:v>
      </x:c>
      <x:c r="D1117" s="23" t="n">
        <x:v>407.729069609195</x:v>
      </x:c>
      <x:c r="E1117" s="23" t="n">
        <x:v>313.76152152195573</x:v>
      </x:c>
      <x:c r="F1117" s="23" t="n">
        <x:v>26.095292738173157</x:v>
      </x:c>
      <x:c r="G1117" s="23" t="n">
        <x:v>0.803804327971302</x:v>
      </x:c>
      <x:c r="H1117" s="23" t="n">
        <x:v>12400</x:v>
      </x:c>
      <x:c r="I1117" s="23" t="n">
        <x:v>1200</x:v>
      </x:c>
      <x:c r="J1117" s="23" t="n">
        <x:f>(IF(A1117='Hybrid Calculator'!$B$6,0,1))^2+((B1117-'Hybrid Calculator'!$B$7)/1500)^2+((C1117-'Hybrid Calculator'!$B$8)/1300)^2+((D1117-'Hybrid Calculator'!$B$9)/800)^2+((E1117-'Hybrid Calculator'!$B$10)/350)^2+((F1117-'Hybrid Calculator'!$B$11)/30)^2+(G1117-'Hybrid Calculator'!$B$12)^2+((H1117-'Hybrid Calculator'!$E$14)/IF(A1117="Lightning",100,30000))^2+((I1117-'Hybrid Calculator'!$E$17)/IF(A1117="Lightning",100,30000))^2</x:f>
        <x:v>1.5494041480600478</x:v>
      </x:c>
      <x:c r="K1117" s="23" t="n">
        <x:f>RANK(J1117,$J$2:$J$1401,1)</x:f>
        <x:v>1299</x:v>
      </x:c>
      <x:c r="L1117" s="23" t="n">
        <x:f>IF(K1117&lt;=7,1,0)</x:f>
        <x:v>0</x:v>
      </x:c>
      <x:c r="M1117" s="23" t="n">
        <x:f>IF(L1117=1,1/(J1117+0.000001),0)</x:f>
        <x:v>0</x:v>
      </x:c>
      <x:c r="N1117" s="23" t="n">
        <x:v>-1.5430834353238083</x:v>
      </x:c>
      <x:c r="O1117" s="23" t="n">
        <x:f>M1117</x:f>
        <x:v>0</x:v>
      </x:c>
      <x:c r="P1117" s="23" t="n">
        <x:v>-1.6595177963017704</x:v>
      </x:c>
      <x:c r="Q1117" s="23" t="n">
        <x:v>-6.232359289625265</x:v>
      </x:c>
    </x:row>
    <x:row r="1118">
      <x:c r="A1118" s="23" t="str">
        <x:v>Switching</x:v>
      </x:c>
      <x:c r="B1118" s="23" t="n">
        <x:v>999.4801172288135</x:v>
      </x:c>
      <x:c r="C1118" s="23" t="n">
        <x:v>1152.6754422229715</x:v>
      </x:c>
      <x:c r="D1118" s="23" t="n">
        <x:v>653.9448454976082</x:v>
      </x:c>
      <x:c r="E1118" s="23" t="n">
        <x:v>260.2369346260093</x:v>
      </x:c>
      <x:c r="F1118" s="23" t="n">
        <x:v>24.951030920259655</x:v>
      </x:c>
      <x:c r="G1118" s="23" t="n">
        <x:v>0.7961601291946135</x:v>
      </x:c>
      <x:c r="H1118" s="23" t="n">
        <x:v>10345</x:v>
      </x:c>
      <x:c r="I1118" s="23" t="n">
        <x:v>1195</x:v>
      </x:c>
      <x:c r="J1118" s="23" t="n">
        <x:f>(IF(A1118='Hybrid Calculator'!$B$6,0,1))^2+((B1118-'Hybrid Calculator'!$B$7)/1500)^2+((C1118-'Hybrid Calculator'!$B$8)/1300)^2+((D1118-'Hybrid Calculator'!$B$9)/800)^2+((E1118-'Hybrid Calculator'!$B$10)/350)^2+((F1118-'Hybrid Calculator'!$B$11)/30)^2+(G1118-'Hybrid Calculator'!$B$12)^2+((H1118-'Hybrid Calculator'!$E$14)/IF(A1118="Lightning",100,30000))^2+((I1118-'Hybrid Calculator'!$E$17)/IF(A1118="Lightning",100,30000))^2</x:f>
        <x:v>1.4370065061960713</x:v>
      </x:c>
      <x:c r="K1118" s="23" t="n">
        <x:f>RANK(J1118,$J$2:$J$1401,1)</x:f>
        <x:v>1075</x:v>
      </x:c>
      <x:c r="L1118" s="23" t="n">
        <x:f>IF(K1118&lt;=7,1,0)</x:f>
        <x:v>0</x:v>
      </x:c>
      <x:c r="M1118" s="23" t="n">
        <x:f>IF(L1118=1,1/(J1118+0.000001),0)</x:f>
        <x:v>0</x:v>
      </x:c>
      <x:c r="N1118" s="23" t="n">
        <x:v>0.9885908494236162</x:v>
      </x:c>
      <x:c r="O1118" s="23" t="n">
        <x:f>M1118</x:f>
        <x:v>0</x:v>
      </x:c>
      <x:c r="P1118" s="23" t="n">
        <x:v>9.713682933924702</x:v>
      </x:c>
      <x:c r="Q1118" s="23" t="n">
        <x:v>-13.949896270242789</x:v>
      </x:c>
    </x:row>
    <x:row r="1119">
      <x:c r="A1119" s="23" t="str">
        <x:v>Switching</x:v>
      </x:c>
      <x:c r="B1119" s="23" t="n">
        <x:v>983.4234020556323</x:v>
      </x:c>
      <x:c r="C1119" s="23" t="n">
        <x:v>702.7730050496757</x:v>
      </x:c>
      <x:c r="D1119" s="23" t="n">
        <x:v>405.18430387601256</x:v>
      </x:c>
      <x:c r="E1119" s="23" t="n">
        <x:v>172.39775559399277</x:v>
      </x:c>
      <x:c r="F1119" s="23" t="n">
        <x:v>24.116943394299597</x:v>
      </x:c>
      <x:c r="G1119" s="23" t="n">
        <x:v>0.8485355652589351</x:v>
      </x:c>
      <x:c r="H1119" s="23" t="n">
        <x:v>19485</x:v>
      </x:c>
      <x:c r="I1119" s="23" t="n">
        <x:v>1200</x:v>
      </x:c>
      <x:c r="J1119" s="23" t="n">
        <x:f>(IF(A1119='Hybrid Calculator'!$B$6,0,1))^2+((B1119-'Hybrid Calculator'!$B$7)/1500)^2+((C1119-'Hybrid Calculator'!$B$8)/1300)^2+((D1119-'Hybrid Calculator'!$B$9)/800)^2+((E1119-'Hybrid Calculator'!$B$10)/350)^2+((F1119-'Hybrid Calculator'!$B$11)/30)^2+(G1119-'Hybrid Calculator'!$B$12)^2+((H1119-'Hybrid Calculator'!$E$14)/IF(A1119="Lightning",100,30000))^2+((I1119-'Hybrid Calculator'!$E$17)/IF(A1119="Lightning",100,30000))^2</x:f>
        <x:v>1.5747221124219886</x:v>
      </x:c>
      <x:c r="K1119" s="23" t="n">
        <x:f>RANK(J1119,$J$2:$J$1401,1)</x:f>
        <x:v>1330</x:v>
      </x:c>
      <x:c r="L1119" s="23" t="n">
        <x:f>IF(K1119&lt;=7,1,0)</x:f>
        <x:v>0</x:v>
      </x:c>
      <x:c r="M1119" s="23" t="n">
        <x:f>IF(L1119=1,1/(J1119+0.000001),0)</x:f>
        <x:v>0</x:v>
      </x:c>
      <x:c r="N1119" s="23" t="n">
        <x:v>-4.210491539576822</x:v>
      </x:c>
      <x:c r="O1119" s="23" t="n">
        <x:f>M1119</x:f>
        <x:v>0</x:v>
      </x:c>
      <x:c r="P1119" s="23" t="n">
        <x:v>-2.0811498444013523</x:v>
      </x:c>
      <x:c r="Q1119" s="23" t="n">
        <x:v>-3.1013939848595555</x:v>
      </x:c>
    </x:row>
    <x:row r="1120">
      <x:c r="A1120" s="23" t="str">
        <x:v>Switching</x:v>
      </x:c>
      <x:c r="B1120" s="23" t="n">
        <x:v>982.6957266777754</x:v>
      </x:c>
      <x:c r="C1120" s="23" t="n">
        <x:v>772.7202533162199</x:v>
      </x:c>
      <x:c r="D1120" s="23" t="n">
        <x:v>585.750992782414</x:v>
      </x:c>
      <x:c r="E1120" s="23" t="n">
        <x:v>277.3052104585804</x:v>
      </x:c>
      <x:c r="F1120" s="23" t="n">
        <x:v>9.272089434787631</x:v>
      </x:c>
      <x:c r="G1120" s="23" t="n">
        <x:v>0.8468270668131299</x:v>
      </x:c>
      <x:c r="H1120" s="23" t="n">
        <x:v>15255</x:v>
      </x:c>
      <x:c r="I1120" s="23" t="n">
        <x:v>1200</x:v>
      </x:c>
      <x:c r="J1120" s="23" t="n">
        <x:f>(IF(A1120='Hybrid Calculator'!$B$6,0,1))^2+((B1120-'Hybrid Calculator'!$B$7)/1500)^2+((C1120-'Hybrid Calculator'!$B$8)/1300)^2+((D1120-'Hybrid Calculator'!$B$9)/800)^2+((E1120-'Hybrid Calculator'!$B$10)/350)^2+((F1120-'Hybrid Calculator'!$B$11)/30)^2+(G1120-'Hybrid Calculator'!$B$12)^2+((H1120-'Hybrid Calculator'!$E$14)/IF(A1120="Lightning",100,30000))^2+((I1120-'Hybrid Calculator'!$E$17)/IF(A1120="Lightning",100,30000))^2</x:f>
        <x:v>1.5880198636021128</x:v>
      </x:c>
      <x:c r="K1120" s="23" t="n">
        <x:f>RANK(J1120,$J$2:$J$1401,1)</x:f>
        <x:v>1340</x:v>
      </x:c>
      <x:c r="L1120" s="23" t="n">
        <x:f>IF(K1120&lt;=7,1,0)</x:f>
        <x:v>0</x:v>
      </x:c>
      <x:c r="M1120" s="23" t="n">
        <x:f>IF(L1120=1,1/(J1120+0.000001),0)</x:f>
        <x:v>0</x:v>
      </x:c>
      <x:c r="N1120" s="23" t="n">
        <x:v>4.686007573580326</x:v>
      </x:c>
      <x:c r="O1120" s="23" t="n">
        <x:f>M1120</x:f>
        <x:v>0</x:v>
      </x:c>
      <x:c r="P1120" s="23" t="n">
        <x:v>23.458867316647684</x:v>
      </x:c>
      <x:c r="Q1120" s="23" t="n">
        <x:v>4.346732923523632</x:v>
      </x:c>
    </x:row>
    <x:row r="1121">
      <x:c r="A1121" s="23" t="str">
        <x:v>Switching</x:v>
      </x:c>
      <x:c r="B1121" s="23" t="n">
        <x:v>1035.6323080719449</x:v>
      </x:c>
      <x:c r="C1121" s="23" t="n">
        <x:v>1046.3491497794166</x:v>
      </x:c>
      <x:c r="D1121" s="23" t="n">
        <x:v>578.9112404920161</x:v>
      </x:c>
      <x:c r="E1121" s="23" t="n">
        <x:v>190.6294763740152</x:v>
      </x:c>
      <x:c r="F1121" s="23" t="n">
        <x:v>15.759703677613288</x:v>
      </x:c>
      <x:c r="G1121" s="23" t="n">
        <x:v>0.8025919648306444</x:v>
      </x:c>
      <x:c r="H1121" s="23" t="n">
        <x:v>11775</x:v>
      </x:c>
      <x:c r="I1121" s="23" t="n">
        <x:v>1195</x:v>
      </x:c>
      <x:c r="J1121" s="23" t="n">
        <x:f>(IF(A1121='Hybrid Calculator'!$B$6,0,1))^2+((B1121-'Hybrid Calculator'!$B$7)/1500)^2+((C1121-'Hybrid Calculator'!$B$8)/1300)^2+((D1121-'Hybrid Calculator'!$B$9)/800)^2+((E1121-'Hybrid Calculator'!$B$10)/350)^2+((F1121-'Hybrid Calculator'!$B$11)/30)^2+(G1121-'Hybrid Calculator'!$B$12)^2+((H1121-'Hybrid Calculator'!$E$14)/IF(A1121="Lightning",100,30000))^2+((I1121-'Hybrid Calculator'!$E$17)/IF(A1121="Lightning",100,30000))^2</x:f>
        <x:v>1.276316921170855</x:v>
      </x:c>
      <x:c r="K1121" s="23" t="n">
        <x:f>RANK(J1121,$J$2:$J$1401,1)</x:f>
        <x:v>706</x:v>
      </x:c>
      <x:c r="L1121" s="23" t="n">
        <x:f>IF(K1121&lt;=7,1,0)</x:f>
        <x:v>0</x:v>
      </x:c>
      <x:c r="M1121" s="23" t="n">
        <x:f>IF(L1121=1,1/(J1121+0.000001),0)</x:f>
        <x:v>0</x:v>
      </x:c>
      <x:c r="N1121" s="23" t="n">
        <x:v>2.8850448530454003</x:v>
      </x:c>
      <x:c r="O1121" s="23" t="n">
        <x:f>M1121</x:f>
        <x:v>0</x:v>
      </x:c>
      <x:c r="P1121" s="23" t="n">
        <x:v>-11.417827952774132</x:v>
      </x:c>
      <x:c r="Q1121" s="23" t="n">
        <x:v>0.4048752426633655</x:v>
      </x:c>
    </x:row>
    <x:row r="1122">
      <x:c r="A1122" s="23" t="str">
        <x:v>Switching</x:v>
      </x:c>
      <x:c r="B1122" s="23" t="n">
        <x:v>1006.4715865068138</x:v>
      </x:c>
      <x:c r="C1122" s="23" t="n">
        <x:v>612.7419504686259</x:v>
      </x:c>
      <x:c r="D1122" s="23" t="n">
        <x:v>718.337213434279</x:v>
      </x:c>
      <x:c r="E1122" s="23" t="n">
        <x:v>201.63680145749822</x:v>
      </x:c>
      <x:c r="F1122" s="23" t="n">
        <x:v>12.924747118726373</x:v>
      </x:c>
      <x:c r="G1122" s="23" t="n">
        <x:v>0.8405632063304075</x:v>
      </x:c>
      <x:c r="H1122" s="23" t="n">
        <x:v>16280</x:v>
      </x:c>
      <x:c r="I1122" s="23" t="n">
        <x:v>1200</x:v>
      </x:c>
      <x:c r="J1122" s="23" t="n">
        <x:f>(IF(A1122='Hybrid Calculator'!$B$6,0,1))^2+((B1122-'Hybrid Calculator'!$B$7)/1500)^2+((C1122-'Hybrid Calculator'!$B$8)/1300)^2+((D1122-'Hybrid Calculator'!$B$9)/800)^2+((E1122-'Hybrid Calculator'!$B$10)/350)^2+((F1122-'Hybrid Calculator'!$B$11)/30)^2+(G1122-'Hybrid Calculator'!$B$12)^2+((H1122-'Hybrid Calculator'!$E$14)/IF(A1122="Lightning",100,30000))^2+((I1122-'Hybrid Calculator'!$E$17)/IF(A1122="Lightning",100,30000))^2</x:f>
        <x:v>1.5365874666847388</x:v>
      </x:c>
      <x:c r="K1122" s="23" t="n">
        <x:f>RANK(J1122,$J$2:$J$1401,1)</x:f>
        <x:v>1277</x:v>
      </x:c>
      <x:c r="L1122" s="23" t="n">
        <x:f>IF(K1122&lt;=7,1,0)</x:f>
        <x:v>0</x:v>
      </x:c>
      <x:c r="M1122" s="23" t="n">
        <x:f>IF(L1122=1,1/(J1122+0.000001),0)</x:f>
        <x:v>0</x:v>
      </x:c>
      <x:c r="N1122" s="23" t="n">
        <x:v>-1.465737504004295</x:v>
      </x:c>
      <x:c r="O1122" s="23" t="n">
        <x:f>M1122</x:f>
        <x:v>0</x:v>
      </x:c>
      <x:c r="P1122" s="23" t="n">
        <x:v>-69.03879658369715</x:v>
      </x:c>
      <x:c r="Q1122" s="23" t="n">
        <x:v>9.489522745334511</x:v>
      </x:c>
    </x:row>
    <x:row r="1123">
      <x:c r="A1123" s="23" t="str">
        <x:v>Switching</x:v>
      </x:c>
      <x:c r="B1123" s="23" t="n">
        <x:v>1009.1511873179115</x:v>
      </x:c>
      <x:c r="C1123" s="23" t="n">
        <x:v>667.0823513763025</x:v>
      </x:c>
      <x:c r="D1123" s="23" t="n">
        <x:v>444.99619835987687</x:v>
      </x:c>
      <x:c r="E1123" s="23" t="n">
        <x:v>105.93885199166834</x:v>
      </x:c>
      <x:c r="F1123" s="23" t="n">
        <x:v>23.543301396537572</x:v>
      </x:c>
      <x:c r="G1123" s="23" t="n">
        <x:v>0.8566608953336254</x:v>
      </x:c>
      <x:c r="H1123" s="23" t="n">
        <x:v>20485</x:v>
      </x:c>
      <x:c r="I1123" s="23" t="n">
        <x:v>1200</x:v>
      </x:c>
      <x:c r="J1123" s="23" t="n">
        <x:f>(IF(A1123='Hybrid Calculator'!$B$6,0,1))^2+((B1123-'Hybrid Calculator'!$B$7)/1500)^2+((C1123-'Hybrid Calculator'!$B$8)/1300)^2+((D1123-'Hybrid Calculator'!$B$9)/800)^2+((E1123-'Hybrid Calculator'!$B$10)/350)^2+((F1123-'Hybrid Calculator'!$B$11)/30)^2+(G1123-'Hybrid Calculator'!$B$12)^2+((H1123-'Hybrid Calculator'!$E$14)/IF(A1123="Lightning",100,30000))^2+((I1123-'Hybrid Calculator'!$E$17)/IF(A1123="Lightning",100,30000))^2</x:f>
        <x:v>1.6123583472651601</x:v>
      </x:c>
      <x:c r="K1123" s="23" t="n">
        <x:f>RANK(J1123,$J$2:$J$1401,1)</x:f>
        <x:v>1361</x:v>
      </x:c>
      <x:c r="L1123" s="23" t="n">
        <x:f>IF(K1123&lt;=7,1,0)</x:f>
        <x:v>0</x:v>
      </x:c>
      <x:c r="M1123" s="23" t="n">
        <x:f>IF(L1123=1,1/(J1123+0.000001),0)</x:f>
        <x:v>0</x:v>
      </x:c>
      <x:c r="N1123" s="23" t="n">
        <x:v>-0.5187506829151687</x:v>
      </x:c>
      <x:c r="O1123" s="23" t="n">
        <x:f>M1123</x:f>
        <x:v>0</x:v>
      </x:c>
      <x:c r="P1123" s="23" t="n">
        <x:v>7.785018956173644</x:v>
      </x:c>
      <x:c r="Q1123" s="23" t="n">
        <x:v>9.839185357569932</x:v>
      </x:c>
    </x:row>
    <x:row r="1124">
      <x:c r="A1124" s="23" t="str">
        <x:v>Switching</x:v>
      </x:c>
      <x:c r="B1124" s="23" t="n">
        <x:v>992.8663607453927</x:v>
      </x:c>
      <x:c r="C1124" s="23" t="n">
        <x:v>662.9629900329746</x:v>
      </x:c>
      <x:c r="D1124" s="23" t="n">
        <x:v>488.11004273593426</x:v>
      </x:c>
      <x:c r="E1124" s="23" t="n">
        <x:v>150.8201375673525</x:v>
      </x:c>
      <x:c r="F1124" s="23" t="n">
        <x:v>25.468113576062024</x:v>
      </x:c>
      <x:c r="G1124" s="23" t="n">
        <x:v>0.837548104680609</x:v>
      </x:c>
      <x:c r="H1124" s="23" t="n">
        <x:v>19165</x:v>
      </x:c>
      <x:c r="I1124" s="23" t="n">
        <x:v>1200</x:v>
      </x:c>
      <x:c r="J1124" s="23" t="n">
        <x:f>(IF(A1124='Hybrid Calculator'!$B$6,0,1))^2+((B1124-'Hybrid Calculator'!$B$7)/1500)^2+((C1124-'Hybrid Calculator'!$B$8)/1300)^2+((D1124-'Hybrid Calculator'!$B$9)/800)^2+((E1124-'Hybrid Calculator'!$B$10)/350)^2+((F1124-'Hybrid Calculator'!$B$11)/30)^2+(G1124-'Hybrid Calculator'!$B$12)^2+((H1124-'Hybrid Calculator'!$E$14)/IF(A1124="Lightning",100,30000))^2+((I1124-'Hybrid Calculator'!$E$17)/IF(A1124="Lightning",100,30000))^2</x:f>
        <x:v>1.5656945036971113</x:v>
      </x:c>
      <x:c r="K1124" s="23" t="n">
        <x:f>RANK(J1124,$J$2:$J$1401,1)</x:f>
        <x:v>1324</x:v>
      </x:c>
      <x:c r="L1124" s="23" t="n">
        <x:f>IF(K1124&lt;=7,1,0)</x:f>
        <x:v>0</x:v>
      </x:c>
      <x:c r="M1124" s="23" t="n">
        <x:f>IF(L1124=1,1/(J1124+0.000001),0)</x:f>
        <x:v>0</x:v>
      </x:c>
      <x:c r="N1124" s="23" t="n">
        <x:v>-4.540132642891734</x:v>
      </x:c>
      <x:c r="O1124" s="23" t="n">
        <x:f>M1124</x:f>
        <x:v>0</x:v>
      </x:c>
      <x:c r="P1124" s="23" t="n">
        <x:v>-13.695582339720204</x:v>
      </x:c>
      <x:c r="Q1124" s="23" t="n">
        <x:v>3.46958034421732</x:v>
      </x:c>
    </x:row>
    <x:row r="1125">
      <x:c r="A1125" s="23" t="str">
        <x:v>Switching</x:v>
      </x:c>
      <x:c r="B1125" s="23" t="n">
        <x:v>955.7623497559689</x:v>
      </x:c>
      <x:c r="C1125" s="23" t="n">
        <x:v>646.0969169158489</x:v>
      </x:c>
      <x:c r="D1125" s="23" t="n">
        <x:v>580.1990988664329</x:v>
      </x:c>
      <x:c r="E1125" s="23" t="n">
        <x:v>235.9173989808187</x:v>
      </x:c>
      <x:c r="F1125" s="23" t="n">
        <x:v>27.144887558650225</x:v>
      </x:c>
      <x:c r="G1125" s="23" t="n">
        <x:v>0.844590638037771</x:v>
      </x:c>
      <x:c r="H1125" s="23" t="n">
        <x:v>17065</x:v>
      </x:c>
      <x:c r="I1125" s="23" t="n">
        <x:v>1200</x:v>
      </x:c>
      <x:c r="J1125" s="23" t="n">
        <x:f>(IF(A1125='Hybrid Calculator'!$B$6,0,1))^2+((B1125-'Hybrid Calculator'!$B$7)/1500)^2+((C1125-'Hybrid Calculator'!$B$8)/1300)^2+((D1125-'Hybrid Calculator'!$B$9)/800)^2+((E1125-'Hybrid Calculator'!$B$10)/350)^2+((F1125-'Hybrid Calculator'!$B$11)/30)^2+(G1125-'Hybrid Calculator'!$B$12)^2+((H1125-'Hybrid Calculator'!$E$14)/IF(A1125="Lightning",100,30000))^2+((I1125-'Hybrid Calculator'!$E$17)/IF(A1125="Lightning",100,30000))^2</x:f>
        <x:v>1.5996250499129057</x:v>
      </x:c>
      <x:c r="K1125" s="23" t="n">
        <x:f>RANK(J1125,$J$2:$J$1401,1)</x:f>
        <x:v>1353</x:v>
      </x:c>
      <x:c r="L1125" s="23" t="n">
        <x:f>IF(K1125&lt;=7,1,0)</x:f>
        <x:v>0</x:v>
      </x:c>
      <x:c r="M1125" s="23" t="n">
        <x:f>IF(L1125=1,1/(J1125+0.000001),0)</x:f>
        <x:v>0</x:v>
      </x:c>
      <x:c r="N1125" s="23" t="n">
        <x:v>-4.500152777238554</x:v>
      </x:c>
      <x:c r="O1125" s="23" t="n">
        <x:f>M1125</x:f>
        <x:v>0</x:v>
      </x:c>
      <x:c r="P1125" s="23" t="n">
        <x:v>-50.64956865965223</x:v>
      </x:c>
      <x:c r="Q1125" s="23" t="n">
        <x:v>-6.379924169703941</x:v>
      </x:c>
    </x:row>
    <x:row r="1126">
      <x:c r="A1126" s="23" t="str">
        <x:v>Switching</x:v>
      </x:c>
      <x:c r="B1126" s="23" t="n">
        <x:v>1092.2628852073103</x:v>
      </x:c>
      <x:c r="C1126" s="23" t="n">
        <x:v>1095.7762079196982</x:v>
      </x:c>
      <x:c r="D1126" s="23" t="n">
        <x:v>655.1887495443225</x:v>
      </x:c>
      <x:c r="E1126" s="23" t="n">
        <x:v>328.6015328322537</x:v>
      </x:c>
      <x:c r="F1126" s="23" t="n">
        <x:v>10.24000483006239</x:v>
      </x:c>
      <x:c r="G1126" s="23" t="n">
        <x:v>0.8257421750039794</x:v>
      </x:c>
      <x:c r="H1126" s="23" t="n">
        <x:v>10285</x:v>
      </x:c>
      <x:c r="I1126" s="23" t="n">
        <x:v>1195</x:v>
      </x:c>
      <x:c r="J1126" s="23" t="n">
        <x:f>(IF(A1126='Hybrid Calculator'!$B$6,0,1))^2+((B1126-'Hybrid Calculator'!$B$7)/1500)^2+((C1126-'Hybrid Calculator'!$B$8)/1300)^2+((D1126-'Hybrid Calculator'!$B$9)/800)^2+((E1126-'Hybrid Calculator'!$B$10)/350)^2+((F1126-'Hybrid Calculator'!$B$11)/30)^2+(G1126-'Hybrid Calculator'!$B$12)^2+((H1126-'Hybrid Calculator'!$E$14)/IF(A1126="Lightning",100,30000))^2+((I1126-'Hybrid Calculator'!$E$17)/IF(A1126="Lightning",100,30000))^2</x:f>
        <x:v>1.5767329254162143</x:v>
      </x:c>
      <x:c r="K1126" s="23" t="n">
        <x:f>RANK(J1126,$J$2:$J$1401,1)</x:f>
        <x:v>1332</x:v>
      </x:c>
      <x:c r="L1126" s="23" t="n">
        <x:f>IF(K1126&lt;=7,1,0)</x:f>
        <x:v>0</x:v>
      </x:c>
      <x:c r="M1126" s="23" t="n">
        <x:f>IF(L1126=1,1/(J1126+0.000001),0)</x:f>
        <x:v>0</x:v>
      </x:c>
      <x:c r="N1126" s="23" t="n">
        <x:v>5.9213485670431965</x:v>
      </x:c>
      <x:c r="O1126" s="23" t="n">
        <x:f>M1126</x:f>
        <x:v>0</x:v>
      </x:c>
      <x:c r="P1126" s="23" t="n">
        <x:v>29.31618550499843</x:v>
      </x:c>
      <x:c r="Q1126" s="23" t="n">
        <x:v>-1.6869334958569198</x:v>
      </x:c>
    </x:row>
    <x:row r="1127">
      <x:c r="A1127" s="23" t="str">
        <x:v>Switching</x:v>
      </x:c>
      <x:c r="B1127" s="23" t="n">
        <x:v>1084.3560970504768</x:v>
      </x:c>
      <x:c r="C1127" s="23" t="n">
        <x:v>894.0302770351991</x:v>
      </x:c>
      <x:c r="D1127" s="23" t="n">
        <x:v>442.50842900946736</x:v>
      </x:c>
      <x:c r="E1127" s="23" t="n">
        <x:v>259.5151080004871</x:v>
      </x:c>
      <x:c r="F1127" s="23" t="n">
        <x:v>25.086212350521237</x:v>
      </x:c>
      <x:c r="G1127" s="23" t="n">
        <x:v>0.8562016942491755</x:v>
      </x:c>
      <x:c r="H1127" s="23" t="n">
        <x:v>13400</x:v>
      </x:c>
      <x:c r="I1127" s="23" t="n">
        <x:v>1200</x:v>
      </x:c>
      <x:c r="J1127" s="23" t="n">
        <x:f>(IF(A1127='Hybrid Calculator'!$B$6,0,1))^2+((B1127-'Hybrid Calculator'!$B$7)/1500)^2+((C1127-'Hybrid Calculator'!$B$8)/1300)^2+((D1127-'Hybrid Calculator'!$B$9)/800)^2+((E1127-'Hybrid Calculator'!$B$10)/350)^2+((F1127-'Hybrid Calculator'!$B$11)/30)^2+(G1127-'Hybrid Calculator'!$B$12)^2+((H1127-'Hybrid Calculator'!$E$14)/IF(A1127="Lightning",100,30000))^2+((I1127-'Hybrid Calculator'!$E$17)/IF(A1127="Lightning",100,30000))^2</x:f>
        <x:v>1.4048583901179463</x:v>
      </x:c>
      <x:c r="K1127" s="23" t="n">
        <x:f>RANK(J1127,$J$2:$J$1401,1)</x:f>
        <x:v>992</x:v>
      </x:c>
      <x:c r="L1127" s="23" t="n">
        <x:f>IF(K1127&lt;=7,1,0)</x:f>
        <x:v>0</x:v>
      </x:c>
      <x:c r="M1127" s="23" t="n">
        <x:f>IF(L1127=1,1/(J1127+0.000001),0)</x:f>
        <x:v>0</x:v>
      </x:c>
      <x:c r="N1127" s="23" t="n">
        <x:v>-0.7450448970185164</x:v>
      </x:c>
      <x:c r="O1127" s="23" t="n">
        <x:f>M1127</x:f>
        <x:v>0</x:v>
      </x:c>
      <x:c r="P1127" s="23" t="n">
        <x:v>4.037729946077889</x:v>
      </x:c>
      <x:c r="Q1127" s="23" t="n">
        <x:v>-2.488539389470816</x:v>
      </x:c>
    </x:row>
    <x:row r="1128">
      <x:c r="A1128" s="23" t="str">
        <x:v>Switching</x:v>
      </x:c>
      <x:c r="B1128" s="23" t="n">
        <x:v>987.7117849187925</x:v>
      </x:c>
      <x:c r="C1128" s="23" t="n">
        <x:v>1008.2093127188273</x:v>
      </x:c>
      <x:c r="D1128" s="23" t="n">
        <x:v>663.659992814064</x:v>
      </x:c>
      <x:c r="E1128" s="23" t="n">
        <x:v>201.2287619127892</x:v>
      </x:c>
      <x:c r="F1128" s="23" t="n">
        <x:v>18.02670932095498</x:v>
      </x:c>
      <x:c r="G1128" s="23" t="n">
        <x:v>0.8139462299621665</x:v>
      </x:c>
      <x:c r="H1128" s="23" t="n">
        <x:v>11415</x:v>
      </x:c>
      <x:c r="I1128" s="23" t="n">
        <x:v>1195</x:v>
      </x:c>
      <x:c r="J1128" s="23" t="n">
        <x:f>(IF(A1128='Hybrid Calculator'!$B$6,0,1))^2+((B1128-'Hybrid Calculator'!$B$7)/1500)^2+((C1128-'Hybrid Calculator'!$B$8)/1300)^2+((D1128-'Hybrid Calculator'!$B$9)/800)^2+((E1128-'Hybrid Calculator'!$B$10)/350)^2+((F1128-'Hybrid Calculator'!$B$11)/30)^2+(G1128-'Hybrid Calculator'!$B$12)^2+((H1128-'Hybrid Calculator'!$E$14)/IF(A1128="Lightning",100,30000))^2+((I1128-'Hybrid Calculator'!$E$17)/IF(A1128="Lightning",100,30000))^2</x:f>
        <x:v>1.3083935873992867</x:v>
      </x:c>
      <x:c r="K1128" s="23" t="n">
        <x:f>RANK(J1128,$J$2:$J$1401,1)</x:f>
        <x:v>747</x:v>
      </x:c>
      <x:c r="L1128" s="23" t="n">
        <x:f>IF(K1128&lt;=7,1,0)</x:f>
        <x:v>0</x:v>
      </x:c>
      <x:c r="M1128" s="23" t="n">
        <x:f>IF(L1128=1,1/(J1128+0.000001),0)</x:f>
        <x:v>0</x:v>
      </x:c>
      <x:c r="N1128" s="23" t="n">
        <x:v>4.184055202203865</x:v>
      </x:c>
      <x:c r="O1128" s="23" t="n">
        <x:f>M1128</x:f>
        <x:v>0</x:v>
      </x:c>
      <x:c r="P1128" s="23" t="n">
        <x:v>46.07876119817229</x:v>
      </x:c>
      <x:c r="Q1128" s="23" t="n">
        <x:v>-6.440783935653258</x:v>
      </x:c>
    </x:row>
    <x:row r="1129">
      <x:c r="A1129" s="23" t="str">
        <x:v>Switching</x:v>
      </x:c>
      <x:c r="B1129" s="23" t="n">
        <x:v>1080.0722268293612</x:v>
      </x:c>
      <x:c r="C1129" s="23" t="n">
        <x:v>638.0177994258702</x:v>
      </x:c>
      <x:c r="D1129" s="23" t="n">
        <x:v>553.7129408679903</x:v>
      </x:c>
      <x:c r="E1129" s="23" t="n">
        <x:v>190.82842538598925</x:v>
      </x:c>
      <x:c r="F1129" s="23" t="n">
        <x:v>29.452869412954897</x:v>
      </x:c>
      <x:c r="G1129" s="23" t="n">
        <x:v>0.8048052995745093</x:v>
      </x:c>
      <x:c r="H1129" s="23" t="n">
        <x:v>15470</x:v>
      </x:c>
      <x:c r="I1129" s="23" t="n">
        <x:v>1200</x:v>
      </x:c>
      <x:c r="J1129" s="23" t="n">
        <x:f>(IF(A1129='Hybrid Calculator'!$B$6,0,1))^2+((B1129-'Hybrid Calculator'!$B$7)/1500)^2+((C1129-'Hybrid Calculator'!$B$8)/1300)^2+((D1129-'Hybrid Calculator'!$B$9)/800)^2+((E1129-'Hybrid Calculator'!$B$10)/350)^2+((F1129-'Hybrid Calculator'!$B$11)/30)^2+(G1129-'Hybrid Calculator'!$B$12)^2+((H1129-'Hybrid Calculator'!$E$14)/IF(A1129="Lightning",100,30000))^2+((I1129-'Hybrid Calculator'!$E$17)/IF(A1129="Lightning",100,30000))^2</x:f>
        <x:v>1.49683898522846</x:v>
      </x:c>
      <x:c r="K1129" s="23" t="n">
        <x:f>RANK(J1129,$J$2:$J$1401,1)</x:f>
        <x:v>1203</x:v>
      </x:c>
      <x:c r="L1129" s="23" t="n">
        <x:f>IF(K1129&lt;=7,1,0)</x:f>
        <x:v>0</x:v>
      </x:c>
      <x:c r="M1129" s="23" t="n">
        <x:f>IF(L1129=1,1/(J1129+0.000001),0)</x:f>
        <x:v>0</x:v>
      </x:c>
      <x:c r="N1129" s="23" t="n">
        <x:v>-3.23222120828612</x:v>
      </x:c>
      <x:c r="O1129" s="23" t="n">
        <x:f>M1129</x:f>
        <x:v>0</x:v>
      </x:c>
      <x:c r="P1129" s="23" t="n">
        <x:v>-62.21276079282643</x:v>
      </x:c>
      <x:c r="Q1129" s="23" t="n">
        <x:v>-3.477286919450762</x:v>
      </x:c>
    </x:row>
    <x:row r="1130">
      <x:c r="A1130" s="23" t="str">
        <x:v>Switching</x:v>
      </x:c>
      <x:c r="B1130" s="23" t="n">
        <x:v>979.0008479729295</x:v>
      </x:c>
      <x:c r="C1130" s="23" t="n">
        <x:v>1128.1567909172736</x:v>
      </x:c>
      <x:c r="D1130" s="23" t="n">
        <x:v>433.59738904982805</x:v>
      </x:c>
      <x:c r="E1130" s="23" t="n">
        <x:v>104.02209636056796</x:v>
      </x:c>
      <x:c r="F1130" s="23" t="n">
        <x:v>24.628617947921157</x:v>
      </x:c>
      <x:c r="G1130" s="23" t="n">
        <x:v>0.8074467327562161</x:v>
      </x:c>
      <x:c r="H1130" s="23" t="n">
        <x:v>12840</x:v>
      </x:c>
      <x:c r="I1130" s="23" t="n">
        <x:v>1200</x:v>
      </x:c>
      <x:c r="J1130" s="23" t="n">
        <x:f>(IF(A1130='Hybrid Calculator'!$B$6,0,1))^2+((B1130-'Hybrid Calculator'!$B$7)/1500)^2+((C1130-'Hybrid Calculator'!$B$8)/1300)^2+((D1130-'Hybrid Calculator'!$B$9)/800)^2+((E1130-'Hybrid Calculator'!$B$10)/350)^2+((F1130-'Hybrid Calculator'!$B$11)/30)^2+(G1130-'Hybrid Calculator'!$B$12)^2+((H1130-'Hybrid Calculator'!$E$14)/IF(A1130="Lightning",100,30000))^2+((I1130-'Hybrid Calculator'!$E$17)/IF(A1130="Lightning",100,30000))^2</x:f>
        <x:v>1.3835199806412712</x:v>
      </x:c>
      <x:c r="K1130" s="23" t="n">
        <x:f>RANK(J1130,$J$2:$J$1401,1)</x:f>
        <x:v>926</x:v>
      </x:c>
      <x:c r="L1130" s="23" t="n">
        <x:f>IF(K1130&lt;=7,1,0)</x:f>
        <x:v>0</x:v>
      </x:c>
      <x:c r="M1130" s="23" t="n">
        <x:f>IF(L1130=1,1/(J1130+0.000001),0)</x:f>
        <x:v>0</x:v>
      </x:c>
      <x:c r="N1130" s="23" t="n">
        <x:v>1.2130067461992269</x:v>
      </x:c>
      <x:c r="O1130" s="23" t="n">
        <x:f>M1130</x:f>
        <x:v>0</x:v>
      </x:c>
      <x:c r="P1130" s="23" t="n">
        <x:v>7.485344349746811</x:v>
      </x:c>
      <x:c r="Q1130" s="23" t="n">
        <x:v>-8.381095248388533</x:v>
      </x:c>
    </x:row>
    <x:row r="1131">
      <x:c r="A1131" s="23" t="str">
        <x:v>Switching</x:v>
      </x:c>
      <x:c r="B1131" s="23" t="n">
        <x:v>993.8220568583347</x:v>
      </x:c>
      <x:c r="C1131" s="23" t="n">
        <x:v>793.2767004007474</x:v>
      </x:c>
      <x:c r="D1131" s="23" t="n">
        <x:v>628.8792223669589</x:v>
      </x:c>
      <x:c r="E1131" s="23" t="n">
        <x:v>287.5234695803374</x:v>
      </x:c>
      <x:c r="F1131" s="23" t="n">
        <x:v>13.47537798108533</x:v>
      </x:c>
      <x:c r="G1131" s="23" t="n">
        <x:v>0.8304964682878927</x:v>
      </x:c>
      <x:c r="H1131" s="23" t="n">
        <x:v>14595</x:v>
      </x:c>
      <x:c r="I1131" s="23" t="n">
        <x:v>1200</x:v>
      </x:c>
      <x:c r="J1131" s="23" t="n">
        <x:f>(IF(A1131='Hybrid Calculator'!$B$6,0,1))^2+((B1131-'Hybrid Calculator'!$B$7)/1500)^2+((C1131-'Hybrid Calculator'!$B$8)/1300)^2+((D1131-'Hybrid Calculator'!$B$9)/800)^2+((E1131-'Hybrid Calculator'!$B$10)/350)^2+((F1131-'Hybrid Calculator'!$B$11)/30)^2+(G1131-'Hybrid Calculator'!$B$12)^2+((H1131-'Hybrid Calculator'!$E$14)/IF(A1131="Lightning",100,30000))^2+((I1131-'Hybrid Calculator'!$E$17)/IF(A1131="Lightning",100,30000))^2</x:f>
        <x:v>1.5296344129431982</x:v>
      </x:c>
      <x:c r="K1131" s="23" t="n">
        <x:f>RANK(J1131,$J$2:$J$1401,1)</x:f>
        <x:v>1263</x:v>
      </x:c>
      <x:c r="L1131" s="23" t="n">
        <x:f>IF(K1131&lt;=7,1,0)</x:f>
        <x:v>0</x:v>
      </x:c>
      <x:c r="M1131" s="23" t="n">
        <x:f>IF(L1131=1,1/(J1131+0.000001),0)</x:f>
        <x:v>0</x:v>
      </x:c>
      <x:c r="N1131" s="23" t="n">
        <x:v>3.938829436058512</x:v>
      </x:c>
      <x:c r="O1131" s="23" t="n">
        <x:f>M1131</x:f>
        <x:v>0</x:v>
      </x:c>
      <x:c r="P1131" s="23" t="n">
        <x:v>-51.47834634044648</x:v>
      </x:c>
      <x:c r="Q1131" s="23" t="n">
        <x:v>5.118892478388943</x:v>
      </x:c>
    </x:row>
    <x:row r="1132">
      <x:c r="A1132" s="23" t="str">
        <x:v>Switching</x:v>
      </x:c>
      <x:c r="B1132" s="23" t="n">
        <x:v>995.5291519640014</x:v>
      </x:c>
      <x:c r="C1132" s="23" t="n">
        <x:v>1020.6933262408711</x:v>
      </x:c>
      <x:c r="D1132" s="23" t="n">
        <x:v>726.8032420426607</x:v>
      </x:c>
      <x:c r="E1132" s="23" t="n">
        <x:v>149.3051556008868</x:v>
      </x:c>
      <x:c r="F1132" s="23" t="n">
        <x:v>27.63663321826607</x:v>
      </x:c>
      <x:c r="G1132" s="23" t="n">
        <x:v>0.8157763218763284</x:v>
      </x:c>
      <x:c r="H1132" s="23" t="n">
        <x:v>11275</x:v>
      </x:c>
      <x:c r="I1132" s="23" t="n">
        <x:v>1195</x:v>
      </x:c>
      <x:c r="J1132" s="23" t="n">
        <x:f>(IF(A1132='Hybrid Calculator'!$B$6,0,1))^2+((B1132-'Hybrid Calculator'!$B$7)/1500)^2+((C1132-'Hybrid Calculator'!$B$8)/1300)^2+((D1132-'Hybrid Calculator'!$B$9)/800)^2+((E1132-'Hybrid Calculator'!$B$10)/350)^2+((F1132-'Hybrid Calculator'!$B$11)/30)^2+(G1132-'Hybrid Calculator'!$B$12)^2+((H1132-'Hybrid Calculator'!$E$14)/IF(A1132="Lightning",100,30000))^2+((I1132-'Hybrid Calculator'!$E$17)/IF(A1132="Lightning",100,30000))^2</x:f>
        <x:v>1.4138874407965567</x:v>
      </x:c>
      <x:c r="K1132" s="23" t="n">
        <x:f>RANK(J1132,$J$2:$J$1401,1)</x:f>
        <x:v>1020</x:v>
      </x:c>
      <x:c r="L1132" s="23" t="n">
        <x:f>IF(K1132&lt;=7,1,0)</x:f>
        <x:v>0</x:v>
      </x:c>
      <x:c r="M1132" s="23" t="n">
        <x:f>IF(L1132=1,1/(J1132+0.000001),0)</x:f>
        <x:v>0</x:v>
      </x:c>
      <x:c r="N1132" s="23" t="n">
        <x:v>0.3463885026167759</x:v>
      </x:c>
      <x:c r="O1132" s="23" t="n">
        <x:f>M1132</x:f>
        <x:v>0</x:v>
      </x:c>
      <x:c r="P1132" s="23" t="n">
        <x:v>17.969135960762287</x:v>
      </x:c>
      <x:c r="Q1132" s="23" t="n">
        <x:v>-14.06418855911852</x:v>
      </x:c>
    </x:row>
    <x:row r="1133">
      <x:c r="A1133" s="23" t="str">
        <x:v>Switching</x:v>
      </x:c>
      <x:c r="B1133" s="23" t="n">
        <x:v>1061.0406184918247</x:v>
      </x:c>
      <x:c r="C1133" s="23" t="n">
        <x:v>907.25630200468</x:v>
      </x:c>
      <x:c r="D1133" s="23" t="n">
        <x:v>565.1006291620433</x:v>
      </x:c>
      <x:c r="E1133" s="23" t="n">
        <x:v>123.23946207296103</x:v>
      </x:c>
      <x:c r="F1133" s="23" t="n">
        <x:v>27.76691100327298</x:v>
      </x:c>
      <x:c r="G1133" s="23" t="n">
        <x:v>0.8050538766011596</x:v>
      </x:c>
      <x:c r="H1133" s="23" t="n">
        <x:v>13405</x:v>
      </x:c>
      <x:c r="I1133" s="23" t="n">
        <x:v>1200</x:v>
      </x:c>
      <x:c r="J1133" s="23" t="n">
        <x:f>(IF(A1133='Hybrid Calculator'!$B$6,0,1))^2+((B1133-'Hybrid Calculator'!$B$7)/1500)^2+((C1133-'Hybrid Calculator'!$B$8)/1300)^2+((D1133-'Hybrid Calculator'!$B$9)/800)^2+((E1133-'Hybrid Calculator'!$B$10)/350)^2+((F1133-'Hybrid Calculator'!$B$11)/30)^2+(G1133-'Hybrid Calculator'!$B$12)^2+((H1133-'Hybrid Calculator'!$E$14)/IF(A1133="Lightning",100,30000))^2+((I1133-'Hybrid Calculator'!$E$17)/IF(A1133="Lightning",100,30000))^2</x:f>
        <x:v>1.3686298836933237</x:v>
      </x:c>
      <x:c r="K1133" s="23" t="n">
        <x:f>RANK(J1133,$J$2:$J$1401,1)</x:f>
        <x:v>879</x:v>
      </x:c>
      <x:c r="L1133" s="23" t="n">
        <x:f>IF(K1133&lt;=7,1,0)</x:f>
        <x:v>0</x:v>
      </x:c>
      <x:c r="M1133" s="23" t="n">
        <x:f>IF(L1133=1,1/(J1133+0.000001),0)</x:f>
        <x:v>0</x:v>
      </x:c>
      <x:c r="N1133" s="23" t="n">
        <x:v>-2.7636037728500185</x:v>
      </x:c>
      <x:c r="O1133" s="23" t="n">
        <x:f>M1133</x:f>
        <x:v>0</x:v>
      </x:c>
      <x:c r="P1133" s="23" t="n">
        <x:v>-23.476378726830262</x:v>
      </x:c>
      <x:c r="Q1133" s="23" t="n">
        <x:v>-10.96262848807578</x:v>
      </x:c>
    </x:row>
    <x:row r="1134">
      <x:c r="A1134" s="23" t="str">
        <x:v>Switching</x:v>
      </x:c>
      <x:c r="B1134" s="23" t="n">
        <x:v>1043.5859450604767</x:v>
      </x:c>
      <x:c r="C1134" s="23" t="n">
        <x:v>1165.9852719749324</x:v>
      </x:c>
      <x:c r="D1134" s="23" t="n">
        <x:v>619.7096964344382</x:v>
      </x:c>
      <x:c r="E1134" s="23" t="n">
        <x:v>221.80295151891187</x:v>
      </x:c>
      <x:c r="F1134" s="23" t="n">
        <x:v>18.28667287901044</x:v>
      </x:c>
      <x:c r="G1134" s="23" t="n">
        <x:v>0.8070781871699728</x:v>
      </x:c>
      <x:c r="H1134" s="23" t="n">
        <x:v>10655</x:v>
      </x:c>
      <x:c r="I1134" s="23" t="n">
        <x:v>1195</x:v>
      </x:c>
      <x:c r="J1134" s="23" t="n">
        <x:f>(IF(A1134='Hybrid Calculator'!$B$6,0,1))^2+((B1134-'Hybrid Calculator'!$B$7)/1500)^2+((C1134-'Hybrid Calculator'!$B$8)/1300)^2+((D1134-'Hybrid Calculator'!$B$9)/800)^2+((E1134-'Hybrid Calculator'!$B$10)/350)^2+((F1134-'Hybrid Calculator'!$B$11)/30)^2+(G1134-'Hybrid Calculator'!$B$12)^2+((H1134-'Hybrid Calculator'!$E$14)/IF(A1134="Lightning",100,30000))^2+((I1134-'Hybrid Calculator'!$E$17)/IF(A1134="Lightning",100,30000))^2</x:f>
        <x:v>1.3149162935630436</x:v>
      </x:c>
      <x:c r="K1134" s="23" t="n">
        <x:f>RANK(J1134,$J$2:$J$1401,1)</x:f>
        <x:v>754</x:v>
      </x:c>
      <x:c r="L1134" s="23" t="n">
        <x:f>IF(K1134&lt;=7,1,0)</x:f>
        <x:v>0</x:v>
      </x:c>
      <x:c r="M1134" s="23" t="n">
        <x:f>IF(L1134=1,1/(J1134+0.000001),0)</x:f>
        <x:v>0</x:v>
      </x:c>
      <x:c r="N1134" s="23" t="n">
        <x:v>0.5060201133763087</x:v>
      </x:c>
      <x:c r="O1134" s="23" t="n">
        <x:f>M1134</x:f>
        <x:v>0</x:v>
      </x:c>
      <x:c r="P1134" s="23" t="n">
        <x:v>16.80258038628972</x:v>
      </x:c>
      <x:c r="Q1134" s="23" t="n">
        <x:v>-4.0985402390490435</x:v>
      </x:c>
    </x:row>
    <x:row r="1135">
      <x:c r="A1135" s="23" t="str">
        <x:v>Switching</x:v>
      </x:c>
      <x:c r="B1135" s="23" t="n">
        <x:v>969.5317151141353</x:v>
      </x:c>
      <x:c r="C1135" s="23" t="n">
        <x:v>875.2123919082806</x:v>
      </x:c>
      <x:c r="D1135" s="23" t="n">
        <x:v>448.51403879001737</x:v>
      </x:c>
      <x:c r="E1135" s="23" t="n">
        <x:v>314.27758924663067</x:v>
      </x:c>
      <x:c r="F1135" s="23" t="n">
        <x:v>26.766681218985468</x:v>
      </x:c>
      <x:c r="G1135" s="23" t="n">
        <x:v>0.8321575865102933</x:v>
      </x:c>
      <x:c r="H1135" s="23" t="n">
        <x:v>15230</x:v>
      </x:c>
      <x:c r="I1135" s="23" t="n">
        <x:v>1200</x:v>
      </x:c>
      <x:c r="J1135" s="23" t="n">
        <x:f>(IF(A1135='Hybrid Calculator'!$B$6,0,1))^2+((B1135-'Hybrid Calculator'!$B$7)/1500)^2+((C1135-'Hybrid Calculator'!$B$8)/1300)^2+((D1135-'Hybrid Calculator'!$B$9)/800)^2+((E1135-'Hybrid Calculator'!$B$10)/350)^2+((F1135-'Hybrid Calculator'!$B$11)/30)^2+(G1135-'Hybrid Calculator'!$B$12)^2+((H1135-'Hybrid Calculator'!$E$14)/IF(A1135="Lightning",100,30000))^2+((I1135-'Hybrid Calculator'!$E$17)/IF(A1135="Lightning",100,30000))^2</x:f>
        <x:v>1.6506706566090015</x:v>
      </x:c>
      <x:c r="K1135" s="23" t="n">
        <x:f>RANK(J1135,$J$2:$J$1401,1)</x:f>
        <x:v>1379</x:v>
      </x:c>
      <x:c r="L1135" s="23" t="n">
        <x:f>IF(K1135&lt;=7,1,0)</x:f>
        <x:v>0</x:v>
      </x:c>
      <x:c r="M1135" s="23" t="n">
        <x:f>IF(L1135=1,1/(J1135+0.000001),0)</x:f>
        <x:v>0</x:v>
      </x:c>
      <x:c r="N1135" s="23" t="n">
        <x:v>-1.4001487204401997</x:v>
      </x:c>
      <x:c r="O1135" s="23" t="n">
        <x:f>M1135</x:f>
        <x:v>0</x:v>
      </x:c>
      <x:c r="P1135" s="23" t="n">
        <x:v>3.481196781127892</x:v>
      </x:c>
      <x:c r="Q1135" s="23" t="n">
        <x:v>-6.43646041162458</x:v>
      </x:c>
    </x:row>
    <x:row r="1136">
      <x:c r="A1136" s="23" t="str">
        <x:v>Switching</x:v>
      </x:c>
      <x:c r="B1136" s="23" t="n">
        <x:v>1095.1087967026979</x:v>
      </x:c>
      <x:c r="C1136" s="23" t="n">
        <x:v>839.3809344503097</x:v>
      </x:c>
      <x:c r="D1136" s="23" t="n">
        <x:v>659.760051779449</x:v>
      </x:c>
      <x:c r="E1136" s="23" t="n">
        <x:v>232.8846102883108</x:v>
      </x:c>
      <x:c r="F1136" s="23" t="n">
        <x:v>13.716228649020195</x:v>
      </x:c>
      <x:c r="G1136" s="23" t="n">
        <x:v>0.8176357000903227</x:v>
      </x:c>
      <x:c r="H1136" s="23" t="n">
        <x:v>12345</x:v>
      </x:c>
      <x:c r="I1136" s="23" t="n">
        <x:v>1200</x:v>
      </x:c>
      <x:c r="J1136" s="23" t="n">
        <x:f>(IF(A1136='Hybrid Calculator'!$B$6,0,1))^2+((B1136-'Hybrid Calculator'!$B$7)/1500)^2+((C1136-'Hybrid Calculator'!$B$8)/1300)^2+((D1136-'Hybrid Calculator'!$B$9)/800)^2+((E1136-'Hybrid Calculator'!$B$10)/350)^2+((F1136-'Hybrid Calculator'!$B$11)/30)^2+(G1136-'Hybrid Calculator'!$B$12)^2+((H1136-'Hybrid Calculator'!$E$14)/IF(A1136="Lightning",100,30000))^2+((I1136-'Hybrid Calculator'!$E$17)/IF(A1136="Lightning",100,30000))^2</x:f>
        <x:v>1.3393255763977487</x:v>
      </x:c>
      <x:c r="K1136" s="23" t="n">
        <x:f>RANK(J1136,$J$2:$J$1401,1)</x:f>
        <x:v>799</x:v>
      </x:c>
      <x:c r="L1136" s="23" t="n">
        <x:f>IF(K1136&lt;=7,1,0)</x:f>
        <x:v>0</x:v>
      </x:c>
      <x:c r="M1136" s="23" t="n">
        <x:f>IF(L1136=1,1/(J1136+0.000001),0)</x:f>
        <x:v>0</x:v>
      </x:c>
      <x:c r="N1136" s="23" t="n">
        <x:v>2.2879562017470505</x:v>
      </x:c>
      <x:c r="O1136" s="23" t="n">
        <x:f>M1136</x:f>
        <x:v>0</x:v>
      </x:c>
      <x:c r="P1136" s="23" t="n">
        <x:v>14.135288691486949</x:v>
      </x:c>
      <x:c r="Q1136" s="23" t="n">
        <x:v>7.469496438469378</x:v>
      </x:c>
    </x:row>
    <x:row r="1137">
      <x:c r="A1137" s="23" t="str">
        <x:v>Switching</x:v>
      </x:c>
      <x:c r="B1137" s="23" t="n">
        <x:v>1053.7190971081145</x:v>
      </x:c>
      <x:c r="C1137" s="23" t="n">
        <x:v>1100.6043476751074</x:v>
      </x:c>
      <x:c r="D1137" s="23" t="n">
        <x:v>630.1588249392807</x:v>
      </x:c>
      <x:c r="E1137" s="23" t="n">
        <x:v>244.0682783909142</x:v>
      </x:c>
      <x:c r="F1137" s="23" t="n">
        <x:v>13.289295411203057</x:v>
      </x:c>
      <x:c r="G1137" s="23" t="n">
        <x:v>0.8270294532692061</x:v>
      </x:c>
      <x:c r="H1137" s="23" t="n">
        <x:v>10830</x:v>
      </x:c>
      <x:c r="I1137" s="23" t="n">
        <x:v>1195</x:v>
      </x:c>
      <x:c r="J1137" s="23" t="n">
        <x:f>(IF(A1137='Hybrid Calculator'!$B$6,0,1))^2+((B1137-'Hybrid Calculator'!$B$7)/1500)^2+((C1137-'Hybrid Calculator'!$B$8)/1300)^2+((D1137-'Hybrid Calculator'!$B$9)/800)^2+((E1137-'Hybrid Calculator'!$B$10)/350)^2+((F1137-'Hybrid Calculator'!$B$11)/30)^2+(G1137-'Hybrid Calculator'!$B$12)^2+((H1137-'Hybrid Calculator'!$E$14)/IF(A1137="Lightning",100,30000))^2+((I1137-'Hybrid Calculator'!$E$17)/IF(A1137="Lightning",100,30000))^2</x:f>
        <x:v>1.357993089772021</x:v>
      </x:c>
      <x:c r="K1137" s="23" t="n">
        <x:f>RANK(J1137,$J$2:$J$1401,1)</x:f>
        <x:v>849</x:v>
      </x:c>
      <x:c r="L1137" s="23" t="n">
        <x:f>IF(K1137&lt;=7,1,0)</x:f>
        <x:v>0</x:v>
      </x:c>
      <x:c r="M1137" s="23" t="n">
        <x:f>IF(L1137=1,1/(J1137+0.000001),0)</x:f>
        <x:v>0</x:v>
      </x:c>
      <x:c r="N1137" s="23" t="n">
        <x:v>5.822150976068343</x:v>
      </x:c>
      <x:c r="O1137" s="23" t="n">
        <x:f>M1137</x:f>
        <x:v>0</x:v>
      </x:c>
      <x:c r="P1137" s="23" t="n">
        <x:v>22.10546407011725</x:v>
      </x:c>
      <x:c r="Q1137" s="23" t="n">
        <x:v>2.354550722532622</x:v>
      </x:c>
    </x:row>
    <x:row r="1138">
      <x:c r="A1138" s="23" t="str">
        <x:v>Switching</x:v>
      </x:c>
      <x:c r="B1138" s="23" t="n">
        <x:v>1067.188233626075</x:v>
      </x:c>
      <x:c r="C1138" s="23" t="n">
        <x:v>946.60876711132</x:v>
      </x:c>
      <x:c r="D1138" s="23" t="n">
        <x:v>603.2431706786156</x:v>
      </x:c>
      <x:c r="E1138" s="23" t="n">
        <x:v>131.93813232472166</x:v>
      </x:c>
      <x:c r="F1138" s="23" t="n">
        <x:v>19.327782447449863</x:v>
      </x:c>
      <x:c r="G1138" s="23" t="n">
        <x:v>0.8481376628181898</x:v>
      </x:c>
      <x:c r="H1138" s="23" t="n">
        <x:v>12715</x:v>
      </x:c>
      <x:c r="I1138" s="23" t="n">
        <x:v>1200</x:v>
      </x:c>
      <x:c r="J1138" s="23" t="n">
        <x:f>(IF(A1138='Hybrid Calculator'!$B$6,0,1))^2+((B1138-'Hybrid Calculator'!$B$7)/1500)^2+((C1138-'Hybrid Calculator'!$B$8)/1300)^2+((D1138-'Hybrid Calculator'!$B$9)/800)^2+((E1138-'Hybrid Calculator'!$B$10)/350)^2+((F1138-'Hybrid Calculator'!$B$11)/30)^2+(G1138-'Hybrid Calculator'!$B$12)^2+((H1138-'Hybrid Calculator'!$E$14)/IF(A1138="Lightning",100,30000))^2+((I1138-'Hybrid Calculator'!$E$17)/IF(A1138="Lightning",100,30000))^2</x:f>
        <x:v>1.2630543750648489</x:v>
      </x:c>
      <x:c r="K1138" s="23" t="n">
        <x:f>RANK(J1138,$J$2:$J$1401,1)</x:f>
        <x:v>702</x:v>
      </x:c>
      <x:c r="L1138" s="23" t="n">
        <x:f>IF(K1138&lt;=7,1,0)</x:f>
        <x:v>0</x:v>
      </x:c>
      <x:c r="M1138" s="23" t="n">
        <x:f>IF(L1138=1,1/(J1138+0.000001),0)</x:f>
        <x:v>0</x:v>
      </x:c>
      <x:c r="N1138" s="23" t="n">
        <x:v>0.727752602283374</x:v>
      </x:c>
      <x:c r="O1138" s="23" t="n">
        <x:f>M1138</x:f>
        <x:v>0</x:v>
      </x:c>
      <x:c r="P1138" s="23" t="n">
        <x:v>15.361002600353913</x:v>
      </x:c>
      <x:c r="Q1138" s="23" t="n">
        <x:v>-5.8541160325098645</x:v>
      </x:c>
    </x:row>
    <x:row r="1139">
      <x:c r="A1139" s="23" t="str">
        <x:v>Switching</x:v>
      </x:c>
      <x:c r="B1139" s="23" t="n">
        <x:v>1060.1180943544023</x:v>
      </x:c>
      <x:c r="C1139" s="23" t="n">
        <x:v>844.4669819436967</x:v>
      </x:c>
      <x:c r="D1139" s="23" t="n">
        <x:v>415.5778548680246</x:v>
      </x:c>
      <x:c r="E1139" s="23" t="n">
        <x:v>125.81336735282093</x:v>
      </x:c>
      <x:c r="F1139" s="23" t="n">
        <x:v>12.779275377746671</x:v>
      </x:c>
      <x:c r="G1139" s="23" t="n">
        <x:v>0.8108143064845353</x:v>
      </x:c>
      <x:c r="H1139" s="23" t="n">
        <x:v>15430</x:v>
      </x:c>
      <x:c r="I1139" s="23" t="n">
        <x:v>1200</x:v>
      </x:c>
      <x:c r="J1139" s="23" t="n">
        <x:f>(IF(A1139='Hybrid Calculator'!$B$6,0,1))^2+((B1139-'Hybrid Calculator'!$B$7)/1500)^2+((C1139-'Hybrid Calculator'!$B$8)/1300)^2+((D1139-'Hybrid Calculator'!$B$9)/800)^2+((E1139-'Hybrid Calculator'!$B$10)/350)^2+((F1139-'Hybrid Calculator'!$B$11)/30)^2+(G1139-'Hybrid Calculator'!$B$12)^2+((H1139-'Hybrid Calculator'!$E$14)/IF(A1139="Lightning",100,30000))^2+((I1139-'Hybrid Calculator'!$E$17)/IF(A1139="Lightning",100,30000))^2</x:f>
        <x:v>1.3759109684144446</x:v>
      </x:c>
      <x:c r="K1139" s="23" t="n">
        <x:f>RANK(J1139,$J$2:$J$1401,1)</x:f>
        <x:v>906</x:v>
      </x:c>
      <x:c r="L1139" s="23" t="n">
        <x:f>IF(K1139&lt;=7,1,0)</x:f>
        <x:v>0</x:v>
      </x:c>
      <x:c r="M1139" s="23" t="n">
        <x:f>IF(L1139=1,1/(J1139+0.000001),0)</x:f>
        <x:v>0</x:v>
      </x:c>
      <x:c r="N1139" s="23" t="n">
        <x:v>-1.9965500313948326</x:v>
      </x:c>
      <x:c r="O1139" s="23" t="n">
        <x:f>M1139</x:f>
        <x:v>0</x:v>
      </x:c>
      <x:c r="P1139" s="23" t="n">
        <x:v>-42.77830654193622</x:v>
      </x:c>
      <x:c r="Q1139" s="23" t="n">
        <x:v>4.822454205398799</x:v>
      </x:c>
    </x:row>
    <x:row r="1140">
      <x:c r="A1140" s="23" t="str">
        <x:v>Switching</x:v>
      </x:c>
      <x:c r="B1140" s="23" t="n">
        <x:v>1046.1004443466663</x:v>
      </x:c>
      <x:c r="C1140" s="23" t="n">
        <x:v>1152.6574330753647</x:v>
      </x:c>
      <x:c r="D1140" s="23" t="n">
        <x:v>606.759356148541</x:v>
      </x:c>
      <x:c r="E1140" s="23" t="n">
        <x:v>118.57521206373349</x:v>
      </x:c>
      <x:c r="F1140" s="23" t="n">
        <x:v>26.82120936922729</x:v>
      </x:c>
      <x:c r="G1140" s="23" t="n">
        <x:v>0.8050143905472942</x:v>
      </x:c>
      <x:c r="H1140" s="23" t="n">
        <x:v>11390</x:v>
      </x:c>
      <x:c r="I1140" s="23" t="n">
        <x:v>1195</x:v>
      </x:c>
      <x:c r="J1140" s="23" t="n">
        <x:f>(IF(A1140='Hybrid Calculator'!$B$6,0,1))^2+((B1140-'Hybrid Calculator'!$B$7)/1500)^2+((C1140-'Hybrid Calculator'!$B$8)/1300)^2+((D1140-'Hybrid Calculator'!$B$9)/800)^2+((E1140-'Hybrid Calculator'!$B$10)/350)^2+((F1140-'Hybrid Calculator'!$B$11)/30)^2+(G1140-'Hybrid Calculator'!$B$12)^2+((H1140-'Hybrid Calculator'!$E$14)/IF(A1140="Lightning",100,30000))^2+((I1140-'Hybrid Calculator'!$E$17)/IF(A1140="Lightning",100,30000))^2</x:f>
        <x:v>1.3654444554179395</x:v>
      </x:c>
      <x:c r="K1140" s="23" t="n">
        <x:f>RANK(J1140,$J$2:$J$1401,1)</x:f>
        <x:v>871</x:v>
      </x:c>
      <x:c r="L1140" s="23" t="n">
        <x:f>IF(K1140&lt;=7,1,0)</x:f>
        <x:v>0</x:v>
      </x:c>
      <x:c r="M1140" s="23" t="n">
        <x:f>IF(L1140=1,1/(J1140+0.000001),0)</x:f>
        <x:v>0</x:v>
      </x:c>
      <x:c r="N1140" s="23" t="n">
        <x:v>-0.8831409050419836</x:v>
      </x:c>
      <x:c r="O1140" s="23" t="n">
        <x:f>M1140</x:f>
        <x:v>0</x:v>
      </x:c>
      <x:c r="P1140" s="23" t="n">
        <x:v>0.9135931299583717</x:v>
      </x:c>
      <x:c r="Q1140" s="23" t="n">
        <x:v>-7.585908554129674</x:v>
      </x:c>
    </x:row>
    <x:row r="1141">
      <x:c r="A1141" s="23" t="str">
        <x:v>Switching</x:v>
      </x:c>
      <x:c r="B1141" s="23" t="n">
        <x:v>1077.9014288098551</x:v>
      </x:c>
      <x:c r="C1141" s="23" t="n">
        <x:v>648.5329868504778</x:v>
      </x:c>
      <x:c r="D1141" s="23" t="n">
        <x:v>702.8501377440989</x:v>
      </x:c>
      <x:c r="E1141" s="23" t="n">
        <x:v>311.2223033513874</x:v>
      </x:c>
      <x:c r="F1141" s="23" t="n">
        <x:v>17.988260593730956</x:v>
      </x:c>
      <x:c r="G1141" s="23" t="n">
        <x:v>0.8111854217993096</x:v>
      </x:c>
      <x:c r="H1141" s="23" t="n">
        <x:v>12865</x:v>
      </x:c>
      <x:c r="I1141" s="23" t="n">
        <x:v>1200</x:v>
      </x:c>
      <x:c r="J1141" s="23" t="n">
        <x:f>(IF(A1141='Hybrid Calculator'!$B$6,0,1))^2+((B1141-'Hybrid Calculator'!$B$7)/1500)^2+((C1141-'Hybrid Calculator'!$B$8)/1300)^2+((D1141-'Hybrid Calculator'!$B$9)/800)^2+((E1141-'Hybrid Calculator'!$B$10)/350)^2+((F1141-'Hybrid Calculator'!$B$11)/30)^2+(G1141-'Hybrid Calculator'!$B$12)^2+((H1141-'Hybrid Calculator'!$E$14)/IF(A1141="Lightning",100,30000))^2+((I1141-'Hybrid Calculator'!$E$17)/IF(A1141="Lightning",100,30000))^2</x:f>
        <x:v>1.5384154864604158</x:v>
      </x:c>
      <x:c r="K1141" s="23" t="n">
        <x:f>RANK(J1141,$J$2:$J$1401,1)</x:f>
        <x:v>1280</x:v>
      </x:c>
      <x:c r="L1141" s="23" t="n">
        <x:f>IF(K1141&lt;=7,1,0)</x:f>
        <x:v>0</x:v>
      </x:c>
      <x:c r="M1141" s="23" t="n">
        <x:f>IF(L1141=1,1/(J1141+0.000001),0)</x:f>
        <x:v>0</x:v>
      </x:c>
      <x:c r="N1141" s="23" t="n">
        <x:v>2.7602758975418453</x:v>
      </x:c>
      <x:c r="O1141" s="23" t="n">
        <x:f>M1141</x:f>
        <x:v>0</x:v>
      </x:c>
      <x:c r="P1141" s="23" t="n">
        <x:v>-44.62668539986089</x:v>
      </x:c>
      <x:c r="Q1141" s="23" t="n">
        <x:v>2.5261818088877135</x:v>
      </x:c>
    </x:row>
    <x:row r="1142">
      <x:c r="A1142" s="23" t="str">
        <x:v>Switching</x:v>
      </x:c>
      <x:c r="B1142" s="23" t="n">
        <x:v>975.9527393383905</x:v>
      </x:c>
      <x:c r="C1142" s="23" t="n">
        <x:v>898.382198496256</x:v>
      </x:c>
      <x:c r="D1142" s="23" t="n">
        <x:v>616.0899464040995</x:v>
      </x:c>
      <x:c r="E1142" s="23" t="n">
        <x:v>244.04092049924657</x:v>
      </x:c>
      <x:c r="F1142" s="23" t="n">
        <x:v>9.954568141140044</x:v>
      </x:c>
      <x:c r="G1142" s="23" t="n">
        <x:v>0.8114092662441544</x:v>
      </x:c>
      <x:c r="H1142" s="23" t="n">
        <x:v>12160</x:v>
      </x:c>
      <x:c r="I1142" s="23" t="n">
        <x:v>1200</x:v>
      </x:c>
      <x:c r="J1142" s="23" t="n">
        <x:f>(IF(A1142='Hybrid Calculator'!$B$6,0,1))^2+((B1142-'Hybrid Calculator'!$B$7)/1500)^2+((C1142-'Hybrid Calculator'!$B$8)/1300)^2+((D1142-'Hybrid Calculator'!$B$9)/800)^2+((E1142-'Hybrid Calculator'!$B$10)/350)^2+((F1142-'Hybrid Calculator'!$B$11)/30)^2+(G1142-'Hybrid Calculator'!$B$12)^2+((H1142-'Hybrid Calculator'!$E$14)/IF(A1142="Lightning",100,30000))^2+((I1142-'Hybrid Calculator'!$E$17)/IF(A1142="Lightning",100,30000))^2</x:f>
        <x:v>1.4299482977543447</x:v>
      </x:c>
      <x:c r="K1142" s="23" t="n">
        <x:f>RANK(J1142,$J$2:$J$1401,1)</x:f>
        <x:v>1060</x:v>
      </x:c>
      <x:c r="L1142" s="23" t="n">
        <x:f>IF(K1142&lt;=7,1,0)</x:f>
        <x:v>0</x:v>
      </x:c>
      <x:c r="M1142" s="23" t="n">
        <x:f>IF(L1142=1,1/(J1142+0.000001),0)</x:f>
        <x:v>0</x:v>
      </x:c>
      <x:c r="N1142" s="23" t="n">
        <x:v>3.23336957337537</x:v>
      </x:c>
      <x:c r="O1142" s="23" t="n">
        <x:f>M1142</x:f>
        <x:v>0</x:v>
      </x:c>
      <x:c r="P1142" s="23" t="n">
        <x:v>12.038102875640561</x:v>
      </x:c>
      <x:c r="Q1142" s="23" t="n">
        <x:v>0.8312504795168252</x:v>
      </x:c>
    </x:row>
    <x:row r="1143">
      <x:c r="A1143" s="23" t="str">
        <x:v>Switching</x:v>
      </x:c>
      <x:c r="B1143" s="23" t="n">
        <x:v>1090.2754903188907</x:v>
      </x:c>
      <x:c r="C1143" s="23" t="n">
        <x:v>1232.377405418083</x:v>
      </x:c>
      <x:c r="D1143" s="23" t="n">
        <x:v>414.1216720454395</x:v>
      </x:c>
      <x:c r="E1143" s="23" t="n">
        <x:v>217.86789018195122</x:v>
      </x:c>
      <x:c r="F1143" s="23" t="n">
        <x:v>17.58514529047534</x:v>
      </x:c>
      <x:c r="G1143" s="23" t="n">
        <x:v>0.8255031213909388</x:v>
      </x:c>
      <x:c r="H1143" s="23" t="n">
        <x:v>11470</x:v>
      </x:c>
      <x:c r="I1143" s="23" t="n">
        <x:v>1195</x:v>
      </x:c>
      <x:c r="J1143" s="23" t="n">
        <x:f>(IF(A1143='Hybrid Calculator'!$B$6,0,1))^2+((B1143-'Hybrid Calculator'!$B$7)/1500)^2+((C1143-'Hybrid Calculator'!$B$8)/1300)^2+((D1143-'Hybrid Calculator'!$B$9)/800)^2+((E1143-'Hybrid Calculator'!$B$10)/350)^2+((F1143-'Hybrid Calculator'!$B$11)/30)^2+(G1143-'Hybrid Calculator'!$B$12)^2+((H1143-'Hybrid Calculator'!$E$14)/IF(A1143="Lightning",100,30000))^2+((I1143-'Hybrid Calculator'!$E$17)/IF(A1143="Lightning",100,30000))^2</x:f>
        <x:v>1.3328243732866456</x:v>
      </x:c>
      <x:c r="K1143" s="23" t="n">
        <x:f>RANK(J1143,$J$2:$J$1401,1)</x:f>
        <x:v>782</x:v>
      </x:c>
      <x:c r="L1143" s="23" t="n">
        <x:f>IF(K1143&lt;=7,1,0)</x:f>
        <x:v>0</x:v>
      </x:c>
      <x:c r="M1143" s="23" t="n">
        <x:f>IF(L1143=1,1/(J1143+0.000001),0)</x:f>
        <x:v>0</x:v>
      </x:c>
      <x:c r="N1143" s="23" t="n">
        <x:v>1.2264664714566038</x:v>
      </x:c>
      <x:c r="O1143" s="23" t="n">
        <x:f>M1143</x:f>
        <x:v>0</x:v>
      </x:c>
      <x:c r="P1143" s="23" t="n">
        <x:v>72.28668455189154</x:v>
      </x:c>
      <x:c r="Q1143" s="23" t="n">
        <x:v>-8.61452746120176</x:v>
      </x:c>
    </x:row>
    <x:row r="1144">
      <x:c r="A1144" s="23" t="str">
        <x:v>Switching</x:v>
      </x:c>
      <x:c r="B1144" s="23" t="n">
        <x:v>957.9725496005267</x:v>
      </x:c>
      <x:c r="C1144" s="23" t="n">
        <x:v>788.6473880033009</x:v>
      </x:c>
      <x:c r="D1144" s="23" t="n">
        <x:v>717.3602318391204</x:v>
      </x:c>
      <x:c r="E1144" s="23" t="n">
        <x:v>320.2057506260462</x:v>
      </x:c>
      <x:c r="F1144" s="23" t="n">
        <x:v>11.174847524613142</x:v>
      </x:c>
      <x:c r="G1144" s="23" t="n">
        <x:v>0.8544935521134176</x:v>
      </x:c>
      <x:c r="H1144" s="23" t="n">
        <x:v>13660</x:v>
      </x:c>
      <x:c r="I1144" s="23" t="n">
        <x:v>1200</x:v>
      </x:c>
      <x:c r="J1144" s="23" t="n">
        <x:f>(IF(A1144='Hybrid Calculator'!$B$6,0,1))^2+((B1144-'Hybrid Calculator'!$B$7)/1500)^2+((C1144-'Hybrid Calculator'!$B$8)/1300)^2+((D1144-'Hybrid Calculator'!$B$9)/800)^2+((E1144-'Hybrid Calculator'!$B$10)/350)^2+((F1144-'Hybrid Calculator'!$B$11)/30)^2+(G1144-'Hybrid Calculator'!$B$12)^2+((H1144-'Hybrid Calculator'!$E$14)/IF(A1144="Lightning",100,30000))^2+((I1144-'Hybrid Calculator'!$E$17)/IF(A1144="Lightning",100,30000))^2</x:f>
        <x:v>1.6776350871157522</x:v>
      </x:c>
      <x:c r="K1144" s="23" t="n">
        <x:f>RANK(J1144,$J$2:$J$1401,1)</x:f>
        <x:v>1389</x:v>
      </x:c>
      <x:c r="L1144" s="23" t="n">
        <x:f>IF(K1144&lt;=7,1,0)</x:f>
        <x:v>0</x:v>
      </x:c>
      <x:c r="M1144" s="23" t="n">
        <x:f>IF(L1144=1,1/(J1144+0.000001),0)</x:f>
        <x:v>0</x:v>
      </x:c>
      <x:c r="N1144" s="23" t="n">
        <x:v>4.454167812212489</x:v>
      </x:c>
      <x:c r="O1144" s="23" t="n">
        <x:f>M1144</x:f>
        <x:v>0</x:v>
      </x:c>
      <x:c r="P1144" s="23" t="n">
        <x:v>8.168765938030447</x:v>
      </x:c>
      <x:c r="Q1144" s="23" t="n">
        <x:v>-1.246911152446046</x:v>
      </x:c>
    </x:row>
    <x:row r="1145">
      <x:c r="A1145" s="23" t="str">
        <x:v>Switching</x:v>
      </x:c>
      <x:c r="B1145" s="23" t="n">
        <x:v>1078.4170948085375</x:v>
      </x:c>
      <x:c r="C1145" s="23" t="n">
        <x:v>817.3009662656114</x:v>
      </x:c>
      <x:c r="D1145" s="23" t="n">
        <x:v>438.81073789671063</x:v>
      </x:c>
      <x:c r="E1145" s="23" t="n">
        <x:v>197.45294462889433</x:v>
      </x:c>
      <x:c r="F1145" s="23" t="n">
        <x:v>23.1074355118908</x:v>
      </x:c>
      <x:c r="G1145" s="23" t="n">
        <x:v>0.8068283991096542</x:v>
      </x:c>
      <x:c r="H1145" s="23" t="n">
        <x:v>14715</x:v>
      </x:c>
      <x:c r="I1145" s="23" t="n">
        <x:v>1200</x:v>
      </x:c>
      <x:c r="J1145" s="23" t="n">
        <x:f>(IF(A1145='Hybrid Calculator'!$B$6,0,1))^2+((B1145-'Hybrid Calculator'!$B$7)/1500)^2+((C1145-'Hybrid Calculator'!$B$8)/1300)^2+((D1145-'Hybrid Calculator'!$B$9)/800)^2+((E1145-'Hybrid Calculator'!$B$10)/350)^2+((F1145-'Hybrid Calculator'!$B$11)/30)^2+(G1145-'Hybrid Calculator'!$B$12)^2+((H1145-'Hybrid Calculator'!$E$14)/IF(A1145="Lightning",100,30000))^2+((I1145-'Hybrid Calculator'!$E$17)/IF(A1145="Lightning",100,30000))^2</x:f>
        <x:v>1.342504033118332</x:v>
      </x:c>
      <x:c r="K1145" s="23" t="n">
        <x:f>RANK(J1145,$J$2:$J$1401,1)</x:f>
        <x:v>808</x:v>
      </x:c>
      <x:c r="L1145" s="23" t="n">
        <x:f>IF(K1145&lt;=7,1,0)</x:f>
        <x:v>0</x:v>
      </x:c>
      <x:c r="M1145" s="23" t="n">
        <x:f>IF(L1145=1,1/(J1145+0.000001),0)</x:f>
        <x:v>0</x:v>
      </x:c>
      <x:c r="N1145" s="23" t="n">
        <x:v>-1.5420792760338884</x:v>
      </x:c>
      <x:c r="O1145" s="23" t="n">
        <x:f>M1145</x:f>
        <x:v>0</x:v>
      </x:c>
      <x:c r="P1145" s="23" t="n">
        <x:v>-7.3821032304558685</x:v>
      </x:c>
      <x:c r="Q1145" s="23" t="n">
        <x:v>2.5894472720970043</x:v>
      </x:c>
    </x:row>
    <x:row r="1146">
      <x:c r="A1146" s="23" t="str">
        <x:v>Switching</x:v>
      </x:c>
      <x:c r="B1146" s="23" t="n">
        <x:v>979.7862772131339</x:v>
      </x:c>
      <x:c r="C1146" s="23" t="n">
        <x:v>983.4496795316227</x:v>
      </x:c>
      <x:c r="D1146" s="23" t="n">
        <x:v>400.0101886689663</x:v>
      </x:c>
      <x:c r="E1146" s="23" t="n">
        <x:v>144.82587516075</x:v>
      </x:c>
      <x:c r="F1146" s="23" t="n">
        <x:v>16.700466773472726</x:v>
      </x:c>
      <x:c r="G1146" s="23" t="n">
        <x:v>0.8270669412030839</x:v>
      </x:c>
      <x:c r="H1146" s="23" t="n">
        <x:v>16325</x:v>
      </x:c>
      <x:c r="I1146" s="23" t="n">
        <x:v>1200</x:v>
      </x:c>
      <x:c r="J1146" s="23" t="n">
        <x:f>(IF(A1146='Hybrid Calculator'!$B$6,0,1))^2+((B1146-'Hybrid Calculator'!$B$7)/1500)^2+((C1146-'Hybrid Calculator'!$B$8)/1300)^2+((D1146-'Hybrid Calculator'!$B$9)/800)^2+((E1146-'Hybrid Calculator'!$B$10)/350)^2+((F1146-'Hybrid Calculator'!$B$11)/30)^2+(G1146-'Hybrid Calculator'!$B$12)^2+((H1146-'Hybrid Calculator'!$E$14)/IF(A1146="Lightning",100,30000))^2+((I1146-'Hybrid Calculator'!$E$17)/IF(A1146="Lightning",100,30000))^2</x:f>
        <x:v>1.4139621443650028</x:v>
      </x:c>
      <x:c r="K1146" s="23" t="n">
        <x:f>RANK(J1146,$J$2:$J$1401,1)</x:f>
        <x:v>1022</x:v>
      </x:c>
      <x:c r="L1146" s="23" t="n">
        <x:f>IF(K1146&lt;=7,1,0)</x:f>
        <x:v>0</x:v>
      </x:c>
      <x:c r="M1146" s="23" t="n">
        <x:f>IF(L1146=1,1/(J1146+0.000001),0)</x:f>
        <x:v>0</x:v>
      </x:c>
      <x:c r="N1146" s="23" t="n">
        <x:v>-0.5623073379179857</x:v>
      </x:c>
      <x:c r="O1146" s="23" t="n">
        <x:f>M1146</x:f>
        <x:v>0</x:v>
      </x:c>
      <x:c r="P1146" s="23" t="n">
        <x:v>1.6861159552604477</x:v>
      </x:c>
      <x:c r="Q1146" s="23" t="n">
        <x:v>2.5855318654254233</x:v>
      </x:c>
    </x:row>
    <x:row r="1147">
      <x:c r="A1147" s="23" t="str">
        <x:v>Switching</x:v>
      </x:c>
      <x:c r="B1147" s="23" t="n">
        <x:v>1013.0085756885819</x:v>
      </x:c>
      <x:c r="C1147" s="23" t="n">
        <x:v>1184.3856751918793</x:v>
      </x:c>
      <x:c r="D1147" s="23" t="n">
        <x:v>577.3495047353208</x:v>
      </x:c>
      <x:c r="E1147" s="23" t="n">
        <x:v>222.9979681270197</x:v>
      </x:c>
      <x:c r="F1147" s="23" t="n">
        <x:v>8.168398620095104</x:v>
      </x:c>
      <x:c r="G1147" s="23" t="n">
        <x:v>0.8119755747448654</x:v>
      </x:c>
      <x:c r="H1147" s="23" t="n">
        <x:v>10775</x:v>
      </x:c>
      <x:c r="I1147" s="23" t="n">
        <x:v>1195</x:v>
      </x:c>
      <x:c r="J1147" s="23" t="n">
        <x:f>(IF(A1147='Hybrid Calculator'!$B$6,0,1))^2+((B1147-'Hybrid Calculator'!$B$7)/1500)^2+((C1147-'Hybrid Calculator'!$B$8)/1300)^2+((D1147-'Hybrid Calculator'!$B$9)/800)^2+((E1147-'Hybrid Calculator'!$B$10)/350)^2+((F1147-'Hybrid Calculator'!$B$11)/30)^2+(G1147-'Hybrid Calculator'!$B$12)^2+((H1147-'Hybrid Calculator'!$E$14)/IF(A1147="Lightning",100,30000))^2+((I1147-'Hybrid Calculator'!$E$17)/IF(A1147="Lightning",100,30000))^2</x:f>
        <x:v>1.442442458459617</x:v>
      </x:c>
      <x:c r="K1147" s="23" t="n">
        <x:f>RANK(J1147,$J$2:$J$1401,1)</x:f>
        <x:v>1090</x:v>
      </x:c>
      <x:c r="L1147" s="23" t="n">
        <x:f>IF(K1147&lt;=7,1,0)</x:f>
        <x:v>0</x:v>
      </x:c>
      <x:c r="M1147" s="23" t="n">
        <x:f>IF(L1147=1,1/(J1147+0.000001),0)</x:f>
        <x:v>0</x:v>
      </x:c>
      <x:c r="N1147" s="23" t="n">
        <x:v>5.517578962804919</x:v>
      </x:c>
      <x:c r="O1147" s="23" t="n">
        <x:f>M1147</x:f>
        <x:v>0</x:v>
      </x:c>
      <x:c r="P1147" s="23" t="n">
        <x:v>60.51806850222056</x:v>
      </x:c>
      <x:c r="Q1147" s="23" t="n">
        <x:v>-1.5603709838551367</x:v>
      </x:c>
    </x:row>
    <x:row r="1148">
      <x:c r="A1148" s="23" t="str">
        <x:v>Switching</x:v>
      </x:c>
      <x:c r="B1148" s="23" t="n">
        <x:v>1018.592646624893</x:v>
      </x:c>
      <x:c r="C1148" s="23" t="n">
        <x:v>862.3118154122494</x:v>
      </x:c>
      <x:c r="D1148" s="23" t="n">
        <x:v>490.30354265123606</x:v>
      </x:c>
      <x:c r="E1148" s="23" t="n">
        <x:v>110.47421114752069</x:v>
      </x:c>
      <x:c r="F1148" s="23" t="n">
        <x:v>20.788804167881608</x:v>
      </x:c>
      <x:c r="G1148" s="23" t="n">
        <x:v>0.794616940796841</x:v>
      </x:c>
      <x:c r="H1148" s="23" t="n">
        <x:v>14615</x:v>
      </x:c>
      <x:c r="I1148" s="23" t="n">
        <x:v>1200</x:v>
      </x:c>
      <x:c r="J1148" s="23" t="n">
        <x:f>(IF(A1148='Hybrid Calculator'!$B$6,0,1))^2+((B1148-'Hybrid Calculator'!$B$7)/1500)^2+((C1148-'Hybrid Calculator'!$B$8)/1300)^2+((D1148-'Hybrid Calculator'!$B$9)/800)^2+((E1148-'Hybrid Calculator'!$B$10)/350)^2+((F1148-'Hybrid Calculator'!$B$11)/30)^2+(G1148-'Hybrid Calculator'!$B$12)^2+((H1148-'Hybrid Calculator'!$E$14)/IF(A1148="Lightning",100,30000))^2+((I1148-'Hybrid Calculator'!$E$17)/IF(A1148="Lightning",100,30000))^2</x:f>
        <x:v>1.330106771222869</x:v>
      </x:c>
      <x:c r="K1148" s="23" t="n">
        <x:f>RANK(J1148,$J$2:$J$1401,1)</x:f>
        <x:v>776</x:v>
      </x:c>
      <x:c r="L1148" s="23" t="n">
        <x:f>IF(K1148&lt;=7,1,0)</x:f>
        <x:v>0</x:v>
      </x:c>
      <x:c r="M1148" s="23" t="n">
        <x:f>IF(L1148=1,1/(J1148+0.000001),0)</x:f>
        <x:v>0</x:v>
      </x:c>
      <x:c r="N1148" s="23" t="n">
        <x:v>-3.3613414821902268</x:v>
      </x:c>
      <x:c r="O1148" s="23" t="n">
        <x:f>M1148</x:f>
        <x:v>0</x:v>
      </x:c>
      <x:c r="P1148" s="23" t="n">
        <x:v>-5.773974204046681</x:v>
      </x:c>
      <x:c r="Q1148" s="23" t="n">
        <x:v>0.8006158317156178</x:v>
      </x:c>
    </x:row>
    <x:row r="1149">
      <x:c r="A1149" s="23" t="str">
        <x:v>Switching</x:v>
      </x:c>
      <x:c r="B1149" s="23" t="n">
        <x:v>1092.2168144606985</x:v>
      </x:c>
      <x:c r="C1149" s="23" t="n">
        <x:v>940.1683571981266</x:v>
      </x:c>
      <x:c r="D1149" s="23" t="n">
        <x:v>742.7442424930632</x:v>
      </x:c>
      <x:c r="E1149" s="23" t="n">
        <x:v>270.4143469873816</x:v>
      </x:c>
      <x:c r="F1149" s="23" t="n">
        <x:v>29.994382478762418</x:v>
      </x:c>
      <x:c r="G1149" s="23" t="n">
        <x:v>0.8049194099614397</x:v>
      </x:c>
      <x:c r="H1149" s="23" t="n">
        <x:v>10950</x:v>
      </x:c>
      <x:c r="I1149" s="23" t="n">
        <x:v>1195</x:v>
      </x:c>
      <x:c r="J1149" s="23" t="n">
        <x:f>(IF(A1149='Hybrid Calculator'!$B$6,0,1))^2+((B1149-'Hybrid Calculator'!$B$7)/1500)^2+((C1149-'Hybrid Calculator'!$B$8)/1300)^2+((D1149-'Hybrid Calculator'!$B$9)/800)^2+((E1149-'Hybrid Calculator'!$B$10)/350)^2+((F1149-'Hybrid Calculator'!$B$11)/30)^2+(G1149-'Hybrid Calculator'!$B$12)^2+((H1149-'Hybrid Calculator'!$E$14)/IF(A1149="Lightning",100,30000))^2+((I1149-'Hybrid Calculator'!$E$17)/IF(A1149="Lightning",100,30000))^2</x:f>
        <x:v>1.545025300074005</x:v>
      </x:c>
      <x:c r="K1149" s="23" t="n">
        <x:f>RANK(J1149,$J$2:$J$1401,1)</x:f>
        <x:v>1291</x:v>
      </x:c>
      <x:c r="L1149" s="23" t="n">
        <x:f>IF(K1149&lt;=7,1,0)</x:f>
        <x:v>0</x:v>
      </x:c>
      <x:c r="M1149" s="23" t="n">
        <x:f>IF(L1149=1,1/(J1149+0.000001),0)</x:f>
        <x:v>0</x:v>
      </x:c>
      <x:c r="N1149" s="23" t="n">
        <x:v>2.2506469445284267</x:v>
      </x:c>
      <x:c r="O1149" s="23" t="n">
        <x:f>M1149</x:f>
        <x:v>0</x:v>
      </x:c>
      <x:c r="P1149" s="23" t="n">
        <x:v>6.918491207029092</x:v>
      </x:c>
      <x:c r="Q1149" s="23" t="n">
        <x:v>-19.678372177338815</x:v>
      </x:c>
    </x:row>
    <x:row r="1150">
      <x:c r="A1150" s="23" t="str">
        <x:v>Switching</x:v>
      </x:c>
      <x:c r="B1150" s="23" t="n">
        <x:v>1003.2991727814078</x:v>
      </x:c>
      <x:c r="C1150" s="23" t="n">
        <x:v>777.5980648002587</x:v>
      </x:c>
      <x:c r="D1150" s="23" t="n">
        <x:v>640.6189741566777</x:v>
      </x:c>
      <x:c r="E1150" s="23" t="n">
        <x:v>231.49083320284262</x:v>
      </x:c>
      <x:c r="F1150" s="23" t="n">
        <x:v>15.757548024877906</x:v>
      </x:c>
      <x:c r="G1150" s="23" t="n">
        <x:v>0.7957896532234736</x:v>
      </x:c>
      <x:c r="H1150" s="23" t="n">
        <x:v>12965</x:v>
      </x:c>
      <x:c r="I1150" s="23" t="n">
        <x:v>1200</x:v>
      </x:c>
      <x:c r="J1150" s="23" t="n">
        <x:f>(IF(A1150='Hybrid Calculator'!$B$6,0,1))^2+((B1150-'Hybrid Calculator'!$B$7)/1500)^2+((C1150-'Hybrid Calculator'!$B$8)/1300)^2+((D1150-'Hybrid Calculator'!$B$9)/800)^2+((E1150-'Hybrid Calculator'!$B$10)/350)^2+((F1150-'Hybrid Calculator'!$B$11)/30)^2+(G1150-'Hybrid Calculator'!$B$12)^2+((H1150-'Hybrid Calculator'!$E$14)/IF(A1150="Lightning",100,30000))^2+((I1150-'Hybrid Calculator'!$E$17)/IF(A1150="Lightning",100,30000))^2</x:f>
        <x:v>1.363051845113351</x:v>
      </x:c>
      <x:c r="K1150" s="23" t="n">
        <x:f>RANK(J1150,$J$2:$J$1401,1)</x:f>
        <x:v>863</x:v>
      </x:c>
      <x:c r="L1150" s="23" t="n">
        <x:f>IF(K1150&lt;=7,1,0)</x:f>
        <x:v>0</x:v>
      </x:c>
      <x:c r="M1150" s="23" t="n">
        <x:f>IF(L1150=1,1/(J1150+0.000001),0)</x:f>
        <x:v>0</x:v>
      </x:c>
      <x:c r="N1150" s="23" t="n">
        <x:v>3.9277629283479882</x:v>
      </x:c>
      <x:c r="O1150" s="23" t="n">
        <x:f>M1150</x:f>
        <x:v>0</x:v>
      </x:c>
      <x:c r="P1150" s="23" t="n">
        <x:v>-35.28936203129797</x:v>
      </x:c>
      <x:c r="Q1150" s="23" t="n">
        <x:v>4.673052721442787</x:v>
      </x:c>
    </x:row>
    <x:row r="1151">
      <x:c r="A1151" s="23" t="str">
        <x:v>Switching</x:v>
      </x:c>
      <x:c r="B1151" s="23" t="n">
        <x:v>1065.2713943854906</x:v>
      </x:c>
      <x:c r="C1151" s="23" t="n">
        <x:v>1046.982053318061</x:v>
      </x:c>
      <x:c r="D1151" s="23" t="n">
        <x:v>476.6113401390612</x:v>
      </x:c>
      <x:c r="E1151" s="23" t="n">
        <x:v>227.10760000161827</x:v>
      </x:c>
      <x:c r="F1151" s="23" t="n">
        <x:v>15.648052443284541</x:v>
      </x:c>
      <x:c r="G1151" s="23" t="n">
        <x:v>0.833548443284817</x:v>
      </x:c>
      <x:c r="H1151" s="23" t="n">
        <x:v>12215</x:v>
      </x:c>
      <x:c r="I1151" s="23" t="n">
        <x:v>1200</x:v>
      </x:c>
      <x:c r="J1151" s="23" t="n">
        <x:f>(IF(A1151='Hybrid Calculator'!$B$6,0,1))^2+((B1151-'Hybrid Calculator'!$B$7)/1500)^2+((C1151-'Hybrid Calculator'!$B$8)/1300)^2+((D1151-'Hybrid Calculator'!$B$9)/800)^2+((E1151-'Hybrid Calculator'!$B$10)/350)^2+((F1151-'Hybrid Calculator'!$B$11)/30)^2+(G1151-'Hybrid Calculator'!$B$12)^2+((H1151-'Hybrid Calculator'!$E$14)/IF(A1151="Lightning",100,30000))^2+((I1151-'Hybrid Calculator'!$E$17)/IF(A1151="Lightning",100,30000))^2</x:f>
        <x:v>1.305048181401408</x:v>
      </x:c>
      <x:c r="K1151" s="23" t="n">
        <x:f>RANK(J1151,$J$2:$J$1401,1)</x:f>
        <x:v>740</x:v>
      </x:c>
      <x:c r="L1151" s="23" t="n">
        <x:f>IF(K1151&lt;=7,1,0)</x:f>
        <x:v>0</x:v>
      </x:c>
      <x:c r="M1151" s="23" t="n">
        <x:f>IF(L1151=1,1/(J1151+0.000001),0)</x:f>
        <x:v>0</x:v>
      </x:c>
      <x:c r="N1151" s="23" t="n">
        <x:v>1.9186227451075695</x:v>
      </x:c>
      <x:c r="O1151" s="23" t="n">
        <x:f>M1151</x:f>
        <x:v>0</x:v>
      </x:c>
      <x:c r="P1151" s="23" t="n">
        <x:v>-25.19988246237699</x:v>
      </x:c>
      <x:c r="Q1151" s="23" t="n">
        <x:v>0.20772481813992272</x:v>
      </x:c>
    </x:row>
    <x:row r="1152">
      <x:c r="A1152" s="23" t="str">
        <x:v>Switching</x:v>
      </x:c>
      <x:c r="B1152" s="23" t="n">
        <x:v>1017.2170168487355</x:v>
      </x:c>
      <x:c r="C1152" s="23" t="n">
        <x:v>774.9814620823599</x:v>
      </x:c>
      <x:c r="D1152" s="23" t="n">
        <x:v>394.07189078629017</x:v>
      </x:c>
      <x:c r="E1152" s="23" t="n">
        <x:v>116.52389923809096</x:v>
      </x:c>
      <x:c r="F1152" s="23" t="n">
        <x:v>8.210872338153422</x:v>
      </x:c>
      <x:c r="G1152" s="23" t="n">
        <x:v>0.8519568734499626</x:v>
      </x:c>
      <x:c r="H1152" s="23" t="n">
        <x:v>19410</x:v>
      </x:c>
      <x:c r="I1152" s="23" t="n">
        <x:v>1200</x:v>
      </x:c>
      <x:c r="J1152" s="23" t="n">
        <x:f>(IF(A1152='Hybrid Calculator'!$B$6,0,1))^2+((B1152-'Hybrid Calculator'!$B$7)/1500)^2+((C1152-'Hybrid Calculator'!$B$8)/1300)^2+((D1152-'Hybrid Calculator'!$B$9)/800)^2+((E1152-'Hybrid Calculator'!$B$10)/350)^2+((F1152-'Hybrid Calculator'!$B$11)/30)^2+(G1152-'Hybrid Calculator'!$B$12)^2+((H1152-'Hybrid Calculator'!$E$14)/IF(A1152="Lightning",100,30000))^2+((I1152-'Hybrid Calculator'!$E$17)/IF(A1152="Lightning",100,30000))^2</x:f>
        <x:v>1.640555400116313</x:v>
      </x:c>
      <x:c r="K1152" s="23" t="n">
        <x:f>RANK(J1152,$J$2:$J$1401,1)</x:f>
        <x:v>1374</x:v>
      </x:c>
      <x:c r="L1152" s="23" t="n">
        <x:f>IF(K1152&lt;=7,1,0)</x:f>
        <x:v>0</x:v>
      </x:c>
      <x:c r="M1152" s="23" t="n">
        <x:f>IF(L1152=1,1/(J1152+0.000001),0)</x:f>
        <x:v>0</x:v>
      </x:c>
      <x:c r="N1152" s="23" t="n">
        <x:v>-1.3051721575034207</x:v>
      </x:c>
      <x:c r="O1152" s="23" t="n">
        <x:f>M1152</x:f>
        <x:v>0</x:v>
      </x:c>
      <x:c r="P1152" s="23" t="n">
        <x:v>21.401194586964266</x:v>
      </x:c>
      <x:c r="Q1152" s="23" t="n">
        <x:v>18.167370506387897</x:v>
      </x:c>
    </x:row>
    <x:row r="1153">
      <x:c r="A1153" s="23" t="str">
        <x:v>Switching</x:v>
      </x:c>
      <x:c r="B1153" s="23" t="n">
        <x:v>1001.0563230491243</x:v>
      </x:c>
      <x:c r="C1153" s="23" t="n">
        <x:v>1083.3120049443096</x:v>
      </x:c>
      <x:c r="D1153" s="23" t="n">
        <x:v>484.4456057064235</x:v>
      </x:c>
      <x:c r="E1153" s="23" t="n">
        <x:v>183.91604609321803</x:v>
      </x:c>
      <x:c r="F1153" s="23" t="n">
        <x:v>22.57634701160714</x:v>
      </x:c>
      <x:c r="G1153" s="23" t="n">
        <x:v>0.8574640615656972</x:v>
      </x:c>
      <x:c r="H1153" s="23" t="n">
        <x:v>14245</x:v>
      </x:c>
      <x:c r="I1153" s="23" t="n">
        <x:v>1200</x:v>
      </x:c>
      <x:c r="J1153" s="23" t="n">
        <x:f>(IF(A1153='Hybrid Calculator'!$B$6,0,1))^2+((B1153-'Hybrid Calculator'!$B$7)/1500)^2+((C1153-'Hybrid Calculator'!$B$8)/1300)^2+((D1153-'Hybrid Calculator'!$B$9)/800)^2+((E1153-'Hybrid Calculator'!$B$10)/350)^2+((F1153-'Hybrid Calculator'!$B$11)/30)^2+(G1153-'Hybrid Calculator'!$B$12)^2+((H1153-'Hybrid Calculator'!$E$14)/IF(A1153="Lightning",100,30000))^2+((I1153-'Hybrid Calculator'!$E$17)/IF(A1153="Lightning",100,30000))^2</x:f>
        <x:v>1.3671443684438673</x:v>
      </x:c>
      <x:c r="K1153" s="23" t="n">
        <x:f>RANK(J1153,$J$2:$J$1401,1)</x:f>
        <x:v>874</x:v>
      </x:c>
      <x:c r="L1153" s="23" t="n">
        <x:f>IF(K1153&lt;=7,1,0)</x:f>
        <x:v>0</x:v>
      </x:c>
      <x:c r="M1153" s="23" t="n">
        <x:f>IF(L1153=1,1/(J1153+0.000001),0)</x:f>
        <x:v>0</x:v>
      </x:c>
      <x:c r="N1153" s="23" t="n">
        <x:v>-1.0391477613409847</x:v>
      </x:c>
      <x:c r="O1153" s="23" t="n">
        <x:f>M1153</x:f>
        <x:v>0</x:v>
      </x:c>
      <x:c r="P1153" s="23" t="n">
        <x:v>-23.442833564857665</x:v>
      </x:c>
      <x:c r="Q1153" s="23" t="n">
        <x:v>-5.2453166157010855</x:v>
      </x:c>
    </x:row>
    <x:row r="1154">
      <x:c r="A1154" s="23" t="str">
        <x:v>Switching</x:v>
      </x:c>
      <x:c r="B1154" s="23" t="n">
        <x:v>1004.2152976151556</x:v>
      </x:c>
      <x:c r="C1154" s="23" t="n">
        <x:v>832.58327197982</x:v>
      </x:c>
      <x:c r="D1154" s="23" t="n">
        <x:v>457.2223952040076</x:v>
      </x:c>
      <x:c r="E1154" s="23" t="n">
        <x:v>112.37758745672181</x:v>
      </x:c>
      <x:c r="F1154" s="23" t="n">
        <x:v>17.924498591572046</x:v>
      </x:c>
      <x:c r="G1154" s="23" t="n">
        <x:v>0.7938551922910847</x:v>
      </x:c>
      <x:c r="H1154" s="23" t="n">
        <x:v>15250</x:v>
      </x:c>
      <x:c r="I1154" s="23" t="n">
        <x:v>1200</x:v>
      </x:c>
      <x:c r="J1154" s="23" t="n">
        <x:f>(IF(A1154='Hybrid Calculator'!$B$6,0,1))^2+((B1154-'Hybrid Calculator'!$B$7)/1500)^2+((C1154-'Hybrid Calculator'!$B$8)/1300)^2+((D1154-'Hybrid Calculator'!$B$9)/800)^2+((E1154-'Hybrid Calculator'!$B$10)/350)^2+((F1154-'Hybrid Calculator'!$B$11)/30)^2+(G1154-'Hybrid Calculator'!$B$12)^2+((H1154-'Hybrid Calculator'!$E$14)/IF(A1154="Lightning",100,30000))^2+((I1154-'Hybrid Calculator'!$E$17)/IF(A1154="Lightning",100,30000))^2</x:f>
        <x:v>1.352583329760477</x:v>
      </x:c>
      <x:c r="K1154" s="23" t="n">
        <x:f>RANK(J1154,$J$2:$J$1401,1)</x:f>
        <x:v>837</x:v>
      </x:c>
      <x:c r="L1154" s="23" t="n">
        <x:f>IF(K1154&lt;=7,1,0)</x:f>
        <x:v>0</x:v>
      </x:c>
      <x:c r="M1154" s="23" t="n">
        <x:f>IF(L1154=1,1/(J1154+0.000001),0)</x:f>
        <x:v>0</x:v>
      </x:c>
      <x:c r="N1154" s="23" t="n">
        <x:v>-0.3466906369948788</x:v>
      </x:c>
      <x:c r="O1154" s="23" t="n">
        <x:f>M1154</x:f>
        <x:v>0</x:v>
      </x:c>
      <x:c r="P1154" s="23" t="n">
        <x:v>2.9862525069215735</x:v>
      </x:c>
      <x:c r="Q1154" s="23" t="n">
        <x:v>5.326487157051247</x:v>
      </x:c>
    </x:row>
    <x:row r="1155">
      <x:c r="A1155" s="23" t="str">
        <x:v>Switching</x:v>
      </x:c>
      <x:c r="B1155" s="23" t="n">
        <x:v>1079.0579958003946</x:v>
      </x:c>
      <x:c r="C1155" s="23" t="n">
        <x:v>798.7693399889395</x:v>
      </x:c>
      <x:c r="D1155" s="23" t="n">
        <x:v>466.3626288063824</x:v>
      </x:c>
      <x:c r="E1155" s="23" t="n">
        <x:v>204.46320801973343</x:v>
      </x:c>
      <x:c r="F1155" s="23" t="n">
        <x:v>23.870451519731432</x:v>
      </x:c>
      <x:c r="G1155" s="23" t="n">
        <x:v>0.8043480157060549</x:v>
      </x:c>
      <x:c r="H1155" s="23" t="n">
        <x:v>14550</x:v>
      </x:c>
      <x:c r="I1155" s="23" t="n">
        <x:v>1200</x:v>
      </x:c>
      <x:c r="J1155" s="23" t="n">
        <x:f>(IF(A1155='Hybrid Calculator'!$B$6,0,1))^2+((B1155-'Hybrid Calculator'!$B$7)/1500)^2+((C1155-'Hybrid Calculator'!$B$8)/1300)^2+((D1155-'Hybrid Calculator'!$B$9)/800)^2+((E1155-'Hybrid Calculator'!$B$10)/350)^2+((F1155-'Hybrid Calculator'!$B$11)/30)^2+(G1155-'Hybrid Calculator'!$B$12)^2+((H1155-'Hybrid Calculator'!$E$14)/IF(A1155="Lightning",100,30000))^2+((I1155-'Hybrid Calculator'!$E$17)/IF(A1155="Lightning",100,30000))^2</x:f>
        <x:v>1.3481609323958867</x:v>
      </x:c>
      <x:c r="K1155" s="23" t="n">
        <x:f>RANK(J1155,$J$2:$J$1401,1)</x:f>
        <x:v>828</x:v>
      </x:c>
      <x:c r="L1155" s="23" t="n">
        <x:f>IF(K1155&lt;=7,1,0)</x:f>
        <x:v>0</x:v>
      </x:c>
      <x:c r="M1155" s="23" t="n">
        <x:f>IF(L1155=1,1/(J1155+0.000001),0)</x:f>
        <x:v>0</x:v>
      </x:c>
      <x:c r="N1155" s="23" t="n">
        <x:v>-0.7535018944575995</x:v>
      </x:c>
      <x:c r="O1155" s="23" t="n">
        <x:f>M1155</x:f>
        <x:v>0</x:v>
      </x:c>
      <x:c r="P1155" s="23" t="n">
        <x:v>2.440836396954637</x:v>
      </x:c>
      <x:c r="Q1155" s="23" t="n">
        <x:v>-2.957148632278404</x:v>
      </x:c>
    </x:row>
    <x:row r="1156">
      <x:c r="A1156" s="23" t="str">
        <x:v>Switching</x:v>
      </x:c>
      <x:c r="B1156" s="23" t="n">
        <x:v>1031.3243897864595</x:v>
      </x:c>
      <x:c r="C1156" s="23" t="n">
        <x:v>883.0511772190221</x:v>
      </x:c>
      <x:c r="D1156" s="23" t="n">
        <x:v>697.2028769552708</x:v>
      </x:c>
      <x:c r="E1156" s="23" t="n">
        <x:v>306.9944757572375</x:v>
      </x:c>
      <x:c r="F1156" s="23" t="n">
        <x:v>11.412359192036092</x:v>
      </x:c>
      <x:c r="G1156" s="23" t="n">
        <x:v>0.7975651522516274</x:v>
      </x:c>
      <x:c r="H1156" s="23" t="n">
        <x:v>11330</x:v>
      </x:c>
      <x:c r="I1156" s="23" t="n">
        <x:v>1195</x:v>
      </x:c>
      <x:c r="J1156" s="23" t="n">
        <x:f>(IF(A1156='Hybrid Calculator'!$B$6,0,1))^2+((B1156-'Hybrid Calculator'!$B$7)/1500)^2+((C1156-'Hybrid Calculator'!$B$8)/1300)^2+((D1156-'Hybrid Calculator'!$B$9)/800)^2+((E1156-'Hybrid Calculator'!$B$10)/350)^2+((F1156-'Hybrid Calculator'!$B$11)/30)^2+(G1156-'Hybrid Calculator'!$B$12)^2+((H1156-'Hybrid Calculator'!$E$14)/IF(A1156="Lightning",100,30000))^2+((I1156-'Hybrid Calculator'!$E$17)/IF(A1156="Lightning",100,30000))^2</x:f>
        <x:v>1.5307093871766617</x:v>
      </x:c>
      <x:c r="K1156" s="23" t="n">
        <x:f>RANK(J1156,$J$2:$J$1401,1)</x:f>
        <x:v>1264</x:v>
      </x:c>
      <x:c r="L1156" s="23" t="n">
        <x:f>IF(K1156&lt;=7,1,0)</x:f>
        <x:v>0</x:v>
      </x:c>
      <x:c r="M1156" s="23" t="n">
        <x:f>IF(L1156=1,1/(J1156+0.000001),0)</x:f>
        <x:v>0</x:v>
      </x:c>
      <x:c r="N1156" s="23" t="n">
        <x:v>2.6023382092572547</x:v>
      </x:c>
      <x:c r="O1156" s="23" t="n">
        <x:f>M1156</x:f>
        <x:v>0</x:v>
      </x:c>
      <x:c r="P1156" s="23" t="n">
        <x:v>-33.43280869463115</x:v>
      </x:c>
      <x:c r="Q1156" s="23" t="n">
        <x:v>-5.800723037021044</x:v>
      </x:c>
    </x:row>
    <x:row r="1157">
      <x:c r="A1157" s="23" t="str">
        <x:v>Switching</x:v>
      </x:c>
      <x:c r="B1157" s="23" t="n">
        <x:v>982.3587056132965</x:v>
      </x:c>
      <x:c r="C1157" s="23" t="n">
        <x:v>859.4417290762067</x:v>
      </x:c>
      <x:c r="D1157" s="23" t="n">
        <x:v>594.636772479862</x:v>
      </x:c>
      <x:c r="E1157" s="23" t="n">
        <x:v>153.83701961953193</x:v>
      </x:c>
      <x:c r="F1157" s="23" t="n">
        <x:v>18.92072912445292</x:v>
      </x:c>
      <x:c r="G1157" s="23" t="n">
        <x:v>0.7958525580819696</x:v>
      </x:c>
      <x:c r="H1157" s="23" t="n">
        <x:v>13300</x:v>
      </x:c>
      <x:c r="I1157" s="23" t="n">
        <x:v>1200</x:v>
      </x:c>
      <x:c r="J1157" s="23" t="n">
        <x:f>(IF(A1157='Hybrid Calculator'!$B$6,0,1))^2+((B1157-'Hybrid Calculator'!$B$7)/1500)^2+((C1157-'Hybrid Calculator'!$B$8)/1300)^2+((D1157-'Hybrid Calculator'!$B$9)/800)^2+((E1157-'Hybrid Calculator'!$B$10)/350)^2+((F1157-'Hybrid Calculator'!$B$11)/30)^2+(G1157-'Hybrid Calculator'!$B$12)^2+((H1157-'Hybrid Calculator'!$E$14)/IF(A1157="Lightning",100,30000))^2+((I1157-'Hybrid Calculator'!$E$17)/IF(A1157="Lightning",100,30000))^2</x:f>
        <x:v>1.2986307071474312</x:v>
      </x:c>
      <x:c r="K1157" s="23" t="n">
        <x:f>RANK(J1157,$J$2:$J$1401,1)</x:f>
        <x:v>727</x:v>
      </x:c>
      <x:c r="L1157" s="23" t="n">
        <x:f>IF(K1157&lt;=7,1,0)</x:f>
        <x:v>0</x:v>
      </x:c>
      <x:c r="M1157" s="23" t="n">
        <x:f>IF(L1157=1,1/(J1157+0.000001),0)</x:f>
        <x:v>0</x:v>
      </x:c>
      <x:c r="N1157" s="23" t="n">
        <x:v>1.805130849718978</x:v>
      </x:c>
      <x:c r="O1157" s="23" t="n">
        <x:f>M1157</x:f>
        <x:v>0</x:v>
      </x:c>
      <x:c r="P1157" s="23" t="n">
        <x:v>-4.467138242144756</x:v>
      </x:c>
      <x:c r="Q1157" s="23" t="n">
        <x:v>-1.5011930226010008</x:v>
      </x:c>
    </x:row>
    <x:row r="1158">
      <x:c r="A1158" s="23" t="str">
        <x:v>Switching</x:v>
      </x:c>
      <x:c r="B1158" s="23" t="n">
        <x:v>1003.3823114819825</x:v>
      </x:c>
      <x:c r="C1158" s="23" t="n">
        <x:v>1152.1955521195196</x:v>
      </x:c>
      <x:c r="D1158" s="23" t="n">
        <x:v>691.4374927058816</x:v>
      </x:c>
      <x:c r="E1158" s="23" t="n">
        <x:v>165.60840418795124</x:v>
      </x:c>
      <x:c r="F1158" s="23" t="n">
        <x:v>20.143818961456418</x:v>
      </x:c>
      <x:c r="G1158" s="23" t="n">
        <x:v>0.8137055434216746</x:v>
      </x:c>
      <x:c r="H1158" s="23" t="n">
        <x:v>10645</x:v>
      </x:c>
      <x:c r="I1158" s="23" t="n">
        <x:v>1195</x:v>
      </x:c>
      <x:c r="J1158" s="23" t="n">
        <x:f>(IF(A1158='Hybrid Calculator'!$B$6,0,1))^2+((B1158-'Hybrid Calculator'!$B$7)/1500)^2+((C1158-'Hybrid Calculator'!$B$8)/1300)^2+((D1158-'Hybrid Calculator'!$B$9)/800)^2+((E1158-'Hybrid Calculator'!$B$10)/350)^2+((F1158-'Hybrid Calculator'!$B$11)/30)^2+(G1158-'Hybrid Calculator'!$B$12)^2+((H1158-'Hybrid Calculator'!$E$14)/IF(A1158="Lightning",100,30000))^2+((I1158-'Hybrid Calculator'!$E$17)/IF(A1158="Lightning",100,30000))^2</x:f>
        <x:v>1.321583312894871</x:v>
      </x:c>
      <x:c r="K1158" s="23" t="n">
        <x:f>RANK(J1158,$J$2:$J$1401,1)</x:f>
        <x:v>762</x:v>
      </x:c>
      <x:c r="L1158" s="23" t="n">
        <x:f>IF(K1158&lt;=7,1,0)</x:f>
        <x:v>0</x:v>
      </x:c>
      <x:c r="M1158" s="23" t="n">
        <x:f>IF(L1158=1,1/(J1158+0.000001),0)</x:f>
        <x:v>0</x:v>
      </x:c>
      <x:c r="N1158" s="23" t="n">
        <x:v>2.636858054470764</x:v>
      </x:c>
      <x:c r="O1158" s="23" t="n">
        <x:f>M1158</x:f>
        <x:v>0</x:v>
      </x:c>
      <x:c r="P1158" s="23" t="n">
        <x:v>28.36528648897638</x:v>
      </x:c>
      <x:c r="Q1158" s="23" t="n">
        <x:v>-12.931392962917243</x:v>
      </x:c>
    </x:row>
    <x:row r="1159">
      <x:c r="A1159" s="23" t="str">
        <x:v>Switching</x:v>
      </x:c>
      <x:c r="B1159" s="23" t="n">
        <x:v>997.6811468251981</x:v>
      </x:c>
      <x:c r="C1159" s="23" t="n">
        <x:v>1234.0941046597436</x:v>
      </x:c>
      <x:c r="D1159" s="23" t="n">
        <x:v>468.77104127779603</x:v>
      </x:c>
      <x:c r="E1159" s="23" t="n">
        <x:v>243.69382035918534</x:v>
      </x:c>
      <x:c r="F1159" s="23" t="n">
        <x:v>9.350832224357873</x:v>
      </x:c>
      <x:c r="G1159" s="23" t="n">
        <x:v>0.8256419149274007</x:v>
      </x:c>
      <x:c r="H1159" s="23" t="n">
        <x:v>10985</x:v>
      </x:c>
      <x:c r="I1159" s="23" t="n">
        <x:v>1195</x:v>
      </x:c>
      <x:c r="J1159" s="23" t="n">
        <x:f>(IF(A1159='Hybrid Calculator'!$B$6,0,1))^2+((B1159-'Hybrid Calculator'!$B$7)/1500)^2+((C1159-'Hybrid Calculator'!$B$8)/1300)^2+((D1159-'Hybrid Calculator'!$B$9)/800)^2+((E1159-'Hybrid Calculator'!$B$10)/350)^2+((F1159-'Hybrid Calculator'!$B$11)/30)^2+(G1159-'Hybrid Calculator'!$B$12)^2+((H1159-'Hybrid Calculator'!$E$14)/IF(A1159="Lightning",100,30000))^2+((I1159-'Hybrid Calculator'!$E$17)/IF(A1159="Lightning",100,30000))^2</x:f>
        <x:v>1.4690574901196007</x:v>
      </x:c>
      <x:c r="K1159" s="23" t="n">
        <x:f>RANK(J1159,$J$2:$J$1401,1)</x:f>
        <x:v>1156</x:v>
      </x:c>
      <x:c r="L1159" s="23" t="n">
        <x:f>IF(K1159&lt;=7,1,0)</x:f>
        <x:v>0</x:v>
      </x:c>
      <x:c r="M1159" s="23" t="n">
        <x:f>IF(L1159=1,1/(J1159+0.000001),0)</x:f>
        <x:v>0</x:v>
      </x:c>
      <x:c r="N1159" s="23" t="n">
        <x:v>4.952860590349843</x:v>
      </x:c>
      <x:c r="O1159" s="23" t="n">
        <x:f>M1159</x:f>
        <x:v>0</x:v>
      </x:c>
      <x:c r="P1159" s="23" t="n">
        <x:v>-8.517402231228061</x:v>
      </x:c>
      <x:c r="Q1159" s="23" t="n">
        <x:v>-5.979364725997243</x:v>
      </x:c>
    </x:row>
    <x:row r="1160">
      <x:c r="A1160" s="23" t="str">
        <x:v>Switching</x:v>
      </x:c>
      <x:c r="B1160" s="23" t="n">
        <x:v>964.064978598617</x:v>
      </x:c>
      <x:c r="C1160" s="23" t="n">
        <x:v>1223.6189219751395</x:v>
      </x:c>
      <x:c r="D1160" s="23" t="n">
        <x:v>497.41221629083157</x:v>
      </x:c>
      <x:c r="E1160" s="23" t="n">
        <x:v>213.5929284687154</x:v>
      </x:c>
      <x:c r="F1160" s="23" t="n">
        <x:v>14.888321590609848</x:v>
      </x:c>
      <x:c r="G1160" s="23" t="n">
        <x:v>0.8049198803748004</x:v>
      </x:c>
      <x:c r="H1160" s="23" t="n">
        <x:v>12895</x:v>
      </x:c>
      <x:c r="I1160" s="23" t="n">
        <x:v>1200</x:v>
      </x:c>
      <x:c r="J1160" s="23" t="n">
        <x:f>(IF(A1160='Hybrid Calculator'!$B$6,0,1))^2+((B1160-'Hybrid Calculator'!$B$7)/1500)^2+((C1160-'Hybrid Calculator'!$B$8)/1300)^2+((D1160-'Hybrid Calculator'!$B$9)/800)^2+((E1160-'Hybrid Calculator'!$B$10)/350)^2+((F1160-'Hybrid Calculator'!$B$11)/30)^2+(G1160-'Hybrid Calculator'!$B$12)^2+((H1160-'Hybrid Calculator'!$E$14)/IF(A1160="Lightning",100,30000))^2+((I1160-'Hybrid Calculator'!$E$17)/IF(A1160="Lightning",100,30000))^2</x:f>
        <x:v>1.409630349930352</x:v>
      </x:c>
      <x:c r="K1160" s="23" t="n">
        <x:f>RANK(J1160,$J$2:$J$1401,1)</x:f>
        <x:v>1007</x:v>
      </x:c>
      <x:c r="L1160" s="23" t="n">
        <x:f>IF(K1160&lt;=7,1,0)</x:f>
        <x:v>0</x:v>
      </x:c>
      <x:c r="M1160" s="23" t="n">
        <x:f>IF(L1160=1,1/(J1160+0.000001),0)</x:f>
        <x:v>0</x:v>
      </x:c>
      <x:c r="N1160" s="23" t="n">
        <x:v>-0.3555747784079699</x:v>
      </x:c>
      <x:c r="O1160" s="23" t="n">
        <x:f>M1160</x:f>
        <x:v>0</x:v>
      </x:c>
      <x:c r="P1160" s="23" t="n">
        <x:v>32.29852066971944</x:v>
      </x:c>
      <x:c r="Q1160" s="23" t="n">
        <x:v>-6.565347752757702</x:v>
      </x:c>
    </x:row>
    <x:row r="1161">
      <x:c r="A1161" s="23" t="str">
        <x:v>Switching</x:v>
      </x:c>
      <x:c r="B1161" s="23" t="n">
        <x:v>985.9319904237054</x:v>
      </x:c>
      <x:c r="C1161" s="23" t="n">
        <x:v>954.337594890967</x:v>
      </x:c>
      <x:c r="D1161" s="23" t="n">
        <x:v>619.8954272083938</x:v>
      </x:c>
      <x:c r="E1161" s="23" t="n">
        <x:v>192.750775530003</x:v>
      </x:c>
      <x:c r="F1161" s="23" t="n">
        <x:v>11.841734289657325</x:v>
      </x:c>
      <x:c r="G1161" s="23" t="n">
        <x:v>0.840788141284138</x:v>
      </x:c>
      <x:c r="H1161" s="23" t="n">
        <x:v>14120</x:v>
      </x:c>
      <x:c r="I1161" s="23" t="n">
        <x:v>1200</x:v>
      </x:c>
      <x:c r="J1161" s="23" t="n">
        <x:f>(IF(A1161='Hybrid Calculator'!$B$6,0,1))^2+((B1161-'Hybrid Calculator'!$B$7)/1500)^2+((C1161-'Hybrid Calculator'!$B$8)/1300)^2+((D1161-'Hybrid Calculator'!$B$9)/800)^2+((E1161-'Hybrid Calculator'!$B$10)/350)^2+((F1161-'Hybrid Calculator'!$B$11)/30)^2+(G1161-'Hybrid Calculator'!$B$12)^2+((H1161-'Hybrid Calculator'!$E$14)/IF(A1161="Lightning",100,30000))^2+((I1161-'Hybrid Calculator'!$E$17)/IF(A1161="Lightning",100,30000))^2</x:f>
        <x:v>1.4006876678448328</x:v>
      </x:c>
      <x:c r="K1161" s="23" t="n">
        <x:f>RANK(J1161,$J$2:$J$1401,1)</x:f>
        <x:v>976</x:v>
      </x:c>
      <x:c r="L1161" s="23" t="n">
        <x:f>IF(K1161&lt;=7,1,0)</x:f>
        <x:v>0</x:v>
      </x:c>
      <x:c r="M1161" s="23" t="n">
        <x:f>IF(L1161=1,1/(J1161+0.000001),0)</x:f>
        <x:v>0</x:v>
      </x:c>
      <x:c r="N1161" s="23" t="n">
        <x:v>4.189241351796056</x:v>
      </x:c>
      <x:c r="O1161" s="23" t="n">
        <x:f>M1161</x:f>
        <x:v>0</x:v>
      </x:c>
      <x:c r="P1161" s="23" t="n">
        <x:v>-4.255329711528248</x:v>
      </x:c>
      <x:c r="Q1161" s="23" t="n">
        <x:v>-0.4740950799168786</x:v>
      </x:c>
    </x:row>
    <x:row r="1162">
      <x:c r="A1162" s="23" t="str">
        <x:v>Switching</x:v>
      </x:c>
      <x:c r="B1162" s="23" t="n">
        <x:v>1088.2303935009986</x:v>
      </x:c>
      <x:c r="C1162" s="23" t="n">
        <x:v>1168.3272644761018</x:v>
      </x:c>
      <x:c r="D1162" s="23" t="n">
        <x:v>376.6746250912547</x:v>
      </x:c>
      <x:c r="E1162" s="23" t="n">
        <x:v>251.7232561786659</x:v>
      </x:c>
      <x:c r="F1162" s="23" t="n">
        <x:v>26.656685262918472</x:v>
      </x:c>
      <x:c r="G1162" s="23" t="n">
        <x:v>0.8098251288221218</x:v>
      </x:c>
      <x:c r="H1162" s="23" t="n">
        <x:v>11905</x:v>
      </x:c>
      <x:c r="I1162" s="23" t="n">
        <x:v>1195</x:v>
      </x:c>
      <x:c r="J1162" s="23" t="n">
        <x:f>(IF(A1162='Hybrid Calculator'!$B$6,0,1))^2+((B1162-'Hybrid Calculator'!$B$7)/1500)^2+((C1162-'Hybrid Calculator'!$B$8)/1300)^2+((D1162-'Hybrid Calculator'!$B$9)/800)^2+((E1162-'Hybrid Calculator'!$B$10)/350)^2+((F1162-'Hybrid Calculator'!$B$11)/30)^2+(G1162-'Hybrid Calculator'!$B$12)^2+((H1162-'Hybrid Calculator'!$E$14)/IF(A1162="Lightning",100,30000))^2+((I1162-'Hybrid Calculator'!$E$17)/IF(A1162="Lightning",100,30000))^2</x:f>
        <x:v>1.4503058242902274</x:v>
      </x:c>
      <x:c r="K1162" s="23" t="n">
        <x:f>RANK(J1162,$J$2:$J$1401,1)</x:f>
        <x:v>1110</x:v>
      </x:c>
      <x:c r="L1162" s="23" t="n">
        <x:f>IF(K1162&lt;=7,1,0)</x:f>
        <x:v>0</x:v>
      </x:c>
      <x:c r="M1162" s="23" t="n">
        <x:f>IF(L1162=1,1/(J1162+0.000001),0)</x:f>
        <x:v>0</x:v>
      </x:c>
      <x:c r="N1162" s="23" t="n">
        <x:v>-0.0556399720890397</x:v>
      </x:c>
      <x:c r="O1162" s="23" t="n">
        <x:f>M1162</x:f>
        <x:v>0</x:v>
      </x:c>
      <x:c r="P1162" s="23" t="n">
        <x:v>67.24424506436799</x:v>
      </x:c>
      <x:c r="Q1162" s="23" t="n">
        <x:v>-13.089059056999758</x:v>
      </x:c>
    </x:row>
    <x:row r="1163">
      <x:c r="A1163" s="23" t="str">
        <x:v>Switching</x:v>
      </x:c>
      <x:c r="B1163" s="23" t="n">
        <x:v>978.3764102612622</x:v>
      </x:c>
      <x:c r="C1163" s="23" t="n">
        <x:v>945.3680680831894</x:v>
      </x:c>
      <x:c r="D1163" s="23" t="n">
        <x:v>526.5971404500306</x:v>
      </x:c>
      <x:c r="E1163" s="23" t="n">
        <x:v>111.02173516526818</x:v>
      </x:c>
      <x:c r="F1163" s="23" t="n">
        <x:v>9.121380588505417</x:v>
      </x:c>
      <x:c r="G1163" s="23" t="n">
        <x:v>0.8002377462154254</x:v>
      </x:c>
      <x:c r="H1163" s="23" t="n">
        <x:v>13510</x:v>
      </x:c>
      <x:c r="I1163" s="23" t="n">
        <x:v>1200</x:v>
      </x:c>
      <x:c r="J1163" s="23" t="n">
        <x:f>(IF(A1163='Hybrid Calculator'!$B$6,0,1))^2+((B1163-'Hybrid Calculator'!$B$7)/1500)^2+((C1163-'Hybrid Calculator'!$B$8)/1300)^2+((D1163-'Hybrid Calculator'!$B$9)/800)^2+((E1163-'Hybrid Calculator'!$B$10)/350)^2+((F1163-'Hybrid Calculator'!$B$11)/30)^2+(G1163-'Hybrid Calculator'!$B$12)^2+((H1163-'Hybrid Calculator'!$E$14)/IF(A1163="Lightning",100,30000))^2+((I1163-'Hybrid Calculator'!$E$17)/IF(A1163="Lightning",100,30000))^2</x:f>
        <x:v>1.4085020367691508</x:v>
      </x:c>
      <x:c r="K1163" s="23" t="n">
        <x:f>RANK(J1163,$J$2:$J$1401,1)</x:f>
        <x:v>999</x:v>
      </x:c>
      <x:c r="L1163" s="23" t="n">
        <x:f>IF(K1163&lt;=7,1,0)</x:f>
        <x:v>0</x:v>
      </x:c>
      <x:c r="M1163" s="23" t="n">
        <x:f>IF(L1163=1,1/(J1163+0.000001),0)</x:f>
        <x:v>0</x:v>
      </x:c>
      <x:c r="N1163" s="23" t="n">
        <x:v>3.638086214623911</x:v>
      </x:c>
      <x:c r="O1163" s="23" t="n">
        <x:f>M1163</x:f>
        <x:v>0</x:v>
      </x:c>
      <x:c r="P1163" s="23" t="n">
        <x:v>40.344053858307234</x:v>
      </x:c>
      <x:c r="Q1163" s="23" t="n">
        <x:v>6.799340710187039</x:v>
      </x:c>
    </x:row>
    <x:row r="1164">
      <x:c r="A1164" s="23" t="str">
        <x:v>Switching</x:v>
      </x:c>
      <x:c r="B1164" s="23" t="n">
        <x:v>951.8507796805352</x:v>
      </x:c>
      <x:c r="C1164" s="23" t="n">
        <x:v>619.3177346955054</x:v>
      </x:c>
      <x:c r="D1164" s="23" t="n">
        <x:v>445.86967285722494</x:v>
      </x:c>
      <x:c r="E1164" s="23" t="n">
        <x:v>306.0249134269543</x:v>
      </x:c>
      <x:c r="F1164" s="23" t="n">
        <x:v>23.667431499809027</x:v>
      </x:c>
      <x:c r="G1164" s="23" t="n">
        <x:v>0.8364886387088336</x:v>
      </x:c>
      <x:c r="H1164" s="23" t="n">
        <x:v>18195</x:v>
      </x:c>
      <x:c r="I1164" s="23" t="n">
        <x:v>1200</x:v>
      </x:c>
      <x:c r="J1164" s="23" t="n">
        <x:f>(IF(A1164='Hybrid Calculator'!$B$6,0,1))^2+((B1164-'Hybrid Calculator'!$B$7)/1500)^2+((C1164-'Hybrid Calculator'!$B$8)/1300)^2+((D1164-'Hybrid Calculator'!$B$9)/800)^2+((E1164-'Hybrid Calculator'!$B$10)/350)^2+((F1164-'Hybrid Calculator'!$B$11)/30)^2+(G1164-'Hybrid Calculator'!$B$12)^2+((H1164-'Hybrid Calculator'!$E$14)/IF(A1164="Lightning",100,30000))^2+((I1164-'Hybrid Calculator'!$E$17)/IF(A1164="Lightning",100,30000))^2</x:f>
        <x:v>1.7315871075587048</x:v>
      </x:c>
      <x:c r="K1164" s="23" t="n">
        <x:f>RANK(J1164,$J$2:$J$1401,1)</x:f>
        <x:v>1394</x:v>
      </x:c>
      <x:c r="L1164" s="23" t="n">
        <x:f>IF(K1164&lt;=7,1,0)</x:f>
        <x:v>0</x:v>
      </x:c>
      <x:c r="M1164" s="23" t="n">
        <x:f>IF(L1164=1,1/(J1164+0.000001),0)</x:f>
        <x:v>0</x:v>
      </x:c>
      <x:c r="N1164" s="23" t="n">
        <x:v>-3.746870031873385</x:v>
      </x:c>
      <x:c r="O1164" s="23" t="n">
        <x:f>M1164</x:f>
        <x:v>0</x:v>
      </x:c>
      <x:c r="P1164" s="23" t="n">
        <x:v>-50.942382456991254</x:v>
      </x:c>
      <x:c r="Q1164" s="23" t="n">
        <x:v>-2.0201779345578643</x:v>
      </x:c>
    </x:row>
    <x:row r="1165">
      <x:c r="A1165" s="23" t="str">
        <x:v>Switching</x:v>
      </x:c>
      <x:c r="B1165" s="23" t="n">
        <x:v>1054.6049002674408</x:v>
      </x:c>
      <x:c r="C1165" s="23" t="n">
        <x:v>847.120717423968</x:v>
      </x:c>
      <x:c r="D1165" s="23" t="n">
        <x:v>698.0703462846577</x:v>
      </x:c>
      <x:c r="E1165" s="23" t="n">
        <x:v>259.7354118898511</x:v>
      </x:c>
      <x:c r="F1165" s="23" t="n">
        <x:v>20.803379388991743</x:v>
      </x:c>
      <x:c r="G1165" s="23" t="n">
        <x:v>0.8481348628131673</x:v>
      </x:c>
      <x:c r="H1165" s="23" t="n">
        <x:v>11850</x:v>
      </x:c>
      <x:c r="I1165" s="23" t="n">
        <x:v>1195</x:v>
      </x:c>
      <x:c r="J1165" s="23" t="n">
        <x:f>(IF(A1165='Hybrid Calculator'!$B$6,0,1))^2+((B1165-'Hybrid Calculator'!$B$7)/1500)^2+((C1165-'Hybrid Calculator'!$B$8)/1300)^2+((D1165-'Hybrid Calculator'!$B$9)/800)^2+((E1165-'Hybrid Calculator'!$B$10)/350)^2+((F1165-'Hybrid Calculator'!$B$11)/30)^2+(G1165-'Hybrid Calculator'!$B$12)^2+((H1165-'Hybrid Calculator'!$E$14)/IF(A1165="Lightning",100,30000))^2+((I1165-'Hybrid Calculator'!$E$17)/IF(A1165="Lightning",100,30000))^2</x:f>
        <x:v>1.3834987952740239</x:v>
      </x:c>
      <x:c r="K1165" s="23" t="n">
        <x:f>RANK(J1165,$J$2:$J$1401,1)</x:f>
        <x:v>925</x:v>
      </x:c>
      <x:c r="L1165" s="23" t="n">
        <x:f>IF(K1165&lt;=7,1,0)</x:f>
        <x:v>0</x:v>
      </x:c>
      <x:c r="M1165" s="23" t="n">
        <x:f>IF(L1165=1,1/(J1165+0.000001),0)</x:f>
        <x:v>0</x:v>
      </x:c>
      <x:c r="N1165" s="23" t="n">
        <x:v>3.5203338976572525</x:v>
      </x:c>
      <x:c r="O1165" s="23" t="n">
        <x:f>M1165</x:f>
        <x:v>0</x:v>
      </x:c>
      <x:c r="P1165" s="23" t="n">
        <x:v>21.000091305948445</x:v>
      </x:c>
      <x:c r="Q1165" s="23" t="n">
        <x:v>0.011779736766584392</x:v>
      </x:c>
    </x:row>
    <x:row r="1166">
      <x:c r="A1166" s="23" t="str">
        <x:v>Switching</x:v>
      </x:c>
      <x:c r="B1166" s="23" t="n">
        <x:v>1003.9210498565808</x:v>
      </x:c>
      <x:c r="C1166" s="23" t="n">
        <x:v>690.665124647785</x:v>
      </x:c>
      <x:c r="D1166" s="23" t="n">
        <x:v>423.87602254748344</x:v>
      </x:c>
      <x:c r="E1166" s="23" t="n">
        <x:v>193.0362743861042</x:v>
      </x:c>
      <x:c r="F1166" s="23" t="n">
        <x:v>9.200278050266206</x:v>
      </x:c>
      <x:c r="G1166" s="23" t="n">
        <x:v>0.8282299105986022</x:v>
      </x:c>
      <x:c r="H1166" s="23" t="n">
        <x:v>16355</x:v>
      </x:c>
      <x:c r="I1166" s="23" t="n">
        <x:v>1200</x:v>
      </x:c>
      <x:c r="J1166" s="23" t="n">
        <x:f>(IF(A1166='Hybrid Calculator'!$B$6,0,1))^2+((B1166-'Hybrid Calculator'!$B$7)/1500)^2+((C1166-'Hybrid Calculator'!$B$8)/1300)^2+((D1166-'Hybrid Calculator'!$B$9)/800)^2+((E1166-'Hybrid Calculator'!$B$10)/350)^2+((F1166-'Hybrid Calculator'!$B$11)/30)^2+(G1166-'Hybrid Calculator'!$B$12)^2+((H1166-'Hybrid Calculator'!$E$14)/IF(A1166="Lightning",100,30000))^2+((I1166-'Hybrid Calculator'!$E$17)/IF(A1166="Lightning",100,30000))^2</x:f>
        <x:v>1.5110876614215851</x:v>
      </x:c>
      <x:c r="K1166" s="23" t="n">
        <x:f>RANK(J1166,$J$2:$J$1401,1)</x:f>
        <x:v>1230</x:v>
      </x:c>
      <x:c r="L1166" s="23" t="n">
        <x:f>IF(K1166&lt;=7,1,0)</x:f>
        <x:v>0</x:v>
      </x:c>
      <x:c r="M1166" s="23" t="n">
        <x:f>IF(L1166=1,1/(J1166+0.000001),0)</x:f>
        <x:v>0</x:v>
      </x:c>
      <x:c r="N1166" s="23" t="n">
        <x:v>0.29474031280676627</x:v>
      </x:c>
      <x:c r="O1166" s="23" t="n">
        <x:f>M1166</x:f>
        <x:v>0</x:v>
      </x:c>
      <x:c r="P1166" s="23" t="n">
        <x:v>-23.60358260687326</x:v>
      </x:c>
      <x:c r="Q1166" s="23" t="n">
        <x:v>17.76057353682313</x:v>
      </x:c>
    </x:row>
    <x:row r="1167">
      <x:c r="A1167" s="23" t="str">
        <x:v>Switching</x:v>
      </x:c>
      <x:c r="B1167" s="23" t="n">
        <x:v>1078.5320104914717</x:v>
      </x:c>
      <x:c r="C1167" s="23" t="n">
        <x:v>947.4185559898615</x:v>
      </x:c>
      <x:c r="D1167" s="23" t="n">
        <x:v>488.6788963340223</x:v>
      </x:c>
      <x:c r="E1167" s="23" t="n">
        <x:v>195.21723598707467</x:v>
      </x:c>
      <x:c r="F1167" s="23" t="n">
        <x:v>10.529857323970646</x:v>
      </x:c>
      <x:c r="G1167" s="23" t="n">
        <x:v>0.8471317015867681</x:v>
      </x:c>
      <x:c r="H1167" s="23" t="n">
        <x:v>13110</x:v>
      </x:c>
      <x:c r="I1167" s="23" t="n">
        <x:v>1200</x:v>
      </x:c>
      <x:c r="J1167" s="23" t="n">
        <x:f>(IF(A1167='Hybrid Calculator'!$B$6,0,1))^2+((B1167-'Hybrid Calculator'!$B$7)/1500)^2+((C1167-'Hybrid Calculator'!$B$8)/1300)^2+((D1167-'Hybrid Calculator'!$B$9)/800)^2+((E1167-'Hybrid Calculator'!$B$10)/350)^2+((F1167-'Hybrid Calculator'!$B$11)/30)^2+(G1167-'Hybrid Calculator'!$B$12)^2+((H1167-'Hybrid Calculator'!$E$14)/IF(A1167="Lightning",100,30000))^2+((I1167-'Hybrid Calculator'!$E$17)/IF(A1167="Lightning",100,30000))^2</x:f>
        <x:v>1.3382241816096614</x:v>
      </x:c>
      <x:c r="K1167" s="23" t="n">
        <x:f>RANK(J1167,$J$2:$J$1401,1)</x:f>
        <x:v>796</x:v>
      </x:c>
      <x:c r="L1167" s="23" t="n">
        <x:f>IF(K1167&lt;=7,1,0)</x:f>
        <x:v>0</x:v>
      </x:c>
      <x:c r="M1167" s="23" t="n">
        <x:f>IF(L1167=1,1/(J1167+0.000001),0)</x:f>
        <x:v>0</x:v>
      </x:c>
      <x:c r="N1167" s="23" t="n">
        <x:v>3.968094290105199</x:v>
      </x:c>
      <x:c r="O1167" s="23" t="n">
        <x:f>M1167</x:f>
        <x:v>0</x:v>
      </x:c>
      <x:c r="P1167" s="23" t="n">
        <x:v>-23.336049687929517</x:v>
      </x:c>
      <x:c r="Q1167" s="23" t="n">
        <x:v>10.984131344599064</x:v>
      </x:c>
    </x:row>
    <x:row r="1168">
      <x:c r="A1168" s="23" t="str">
        <x:v>Switching</x:v>
      </x:c>
      <x:c r="B1168" s="23" t="n">
        <x:v>1013.1912286393344</x:v>
      </x:c>
      <x:c r="C1168" s="23" t="n">
        <x:v>1099.4646977051161</x:v>
      </x:c>
      <x:c r="D1168" s="23" t="n">
        <x:v>460.39494816213846</x:v>
      </x:c>
      <x:c r="E1168" s="23" t="n">
        <x:v>108.44798291334882</x:v>
      </x:c>
      <x:c r="F1168" s="23" t="n">
        <x:v>24.524273494258523</x:v>
      </x:c>
      <x:c r="G1168" s="23" t="n">
        <x:v>0.8266912193153986</x:v>
      </x:c>
      <x:c r="H1168" s="23" t="n">
        <x:v>12820</x:v>
      </x:c>
      <x:c r="I1168" s="23" t="n">
        <x:v>1200</x:v>
      </x:c>
      <x:c r="J1168" s="23" t="n">
        <x:f>(IF(A1168='Hybrid Calculator'!$B$6,0,1))^2+((B1168-'Hybrid Calculator'!$B$7)/1500)^2+((C1168-'Hybrid Calculator'!$B$8)/1300)^2+((D1168-'Hybrid Calculator'!$B$9)/800)^2+((E1168-'Hybrid Calculator'!$B$10)/350)^2+((F1168-'Hybrid Calculator'!$B$11)/30)^2+(G1168-'Hybrid Calculator'!$B$12)^2+((H1168-'Hybrid Calculator'!$E$14)/IF(A1168="Lightning",100,30000))^2+((I1168-'Hybrid Calculator'!$E$17)/IF(A1168="Lightning",100,30000))^2</x:f>
        <x:v>1.3518363442299839</x:v>
      </x:c>
      <x:c r="K1168" s="23" t="n">
        <x:f>RANK(J1168,$J$2:$J$1401,1)</x:f>
        <x:v>835</x:v>
      </x:c>
      <x:c r="L1168" s="23" t="n">
        <x:f>IF(K1168&lt;=7,1,0)</x:f>
        <x:v>0</x:v>
      </x:c>
      <x:c r="M1168" s="23" t="n">
        <x:f>IF(L1168=1,1/(J1168+0.000001),0)</x:f>
        <x:v>0</x:v>
      </x:c>
      <x:c r="N1168" s="23" t="n">
        <x:v>-3.1305908140674887</x:v>
      </x:c>
      <x:c r="O1168" s="23" t="n">
        <x:f>M1168</x:f>
        <x:v>0</x:v>
      </x:c>
      <x:c r="P1168" s="23" t="n">
        <x:v>7.076497982619458</x:v>
      </x:c>
      <x:c r="Q1168" s="23" t="n">
        <x:v>-12.525273253604496</x:v>
      </x:c>
    </x:row>
    <x:row r="1169">
      <x:c r="A1169" s="23" t="str">
        <x:v>Switching</x:v>
      </x:c>
      <x:c r="B1169" s="23" t="n">
        <x:v>1015.0973429554142</x:v>
      </x:c>
      <x:c r="C1169" s="23" t="n">
        <x:v>990.8365792827681</x:v>
      </x:c>
      <x:c r="D1169" s="23" t="n">
        <x:v>571.8922042287886</x:v>
      </x:c>
      <x:c r="E1169" s="23" t="n">
        <x:v>89.7944459412247</x:v>
      </x:c>
      <x:c r="F1169" s="23" t="n">
        <x:v>22.00496330158785</x:v>
      </x:c>
      <x:c r="G1169" s="23" t="n">
        <x:v>0.8559688620129601</x:v>
      </x:c>
      <x:c r="H1169" s="23" t="n">
        <x:v>15100</x:v>
      </x:c>
      <x:c r="I1169" s="23" t="n">
        <x:v>1200</x:v>
      </x:c>
      <x:c r="J1169" s="23" t="n">
        <x:f>(IF(A1169='Hybrid Calculator'!$B$6,0,1))^2+((B1169-'Hybrid Calculator'!$B$7)/1500)^2+((C1169-'Hybrid Calculator'!$B$8)/1300)^2+((D1169-'Hybrid Calculator'!$B$9)/800)^2+((E1169-'Hybrid Calculator'!$B$10)/350)^2+((F1169-'Hybrid Calculator'!$B$11)/30)^2+(G1169-'Hybrid Calculator'!$B$12)^2+((H1169-'Hybrid Calculator'!$E$14)/IF(A1169="Lightning",100,30000))^2+((I1169-'Hybrid Calculator'!$E$17)/IF(A1169="Lightning",100,30000))^2</x:f>
        <x:v>1.3922244877340437</x:v>
      </x:c>
      <x:c r="K1169" s="23" t="n">
        <x:f>RANK(J1169,$J$2:$J$1401,1)</x:f>
        <x:v>955</x:v>
      </x:c>
      <x:c r="L1169" s="23" t="n">
        <x:f>IF(K1169&lt;=7,1,0)</x:f>
        <x:v>0</x:v>
      </x:c>
      <x:c r="M1169" s="23" t="n">
        <x:f>IF(L1169=1,1/(J1169+0.000001),0)</x:f>
        <x:v>0</x:v>
      </x:c>
      <x:c r="N1169" s="23" t="n">
        <x:v>-2.905521304651245</x:v>
      </x:c>
      <x:c r="O1169" s="23" t="n">
        <x:f>M1169</x:f>
        <x:v>0</x:v>
      </x:c>
      <x:c r="P1169" s="23" t="n">
        <x:v>20.2646710033805</x:v>
      </x:c>
      <x:c r="Q1169" s="23" t="n">
        <x:v>-8.089761738316952</x:v>
      </x:c>
    </x:row>
    <x:row r="1170">
      <x:c r="A1170" s="23" t="str">
        <x:v>Switching</x:v>
      </x:c>
      <x:c r="B1170" s="23" t="n">
        <x:v>1011.0648739850149</x:v>
      </x:c>
      <x:c r="C1170" s="23" t="n">
        <x:v>1227.3804453783669</x:v>
      </x:c>
      <x:c r="D1170" s="23" t="n">
        <x:v>712.6385282725096</x:v>
      </x:c>
      <x:c r="E1170" s="23" t="n">
        <x:v>199.18749258620664</x:v>
      </x:c>
      <x:c r="F1170" s="23" t="n">
        <x:v>18.570036296732724</x:v>
      </x:c>
      <x:c r="G1170" s="23" t="n">
        <x:v>0.8309191823075526</x:v>
      </x:c>
      <x:c r="H1170" s="23" t="n">
        <x:v>9995</x:v>
      </x:c>
      <x:c r="I1170" s="23" t="n">
        <x:v>1195</x:v>
      </x:c>
      <x:c r="J1170" s="23" t="n">
        <x:f>(IF(A1170='Hybrid Calculator'!$B$6,0,1))^2+((B1170-'Hybrid Calculator'!$B$7)/1500)^2+((C1170-'Hybrid Calculator'!$B$8)/1300)^2+((D1170-'Hybrid Calculator'!$B$9)/800)^2+((E1170-'Hybrid Calculator'!$B$10)/350)^2+((F1170-'Hybrid Calculator'!$B$11)/30)^2+(G1170-'Hybrid Calculator'!$B$12)^2+((H1170-'Hybrid Calculator'!$E$14)/IF(A1170="Lightning",100,30000))^2+((I1170-'Hybrid Calculator'!$E$17)/IF(A1170="Lightning",100,30000))^2</x:f>
        <x:v>1.362358822767887</x:v>
      </x:c>
      <x:c r="K1170" s="23" t="n">
        <x:f>RANK(J1170,$J$2:$J$1401,1)</x:f>
        <x:v>861</x:v>
      </x:c>
      <x:c r="L1170" s="23" t="n">
        <x:f>IF(K1170&lt;=7,1,0)</x:f>
        <x:v>0</x:v>
      </x:c>
      <x:c r="M1170" s="23" t="n">
        <x:f>IF(L1170=1,1/(J1170+0.000001),0)</x:f>
        <x:v>0</x:v>
      </x:c>
      <x:c r="N1170" s="23" t="n">
        <x:v>2.825001326001427</x:v>
      </x:c>
      <x:c r="O1170" s="23" t="n">
        <x:f>M1170</x:f>
        <x:v>0</x:v>
      </x:c>
      <x:c r="P1170" s="23" t="n">
        <x:v>37.91011978750794</x:v>
      </x:c>
      <x:c r="Q1170" s="23" t="n">
        <x:v>-10.226309654271745</x:v>
      </x:c>
    </x:row>
    <x:row r="1171">
      <x:c r="A1171" s="23" t="str">
        <x:v>Switching</x:v>
      </x:c>
      <x:c r="B1171" s="23" t="n">
        <x:v>1081.117965222802</x:v>
      </x:c>
      <x:c r="C1171" s="23" t="n">
        <x:v>888.0482819397002</x:v>
      </x:c>
      <x:c r="D1171" s="23" t="n">
        <x:v>546.8860688619316</x:v>
      </x:c>
      <x:c r="E1171" s="23" t="n">
        <x:v>253.87474735733122</x:v>
      </x:c>
      <x:c r="F1171" s="23" t="n">
        <x:v>23.21185203595087</x:v>
      </x:c>
      <x:c r="G1171" s="23" t="n">
        <x:v>0.819284298028797</x:v>
      </x:c>
      <x:c r="H1171" s="23" t="n">
        <x:v>12665</x:v>
      </x:c>
      <x:c r="I1171" s="23" t="n">
        <x:v>1200</x:v>
      </x:c>
      <x:c r="J1171" s="23" t="n">
        <x:f>(IF(A1171='Hybrid Calculator'!$B$6,0,1))^2+((B1171-'Hybrid Calculator'!$B$7)/1500)^2+((C1171-'Hybrid Calculator'!$B$8)/1300)^2+((D1171-'Hybrid Calculator'!$B$9)/800)^2+((E1171-'Hybrid Calculator'!$B$10)/350)^2+((F1171-'Hybrid Calculator'!$B$11)/30)^2+(G1171-'Hybrid Calculator'!$B$12)^2+((H1171-'Hybrid Calculator'!$E$14)/IF(A1171="Lightning",100,30000))^2+((I1171-'Hybrid Calculator'!$E$17)/IF(A1171="Lightning",100,30000))^2</x:f>
        <x:v>1.3479536826771932</x:v>
      </x:c>
      <x:c r="K1171" s="23" t="n">
        <x:f>RANK(J1171,$J$2:$J$1401,1)</x:f>
        <x:v>827</x:v>
      </x:c>
      <x:c r="L1171" s="23" t="n">
        <x:f>IF(K1171&lt;=7,1,0)</x:f>
        <x:v>0</x:v>
      </x:c>
      <x:c r="M1171" s="23" t="n">
        <x:f>IF(L1171=1,1/(J1171+0.000001),0)</x:f>
        <x:v>0</x:v>
      </x:c>
      <x:c r="N1171" s="23" t="n">
        <x:v>-0.7145106039232303</x:v>
      </x:c>
      <x:c r="O1171" s="23" t="n">
        <x:f>M1171</x:f>
        <x:v>0</x:v>
      </x:c>
      <x:c r="P1171" s="23" t="n">
        <x:v>-15.82992431645971</x:v>
      </x:c>
      <x:c r="Q1171" s="23" t="n">
        <x:v>-1.3297394618841736</x:v>
      </x:c>
    </x:row>
    <x:row r="1172">
      <x:c r="A1172" s="23" t="str">
        <x:v>Switching</x:v>
      </x:c>
      <x:c r="B1172" s="23" t="n">
        <x:v>985.5480099562556</x:v>
      </x:c>
      <x:c r="C1172" s="23" t="n">
        <x:v>975.6247395533137</x:v>
      </x:c>
      <x:c r="D1172" s="23" t="n">
        <x:v>733.4148688241839</x:v>
      </x:c>
      <x:c r="E1172" s="23" t="n">
        <x:v>160.5979774449952</x:v>
      </x:c>
      <x:c r="F1172" s="23" t="n">
        <x:v>21.853278897702694</x:v>
      </x:c>
      <x:c r="G1172" s="23" t="n">
        <x:v>0.8226158444792964</x:v>
      </x:c>
      <x:c r="H1172" s="23" t="n">
        <x:v>13345</x:v>
      </x:c>
      <x:c r="I1172" s="23" t="n">
        <x:v>1200</x:v>
      </x:c>
      <x:c r="J1172" s="23" t="n">
        <x:f>(IF(A1172='Hybrid Calculator'!$B$6,0,1))^2+((B1172-'Hybrid Calculator'!$B$7)/1500)^2+((C1172-'Hybrid Calculator'!$B$8)/1300)^2+((D1172-'Hybrid Calculator'!$B$9)/800)^2+((E1172-'Hybrid Calculator'!$B$10)/350)^2+((F1172-'Hybrid Calculator'!$B$11)/30)^2+(G1172-'Hybrid Calculator'!$B$12)^2+((H1172-'Hybrid Calculator'!$E$14)/IF(A1172="Lightning",100,30000))^2+((I1172-'Hybrid Calculator'!$E$17)/IF(A1172="Lightning",100,30000))^2</x:f>
        <x:v>1.3916456684231273</x:v>
      </x:c>
      <x:c r="K1172" s="23" t="n">
        <x:f>RANK(J1172,$J$2:$J$1401,1)</x:f>
        <x:v>952</x:v>
      </x:c>
      <x:c r="L1172" s="23" t="n">
        <x:f>IF(K1172&lt;=7,1,0)</x:f>
        <x:v>0</x:v>
      </x:c>
      <x:c r="M1172" s="23" t="n">
        <x:f>IF(L1172=1,1/(J1172+0.000001),0)</x:f>
        <x:v>0</x:v>
      </x:c>
      <x:c r="N1172" s="23" t="n">
        <x:v>-1.8911220524307168</x:v>
      </x:c>
      <x:c r="O1172" s="23" t="n">
        <x:f>M1172</x:f>
        <x:v>0</x:v>
      </x:c>
      <x:c r="P1172" s="23" t="n">
        <x:v>-21.79765279638832</x:v>
      </x:c>
      <x:c r="Q1172" s="23" t="n">
        <x:v>-9.610655947458326</x:v>
      </x:c>
    </x:row>
    <x:row r="1173">
      <x:c r="A1173" s="23" t="str">
        <x:v>Switching</x:v>
      </x:c>
      <x:c r="B1173" s="23" t="n">
        <x:v>1008.565437712241</x:v>
      </x:c>
      <x:c r="C1173" s="23" t="n">
        <x:v>689.3453765427694</x:v>
      </x:c>
      <x:c r="D1173" s="23" t="n">
        <x:v>575.436329562217</x:v>
      </x:c>
      <x:c r="E1173" s="23" t="n">
        <x:v>143.0573364906013</x:v>
      </x:c>
      <x:c r="F1173" s="23" t="n">
        <x:v>14.339432998094708</x:v>
      </x:c>
      <x:c r="G1173" s="23" t="n">
        <x:v>0.8024238831689582</x:v>
      </x:c>
      <x:c r="H1173" s="23" t="n">
        <x:v>15190</x:v>
      </x:c>
      <x:c r="I1173" s="23" t="n">
        <x:v>1200</x:v>
      </x:c>
      <x:c r="J1173" s="23" t="n">
        <x:f>(IF(A1173='Hybrid Calculator'!$B$6,0,1))^2+((B1173-'Hybrid Calculator'!$B$7)/1500)^2+((C1173-'Hybrid Calculator'!$B$8)/1300)^2+((D1173-'Hybrid Calculator'!$B$9)/800)^2+((E1173-'Hybrid Calculator'!$B$10)/350)^2+((F1173-'Hybrid Calculator'!$B$11)/30)^2+(G1173-'Hybrid Calculator'!$B$12)^2+((H1173-'Hybrid Calculator'!$E$14)/IF(A1173="Lightning",100,30000))^2+((I1173-'Hybrid Calculator'!$E$17)/IF(A1173="Lightning",100,30000))^2</x:f>
        <x:v>1.3773968654539508</x:v>
      </x:c>
      <x:c r="K1173" s="23" t="n">
        <x:f>RANK(J1173,$J$2:$J$1401,1)</x:f>
        <x:v>910</x:v>
      </x:c>
      <x:c r="L1173" s="23" t="n">
        <x:f>IF(K1173&lt;=7,1,0)</x:f>
        <x:v>0</x:v>
      </x:c>
      <x:c r="M1173" s="23" t="n">
        <x:f>IF(L1173=1,1/(J1173+0.000001),0)</x:f>
        <x:v>0</x:v>
      </x:c>
      <x:c r="N1173" s="23" t="n">
        <x:v>2.2057205885237465</x:v>
      </x:c>
      <x:c r="O1173" s="23" t="n">
        <x:f>M1173</x:f>
        <x:v>0</x:v>
      </x:c>
      <x:c r="P1173" s="23" t="n">
        <x:v>-27.568020091675862</x:v>
      </x:c>
      <x:c r="Q1173" s="23" t="n">
        <x:v>11.974047861895883</x:v>
      </x:c>
    </x:row>
    <x:row r="1174">
      <x:c r="A1174" s="23" t="str">
        <x:v>Switching</x:v>
      </x:c>
      <x:c r="B1174" s="23" t="n">
        <x:v>1024.6118395822123</x:v>
      </x:c>
      <x:c r="C1174" s="23" t="n">
        <x:v>849.9933704850264</x:v>
      </x:c>
      <x:c r="D1174" s="23" t="n">
        <x:v>422.8927820920944</x:v>
      </x:c>
      <x:c r="E1174" s="23" t="n">
        <x:v>300.33689537784085</x:v>
      </x:c>
      <x:c r="F1174" s="23" t="n">
        <x:v>15.02202984970063</x:v>
      </x:c>
      <x:c r="G1174" s="23" t="n">
        <x:v>0.8327288538194262</x:v>
      </x:c>
      <x:c r="H1174" s="23" t="n">
        <x:v>13595</x:v>
      </x:c>
      <x:c r="I1174" s="23" t="n">
        <x:v>1200</x:v>
      </x:c>
      <x:c r="J1174" s="23" t="n">
        <x:f>(IF(A1174='Hybrid Calculator'!$B$6,0,1))^2+((B1174-'Hybrid Calculator'!$B$7)/1500)^2+((C1174-'Hybrid Calculator'!$B$8)/1300)^2+((D1174-'Hybrid Calculator'!$B$9)/800)^2+((E1174-'Hybrid Calculator'!$B$10)/350)^2+((F1174-'Hybrid Calculator'!$B$11)/30)^2+(G1174-'Hybrid Calculator'!$B$12)^2+((H1174-'Hybrid Calculator'!$E$14)/IF(A1174="Lightning",100,30000))^2+((I1174-'Hybrid Calculator'!$E$17)/IF(A1174="Lightning",100,30000))^2</x:f>
        <x:v>1.4840271248470653</x:v>
      </x:c>
      <x:c r="K1174" s="23" t="n">
        <x:f>RANK(J1174,$J$2:$J$1401,1)</x:f>
        <x:v>1184</x:v>
      </x:c>
      <x:c r="L1174" s="23" t="n">
        <x:f>IF(K1174&lt;=7,1,0)</x:f>
        <x:v>0</x:v>
      </x:c>
      <x:c r="M1174" s="23" t="n">
        <x:f>IF(L1174=1,1/(J1174+0.000001),0)</x:f>
        <x:v>0</x:v>
      </x:c>
      <x:c r="N1174" s="23" t="n">
        <x:v>1.3418748901850108</x:v>
      </x:c>
      <x:c r="O1174" s="23" t="n">
        <x:f>M1174</x:f>
        <x:v>0</x:v>
      </x:c>
      <x:c r="P1174" s="23" t="n">
        <x:v>35.55966201736828</x:v>
      </x:c>
      <x:c r="Q1174" s="23" t="n">
        <x:v>4.133886913047036</x:v>
      </x:c>
    </x:row>
    <x:row r="1175">
      <x:c r="A1175" s="23" t="str">
        <x:v>Switching</x:v>
      </x:c>
      <x:c r="B1175" s="23" t="n">
        <x:v>1085.8903338084929</x:v>
      </x:c>
      <x:c r="C1175" s="23" t="n">
        <x:v>1004.2687025852501</x:v>
      </x:c>
      <x:c r="D1175" s="23" t="n">
        <x:v>605.7630128227174</x:v>
      </x:c>
      <x:c r="E1175" s="23" t="n">
        <x:v>94.59120179060847</x:v>
      </x:c>
      <x:c r="F1175" s="23" t="n">
        <x:v>28.167620507534593</x:v>
      </x:c>
      <x:c r="G1175" s="23" t="n">
        <x:v>0.8591052708867938</x:v>
      </x:c>
      <x:c r="H1175" s="23" t="n">
        <x:v>12545</x:v>
      </x:c>
      <x:c r="I1175" s="23" t="n">
        <x:v>1200</x:v>
      </x:c>
      <x:c r="J1175" s="23" t="n">
        <x:f>(IF(A1175='Hybrid Calculator'!$B$6,0,1))^2+((B1175-'Hybrid Calculator'!$B$7)/1500)^2+((C1175-'Hybrid Calculator'!$B$8)/1300)^2+((D1175-'Hybrid Calculator'!$B$9)/800)^2+((E1175-'Hybrid Calculator'!$B$10)/350)^2+((F1175-'Hybrid Calculator'!$B$11)/30)^2+(G1175-'Hybrid Calculator'!$B$12)^2+((H1175-'Hybrid Calculator'!$E$14)/IF(A1175="Lightning",100,30000))^2+((I1175-'Hybrid Calculator'!$E$17)/IF(A1175="Lightning",100,30000))^2</x:f>
        <x:v>1.3881145139202395</x:v>
      </x:c>
      <x:c r="K1175" s="23" t="n">
        <x:f>RANK(J1175,$J$2:$J$1401,1)</x:f>
        <x:v>942</x:v>
      </x:c>
      <x:c r="L1175" s="23" t="n">
        <x:f>IF(K1175&lt;=7,1,0)</x:f>
        <x:v>0</x:v>
      </x:c>
      <x:c r="M1175" s="23" t="n">
        <x:f>IF(L1175=1,1/(J1175+0.000001),0)</x:f>
        <x:v>0</x:v>
      </x:c>
      <x:c r="N1175" s="23" t="n">
        <x:v>-0.7176358589731819</x:v>
      </x:c>
      <x:c r="O1175" s="23" t="n">
        <x:f>M1175</x:f>
        <x:v>0</x:v>
      </x:c>
      <x:c r="P1175" s="23" t="n">
        <x:v>47.06571696777337</x:v>
      </x:c>
      <x:c r="Q1175" s="23" t="n">
        <x:v>-15.131723647988338</x:v>
      </x:c>
    </x:row>
    <x:row r="1176">
      <x:c r="A1176" s="23" t="str">
        <x:v>Switching</x:v>
      </x:c>
      <x:c r="B1176" s="23" t="n">
        <x:v>1080.5935131385922</x:v>
      </x:c>
      <x:c r="C1176" s="23" t="n">
        <x:v>1045.7579151145183</x:v>
      </x:c>
      <x:c r="D1176" s="23" t="n">
        <x:v>563.6001082137227</x:v>
      </x:c>
      <x:c r="E1176" s="23" t="n">
        <x:v>89.0947724529542</x:v>
      </x:c>
      <x:c r="F1176" s="23" t="n">
        <x:v>11.091813718900084</x:v>
      </x:c>
      <x:c r="G1176" s="23" t="n">
        <x:v>0.8295307422545739</x:v>
      </x:c>
      <x:c r="H1176" s="23" t="n">
        <x:v>12590</x:v>
      </x:c>
      <x:c r="I1176" s="23" t="n">
        <x:v>1200</x:v>
      </x:c>
      <x:c r="J1176" s="23" t="n">
        <x:f>(IF(A1176='Hybrid Calculator'!$B$6,0,1))^2+((B1176-'Hybrid Calculator'!$B$7)/1500)^2+((C1176-'Hybrid Calculator'!$B$8)/1300)^2+((D1176-'Hybrid Calculator'!$B$9)/800)^2+((E1176-'Hybrid Calculator'!$B$10)/350)^2+((F1176-'Hybrid Calculator'!$B$11)/30)^2+(G1176-'Hybrid Calculator'!$B$12)^2+((H1176-'Hybrid Calculator'!$E$14)/IF(A1176="Lightning",100,30000))^2+((I1176-'Hybrid Calculator'!$E$17)/IF(A1176="Lightning",100,30000))^2</x:f>
        <x:v>1.3493228592358846</x:v>
      </x:c>
      <x:c r="K1176" s="23" t="n">
        <x:f>RANK(J1176,$J$2:$J$1401,1)</x:f>
        <x:v>831</x:v>
      </x:c>
      <x:c r="L1176" s="23" t="n">
        <x:f>IF(K1176&lt;=7,1,0)</x:f>
        <x:v>0</x:v>
      </x:c>
      <x:c r="M1176" s="23" t="n">
        <x:f>IF(L1176=1,1/(J1176+0.000001),0)</x:f>
        <x:v>0</x:v>
      </x:c>
      <x:c r="N1176" s="23" t="n">
        <x:v>4.568527267394387</x:v>
      </x:c>
      <x:c r="O1176" s="23" t="n">
        <x:f>M1176</x:f>
        <x:v>0</x:v>
      </x:c>
      <x:c r="P1176" s="23" t="n">
        <x:v>45.22347127336525</x:v>
      </x:c>
      <x:c r="Q1176" s="23" t="n">
        <x:v>2.981601621362188</x:v>
      </x:c>
    </x:row>
    <x:row r="1177">
      <x:c r="A1177" s="23" t="str">
        <x:v>Switching</x:v>
      </x:c>
      <x:c r="B1177" s="23" t="n">
        <x:v>982.8756601200439</x:v>
      </x:c>
      <x:c r="C1177" s="23" t="n">
        <x:v>1222.1432186895981</x:v>
      </x:c>
      <x:c r="D1177" s="23" t="n">
        <x:v>500.48214504495263</x:v>
      </x:c>
      <x:c r="E1177" s="23" t="n">
        <x:v>196.81758682243526</x:v>
      </x:c>
      <x:c r="F1177" s="23" t="n">
        <x:v>17.03958943905309</x:v>
      </x:c>
      <x:c r="G1177" s="23" t="n">
        <x:v>0.8339235212327913</x:v>
      </x:c>
      <x:c r="H1177" s="23" t="n">
        <x:v>13000</x:v>
      </x:c>
      <x:c r="I1177" s="23" t="n">
        <x:v>1200</x:v>
      </x:c>
      <x:c r="J1177" s="23" t="n">
        <x:f>(IF(A1177='Hybrid Calculator'!$B$6,0,1))^2+((B1177-'Hybrid Calculator'!$B$7)/1500)^2+((C1177-'Hybrid Calculator'!$B$8)/1300)^2+((D1177-'Hybrid Calculator'!$B$9)/800)^2+((E1177-'Hybrid Calculator'!$B$10)/350)^2+((F1177-'Hybrid Calculator'!$B$11)/30)^2+(G1177-'Hybrid Calculator'!$B$12)^2+((H1177-'Hybrid Calculator'!$E$14)/IF(A1177="Lightning",100,30000))^2+((I1177-'Hybrid Calculator'!$E$17)/IF(A1177="Lightning",100,30000))^2</x:f>
        <x:v>1.3771514827280624</x:v>
      </x:c>
      <x:c r="K1177" s="23" t="n">
        <x:f>RANK(J1177,$J$2:$J$1401,1)</x:f>
        <x:v>909</x:v>
      </x:c>
      <x:c r="L1177" s="23" t="n">
        <x:f>IF(K1177&lt;=7,1,0)</x:f>
        <x:v>0</x:v>
      </x:c>
      <x:c r="M1177" s="23" t="n">
        <x:f>IF(L1177=1,1/(J1177+0.000001),0)</x:f>
        <x:v>0</x:v>
      </x:c>
      <x:c r="N1177" s="23" t="n">
        <x:v>2.1290576375143644</x:v>
      </x:c>
      <x:c r="O1177" s="23" t="n">
        <x:f>M1177</x:f>
        <x:v>0</x:v>
      </x:c>
      <x:c r="P1177" s="23" t="n">
        <x:v>23.15455848822694</x:v>
      </x:c>
      <x:c r="Q1177" s="23" t="n">
        <x:v>1.573837081032707</x:v>
      </x:c>
    </x:row>
    <x:row r="1178">
      <x:c r="A1178" s="23" t="str">
        <x:v>Switching</x:v>
      </x:c>
      <x:c r="B1178" s="23" t="n">
        <x:v>1005.0926097668707</x:v>
      </x:c>
      <x:c r="C1178" s="23" t="n">
        <x:v>1083.9570512413047</x:v>
      </x:c>
      <x:c r="D1178" s="23" t="n">
        <x:v>420.25330159813166</x:v>
      </x:c>
      <x:c r="E1178" s="23" t="n">
        <x:v>124.54363702097908</x:v>
      </x:c>
      <x:c r="F1178" s="23" t="n">
        <x:v>12.965781779959798</x:v>
      </x:c>
      <x:c r="G1178" s="23" t="n">
        <x:v>0.8189888549526222</x:v>
      </x:c>
      <x:c r="H1178" s="23" t="n">
        <x:v>13130</x:v>
      </x:c>
      <x:c r="I1178" s="23" t="n">
        <x:v>1200</x:v>
      </x:c>
      <x:c r="J1178" s="23" t="n">
        <x:f>(IF(A1178='Hybrid Calculator'!$B$6,0,1))^2+((B1178-'Hybrid Calculator'!$B$7)/1500)^2+((C1178-'Hybrid Calculator'!$B$8)/1300)^2+((D1178-'Hybrid Calculator'!$B$9)/800)^2+((E1178-'Hybrid Calculator'!$B$10)/350)^2+((F1178-'Hybrid Calculator'!$B$11)/30)^2+(G1178-'Hybrid Calculator'!$B$12)^2+((H1178-'Hybrid Calculator'!$E$14)/IF(A1178="Lightning",100,30000))^2+((I1178-'Hybrid Calculator'!$E$17)/IF(A1178="Lightning",100,30000))^2</x:f>
        <x:v>1.3516420084788634</x:v>
      </x:c>
      <x:c r="K1178" s="23" t="n">
        <x:f>RANK(J1178,$J$2:$J$1401,1)</x:f>
        <x:v>834</x:v>
      </x:c>
      <x:c r="L1178" s="23" t="n">
        <x:f>IF(K1178&lt;=7,1,0)</x:f>
        <x:v>0</x:v>
      </x:c>
      <x:c r="M1178" s="23" t="n">
        <x:f>IF(L1178=1,1/(J1178+0.000001),0)</x:f>
        <x:v>0</x:v>
      </x:c>
      <x:c r="N1178" s="23" t="n">
        <x:v>-0.7135999889237326</x:v>
      </x:c>
      <x:c r="O1178" s="23" t="n">
        <x:f>M1178</x:f>
        <x:v>0</x:v>
      </x:c>
      <x:c r="P1178" s="23" t="n">
        <x:v>15.10119978024386</x:v>
      </x:c>
      <x:c r="Q1178" s="23" t="n">
        <x:v>7.264277630345305</x:v>
      </x:c>
    </x:row>
    <x:row r="1179">
      <x:c r="A1179" s="23" t="str">
        <x:v>Switching</x:v>
      </x:c>
      <x:c r="B1179" s="23" t="n">
        <x:v>1037.0763342478313</x:v>
      </x:c>
      <x:c r="C1179" s="23" t="n">
        <x:v>1122.9209580691531</x:v>
      </x:c>
      <x:c r="D1179" s="23" t="n">
        <x:v>449.18414736166596</x:v>
      </x:c>
      <x:c r="E1179" s="23" t="n">
        <x:v>197.07147886045277</x:v>
      </x:c>
      <x:c r="F1179" s="23" t="n">
        <x:v>26.688312575686723</x:v>
      </x:c>
      <x:c r="G1179" s="23" t="n">
        <x:v>0.8049021738255396</x:v>
      </x:c>
      <x:c r="H1179" s="23" t="n">
        <x:v>12090</x:v>
      </x:c>
      <x:c r="I1179" s="23" t="n">
        <x:v>1200</x:v>
      </x:c>
      <x:c r="J1179" s="23" t="n">
        <x:f>(IF(A1179='Hybrid Calculator'!$B$6,0,1))^2+((B1179-'Hybrid Calculator'!$B$7)/1500)^2+((C1179-'Hybrid Calculator'!$B$8)/1300)^2+((D1179-'Hybrid Calculator'!$B$9)/800)^2+((E1179-'Hybrid Calculator'!$B$10)/350)^2+((F1179-'Hybrid Calculator'!$B$11)/30)^2+(G1179-'Hybrid Calculator'!$B$12)^2+((H1179-'Hybrid Calculator'!$E$14)/IF(A1179="Lightning",100,30000))^2+((I1179-'Hybrid Calculator'!$E$17)/IF(A1179="Lightning",100,30000))^2</x:f>
        <x:v>1.3704076067449296</x:v>
      </x:c>
      <x:c r="K1179" s="23" t="n">
        <x:f>RANK(J1179,$J$2:$J$1401,1)</x:f>
        <x:v>889</x:v>
      </x:c>
      <x:c r="L1179" s="23" t="n">
        <x:f>IF(K1179&lt;=7,1,0)</x:f>
        <x:v>0</x:v>
      </x:c>
      <x:c r="M1179" s="23" t="n">
        <x:f>IF(L1179=1,1/(J1179+0.000001),0)</x:f>
        <x:v>0</x:v>
      </x:c>
      <x:c r="N1179" s="23" t="n">
        <x:v>2.2311624144591633</x:v>
      </x:c>
      <x:c r="O1179" s="23" t="n">
        <x:f>M1179</x:f>
        <x:v>0</x:v>
      </x:c>
      <x:c r="P1179" s="23" t="n">
        <x:v>30.18255354425446</x:v>
      </x:c>
      <x:c r="Q1179" s="23" t="n">
        <x:v>-7.830592862377216</x:v>
      </x:c>
    </x:row>
    <x:row r="1180">
      <x:c r="A1180" s="23" t="str">
        <x:v>Switching</x:v>
      </x:c>
      <x:c r="B1180" s="23" t="n">
        <x:v>965.6564818462357</x:v>
      </x:c>
      <x:c r="C1180" s="23" t="n">
        <x:v>993.7063060351647</x:v>
      </x:c>
      <x:c r="D1180" s="23" t="n">
        <x:v>499.22914765775204</x:v>
      </x:c>
      <x:c r="E1180" s="23" t="n">
        <x:v>168.39513052953407</x:v>
      </x:c>
      <x:c r="F1180" s="23" t="n">
        <x:v>26.80222660023719</x:v>
      </x:c>
      <x:c r="G1180" s="23" t="n">
        <x:v>0.8581712665851229</x:v>
      </x:c>
      <x:c r="H1180" s="23" t="n">
        <x:v>15020</x:v>
      </x:c>
      <x:c r="I1180" s="23" t="n">
        <x:v>1200</x:v>
      </x:c>
      <x:c r="J1180" s="23" t="n">
        <x:f>(IF(A1180='Hybrid Calculator'!$B$6,0,1))^2+((B1180-'Hybrid Calculator'!$B$7)/1500)^2+((C1180-'Hybrid Calculator'!$B$8)/1300)^2+((D1180-'Hybrid Calculator'!$B$9)/800)^2+((E1180-'Hybrid Calculator'!$B$10)/350)^2+((F1180-'Hybrid Calculator'!$B$11)/30)^2+(G1180-'Hybrid Calculator'!$B$12)^2+((H1180-'Hybrid Calculator'!$E$14)/IF(A1180="Lightning",100,30000))^2+((I1180-'Hybrid Calculator'!$E$17)/IF(A1180="Lightning",100,30000))^2</x:f>
        <x:v>1.4373368444083956</x:v>
      </x:c>
      <x:c r="K1180" s="23" t="n">
        <x:f>RANK(J1180,$J$2:$J$1401,1)</x:f>
        <x:v>1077</x:v>
      </x:c>
      <x:c r="L1180" s="23" t="n">
        <x:f>IF(K1180&lt;=7,1,0)</x:f>
        <x:v>0</x:v>
      </x:c>
      <x:c r="M1180" s="23" t="n">
        <x:f>IF(L1180=1,1/(J1180+0.000001),0)</x:f>
        <x:v>0</x:v>
      </x:c>
      <x:c r="N1180" s="23" t="n">
        <x:v>1.365926568178736</x:v>
      </x:c>
      <x:c r="O1180" s="23" t="n">
        <x:f>M1180</x:f>
        <x:v>0</x:v>
      </x:c>
      <x:c r="P1180" s="23" t="n">
        <x:v>-31.542608139030108</x:v>
      </x:c>
      <x:c r="Q1180" s="23" t="n">
        <x:v>-13.37127768623725</x:v>
      </x:c>
    </x:row>
    <x:row r="1181">
      <x:c r="A1181" s="23" t="str">
        <x:v>Switching</x:v>
      </x:c>
      <x:c r="B1181" s="23" t="n">
        <x:v>982.9837967990898</x:v>
      </x:c>
      <x:c r="C1181" s="23" t="n">
        <x:v>1205.7012035045773</x:v>
      </x:c>
      <x:c r="D1181" s="23" t="n">
        <x:v>564.8970085196197</x:v>
      </x:c>
      <x:c r="E1181" s="23" t="n">
        <x:v>290.95831820275635</x:v>
      </x:c>
      <x:c r="F1181" s="23" t="n">
        <x:v>25.918862387072295</x:v>
      </x:c>
      <x:c r="G1181" s="23" t="n">
        <x:v>0.8205719810910523</x:v>
      </x:c>
      <x:c r="H1181" s="23" t="n">
        <x:v>12105</x:v>
      </x:c>
      <x:c r="I1181" s="23" t="n">
        <x:v>1200</x:v>
      </x:c>
      <x:c r="J1181" s="23" t="n">
        <x:f>(IF(A1181='Hybrid Calculator'!$B$6,0,1))^2+((B1181-'Hybrid Calculator'!$B$7)/1500)^2+((C1181-'Hybrid Calculator'!$B$8)/1300)^2+((D1181-'Hybrid Calculator'!$B$9)/800)^2+((E1181-'Hybrid Calculator'!$B$10)/350)^2+((F1181-'Hybrid Calculator'!$B$11)/30)^2+(G1181-'Hybrid Calculator'!$B$12)^2+((H1181-'Hybrid Calculator'!$E$14)/IF(A1181="Lightning",100,30000))^2+((I1181-'Hybrid Calculator'!$E$17)/IF(A1181="Lightning",100,30000))^2</x:f>
        <x:v>1.5546386973541133</x:v>
      </x:c>
      <x:c r="K1181" s="23" t="n">
        <x:f>RANK(J1181,$J$2:$J$1401,1)</x:f>
        <x:v>1308</x:v>
      </x:c>
      <x:c r="L1181" s="23" t="n">
        <x:f>IF(K1181&lt;=7,1,0)</x:f>
        <x:v>0</x:v>
      </x:c>
      <x:c r="M1181" s="23" t="n">
        <x:f>IF(L1181=1,1/(J1181+0.000001),0)</x:f>
        <x:v>0</x:v>
      </x:c>
      <x:c r="N1181" s="23" t="n">
        <x:v>-1.0453951735216265</x:v>
      </x:c>
      <x:c r="O1181" s="23" t="n">
        <x:f>M1181</x:f>
        <x:v>0</x:v>
      </x:c>
      <x:c r="P1181" s="23" t="n">
        <x:v>-9.353250612289685</x:v>
      </x:c>
      <x:c r="Q1181" s="23" t="n">
        <x:v>-18.724252253760596</x:v>
      </x:c>
    </x:row>
    <x:row r="1182">
      <x:c r="A1182" s="23" t="str">
        <x:v>Switching</x:v>
      </x:c>
      <x:c r="B1182" s="23" t="n">
        <x:v>1024.702162342146</x:v>
      </x:c>
      <x:c r="C1182" s="23" t="n">
        <x:v>1042.7919451030903</x:v>
      </x:c>
      <x:c r="D1182" s="23" t="n">
        <x:v>452.07194071263075</x:v>
      </x:c>
      <x:c r="E1182" s="23" t="n">
        <x:v>199.7136755217798</x:v>
      </x:c>
      <x:c r="F1182" s="23" t="n">
        <x:v>26.899309769272804</x:v>
      </x:c>
      <x:c r="G1182" s="23" t="n">
        <x:v>0.8115956179634668</x:v>
      </x:c>
      <x:c r="H1182" s="23" t="n">
        <x:v>12620</x:v>
      </x:c>
      <x:c r="I1182" s="23" t="n">
        <x:v>1200</x:v>
      </x:c>
      <x:c r="J1182" s="23" t="n">
        <x:f>(IF(A1182='Hybrid Calculator'!$B$6,0,1))^2+((B1182-'Hybrid Calculator'!$B$7)/1500)^2+((C1182-'Hybrid Calculator'!$B$8)/1300)^2+((D1182-'Hybrid Calculator'!$B$9)/800)^2+((E1182-'Hybrid Calculator'!$B$10)/350)^2+((F1182-'Hybrid Calculator'!$B$11)/30)^2+(G1182-'Hybrid Calculator'!$B$12)^2+((H1182-'Hybrid Calculator'!$E$14)/IF(A1182="Lightning",100,30000))^2+((I1182-'Hybrid Calculator'!$E$17)/IF(A1182="Lightning",100,30000))^2</x:f>
        <x:v>1.3725274750086642</x:v>
      </x:c>
      <x:c r="K1182" s="23" t="n">
        <x:f>RANK(J1182,$J$2:$J$1401,1)</x:f>
        <x:v>897</x:v>
      </x:c>
      <x:c r="L1182" s="23" t="n">
        <x:f>IF(K1182&lt;=7,1,0)</x:f>
        <x:v>0</x:v>
      </x:c>
      <x:c r="M1182" s="23" t="n">
        <x:f>IF(L1182=1,1/(J1182+0.000001),0)</x:f>
        <x:v>0</x:v>
      </x:c>
      <x:c r="N1182" s="23" t="n">
        <x:v>1.4079995065571609</x:v>
      </x:c>
      <x:c r="O1182" s="23" t="n">
        <x:f>M1182</x:f>
        <x:v>0</x:v>
      </x:c>
      <x:c r="P1182" s="23" t="n">
        <x:v>7.348054601622607</x:v>
      </x:c>
      <x:c r="Q1182" s="23" t="n">
        <x:v>-11.423423690900904</x:v>
      </x:c>
    </x:row>
    <x:row r="1183">
      <x:c r="A1183" s="23" t="str">
        <x:v>Switching</x:v>
      </x:c>
      <x:c r="B1183" s="23" t="n">
        <x:v>976.3561626081355</x:v>
      </x:c>
      <x:c r="C1183" s="23" t="n">
        <x:v>716.8938448419794</x:v>
      </x:c>
      <x:c r="D1183" s="23" t="n">
        <x:v>707.2490942664444</x:v>
      </x:c>
      <x:c r="E1183" s="23" t="n">
        <x:v>169.41315161064267</x:v>
      </x:c>
      <x:c r="F1183" s="23" t="n">
        <x:v>28.69774944195524</x:v>
      </x:c>
      <x:c r="G1183" s="23" t="n">
        <x:v>0.8364016189193353</x:v>
      </x:c>
      <x:c r="H1183" s="23" t="n">
        <x:v>15655</x:v>
      </x:c>
      <x:c r="I1183" s="23" t="n">
        <x:v>1200</x:v>
      </x:c>
      <x:c r="J1183" s="23" t="n">
        <x:f>(IF(A1183='Hybrid Calculator'!$B$6,0,1))^2+((B1183-'Hybrid Calculator'!$B$7)/1500)^2+((C1183-'Hybrid Calculator'!$B$8)/1300)^2+((D1183-'Hybrid Calculator'!$B$9)/800)^2+((E1183-'Hybrid Calculator'!$B$10)/350)^2+((F1183-'Hybrid Calculator'!$B$11)/30)^2+(G1183-'Hybrid Calculator'!$B$12)^2+((H1183-'Hybrid Calculator'!$E$14)/IF(A1183="Lightning",100,30000))^2+((I1183-'Hybrid Calculator'!$E$17)/IF(A1183="Lightning",100,30000))^2</x:f>
        <x:v>1.5580566121753838</x:v>
      </x:c>
      <x:c r="K1183" s="23" t="n">
        <x:f>RANK(J1183,$J$2:$J$1401,1)</x:f>
        <x:v>1314</x:v>
      </x:c>
      <x:c r="L1183" s="23" t="n">
        <x:f>IF(K1183&lt;=7,1,0)</x:f>
        <x:v>0</x:v>
      </x:c>
      <x:c r="M1183" s="23" t="n">
        <x:f>IF(L1183=1,1/(J1183+0.000001),0)</x:f>
        <x:v>0</x:v>
      </x:c>
      <x:c r="N1183" s="23" t="n">
        <x:v>-4.423549793968448</x:v>
      </x:c>
      <x:c r="O1183" s="23" t="n">
        <x:f>M1183</x:f>
        <x:v>0</x:v>
      </x:c>
      <x:c r="P1183" s="23" t="n">
        <x:v>-8.451651468506498</x:v>
      </x:c>
      <x:c r="Q1183" s="23" t="n">
        <x:v>-14.032788873863865</x:v>
      </x:c>
    </x:row>
    <x:row r="1184">
      <x:c r="A1184" s="23" t="str">
        <x:v>Switching</x:v>
      </x:c>
      <x:c r="B1184" s="23" t="n">
        <x:v>987.6144704641774</x:v>
      </x:c>
      <x:c r="C1184" s="23" t="n">
        <x:v>1084.7248504054733</x:v>
      </x:c>
      <x:c r="D1184" s="23" t="n">
        <x:v>494.6556016802788</x:v>
      </x:c>
      <x:c r="E1184" s="23" t="n">
        <x:v>179.88378448178992</x:v>
      </x:c>
      <x:c r="F1184" s="23" t="n">
        <x:v>18.153575922362506</x:v>
      </x:c>
      <x:c r="G1184" s="23" t="n">
        <x:v>0.7968589368066751</x:v>
      </x:c>
      <x:c r="H1184" s="23" t="n">
        <x:v>12155</x:v>
      </x:c>
      <x:c r="I1184" s="23" t="n">
        <x:v>1200</x:v>
      </x:c>
      <x:c r="J1184" s="23" t="n">
        <x:f>(IF(A1184='Hybrid Calculator'!$B$6,0,1))^2+((B1184-'Hybrid Calculator'!$B$7)/1500)^2+((C1184-'Hybrid Calculator'!$B$8)/1300)^2+((D1184-'Hybrid Calculator'!$B$9)/800)^2+((E1184-'Hybrid Calculator'!$B$10)/350)^2+((F1184-'Hybrid Calculator'!$B$11)/30)^2+(G1184-'Hybrid Calculator'!$B$12)^2+((H1184-'Hybrid Calculator'!$E$14)/IF(A1184="Lightning",100,30000))^2+((I1184-'Hybrid Calculator'!$E$17)/IF(A1184="Lightning",100,30000))^2</x:f>
        <x:v>1.2899758594979076</x:v>
      </x:c>
      <x:c r="K1184" s="23" t="n">
        <x:f>RANK(J1184,$J$2:$J$1401,1)</x:f>
        <x:v>717</x:v>
      </x:c>
      <x:c r="L1184" s="23" t="n">
        <x:f>IF(K1184&lt;=7,1,0)</x:f>
        <x:v>0</x:v>
      </x:c>
      <x:c r="M1184" s="23" t="n">
        <x:f>IF(L1184=1,1/(J1184+0.000001),0)</x:f>
        <x:v>0</x:v>
      </x:c>
      <x:c r="N1184" s="23" t="n">
        <x:v>0.45038554124940333</x:v>
      </x:c>
      <x:c r="O1184" s="23" t="n">
        <x:f>M1184</x:f>
        <x:v>0</x:v>
      </x:c>
      <x:c r="P1184" s="23" t="n">
        <x:v>10.301281282213495</x:v>
      </x:c>
      <x:c r="Q1184" s="23" t="n">
        <x:v>4.24610261229509</x:v>
      </x:c>
    </x:row>
    <x:row r="1185">
      <x:c r="A1185" s="23" t="str">
        <x:v>Switching</x:v>
      </x:c>
      <x:c r="B1185" s="23" t="n">
        <x:v>1081.9935495848767</x:v>
      </x:c>
      <x:c r="C1185" s="23" t="n">
        <x:v>1026.9761725328863</x:v>
      </x:c>
      <x:c r="D1185" s="23" t="n">
        <x:v>391.2489137612283</x:v>
      </x:c>
      <x:c r="E1185" s="23" t="n">
        <x:v>294.1284985700622</x:v>
      </x:c>
      <x:c r="F1185" s="23" t="n">
        <x:v>12.232740690466017</x:v>
      </x:c>
      <x:c r="G1185" s="23" t="n">
        <x:v>0.8151086606550962</x:v>
      </x:c>
      <x:c r="H1185" s="23" t="n">
        <x:v>12490</x:v>
      </x:c>
      <x:c r="I1185" s="23" t="n">
        <x:v>1200</x:v>
      </x:c>
      <x:c r="J1185" s="23" t="n">
        <x:f>(IF(A1185='Hybrid Calculator'!$B$6,0,1))^2+((B1185-'Hybrid Calculator'!$B$7)/1500)^2+((C1185-'Hybrid Calculator'!$B$8)/1300)^2+((D1185-'Hybrid Calculator'!$B$9)/800)^2+((E1185-'Hybrid Calculator'!$B$10)/350)^2+((F1185-'Hybrid Calculator'!$B$11)/30)^2+(G1185-'Hybrid Calculator'!$B$12)^2+((H1185-'Hybrid Calculator'!$E$14)/IF(A1185="Lightning",100,30000))^2+((I1185-'Hybrid Calculator'!$E$17)/IF(A1185="Lightning",100,30000))^2</x:f>
        <x:v>1.4760275890161423</x:v>
      </x:c>
      <x:c r="K1185" s="23" t="n">
        <x:f>RANK(J1185,$J$2:$J$1401,1)</x:f>
        <x:v>1170</x:v>
      </x:c>
      <x:c r="L1185" s="23" t="n">
        <x:f>IF(K1185&lt;=7,1,0)</x:f>
        <x:v>0</x:v>
      </x:c>
      <x:c r="M1185" s="23" t="n">
        <x:f>IF(L1185=1,1/(J1185+0.000001),0)</x:f>
        <x:v>0</x:v>
      </x:c>
      <x:c r="N1185" s="23" t="n">
        <x:v>0.6493063960703296</x:v>
      </x:c>
      <x:c r="O1185" s="23" t="n">
        <x:f>M1185</x:f>
        <x:v>0</x:v>
      </x:c>
      <x:c r="P1185" s="23" t="n">
        <x:v>50.768304250233996</x:v>
      </x:c>
      <x:c r="Q1185" s="23" t="n">
        <x:v>0.21058836645943302</x:v>
      </x:c>
    </x:row>
    <x:row r="1186">
      <x:c r="A1186" s="23" t="str">
        <x:v>Switching</x:v>
      </x:c>
      <x:c r="B1186" s="23" t="n">
        <x:v>1070.304298400879</x:v>
      </x:c>
      <x:c r="C1186" s="23" t="n">
        <x:v>1240.058981848415</x:v>
      </x:c>
      <x:c r="D1186" s="23" t="n">
        <x:v>430.12640941888094</x:v>
      </x:c>
      <x:c r="E1186" s="23" t="n">
        <x:v>146.2907199584879</x:v>
      </x:c>
      <x:c r="F1186" s="23" t="n">
        <x:v>18.529718784615397</x:v>
      </x:c>
      <x:c r="G1186" s="23" t="n">
        <x:v>0.8006700915587135</x:v>
      </x:c>
      <x:c r="H1186" s="23" t="n">
        <x:v>11775</x:v>
      </x:c>
      <x:c r="I1186" s="23" t="n">
        <x:v>1195</x:v>
      </x:c>
      <x:c r="J1186" s="23" t="n">
        <x:f>(IF(A1186='Hybrid Calculator'!$B$6,0,1))^2+((B1186-'Hybrid Calculator'!$B$7)/1500)^2+((C1186-'Hybrid Calculator'!$B$8)/1300)^2+((D1186-'Hybrid Calculator'!$B$9)/800)^2+((E1186-'Hybrid Calculator'!$B$10)/350)^2+((F1186-'Hybrid Calculator'!$B$11)/30)^2+(G1186-'Hybrid Calculator'!$B$12)^2+((H1186-'Hybrid Calculator'!$E$14)/IF(A1186="Lightning",100,30000))^2+((I1186-'Hybrid Calculator'!$E$17)/IF(A1186="Lightning",100,30000))^2</x:f>
        <x:v>1.3083296141123182</x:v>
      </x:c>
      <x:c r="K1186" s="23" t="n">
        <x:f>RANK(J1186,$J$2:$J$1401,1)</x:f>
        <x:v>746</x:v>
      </x:c>
      <x:c r="L1186" s="23" t="n">
        <x:f>IF(K1186&lt;=7,1,0)</x:f>
        <x:v>0</x:v>
      </x:c>
      <x:c r="M1186" s="23" t="n">
        <x:f>IF(L1186=1,1/(J1186+0.000001),0)</x:f>
        <x:v>0</x:v>
      </x:c>
      <x:c r="N1186" s="23" t="n">
        <x:v>1.7055538849788263</x:v>
      </x:c>
      <x:c r="O1186" s="23" t="n">
        <x:f>M1186</x:f>
        <x:v>0</x:v>
      </x:c>
      <x:c r="P1186" s="23" t="n">
        <x:v>26.560085522913596</x:v>
      </x:c>
      <x:c r="Q1186" s="23" t="n">
        <x:v>1.40136091861973</x:v>
      </x:c>
    </x:row>
    <x:row r="1187">
      <x:c r="A1187" s="23" t="str">
        <x:v>Switching</x:v>
      </x:c>
      <x:c r="B1187" s="23" t="n">
        <x:v>1094.4255730719306</x:v>
      </x:c>
      <x:c r="C1187" s="23" t="n">
        <x:v>1087.1869215974584</x:v>
      </x:c>
      <x:c r="D1187" s="23" t="n">
        <x:v>450.99457958713174</x:v>
      </x:c>
      <x:c r="E1187" s="23" t="n">
        <x:v>140.63403724692762</x:v>
      </x:c>
      <x:c r="F1187" s="23" t="n">
        <x:v>23.8281583157368</x:v>
      </x:c>
      <x:c r="G1187" s="23" t="n">
        <x:v>0.8104081729101017</x:v>
      </x:c>
      <x:c r="H1187" s="23" t="n">
        <x:v>12740</x:v>
      </x:c>
      <x:c r="I1187" s="23" t="n">
        <x:v>1200</x:v>
      </x:c>
      <x:c r="J1187" s="23" t="n">
        <x:f>(IF(A1187='Hybrid Calculator'!$B$6,0,1))^2+((B1187-'Hybrid Calculator'!$B$7)/1500)^2+((C1187-'Hybrid Calculator'!$B$8)/1300)^2+((D1187-'Hybrid Calculator'!$B$9)/800)^2+((E1187-'Hybrid Calculator'!$B$10)/350)^2+((F1187-'Hybrid Calculator'!$B$11)/30)^2+(G1187-'Hybrid Calculator'!$B$12)^2+((H1187-'Hybrid Calculator'!$E$14)/IF(A1187="Lightning",100,30000))^2+((I1187-'Hybrid Calculator'!$E$17)/IF(A1187="Lightning",100,30000))^2</x:f>
        <x:v>1.2984243369589885</x:v>
      </x:c>
      <x:c r="K1187" s="23" t="n">
        <x:f>RANK(J1187,$J$2:$J$1401,1)</x:f>
        <x:v>725</x:v>
      </x:c>
      <x:c r="L1187" s="23" t="n">
        <x:f>IF(K1187&lt;=7,1,0)</x:f>
        <x:v>0</x:v>
      </x:c>
      <x:c r="M1187" s="23" t="n">
        <x:f>IF(L1187=1,1/(J1187+0.000001),0)</x:f>
        <x:v>0</x:v>
      </x:c>
      <x:c r="N1187" s="23" t="n">
        <x:v>0.6512195253963853</x:v>
      </x:c>
      <x:c r="O1187" s="23" t="n">
        <x:f>M1187</x:f>
        <x:v>0</x:v>
      </x:c>
      <x:c r="P1187" s="23" t="n">
        <x:v>12.835775688181457</x:v>
      </x:c>
      <x:c r="Q1187" s="23" t="n">
        <x:v>-6.935270160865457</x:v>
      </x:c>
    </x:row>
    <x:row r="1188">
      <x:c r="A1188" s="23" t="str">
        <x:v>Switching</x:v>
      </x:c>
      <x:c r="B1188" s="23" t="n">
        <x:v>1039.469212363474</x:v>
      </x:c>
      <x:c r="C1188" s="23" t="n">
        <x:v>713.1845329538919</x:v>
      </x:c>
      <x:c r="D1188" s="23" t="n">
        <x:v>373.482621088624</x:v>
      </x:c>
      <x:c r="E1188" s="23" t="n">
        <x:v>270.1842068764381</x:v>
      </x:c>
      <x:c r="F1188" s="23" t="n">
        <x:v>23.485183679498732</x:v>
      </x:c>
      <x:c r="G1188" s="23" t="n">
        <x:v>0.842683314185124</x:v>
      </x:c>
      <x:c r="H1188" s="23" t="n">
        <x:v>15760</x:v>
      </x:c>
      <x:c r="I1188" s="23" t="n">
        <x:v>1200</x:v>
      </x:c>
      <x:c r="J1188" s="23" t="n">
        <x:f>(IF(A1188='Hybrid Calculator'!$B$6,0,1))^2+((B1188-'Hybrid Calculator'!$B$7)/1500)^2+((C1188-'Hybrid Calculator'!$B$8)/1300)^2+((D1188-'Hybrid Calculator'!$B$9)/800)^2+((E1188-'Hybrid Calculator'!$B$10)/350)^2+((F1188-'Hybrid Calculator'!$B$11)/30)^2+(G1188-'Hybrid Calculator'!$B$12)^2+((H1188-'Hybrid Calculator'!$E$14)/IF(A1188="Lightning",100,30000))^2+((I1188-'Hybrid Calculator'!$E$17)/IF(A1188="Lightning",100,30000))^2</x:f>
        <x:v>1.523946882182028</x:v>
      </x:c>
      <x:c r="K1188" s="23" t="n">
        <x:f>RANK(J1188,$J$2:$J$1401,1)</x:f>
        <x:v>1251</x:v>
      </x:c>
      <x:c r="L1188" s="23" t="n">
        <x:f>IF(K1188&lt;=7,1,0)</x:f>
        <x:v>0</x:v>
      </x:c>
      <x:c r="M1188" s="23" t="n">
        <x:f>IF(L1188=1,1/(J1188+0.000001),0)</x:f>
        <x:v>0</x:v>
      </x:c>
      <x:c r="N1188" s="23" t="n">
        <x:v>-5.310417243472358</x:v>
      </x:c>
      <x:c r="O1188" s="23" t="n">
        <x:f>M1188</x:f>
        <x:v>0</x:v>
      </x:c>
      <x:c r="P1188" s="23" t="n">
        <x:v>-58.188793452327445</x:v>
      </x:c>
      <x:c r="Q1188" s="23" t="n">
        <x:v>0.4708153911424233</x:v>
      </x:c>
    </x:row>
    <x:row r="1189">
      <x:c r="A1189" s="23" t="str">
        <x:v>Switching</x:v>
      </x:c>
      <x:c r="B1189" s="23" t="n">
        <x:v>1071.0861467174254</x:v>
      </x:c>
      <x:c r="C1189" s="23" t="n">
        <x:v>616.3584135007113</x:v>
      </x:c>
      <x:c r="D1189" s="23" t="n">
        <x:v>744.877817761153</x:v>
      </x:c>
      <x:c r="E1189" s="23" t="n">
        <x:v>138.77254519145936</x:v>
      </x:c>
      <x:c r="F1189" s="23" t="n">
        <x:v>23.822559024672955</x:v>
      </x:c>
      <x:c r="G1189" s="23" t="n">
        <x:v>0.8353537609428168</x:v>
      </x:c>
      <x:c r="H1189" s="23" t="n">
        <x:v>14255</x:v>
      </x:c>
      <x:c r="I1189" s="23" t="n">
        <x:v>1200</x:v>
      </x:c>
      <x:c r="J1189" s="23" t="n">
        <x:f>(IF(A1189='Hybrid Calculator'!$B$6,0,1))^2+((B1189-'Hybrid Calculator'!$B$7)/1500)^2+((C1189-'Hybrid Calculator'!$B$8)/1300)^2+((D1189-'Hybrid Calculator'!$B$9)/800)^2+((E1189-'Hybrid Calculator'!$B$10)/350)^2+((F1189-'Hybrid Calculator'!$B$11)/30)^2+(G1189-'Hybrid Calculator'!$B$12)^2+((H1189-'Hybrid Calculator'!$E$14)/IF(A1189="Lightning",100,30000))^2+((I1189-'Hybrid Calculator'!$E$17)/IF(A1189="Lightning",100,30000))^2</x:f>
        <x:v>1.440143672849238</x:v>
      </x:c>
      <x:c r="K1189" s="23" t="n">
        <x:f>RANK(J1189,$J$2:$J$1401,1)</x:f>
        <x:v>1085</x:v>
      </x:c>
      <x:c r="L1189" s="23" t="n">
        <x:f>IF(K1189&lt;=7,1,0)</x:f>
        <x:v>0</x:v>
      </x:c>
      <x:c r="M1189" s="23" t="n">
        <x:f>IF(L1189=1,1/(J1189+0.000001),0)</x:f>
        <x:v>0</x:v>
      </x:c>
      <x:c r="N1189" s="23" t="n">
        <x:v>-4.177026093673021</x:v>
      </x:c>
      <x:c r="O1189" s="23" t="n">
        <x:f>M1189</x:f>
        <x:v>0</x:v>
      </x:c>
      <x:c r="P1189" s="23" t="n">
        <x:v>-72.42059848693225</x:v>
      </x:c>
      <x:c r="Q1189" s="23" t="n">
        <x:v>3.21616908399983</x:v>
      </x:c>
    </x:row>
    <x:row r="1190">
      <x:c r="A1190" s="23" t="str">
        <x:v>Switching</x:v>
      </x:c>
      <x:c r="B1190" s="23" t="n">
        <x:v>950.2959176432341</x:v>
      </x:c>
      <x:c r="C1190" s="23" t="n">
        <x:v>1240.1429676334374</x:v>
      </x:c>
      <x:c r="D1190" s="23" t="n">
        <x:v>458.7041413411498</x:v>
      </x:c>
      <x:c r="E1190" s="23" t="n">
        <x:v>114.55816657515243</x:v>
      </x:c>
      <x:c r="F1190" s="23" t="n">
        <x:v>29.228723894804716</x:v>
      </x:c>
      <x:c r="G1190" s="23" t="n">
        <x:v>0.8117461211630144</x:v>
      </x:c>
      <x:c r="H1190" s="23" t="n">
        <x:v>13760</x:v>
      </x:c>
      <x:c r="I1190" s="23" t="n">
        <x:v>1200</x:v>
      </x:c>
      <x:c r="J1190" s="23" t="n">
        <x:f>(IF(A1190='Hybrid Calculator'!$B$6,0,1))^2+((B1190-'Hybrid Calculator'!$B$7)/1500)^2+((C1190-'Hybrid Calculator'!$B$8)/1300)^2+((D1190-'Hybrid Calculator'!$B$9)/800)^2+((E1190-'Hybrid Calculator'!$B$10)/350)^2+((F1190-'Hybrid Calculator'!$B$11)/30)^2+(G1190-'Hybrid Calculator'!$B$12)^2+((H1190-'Hybrid Calculator'!$E$14)/IF(A1190="Lightning",100,30000))^2+((I1190-'Hybrid Calculator'!$E$17)/IF(A1190="Lightning",100,30000))^2</x:f>
        <x:v>1.5414837193848265</x:v>
      </x:c>
      <x:c r="K1190" s="23" t="n">
        <x:f>RANK(J1190,$J$2:$J$1401,1)</x:f>
        <x:v>1283</x:v>
      </x:c>
      <x:c r="L1190" s="23" t="n">
        <x:f>IF(K1190&lt;=7,1,0)</x:f>
        <x:v>0</x:v>
      </x:c>
      <x:c r="M1190" s="23" t="n">
        <x:f>IF(L1190=1,1/(J1190+0.000001),0)</x:f>
        <x:v>0</x:v>
      </x:c>
      <x:c r="N1190" s="23" t="n">
        <x:v>0.8302706850838888</x:v>
      </x:c>
      <x:c r="O1190" s="23" t="n">
        <x:f>M1190</x:f>
        <x:v>0</x:v>
      </x:c>
      <x:c r="P1190" s="23" t="n">
        <x:v>-4.909800974679001</x:v>
      </x:c>
      <x:c r="Q1190" s="23" t="n">
        <x:v>-7.255174250745313</x:v>
      </x:c>
    </x:row>
    <x:row r="1191">
      <x:c r="A1191" s="23" t="str">
        <x:v>Switching</x:v>
      </x:c>
      <x:c r="B1191" s="23" t="n">
        <x:v>982.5010702130385</x:v>
      </x:c>
      <x:c r="C1191" s="23" t="n">
        <x:v>726.9950664369389</x:v>
      </x:c>
      <x:c r="D1191" s="23" t="n">
        <x:v>421.63392500951886</x:v>
      </x:c>
      <x:c r="E1191" s="23" t="n">
        <x:v>175.90853657573462</x:v>
      </x:c>
      <x:c r="F1191" s="23" t="n">
        <x:v>26.9957431727089</x:v>
      </x:c>
      <x:c r="G1191" s="23" t="n">
        <x:v>0.8237210639892146</x:v>
      </x:c>
      <x:c r="H1191" s="23" t="n">
        <x:v>18835</x:v>
      </x:c>
      <x:c r="I1191" s="23" t="n">
        <x:v>1200</x:v>
      </x:c>
      <x:c r="J1191" s="23" t="n">
        <x:f>(IF(A1191='Hybrid Calculator'!$B$6,0,1))^2+((B1191-'Hybrid Calculator'!$B$7)/1500)^2+((C1191-'Hybrid Calculator'!$B$8)/1300)^2+((D1191-'Hybrid Calculator'!$B$9)/800)^2+((E1191-'Hybrid Calculator'!$B$10)/350)^2+((F1191-'Hybrid Calculator'!$B$11)/30)^2+(G1191-'Hybrid Calculator'!$B$12)^2+((H1191-'Hybrid Calculator'!$E$14)/IF(A1191="Lightning",100,30000))^2+((I1191-'Hybrid Calculator'!$E$17)/IF(A1191="Lightning",100,30000))^2</x:f>
        <x:v>1.584882628441649</x:v>
      </x:c>
      <x:c r="K1191" s="23" t="n">
        <x:f>RANK(J1191,$J$2:$J$1401,1)</x:f>
        <x:v>1338</x:v>
      </x:c>
      <x:c r="L1191" s="23" t="n">
        <x:f>IF(K1191&lt;=7,1,0)</x:f>
        <x:v>0</x:v>
      </x:c>
      <x:c r="M1191" s="23" t="n">
        <x:f>IF(L1191=1,1/(J1191+0.000001),0)</x:f>
        <x:v>0</x:v>
      </x:c>
      <x:c r="N1191" s="23" t="n">
        <x:v>-5.8406279723646435</x:v>
      </x:c>
      <x:c r="O1191" s="23" t="n">
        <x:f>M1191</x:f>
        <x:v>0</x:v>
      </x:c>
      <x:c r="P1191" s="23" t="n">
        <x:v>13.919552139578627</x:v>
      </x:c>
      <x:c r="Q1191" s="23" t="n">
        <x:v>-6.202029611928197</x:v>
      </x:c>
    </x:row>
    <x:row r="1192">
      <x:c r="A1192" s="23" t="str">
        <x:v>Switching</x:v>
      </x:c>
      <x:c r="B1192" s="23" t="n">
        <x:v>1071.982370922342</x:v>
      </x:c>
      <x:c r="C1192" s="23" t="n">
        <x:v>779.2687309789471</x:v>
      </x:c>
      <x:c r="D1192" s="23" t="n">
        <x:v>742.5396395847201</x:v>
      </x:c>
      <x:c r="E1192" s="23" t="n">
        <x:v>166.25434088753536</x:v>
      </x:c>
      <x:c r="F1192" s="23" t="n">
        <x:v>13.788887985050678</x:v>
      </x:c>
      <x:c r="G1192" s="23" t="n">
        <x:v>0.8471671287179925</x:v>
      </x:c>
      <x:c r="H1192" s="23" t="n">
        <x:v>12670</x:v>
      </x:c>
      <x:c r="I1192" s="23" t="n">
        <x:v>1200</x:v>
      </x:c>
      <x:c r="J1192" s="23" t="n">
        <x:f>(IF(A1192='Hybrid Calculator'!$B$6,0,1))^2+((B1192-'Hybrid Calculator'!$B$7)/1500)^2+((C1192-'Hybrid Calculator'!$B$8)/1300)^2+((D1192-'Hybrid Calculator'!$B$9)/800)^2+((E1192-'Hybrid Calculator'!$B$10)/350)^2+((F1192-'Hybrid Calculator'!$B$11)/30)^2+(G1192-'Hybrid Calculator'!$B$12)^2+((H1192-'Hybrid Calculator'!$E$14)/IF(A1192="Lightning",100,30000))^2+((I1192-'Hybrid Calculator'!$E$17)/IF(A1192="Lightning",100,30000))^2</x:f>
        <x:v>1.3563123498187237</x:v>
      </x:c>
      <x:c r="K1192" s="23" t="n">
        <x:f>RANK(J1192,$J$2:$J$1401,1)</x:f>
        <x:v>848</x:v>
      </x:c>
      <x:c r="L1192" s="23" t="n">
        <x:f>IF(K1192&lt;=7,1,0)</x:f>
        <x:v>0</x:v>
      </x:c>
      <x:c r="M1192" s="23" t="n">
        <x:f>IF(L1192=1,1/(J1192+0.000001),0)</x:f>
        <x:v>0</x:v>
      </x:c>
      <x:c r="N1192" s="23" t="n">
        <x:v>0.43487607438046894</x:v>
      </x:c>
      <x:c r="O1192" s="23" t="n">
        <x:f>M1192</x:f>
        <x:v>0</x:v>
      </x:c>
      <x:c r="P1192" s="23" t="n">
        <x:v>-45.34460548516245</x:v>
      </x:c>
      <x:c r="Q1192" s="23" t="n">
        <x:v>-1.2250638684531623</x:v>
      </x:c>
    </x:row>
    <x:row r="1193">
      <x:c r="A1193" s="23" t="str">
        <x:v>Switching</x:v>
      </x:c>
      <x:c r="B1193" s="23" t="n">
        <x:v>1034.4059030641802</x:v>
      </x:c>
      <x:c r="C1193" s="23" t="n">
        <x:v>908.5684351390228</x:v>
      </x:c>
      <x:c r="D1193" s="23" t="n">
        <x:v>613.3501318283379</x:v>
      </x:c>
      <x:c r="E1193" s="23" t="n">
        <x:v>187.88047080859542</x:v>
      </x:c>
      <x:c r="F1193" s="23" t="n">
        <x:v>12.372691004071385</x:v>
      </x:c>
      <x:c r="G1193" s="23" t="n">
        <x:v>0.7921860596677289</x:v>
      </x:c>
      <x:c r="H1193" s="23" t="n">
        <x:v>12510</x:v>
      </x:c>
      <x:c r="I1193" s="23" t="n">
        <x:v>1200</x:v>
      </x:c>
      <x:c r="J1193" s="23" t="n">
        <x:f>(IF(A1193='Hybrid Calculator'!$B$6,0,1))^2+((B1193-'Hybrid Calculator'!$B$7)/1500)^2+((C1193-'Hybrid Calculator'!$B$8)/1300)^2+((D1193-'Hybrid Calculator'!$B$9)/800)^2+((E1193-'Hybrid Calculator'!$B$10)/350)^2+((F1193-'Hybrid Calculator'!$B$11)/30)^2+(G1193-'Hybrid Calculator'!$B$12)^2+((H1193-'Hybrid Calculator'!$E$14)/IF(A1193="Lightning",100,30000))^2+((I1193-'Hybrid Calculator'!$E$17)/IF(A1193="Lightning",100,30000))^2</x:f>
        <x:v>1.3181498427929919</x:v>
      </x:c>
      <x:c r="K1193" s="23" t="n">
        <x:f>RANK(J1193,$J$2:$J$1401,1)</x:f>
        <x:v>758</x:v>
      </x:c>
      <x:c r="L1193" s="23" t="n">
        <x:f>IF(K1193&lt;=7,1,0)</x:f>
        <x:v>0</x:v>
      </x:c>
      <x:c r="M1193" s="23" t="n">
        <x:f>IF(L1193=1,1/(J1193+0.000001),0)</x:f>
        <x:v>0</x:v>
      </x:c>
      <x:c r="N1193" s="23" t="n">
        <x:v>1.270336970032048</x:v>
      </x:c>
      <x:c r="O1193" s="23" t="n">
        <x:f>M1193</x:f>
        <x:v>0</x:v>
      </x:c>
      <x:c r="P1193" s="23" t="n">
        <x:v>19.417129459166972</x:v>
      </x:c>
      <x:c r="Q1193" s="23" t="n">
        <x:v>-2.0340394389056655</x:v>
      </x:c>
    </x:row>
    <x:row r="1194">
      <x:c r="A1194" s="23" t="str">
        <x:v>Switching</x:v>
      </x:c>
      <x:c r="B1194" s="23" t="n">
        <x:v>1087.2193957911804</x:v>
      </x:c>
      <x:c r="C1194" s="23" t="n">
        <x:v>600.8212123182602</x:v>
      </x:c>
      <x:c r="D1194" s="23" t="n">
        <x:v>431.15583658218384</x:v>
      </x:c>
      <x:c r="E1194" s="23" t="n">
        <x:v>88.3213429315947</x:v>
      </x:c>
      <x:c r="F1194" s="23" t="n">
        <x:v>20.52769811730832</x:v>
      </x:c>
      <x:c r="G1194" s="23" t="n">
        <x:v>0.8405979346460664</x:v>
      </x:c>
      <x:c r="H1194" s="23" t="n">
        <x:v>19090</x:v>
      </x:c>
      <x:c r="I1194" s="23" t="n">
        <x:v>1200</x:v>
      </x:c>
      <x:c r="J1194" s="23" t="n">
        <x:f>(IF(A1194='Hybrid Calculator'!$B$6,0,1))^2+((B1194-'Hybrid Calculator'!$B$7)/1500)^2+((C1194-'Hybrid Calculator'!$B$8)/1300)^2+((D1194-'Hybrid Calculator'!$B$9)/800)^2+((E1194-'Hybrid Calculator'!$B$10)/350)^2+((F1194-'Hybrid Calculator'!$B$11)/30)^2+(G1194-'Hybrid Calculator'!$B$12)^2+((H1194-'Hybrid Calculator'!$E$14)/IF(A1194="Lightning",100,30000))^2+((I1194-'Hybrid Calculator'!$E$17)/IF(A1194="Lightning",100,30000))^2</x:f>
        <x:v>1.5352380369102807</x:v>
      </x:c>
      <x:c r="K1194" s="23" t="n">
        <x:f>RANK(J1194,$J$2:$J$1401,1)</x:f>
        <x:v>1275</x:v>
      </x:c>
      <x:c r="L1194" s="23" t="n">
        <x:f>IF(K1194&lt;=7,1,0)</x:f>
        <x:v>0</x:v>
      </x:c>
      <x:c r="M1194" s="23" t="n">
        <x:f>IF(L1194=1,1/(J1194+0.000001),0)</x:f>
        <x:v>0</x:v>
      </x:c>
      <x:c r="N1194" s="23" t="n">
        <x:v>-0.21561186830967927</x:v>
      </x:c>
      <x:c r="O1194" s="23" t="n">
        <x:f>M1194</x:f>
        <x:v>0</x:v>
      </x:c>
      <x:c r="P1194" s="23" t="n">
        <x:v>6.754185017628515</x:v>
      </x:c>
      <x:c r="Q1194" s="23" t="n">
        <x:v>12.777666195119991</x:v>
      </x:c>
    </x:row>
    <x:row r="1195">
      <x:c r="A1195" s="23" t="str">
        <x:v>Switching</x:v>
      </x:c>
      <x:c r="B1195" s="23" t="n">
        <x:v>1007.7576936106198</x:v>
      </x:c>
      <x:c r="C1195" s="23" t="n">
        <x:v>1078.258788678795</x:v>
      </x:c>
      <x:c r="D1195" s="23" t="n">
        <x:v>358.41215616092086</x:v>
      </x:c>
      <x:c r="E1195" s="23" t="n">
        <x:v>291.6630912059918</x:v>
      </x:c>
      <x:c r="F1195" s="23" t="n">
        <x:v>13.79978491133079</x:v>
      </x:c>
      <x:c r="G1195" s="23" t="n">
        <x:v>0.8096414536330849</x:v>
      </x:c>
      <x:c r="H1195" s="23" t="n">
        <x:v>12375</x:v>
      </x:c>
      <x:c r="I1195" s="23" t="n">
        <x:v>1200</x:v>
      </x:c>
      <x:c r="J1195" s="23" t="n">
        <x:f>(IF(A1195='Hybrid Calculator'!$B$6,0,1))^2+((B1195-'Hybrid Calculator'!$B$7)/1500)^2+((C1195-'Hybrid Calculator'!$B$8)/1300)^2+((D1195-'Hybrid Calculator'!$B$9)/800)^2+((E1195-'Hybrid Calculator'!$B$10)/350)^2+((F1195-'Hybrid Calculator'!$B$11)/30)^2+(G1195-'Hybrid Calculator'!$B$12)^2+((H1195-'Hybrid Calculator'!$E$14)/IF(A1195="Lightning",100,30000))^2+((I1195-'Hybrid Calculator'!$E$17)/IF(A1195="Lightning",100,30000))^2</x:f>
        <x:v>1.498323067965713</x:v>
      </x:c>
      <x:c r="K1195" s="23" t="n">
        <x:f>RANK(J1195,$J$2:$J$1401,1)</x:f>
        <x:v>1208</x:v>
      </x:c>
      <x:c r="L1195" s="23" t="n">
        <x:f>IF(K1195&lt;=7,1,0)</x:f>
        <x:v>0</x:v>
      </x:c>
      <x:c r="M1195" s="23" t="n">
        <x:f>IF(L1195=1,1/(J1195+0.000001),0)</x:f>
        <x:v>0</x:v>
      </x:c>
      <x:c r="N1195" s="23" t="n">
        <x:v>4.5618510308768805</x:v>
      </x:c>
      <x:c r="O1195" s="23" t="n">
        <x:f>M1195</x:f>
        <x:v>0</x:v>
      </x:c>
      <x:c r="P1195" s="23" t="n">
        <x:v>47.247246542466655</x:v>
      </x:c>
      <x:c r="Q1195" s="23" t="n">
        <x:v>0.08412095838230016</x:v>
      </x:c>
    </x:row>
    <x:row r="1196">
      <x:c r="A1196" s="23" t="str">
        <x:v>Switching</x:v>
      </x:c>
      <x:c r="B1196" s="23" t="n">
        <x:v>1083.0945624038577</x:v>
      </x:c>
      <x:c r="C1196" s="23" t="n">
        <x:v>868.2137344381772</x:v>
      </x:c>
      <x:c r="D1196" s="23" t="n">
        <x:v>362.159931845963</x:v>
      </x:c>
      <x:c r="E1196" s="23" t="n">
        <x:v>208.1144316890277</x:v>
      </x:c>
      <x:c r="F1196" s="23" t="n">
        <x:v>28.541327139362693</x:v>
      </x:c>
      <x:c r="G1196" s="23" t="n">
        <x:v>0.840114091646392</x:v>
      </x:c>
      <x:c r="H1196" s="23" t="n">
        <x:v>14865</x:v>
      </x:c>
      <x:c r="I1196" s="23" t="n">
        <x:v>1200</x:v>
      </x:c>
      <x:c r="J1196" s="23" t="n">
        <x:f>(IF(A1196='Hybrid Calculator'!$B$6,0,1))^2+((B1196-'Hybrid Calculator'!$B$7)/1500)^2+((C1196-'Hybrid Calculator'!$B$8)/1300)^2+((D1196-'Hybrid Calculator'!$B$9)/800)^2+((E1196-'Hybrid Calculator'!$B$10)/350)^2+((F1196-'Hybrid Calculator'!$B$11)/30)^2+(G1196-'Hybrid Calculator'!$B$12)^2+((H1196-'Hybrid Calculator'!$E$14)/IF(A1196="Lightning",100,30000))^2+((I1196-'Hybrid Calculator'!$E$17)/IF(A1196="Lightning",100,30000))^2</x:f>
        <x:v>1.4672499187393928</x:v>
      </x:c>
      <x:c r="K1196" s="23" t="n">
        <x:f>RANK(J1196,$J$2:$J$1401,1)</x:f>
        <x:v>1149</x:v>
      </x:c>
      <x:c r="L1196" s="23" t="n">
        <x:f>IF(K1196&lt;=7,1,0)</x:f>
        <x:v>0</x:v>
      </x:c>
      <x:c r="M1196" s="23" t="n">
        <x:f>IF(L1196=1,1/(J1196+0.000001),0)</x:f>
        <x:v>0</x:v>
      </x:c>
      <x:c r="N1196" s="23" t="n">
        <x:v>-1.5095620548080433</x:v>
      </x:c>
      <x:c r="O1196" s="23" t="n">
        <x:f>M1196</x:f>
        <x:v>0</x:v>
      </x:c>
      <x:c r="P1196" s="23" t="n">
        <x:v>-11.813521079752718</x:v>
      </x:c>
      <x:c r="Q1196" s="23" t="n">
        <x:v>-4.613888646600117</x:v>
      </x:c>
    </x:row>
    <x:row r="1197">
      <x:c r="A1197" s="23" t="str">
        <x:v>Switching</x:v>
      </x:c>
      <x:c r="B1197" s="23" t="n">
        <x:v>1040.6473052338697</x:v>
      </x:c>
      <x:c r="C1197" s="23" t="n">
        <x:v>778.336612530984</x:v>
      </x:c>
      <x:c r="D1197" s="23" t="n">
        <x:v>352.1029652096331</x:v>
      </x:c>
      <x:c r="E1197" s="23" t="n">
        <x:v>162.8704710584134</x:v>
      </x:c>
      <x:c r="F1197" s="23" t="n">
        <x:v>10.627283890265971</x:v>
      </x:c>
      <x:c r="G1197" s="23" t="n">
        <x:v>0.7992620829911903</x:v>
      </x:c>
      <x:c r="H1197" s="23" t="n">
        <x:v>16535</x:v>
      </x:c>
      <x:c r="I1197" s="23" t="n">
        <x:v>1200</x:v>
      </x:c>
      <x:c r="J1197" s="23" t="n">
        <x:f>(IF(A1197='Hybrid Calculator'!$B$6,0,1))^2+((B1197-'Hybrid Calculator'!$B$7)/1500)^2+((C1197-'Hybrid Calculator'!$B$8)/1300)^2+((D1197-'Hybrid Calculator'!$B$9)/800)^2+((E1197-'Hybrid Calculator'!$B$10)/350)^2+((F1197-'Hybrid Calculator'!$B$11)/30)^2+(G1197-'Hybrid Calculator'!$B$12)^2+((H1197-'Hybrid Calculator'!$E$14)/IF(A1197="Lightning",100,30000))^2+((I1197-'Hybrid Calculator'!$E$17)/IF(A1197="Lightning",100,30000))^2</x:f>
        <x:v>1.4770055414484498</x:v>
      </x:c>
      <x:c r="K1197" s="23" t="n">
        <x:f>RANK(J1197,$J$2:$J$1401,1)</x:f>
        <x:v>1172</x:v>
      </x:c>
      <x:c r="L1197" s="23" t="n">
        <x:f>IF(K1197&lt;=7,1,0)</x:f>
        <x:v>0</x:v>
      </x:c>
      <x:c r="M1197" s="23" t="n">
        <x:f>IF(L1197=1,1/(J1197+0.000001),0)</x:f>
        <x:v>0</x:v>
      </x:c>
      <x:c r="N1197" s="23" t="n">
        <x:v>0.779654602312803</x:v>
      </x:c>
      <x:c r="O1197" s="23" t="n">
        <x:f>M1197</x:f>
        <x:v>0</x:v>
      </x:c>
      <x:c r="P1197" s="23" t="n">
        <x:v>-22.043712940273053</x:v>
      </x:c>
      <x:c r="Q1197" s="23" t="n">
        <x:v>16.74534175326926</x:v>
      </x:c>
    </x:row>
    <x:row r="1198">
      <x:c r="A1198" s="23" t="str">
        <x:v>Switching</x:v>
      </x:c>
      <x:c r="B1198" s="23" t="n">
        <x:v>991.251706960611</x:v>
      </x:c>
      <x:c r="C1198" s="23" t="n">
        <x:v>959.401497116778</x:v>
      </x:c>
      <x:c r="D1198" s="23" t="n">
        <x:v>491.8046075850725</x:v>
      </x:c>
      <x:c r="E1198" s="23" t="n">
        <x:v>210.54233248112723</x:v>
      </x:c>
      <x:c r="F1198" s="23" t="n">
        <x:v>11.079132453538477</x:v>
      </x:c>
      <x:c r="G1198" s="23" t="n">
        <x:v>0.7968113867077046</x:v>
      </x:c>
      <x:c r="H1198" s="23" t="n">
        <x:v>12870</x:v>
      </x:c>
      <x:c r="I1198" s="23" t="n">
        <x:v>1200</x:v>
      </x:c>
      <x:c r="J1198" s="23" t="n">
        <x:f>(IF(A1198='Hybrid Calculator'!$B$6,0,1))^2+((B1198-'Hybrid Calculator'!$B$7)/1500)^2+((C1198-'Hybrid Calculator'!$B$8)/1300)^2+((D1198-'Hybrid Calculator'!$B$9)/800)^2+((E1198-'Hybrid Calculator'!$B$10)/350)^2+((F1198-'Hybrid Calculator'!$B$11)/30)^2+(G1198-'Hybrid Calculator'!$B$12)^2+((H1198-'Hybrid Calculator'!$E$14)/IF(A1198="Lightning",100,30000))^2+((I1198-'Hybrid Calculator'!$E$17)/IF(A1198="Lightning",100,30000))^2</x:f>
        <x:v>1.366598732522841</x:v>
      </x:c>
      <x:c r="K1198" s="23" t="n">
        <x:f>RANK(J1198,$J$2:$J$1401,1)</x:f>
        <x:v>873</x:v>
      </x:c>
      <x:c r="L1198" s="23" t="n">
        <x:f>IF(K1198&lt;=7,1,0)</x:f>
        <x:v>0</x:v>
      </x:c>
      <x:c r="M1198" s="23" t="n">
        <x:f>IF(L1198=1,1/(J1198+0.000001),0)</x:f>
        <x:v>0</x:v>
      </x:c>
      <x:c r="N1198" s="23" t="n">
        <x:v>3.0620579895681885</x:v>
      </x:c>
      <x:c r="O1198" s="23" t="n">
        <x:f>M1198</x:f>
        <x:v>0</x:v>
      </x:c>
      <x:c r="P1198" s="23" t="n">
        <x:v>25.610663289506647</x:v>
      </x:c>
      <x:c r="Q1198" s="23" t="n">
        <x:v>6.044354435016658</x:v>
      </x:c>
    </x:row>
    <x:row r="1199">
      <x:c r="A1199" s="23" t="str">
        <x:v>Switching</x:v>
      </x:c>
      <x:c r="B1199" s="23" t="n">
        <x:v>956.0229299939238</x:v>
      </x:c>
      <x:c r="C1199" s="23" t="n">
        <x:v>1046.152771404013</x:v>
      </x:c>
      <x:c r="D1199" s="23" t="n">
        <x:v>624.0095059387386</x:v>
      </x:c>
      <x:c r="E1199" s="23" t="n">
        <x:v>184.56241748761386</x:v>
      </x:c>
      <x:c r="F1199" s="23" t="n">
        <x:v>13.89472960261628</x:v>
      </x:c>
      <x:c r="G1199" s="23" t="n">
        <x:v>0.8472259235754609</x:v>
      </x:c>
      <x:c r="H1199" s="23" t="n">
        <x:v>13450</x:v>
      </x:c>
      <x:c r="I1199" s="23" t="n">
        <x:v>1200</x:v>
      </x:c>
      <x:c r="J1199" s="23" t="n">
        <x:f>(IF(A1199='Hybrid Calculator'!$B$6,0,1))^2+((B1199-'Hybrid Calculator'!$B$7)/1500)^2+((C1199-'Hybrid Calculator'!$B$8)/1300)^2+((D1199-'Hybrid Calculator'!$B$9)/800)^2+((E1199-'Hybrid Calculator'!$B$10)/350)^2+((F1199-'Hybrid Calculator'!$B$11)/30)^2+(G1199-'Hybrid Calculator'!$B$12)^2+((H1199-'Hybrid Calculator'!$E$14)/IF(A1199="Lightning",100,30000))^2+((I1199-'Hybrid Calculator'!$E$17)/IF(A1199="Lightning",100,30000))^2</x:f>
        <x:v>1.3796493024924235</x:v>
      </x:c>
      <x:c r="K1199" s="23" t="n">
        <x:f>RANK(J1199,$J$2:$J$1401,1)</x:f>
        <x:v>915</x:v>
      </x:c>
      <x:c r="L1199" s="23" t="n">
        <x:f>IF(K1199&lt;=7,1,0)</x:f>
        <x:v>0</x:v>
      </x:c>
      <x:c r="M1199" s="23" t="n">
        <x:f>IF(L1199=1,1/(J1199+0.000001),0)</x:f>
        <x:v>0</x:v>
      </x:c>
      <x:c r="N1199" s="23" t="n">
        <x:v>1.7386816526347104</x:v>
      </x:c>
      <x:c r="O1199" s="23" t="n">
        <x:f>M1199</x:f>
        <x:v>0</x:v>
      </x:c>
      <x:c r="P1199" s="23" t="n">
        <x:v>-22.751546951512864</x:v>
      </x:c>
      <x:c r="Q1199" s="23" t="n">
        <x:v>3.1245560173583726</x:v>
      </x:c>
    </x:row>
    <x:row r="1200">
      <x:c r="A1200" s="23" t="str">
        <x:v>Switching</x:v>
      </x:c>
      <x:c r="B1200" s="23" t="n">
        <x:v>1026.6533640678972</x:v>
      </x:c>
      <x:c r="C1200" s="23" t="n">
        <x:v>1147.0196875627153</x:v>
      </x:c>
      <x:c r="D1200" s="23" t="n">
        <x:v>533.9289298281074</x:v>
      </x:c>
      <x:c r="E1200" s="23" t="n">
        <x:v>327.7183247101493</x:v>
      </x:c>
      <x:c r="F1200" s="23" t="n">
        <x:v>21.504053596407175</x:v>
      </x:c>
      <x:c r="G1200" s="23" t="n">
        <x:v>0.7900192660861649</x:v>
      </x:c>
      <x:c r="H1200" s="23" t="n">
        <x:v>10645</x:v>
      </x:c>
      <x:c r="I1200" s="23" t="n">
        <x:v>1195</x:v>
      </x:c>
      <x:c r="J1200" s="23" t="n">
        <x:f>(IF(A1200='Hybrid Calculator'!$B$6,0,1))^2+((B1200-'Hybrid Calculator'!$B$7)/1500)^2+((C1200-'Hybrid Calculator'!$B$8)/1300)^2+((D1200-'Hybrid Calculator'!$B$9)/800)^2+((E1200-'Hybrid Calculator'!$B$10)/350)^2+((F1200-'Hybrid Calculator'!$B$11)/30)^2+(G1200-'Hybrid Calculator'!$B$12)^2+((H1200-'Hybrid Calculator'!$E$14)/IF(A1200="Lightning",100,30000))^2+((I1200-'Hybrid Calculator'!$E$17)/IF(A1200="Lightning",100,30000))^2</x:f>
        <x:v>1.5195253083542037</x:v>
      </x:c>
      <x:c r="K1200" s="23" t="n">
        <x:f>RANK(J1200,$J$2:$J$1401,1)</x:f>
        <x:v>1246</x:v>
      </x:c>
      <x:c r="L1200" s="23" t="n">
        <x:f>IF(K1200&lt;=7,1,0)</x:f>
        <x:v>0</x:v>
      </x:c>
      <x:c r="M1200" s="23" t="n">
        <x:f>IF(L1200=1,1/(J1200+0.000001),0)</x:f>
        <x:v>0</x:v>
      </x:c>
      <x:c r="N1200" s="23" t="n">
        <x:v>0.532172253929474</x:v>
      </x:c>
      <x:c r="O1200" s="23" t="n">
        <x:f>M1200</x:f>
        <x:v>0</x:v>
      </x:c>
      <x:c r="P1200" s="23" t="n">
        <x:v>22.590895831011494</x:v>
      </x:c>
      <x:c r="Q1200" s="23" t="n">
        <x:v>-9.539746644294041</x:v>
      </x:c>
    </x:row>
    <x:row r="1201">
      <x:c r="A1201" s="23" t="str">
        <x:v>Switching</x:v>
      </x:c>
      <x:c r="B1201" s="23" t="n">
        <x:v>1073.7587219220586</x:v>
      </x:c>
      <x:c r="C1201" s="23" t="n">
        <x:v>695.4092123312876</x:v>
      </x:c>
      <x:c r="D1201" s="23" t="n">
        <x:v>702.3691807873547</x:v>
      </x:c>
      <x:c r="E1201" s="23" t="n">
        <x:v>208.17328795790672</x:v>
      </x:c>
      <x:c r="F1201" s="23" t="n">
        <x:v>25.701651255134493</x:v>
      </x:c>
      <x:c r="G1201" s="23" t="n">
        <x:v>0.8035193804604933</x:v>
      </x:c>
      <x:c r="H1201" s="23" t="n">
        <x:v>13315</x:v>
      </x:c>
      <x:c r="I1201" s="23" t="n">
        <x:v>1200</x:v>
      </x:c>
      <x:c r="J1201" s="23" t="n">
        <x:f>(IF(A1201='Hybrid Calculator'!$B$6,0,1))^2+((B1201-'Hybrid Calculator'!$B$7)/1500)^2+((C1201-'Hybrid Calculator'!$B$8)/1300)^2+((D1201-'Hybrid Calculator'!$B$9)/800)^2+((E1201-'Hybrid Calculator'!$B$10)/350)^2+((F1201-'Hybrid Calculator'!$B$11)/30)^2+(G1201-'Hybrid Calculator'!$B$12)^2+((H1201-'Hybrid Calculator'!$E$14)/IF(A1201="Lightning",100,30000))^2+((I1201-'Hybrid Calculator'!$E$17)/IF(A1201="Lightning",100,30000))^2</x:f>
        <x:v>1.415530811295717</x:v>
      </x:c>
      <x:c r="K1201" s="23" t="n">
        <x:f>RANK(J1201,$J$2:$J$1401,1)</x:f>
        <x:v>1026</x:v>
      </x:c>
      <x:c r="L1201" s="23" t="n">
        <x:f>IF(K1201&lt;=7,1,0)</x:f>
        <x:v>0</x:v>
      </x:c>
      <x:c r="M1201" s="23" t="n">
        <x:f>IF(L1201=1,1/(J1201+0.000001),0)</x:f>
        <x:v>0</x:v>
      </x:c>
      <x:c r="N1201" s="23" t="n">
        <x:v>-0.621693806799243</x:v>
      </x:c>
      <x:c r="O1201" s="23" t="n">
        <x:f>M1201</x:f>
        <x:v>0</x:v>
      </x:c>
      <x:c r="P1201" s="23" t="n">
        <x:v>-44.11472398531305</x:v>
      </x:c>
      <x:c r="Q1201" s="23" t="n">
        <x:v>-10.007862935497542</x:v>
      </x:c>
    </x:row>
    <x:row r="1202">
      <x:c r="A1202" s="23" t="str">
        <x:v>Switching</x:v>
      </x:c>
      <x:c r="B1202" s="23" t="n">
        <x:v>982.0390606531873</x:v>
      </x:c>
      <x:c r="C1202" s="23" t="n">
        <x:v>828.9904178236611</x:v>
      </x:c>
      <x:c r="D1202" s="23" t="n">
        <x:v>613.7982226908207</x:v>
      </x:c>
      <x:c r="E1202" s="23" t="n">
        <x:v>99.40726715838537</x:v>
      </x:c>
      <x:c r="F1202" s="23" t="n">
        <x:v>24.753774805925786</x:v>
      </x:c>
      <x:c r="G1202" s="23" t="n">
        <x:v>0.8351892287074588</x:v>
      </x:c>
      <x:c r="H1202" s="23" t="n">
        <x:v>16180</x:v>
      </x:c>
      <x:c r="I1202" s="23" t="n">
        <x:v>1200</x:v>
      </x:c>
      <x:c r="J1202" s="23" t="n">
        <x:f>(IF(A1202='Hybrid Calculator'!$B$6,0,1))^2+((B1202-'Hybrid Calculator'!$B$7)/1500)^2+((C1202-'Hybrid Calculator'!$B$8)/1300)^2+((D1202-'Hybrid Calculator'!$B$9)/800)^2+((E1202-'Hybrid Calculator'!$B$10)/350)^2+((F1202-'Hybrid Calculator'!$B$11)/30)^2+(G1202-'Hybrid Calculator'!$B$12)^2+((H1202-'Hybrid Calculator'!$E$14)/IF(A1202="Lightning",100,30000))^2+((I1202-'Hybrid Calculator'!$E$17)/IF(A1202="Lightning",100,30000))^2</x:f>
        <x:v>1.462902313813673</x:v>
      </x:c>
      <x:c r="K1202" s="23" t="n">
        <x:f>RANK(J1202,$J$2:$J$1401,1)</x:f>
        <x:v>1142</x:v>
      </x:c>
      <x:c r="L1202" s="23" t="n">
        <x:f>IF(K1202&lt;=7,1,0)</x:f>
        <x:v>0</x:v>
      </x:c>
      <x:c r="M1202" s="23" t="n">
        <x:f>IF(L1202=1,1/(J1202+0.000001),0)</x:f>
        <x:v>0</x:v>
      </x:c>
      <x:c r="N1202" s="23" t="n">
        <x:v>-0.49598733063083955</x:v>
      </x:c>
      <x:c r="O1202" s="23" t="n">
        <x:f>M1202</x:f>
        <x:v>0</x:v>
      </x:c>
      <x:c r="P1202" s="23" t="n">
        <x:v>19.55211778238845</x:v>
      </x:c>
      <x:c r="Q1202" s="23" t="n">
        <x:v>-3.687518330746684</x:v>
      </x:c>
    </x:row>
    <x:row r="1203">
      <x:c r="A1203" s="23" t="str">
        <x:v>Switching</x:v>
      </x:c>
      <x:c r="B1203" s="23" t="n">
        <x:v>979.7960895928554</x:v>
      </x:c>
      <x:c r="C1203" s="23" t="n">
        <x:v>909.5722222700715</x:v>
      </x:c>
      <x:c r="D1203" s="23" t="n">
        <x:v>415.67278346046805</x:v>
      </x:c>
      <x:c r="E1203" s="23" t="n">
        <x:v>132.69795295316726</x:v>
      </x:c>
      <x:c r="F1203" s="23" t="n">
        <x:v>18.48576002707705</x:v>
      </x:c>
      <x:c r="G1203" s="23" t="n">
        <x:v>0.8055990730877967</x:v>
      </x:c>
      <x:c r="H1203" s="23" t="n">
        <x:v>14670</x:v>
      </x:c>
      <x:c r="I1203" s="23" t="n">
        <x:v>1200</x:v>
      </x:c>
      <x:c r="J1203" s="23" t="n">
        <x:f>(IF(A1203='Hybrid Calculator'!$B$6,0,1))^2+((B1203-'Hybrid Calculator'!$B$7)/1500)^2+((C1203-'Hybrid Calculator'!$B$8)/1300)^2+((D1203-'Hybrid Calculator'!$B$9)/800)^2+((E1203-'Hybrid Calculator'!$B$10)/350)^2+((F1203-'Hybrid Calculator'!$B$11)/30)^2+(G1203-'Hybrid Calculator'!$B$12)^2+((H1203-'Hybrid Calculator'!$E$14)/IF(A1203="Lightning",100,30000))^2+((I1203-'Hybrid Calculator'!$E$17)/IF(A1203="Lightning",100,30000))^2</x:f>
        <x:v>1.342981939622915</x:v>
      </x:c>
      <x:c r="K1203" s="23" t="n">
        <x:f>RANK(J1203,$J$2:$J$1401,1)</x:f>
        <x:v>812</x:v>
      </x:c>
      <x:c r="L1203" s="23" t="n">
        <x:f>IF(K1203&lt;=7,1,0)</x:f>
        <x:v>0</x:v>
      </x:c>
      <x:c r="M1203" s="23" t="n">
        <x:f>IF(L1203=1,1/(J1203+0.000001),0)</x:f>
        <x:v>0</x:v>
      </x:c>
      <x:c r="N1203" s="23" t="n">
        <x:v>-0.7850393909675972</x:v>
      </x:c>
      <x:c r="O1203" s="23" t="n">
        <x:f>M1203</x:f>
        <x:v>0</x:v>
      </x:c>
      <x:c r="P1203" s="23" t="n">
        <x:v>-30.336571554562397</x:v>
      </x:c>
      <x:c r="Q1203" s="23" t="n">
        <x:v>7.460268241931658</x:v>
      </x:c>
    </x:row>
    <x:row r="1204">
      <x:c r="A1204" s="23" t="str">
        <x:v>Switching</x:v>
      </x:c>
      <x:c r="B1204" s="23" t="n">
        <x:v>1027.2839699871838</x:v>
      </x:c>
      <x:c r="C1204" s="23" t="n">
        <x:v>970.7301565795206</x:v>
      </x:c>
      <x:c r="D1204" s="23" t="n">
        <x:v>699.122897721827</x:v>
      </x:c>
      <x:c r="E1204" s="23" t="n">
        <x:v>258.5985082970001</x:v>
      </x:c>
      <x:c r="F1204" s="23" t="n">
        <x:v>29.211525039747357</x:v>
      </x:c>
      <x:c r="G1204" s="23" t="n">
        <x:v>0.7928963482310064</x:v>
      </x:c>
      <x:c r="H1204" s="23" t="n">
        <x:v>11090</x:v>
      </x:c>
      <x:c r="I1204" s="23" t="n">
        <x:v>1195</x:v>
      </x:c>
      <x:c r="J1204" s="23" t="n">
        <x:f>(IF(A1204='Hybrid Calculator'!$B$6,0,1))^2+((B1204-'Hybrid Calculator'!$B$7)/1500)^2+((C1204-'Hybrid Calculator'!$B$8)/1300)^2+((D1204-'Hybrid Calculator'!$B$9)/800)^2+((E1204-'Hybrid Calculator'!$B$10)/350)^2+((F1204-'Hybrid Calculator'!$B$11)/30)^2+(G1204-'Hybrid Calculator'!$B$12)^2+((H1204-'Hybrid Calculator'!$E$14)/IF(A1204="Lightning",100,30000))^2+((I1204-'Hybrid Calculator'!$E$17)/IF(A1204="Lightning",100,30000))^2</x:f>
        <x:v>1.5023185669584935</x:v>
      </x:c>
      <x:c r="K1204" s="23" t="n">
        <x:f>RANK(J1204,$J$2:$J$1401,1)</x:f>
        <x:v>1212</x:v>
      </x:c>
      <x:c r="L1204" s="23" t="n">
        <x:f>IF(K1204&lt;=7,1,0)</x:f>
        <x:v>0</x:v>
      </x:c>
      <x:c r="M1204" s="23" t="n">
        <x:f>IF(L1204=1,1/(J1204+0.000001),0)</x:f>
        <x:v>0</x:v>
      </x:c>
      <x:c r="N1204" s="23" t="n">
        <x:v>-1.0563613187110832</x:v>
      </x:c>
      <x:c r="O1204" s="23" t="n">
        <x:f>M1204</x:f>
        <x:v>0</x:v>
      </x:c>
      <x:c r="P1204" s="23" t="n">
        <x:v>8.281848550449922</x:v>
      </x:c>
      <x:c r="Q1204" s="23" t="n">
        <x:v>-14.566886027522969</x:v>
      </x:c>
    </x:row>
    <x:row r="1205">
      <x:c r="A1205" s="23" t="str">
        <x:v>Switching</x:v>
      </x:c>
      <x:c r="B1205" s="23" t="n">
        <x:v>968.2425997802056</x:v>
      </x:c>
      <x:c r="C1205" s="23" t="n">
        <x:v>811.5071517648175</x:v>
      </x:c>
      <x:c r="D1205" s="23" t="n">
        <x:v>500.91416323557496</x:v>
      </x:c>
      <x:c r="E1205" s="23" t="n">
        <x:v>137.4918028432876</x:v>
      </x:c>
      <x:c r="F1205" s="23" t="n">
        <x:v>16.98873505042866</x:v>
      </x:c>
      <x:c r="G1205" s="23" t="n">
        <x:v>0.8581014414364473</x:v>
      </x:c>
      <x:c r="H1205" s="23" t="n">
        <x:v>17210</x:v>
      </x:c>
      <x:c r="I1205" s="23" t="n">
        <x:v>1200</x:v>
      </x:c>
      <x:c r="J1205" s="23" t="n">
        <x:f>(IF(A1205='Hybrid Calculator'!$B$6,0,1))^2+((B1205-'Hybrid Calculator'!$B$7)/1500)^2+((C1205-'Hybrid Calculator'!$B$8)/1300)^2+((D1205-'Hybrid Calculator'!$B$9)/800)^2+((E1205-'Hybrid Calculator'!$B$10)/350)^2+((F1205-'Hybrid Calculator'!$B$11)/30)^2+(G1205-'Hybrid Calculator'!$B$12)^2+((H1205-'Hybrid Calculator'!$E$14)/IF(A1205="Lightning",100,30000))^2+((I1205-'Hybrid Calculator'!$E$17)/IF(A1205="Lightning",100,30000))^2</x:f>
        <x:v>1.4275859275625802</x:v>
      </x:c>
      <x:c r="K1205" s="23" t="n">
        <x:f>RANK(J1205,$J$2:$J$1401,1)</x:f>
        <x:v>1055</x:v>
      </x:c>
      <x:c r="L1205" s="23" t="n">
        <x:f>IF(K1205&lt;=7,1,0)</x:f>
        <x:v>0</x:v>
      </x:c>
      <x:c r="M1205" s="23" t="n">
        <x:f>IF(L1205=1,1/(J1205+0.000001),0)</x:f>
        <x:v>0</x:v>
      </x:c>
      <x:c r="N1205" s="23" t="n">
        <x:v>-0.05913467867588906</x:v>
      </x:c>
      <x:c r="O1205" s="23" t="n">
        <x:f>M1205</x:f>
        <x:v>0</x:v>
      </x:c>
      <x:c r="P1205" s="23" t="n">
        <x:v>-16.09943701952534</x:v>
      </x:c>
      <x:c r="Q1205" s="23" t="n">
        <x:v>2.4890763826468856</x:v>
      </x:c>
    </x:row>
    <x:row r="1206">
      <x:c r="A1206" s="23" t="str">
        <x:v>Switching</x:v>
      </x:c>
      <x:c r="B1206" s="23" t="n">
        <x:v>1000.5248215049505</x:v>
      </x:c>
      <x:c r="C1206" s="23" t="n">
        <x:v>1093.6781360185705</x:v>
      </x:c>
      <x:c r="D1206" s="23" t="n">
        <x:v>351.7233805730939</x:v>
      </x:c>
      <x:c r="E1206" s="23" t="n">
        <x:v>270.2972614043392</x:v>
      </x:c>
      <x:c r="F1206" s="23" t="n">
        <x:v>17.508932484313846</x:v>
      </x:c>
      <x:c r="G1206" s="23" t="n">
        <x:v>0.8060266524297186</x:v>
      </x:c>
      <x:c r="H1206" s="23" t="n">
        <x:v>12465</x:v>
      </x:c>
      <x:c r="I1206" s="23" t="n">
        <x:v>1200</x:v>
      </x:c>
      <x:c r="J1206" s="23" t="n">
        <x:f>(IF(A1206='Hybrid Calculator'!$B$6,0,1))^2+((B1206-'Hybrid Calculator'!$B$7)/1500)^2+((C1206-'Hybrid Calculator'!$B$8)/1300)^2+((D1206-'Hybrid Calculator'!$B$9)/800)^2+((E1206-'Hybrid Calculator'!$B$10)/350)^2+((F1206-'Hybrid Calculator'!$B$11)/30)^2+(G1206-'Hybrid Calculator'!$B$12)^2+((H1206-'Hybrid Calculator'!$E$14)/IF(A1206="Lightning",100,30000))^2+((I1206-'Hybrid Calculator'!$E$17)/IF(A1206="Lightning",100,30000))^2</x:f>
        <x:v>1.4417810046371216</x:v>
      </x:c>
      <x:c r="K1206" s="23" t="n">
        <x:f>RANK(J1206,$J$2:$J$1401,1)</x:f>
        <x:v>1088</x:v>
      </x:c>
      <x:c r="L1206" s="23" t="n">
        <x:f>IF(K1206&lt;=7,1,0)</x:f>
        <x:v>0</x:v>
      </x:c>
      <x:c r="M1206" s="23" t="n">
        <x:f>IF(L1206=1,1/(J1206+0.000001),0)</x:f>
        <x:v>0</x:v>
      </x:c>
      <x:c r="N1206" s="23" t="n">
        <x:v>3.11139569459246</x:v>
      </x:c>
      <x:c r="O1206" s="23" t="n">
        <x:f>M1206</x:f>
        <x:v>0</x:v>
      </x:c>
      <x:c r="P1206" s="23" t="n">
        <x:v>25.034188721162536</x:v>
      </x:c>
      <x:c r="Q1206" s="23" t="n">
        <x:v>0.042179877888770534</x:v>
      </x:c>
    </x:row>
    <x:row r="1207">
      <x:c r="A1207" s="23" t="str">
        <x:v>Switching</x:v>
      </x:c>
      <x:c r="B1207" s="23" t="n">
        <x:v>981.7054989398457</x:v>
      </x:c>
      <x:c r="C1207" s="23" t="n">
        <x:v>1167.809851304628</x:v>
      </x:c>
      <x:c r="D1207" s="23" t="n">
        <x:v>378.42278042808175</x:v>
      </x:c>
      <x:c r="E1207" s="23" t="n">
        <x:v>156.8870261963457</x:v>
      </x:c>
      <x:c r="F1207" s="23" t="n">
        <x:v>24.394088965374976</x:v>
      </x:c>
      <x:c r="G1207" s="23" t="n">
        <x:v>0.8413182287709788</x:v>
      </x:c>
      <x:c r="H1207" s="23" t="n">
        <x:v>14650</x:v>
      </x:c>
      <x:c r="I1207" s="23" t="n">
        <x:v>1200</x:v>
      </x:c>
      <x:c r="J1207" s="23" t="n">
        <x:f>(IF(A1207='Hybrid Calculator'!$B$6,0,1))^2+((B1207-'Hybrid Calculator'!$B$7)/1500)^2+((C1207-'Hybrid Calculator'!$B$8)/1300)^2+((D1207-'Hybrid Calculator'!$B$9)/800)^2+((E1207-'Hybrid Calculator'!$B$10)/350)^2+((F1207-'Hybrid Calculator'!$B$11)/30)^2+(G1207-'Hybrid Calculator'!$B$12)^2+((H1207-'Hybrid Calculator'!$E$14)/IF(A1207="Lightning",100,30000))^2+((I1207-'Hybrid Calculator'!$E$17)/IF(A1207="Lightning",100,30000))^2</x:f>
        <x:v>1.4480187257789892</x:v>
      </x:c>
      <x:c r="K1207" s="23" t="n">
        <x:f>RANK(J1207,$J$2:$J$1401,1)</x:f>
        <x:v>1103</x:v>
      </x:c>
      <x:c r="L1207" s="23" t="n">
        <x:f>IF(K1207&lt;=7,1,0)</x:f>
        <x:v>0</x:v>
      </x:c>
      <x:c r="M1207" s="23" t="n">
        <x:f>IF(L1207=1,1/(J1207+0.000001),0)</x:f>
        <x:v>0</x:v>
      </x:c>
      <x:c r="N1207" s="23" t="n">
        <x:v>0.7532216019208136</x:v>
      </x:c>
      <x:c r="O1207" s="23" t="n">
        <x:f>M1207</x:f>
        <x:v>0</x:v>
      </x:c>
      <x:c r="P1207" s="23" t="n">
        <x:v>24.273220798730108</x:v>
      </x:c>
      <x:c r="Q1207" s="23" t="n">
        <x:v>-11.488173884013463</x:v>
      </x:c>
    </x:row>
    <x:row r="1208">
      <x:c r="A1208" s="23" t="str">
        <x:v>Switching</x:v>
      </x:c>
      <x:c r="B1208" s="23" t="n">
        <x:v>985.2553543401882</x:v>
      </x:c>
      <x:c r="C1208" s="23" t="n">
        <x:v>617.7376233623363</x:v>
      </x:c>
      <x:c r="D1208" s="23" t="n">
        <x:v>701.367000117898</x:v>
      </x:c>
      <x:c r="E1208" s="23" t="n">
        <x:v>111.4365208032541</x:v>
      </x:c>
      <x:c r="F1208" s="23" t="n">
        <x:v>24.175018616952002</x:v>
      </x:c>
      <x:c r="G1208" s="23" t="n">
        <x:v>0.8474537009256893</x:v>
      </x:c>
      <x:c r="H1208" s="23" t="n">
        <x:v>17440</x:v>
      </x:c>
      <x:c r="I1208" s="23" t="n">
        <x:v>1200</x:v>
      </x:c>
      <x:c r="J1208" s="23" t="n">
        <x:f>(IF(A1208='Hybrid Calculator'!$B$6,0,1))^2+((B1208-'Hybrid Calculator'!$B$7)/1500)^2+((C1208-'Hybrid Calculator'!$B$8)/1300)^2+((D1208-'Hybrid Calculator'!$B$9)/800)^2+((E1208-'Hybrid Calculator'!$B$10)/350)^2+((F1208-'Hybrid Calculator'!$B$11)/30)^2+(G1208-'Hybrid Calculator'!$B$12)^2+((H1208-'Hybrid Calculator'!$E$14)/IF(A1208="Lightning",100,30000))^2+((I1208-'Hybrid Calculator'!$E$17)/IF(A1208="Lightning",100,30000))^2</x:f>
        <x:v>1.5674478695660459</x:v>
      </x:c>
      <x:c r="K1208" s="23" t="n">
        <x:f>RANK(J1208,$J$2:$J$1401,1)</x:f>
        <x:v>1325</x:v>
      </x:c>
      <x:c r="L1208" s="23" t="n">
        <x:f>IF(K1208&lt;=7,1,0)</x:f>
        <x:v>0</x:v>
      </x:c>
      <x:c r="M1208" s="23" t="n">
        <x:f>IF(L1208=1,1/(J1208+0.000001),0)</x:f>
        <x:v>0</x:v>
      </x:c>
      <x:c r="N1208" s="23" t="n">
        <x:v>-0.946412248146487</x:v>
      </x:c>
      <x:c r="O1208" s="23" t="n">
        <x:f>M1208</x:f>
        <x:v>0</x:v>
      </x:c>
      <x:c r="P1208" s="23" t="n">
        <x:v>-59.90757385590041</x:v>
      </x:c>
      <x:c r="Q1208" s="23" t="n">
        <x:v>-1.06234726809339</x:v>
      </x:c>
    </x:row>
    <x:row r="1209">
      <x:c r="A1209" s="23" t="str">
        <x:v>Switching</x:v>
      </x:c>
      <x:c r="B1209" s="23" t="n">
        <x:v>1053.8647745153867</x:v>
      </x:c>
      <x:c r="C1209" s="23" t="n">
        <x:v>813.2451530080289</x:v>
      </x:c>
      <x:c r="D1209" s="23" t="n">
        <x:v>375.6953055970371</x:v>
      </x:c>
      <x:c r="E1209" s="23" t="n">
        <x:v>188.1100607989356</x:v>
      </x:c>
      <x:c r="F1209" s="23" t="n">
        <x:v>26.301214050035924</x:v>
      </x:c>
      <x:c r="G1209" s="23" t="n">
        <x:v>0.8075322364270687</x:v>
      </x:c>
      <x:c r="H1209" s="23" t="n">
        <x:v>15530</x:v>
      </x:c>
      <x:c r="I1209" s="23" t="n">
        <x:v>1200</x:v>
      </x:c>
      <x:c r="J1209" s="23" t="n">
        <x:f>(IF(A1209='Hybrid Calculator'!$B$6,0,1))^2+((B1209-'Hybrid Calculator'!$B$7)/1500)^2+((C1209-'Hybrid Calculator'!$B$8)/1300)^2+((D1209-'Hybrid Calculator'!$B$9)/800)^2+((E1209-'Hybrid Calculator'!$B$10)/350)^2+((F1209-'Hybrid Calculator'!$B$11)/30)^2+(G1209-'Hybrid Calculator'!$B$12)^2+((H1209-'Hybrid Calculator'!$E$14)/IF(A1209="Lightning",100,30000))^2+((I1209-'Hybrid Calculator'!$E$17)/IF(A1209="Lightning",100,30000))^2</x:f>
        <x:v>1.4335836093123897</x:v>
      </x:c>
      <x:c r="K1209" s="23" t="n">
        <x:f>RANK(J1209,$J$2:$J$1401,1)</x:f>
        <x:v>1065</x:v>
      </x:c>
      <x:c r="L1209" s="23" t="n">
        <x:f>IF(K1209&lt;=7,1,0)</x:f>
        <x:v>0</x:v>
      </x:c>
      <x:c r="M1209" s="23" t="n">
        <x:f>IF(L1209=1,1/(J1209+0.000001),0)</x:f>
        <x:v>0</x:v>
      </x:c>
      <x:c r="N1209" s="23" t="n">
        <x:v>-5.387999510699956</x:v>
      </x:c>
      <x:c r="O1209" s="23" t="n">
        <x:f>M1209</x:f>
        <x:v>0</x:v>
      </x:c>
      <x:c r="P1209" s="23" t="n">
        <x:v>-25.670141112787405</x:v>
      </x:c>
      <x:c r="Q1209" s="23" t="n">
        <x:v>-5.067917456008445</x:v>
      </x:c>
    </x:row>
    <x:row r="1210">
      <x:c r="A1210" s="23" t="str">
        <x:v>Switching</x:v>
      </x:c>
      <x:c r="B1210" s="23" t="n">
        <x:v>999.2491255979985</x:v>
      </x:c>
      <x:c r="C1210" s="23" t="n">
        <x:v>973.5168856452219</x:v>
      </x:c>
      <x:c r="D1210" s="23" t="n">
        <x:v>410.014027915895</x:v>
      </x:c>
      <x:c r="E1210" s="23" t="n">
        <x:v>170.1524338987656</x:v>
      </x:c>
      <x:c r="F1210" s="23" t="n">
        <x:v>11.43660556897521</x:v>
      </x:c>
      <x:c r="G1210" s="23" t="n">
        <x:v>0.8316124350228348</x:v>
      </x:c>
      <x:c r="H1210" s="23" t="n">
        <x:v>13765</x:v>
      </x:c>
      <x:c r="I1210" s="23" t="n">
        <x:v>1200</x:v>
      </x:c>
      <x:c r="J1210" s="23" t="n">
        <x:f>(IF(A1210='Hybrid Calculator'!$B$6,0,1))^2+((B1210-'Hybrid Calculator'!$B$7)/1500)^2+((C1210-'Hybrid Calculator'!$B$8)/1300)^2+((D1210-'Hybrid Calculator'!$B$9)/800)^2+((E1210-'Hybrid Calculator'!$B$10)/350)^2+((F1210-'Hybrid Calculator'!$B$11)/30)^2+(G1210-'Hybrid Calculator'!$B$12)^2+((H1210-'Hybrid Calculator'!$E$14)/IF(A1210="Lightning",100,30000))^2+((I1210-'Hybrid Calculator'!$E$17)/IF(A1210="Lightning",100,30000))^2</x:f>
        <x:v>1.371662018157418</x:v>
      </x:c>
      <x:c r="K1210" s="23" t="n">
        <x:f>RANK(J1210,$J$2:$J$1401,1)</x:f>
        <x:v>895</x:v>
      </x:c>
      <x:c r="L1210" s="23" t="n">
        <x:f>IF(K1210&lt;=7,1,0)</x:f>
        <x:v>0</x:v>
      </x:c>
      <x:c r="M1210" s="23" t="n">
        <x:f>IF(L1210=1,1/(J1210+0.000001),0)</x:f>
        <x:v>0</x:v>
      </x:c>
      <x:c r="N1210" s="23" t="n">
        <x:v>0.30235324171684397</x:v>
      </x:c>
      <x:c r="O1210" s="23" t="n">
        <x:f>M1210</x:f>
        <x:v>0</x:v>
      </x:c>
      <x:c r="P1210" s="23" t="n">
        <x:v>-29.67184041775363</x:v>
      </x:c>
      <x:c r="Q1210" s="23" t="n">
        <x:v>8.863806817929685</x:v>
      </x:c>
    </x:row>
    <x:row r="1211">
      <x:c r="A1211" s="23" t="str">
        <x:v>Switching</x:v>
      </x:c>
      <x:c r="B1211" s="23" t="n">
        <x:v>986.4891495672055</x:v>
      </x:c>
      <x:c r="C1211" s="23" t="n">
        <x:v>760.7387105701491</x:v>
      </x:c>
      <x:c r="D1211" s="23" t="n">
        <x:v>415.01905219629407</x:v>
      </x:c>
      <x:c r="E1211" s="23" t="n">
        <x:v>287.6776409521699</x:v>
      </x:c>
      <x:c r="F1211" s="23" t="n">
        <x:v>24.220415534917265</x:v>
      </x:c>
      <x:c r="G1211" s="23" t="n">
        <x:v>0.8293328522471711</x:v>
      </x:c>
      <x:c r="H1211" s="23" t="n">
        <x:v>17050</x:v>
      </x:c>
      <x:c r="I1211" s="23" t="n">
        <x:v>1200</x:v>
      </x:c>
      <x:c r="J1211" s="23" t="n">
        <x:f>(IF(A1211='Hybrid Calculator'!$B$6,0,1))^2+((B1211-'Hybrid Calculator'!$B$7)/1500)^2+((C1211-'Hybrid Calculator'!$B$8)/1300)^2+((D1211-'Hybrid Calculator'!$B$9)/800)^2+((E1211-'Hybrid Calculator'!$B$10)/350)^2+((F1211-'Hybrid Calculator'!$B$11)/30)^2+(G1211-'Hybrid Calculator'!$B$12)^2+((H1211-'Hybrid Calculator'!$E$14)/IF(A1211="Lightning",100,30000))^2+((I1211-'Hybrid Calculator'!$E$17)/IF(A1211="Lightning",100,30000))^2</x:f>
        <x:v>1.6152886314940964</x:v>
      </x:c>
      <x:c r="K1211" s="23" t="n">
        <x:f>RANK(J1211,$J$2:$J$1401,1)</x:f>
        <x:v>1362</x:v>
      </x:c>
      <x:c r="L1211" s="23" t="n">
        <x:f>IF(K1211&lt;=7,1,0)</x:f>
        <x:v>0</x:v>
      </x:c>
      <x:c r="M1211" s="23" t="n">
        <x:f>IF(L1211=1,1/(J1211+0.000001),0)</x:f>
        <x:v>0</x:v>
      </x:c>
      <x:c r="N1211" s="23" t="n">
        <x:v>-2.981550157038413</x:v>
      </x:c>
      <x:c r="O1211" s="23" t="n">
        <x:f>M1211</x:f>
        <x:v>0</x:v>
      </x:c>
      <x:c r="P1211" s="23" t="n">
        <x:v>-39.05619160142578</x:v>
      </x:c>
      <x:c r="Q1211" s="23" t="n">
        <x:v>-1.1488297755955728</x:v>
      </x:c>
    </x:row>
    <x:row r="1212">
      <x:c r="A1212" s="23" t="str">
        <x:v>Switching</x:v>
      </x:c>
      <x:c r="B1212" s="23" t="n">
        <x:v>980.80564069096</x:v>
      </x:c>
      <x:c r="C1212" s="23" t="n">
        <x:v>792.7523697842844</x:v>
      </x:c>
      <x:c r="D1212" s="23" t="n">
        <x:v>744.9288420379162</x:v>
      </x:c>
      <x:c r="E1212" s="23" t="n">
        <x:v>220.7627197331749</x:v>
      </x:c>
      <x:c r="F1212" s="23" t="n">
        <x:v>19.007115340791643</x:v>
      </x:c>
      <x:c r="G1212" s="23" t="n">
        <x:v>0.795905857400503</x:v>
      </x:c>
      <x:c r="H1212" s="23" t="n">
        <x:v>12160</x:v>
      </x:c>
      <x:c r="I1212" s="23" t="n">
        <x:v>1200</x:v>
      </x:c>
      <x:c r="J1212" s="23" t="n">
        <x:f>(IF(A1212='Hybrid Calculator'!$B$6,0,1))^2+((B1212-'Hybrid Calculator'!$B$7)/1500)^2+((C1212-'Hybrid Calculator'!$B$8)/1300)^2+((D1212-'Hybrid Calculator'!$B$9)/800)^2+((E1212-'Hybrid Calculator'!$B$10)/350)^2+((F1212-'Hybrid Calculator'!$B$11)/30)^2+(G1212-'Hybrid Calculator'!$B$12)^2+((H1212-'Hybrid Calculator'!$E$14)/IF(A1212="Lightning",100,30000))^2+((I1212-'Hybrid Calculator'!$E$17)/IF(A1212="Lightning",100,30000))^2</x:f>
        <x:v>1.389590041401241</x:v>
      </x:c>
      <x:c r="K1212" s="23" t="n">
        <x:f>RANK(J1212,$J$2:$J$1401,1)</x:f>
        <x:v>950</x:v>
      </x:c>
      <x:c r="L1212" s="23" t="n">
        <x:f>IF(K1212&lt;=7,1,0)</x:f>
        <x:v>0</x:v>
      </x:c>
      <x:c r="M1212" s="23" t="n">
        <x:f>IF(L1212=1,1/(J1212+0.000001),0)</x:f>
        <x:v>0</x:v>
      </x:c>
      <x:c r="N1212" s="23" t="n">
        <x:v>-1.0095698484079207</x:v>
      </x:c>
      <x:c r="O1212" s="23" t="n">
        <x:f>M1212</x:f>
        <x:v>0</x:v>
      </x:c>
      <x:c r="P1212" s="23" t="n">
        <x:v>-37.609388871985175</x:v>
      </x:c>
      <x:c r="Q1212" s="23" t="n">
        <x:v>-1.9421848775476747</x:v>
      </x:c>
    </x:row>
    <x:row r="1213">
      <x:c r="A1213" s="23" t="str">
        <x:v>Switching</x:v>
      </x:c>
      <x:c r="B1213" s="23" t="n">
        <x:v>1074.4715059059672</x:v>
      </x:c>
      <x:c r="C1213" s="23" t="n">
        <x:v>1114.7060792893171</x:v>
      </x:c>
      <x:c r="D1213" s="23" t="n">
        <x:v>559.2758356593549</x:v>
      </x:c>
      <x:c r="E1213" s="23" t="n">
        <x:v>176.73629805911332</x:v>
      </x:c>
      <x:c r="F1213" s="23" t="n">
        <x:v>12.007857815828174</x:v>
      </x:c>
      <x:c r="G1213" s="23" t="n">
        <x:v>0.8368503216188401</x:v>
      </x:c>
      <x:c r="H1213" s="23" t="n">
        <x:v>11555</x:v>
      </x:c>
      <x:c r="I1213" s="23" t="n">
        <x:v>1195</x:v>
      </x:c>
      <x:c r="J1213" s="23" t="n">
        <x:f>(IF(A1213='Hybrid Calculator'!$B$6,0,1))^2+((B1213-'Hybrid Calculator'!$B$7)/1500)^2+((C1213-'Hybrid Calculator'!$B$8)/1300)^2+((D1213-'Hybrid Calculator'!$B$9)/800)^2+((E1213-'Hybrid Calculator'!$B$10)/350)^2+((F1213-'Hybrid Calculator'!$B$11)/30)^2+(G1213-'Hybrid Calculator'!$B$12)^2+((H1213-'Hybrid Calculator'!$E$14)/IF(A1213="Lightning",100,30000))^2+((I1213-'Hybrid Calculator'!$E$17)/IF(A1213="Lightning",100,30000))^2</x:f>
        <x:v>1.3031036953415713</x:v>
      </x:c>
      <x:c r="K1213" s="23" t="n">
        <x:f>RANK(J1213,$J$2:$J$1401,1)</x:f>
        <x:v>736</x:v>
      </x:c>
      <x:c r="L1213" s="23" t="n">
        <x:f>IF(K1213&lt;=7,1,0)</x:f>
        <x:v>0</x:v>
      </x:c>
      <x:c r="M1213" s="23" t="n">
        <x:f>IF(L1213=1,1/(J1213+0.000001),0)</x:f>
        <x:v>0</x:v>
      </x:c>
      <x:c r="N1213" s="23" t="n">
        <x:v>3.7931528573634523</x:v>
      </x:c>
      <x:c r="O1213" s="23" t="n">
        <x:f>M1213</x:f>
        <x:v>0</x:v>
      </x:c>
      <x:c r="P1213" s="23" t="n">
        <x:v>18.03094417742477</x:v>
      </x:c>
      <x:c r="Q1213" s="23" t="n">
        <x:v>-4.554775400133394</x:v>
      </x:c>
    </x:row>
    <x:row r="1214">
      <x:c r="A1214" s="23" t="str">
        <x:v>Switching</x:v>
      </x:c>
      <x:c r="B1214" s="23" t="n">
        <x:v>1001.1637317948043</x:v>
      </x:c>
      <x:c r="C1214" s="23" t="n">
        <x:v>1016.329084651079</x:v>
      </x:c>
      <x:c r="D1214" s="23" t="n">
        <x:v>733.4295505657792</x:v>
      </x:c>
      <x:c r="E1214" s="23" t="n">
        <x:v>184.42668298492208</x:v>
      </x:c>
      <x:c r="F1214" s="23" t="n">
        <x:v>19.749097416177392</x:v>
      </x:c>
      <x:c r="G1214" s="23" t="n">
        <x:v>0.8331777756963857</x:v>
      </x:c>
      <x:c r="H1214" s="23" t="n">
        <x:v>11055</x:v>
      </x:c>
      <x:c r="I1214" s="23" t="n">
        <x:v>1195</x:v>
      </x:c>
      <x:c r="J1214" s="23" t="n">
        <x:f>(IF(A1214='Hybrid Calculator'!$B$6,0,1))^2+((B1214-'Hybrid Calculator'!$B$7)/1500)^2+((C1214-'Hybrid Calculator'!$B$8)/1300)^2+((D1214-'Hybrid Calculator'!$B$9)/800)^2+((E1214-'Hybrid Calculator'!$B$10)/350)^2+((F1214-'Hybrid Calculator'!$B$11)/30)^2+(G1214-'Hybrid Calculator'!$B$12)^2+((H1214-'Hybrid Calculator'!$E$14)/IF(A1214="Lightning",100,30000))^2+((I1214-'Hybrid Calculator'!$E$17)/IF(A1214="Lightning",100,30000))^2</x:f>
        <x:v>1.3290184296164154</x:v>
      </x:c>
      <x:c r="K1214" s="23" t="n">
        <x:f>RANK(J1214,$J$2:$J$1401,1)</x:f>
        <x:v>774</x:v>
      </x:c>
      <x:c r="L1214" s="23" t="n">
        <x:f>IF(K1214&lt;=7,1,0)</x:f>
        <x:v>0</x:v>
      </x:c>
      <x:c r="M1214" s="23" t="n">
        <x:f>IF(L1214=1,1/(J1214+0.000001),0)</x:f>
        <x:v>0</x:v>
      </x:c>
      <x:c r="N1214" s="23" t="n">
        <x:v>1.3451362500213975</x:v>
      </x:c>
      <x:c r="O1214" s="23" t="n">
        <x:f>M1214</x:f>
        <x:v>0</x:v>
      </x:c>
      <x:c r="P1214" s="23" t="n">
        <x:v>19.123249326919904</x:v>
      </x:c>
      <x:c r="Q1214" s="23" t="n">
        <x:v>-6.954728996133667</x:v>
      </x:c>
    </x:row>
    <x:row r="1215">
      <x:c r="A1215" s="23" t="str">
        <x:v>Switching</x:v>
      </x:c>
      <x:c r="B1215" s="23" t="n">
        <x:v>1068.8529086881317</x:v>
      </x:c>
      <x:c r="C1215" s="23" t="n">
        <x:v>700.7253363030031</x:v>
      </x:c>
      <x:c r="D1215" s="23" t="n">
        <x:v>530.8331930078566</x:v>
      </x:c>
      <x:c r="E1215" s="23" t="n">
        <x:v>245.63661978580058</x:v>
      </x:c>
      <x:c r="F1215" s="23" t="n">
        <x:v>17.11380385654047</x:v>
      </x:c>
      <x:c r="G1215" s="23" t="n">
        <x:v>0.8395021018246189</x:v>
      </x:c>
      <x:c r="H1215" s="23" t="n">
        <x:v>14475</x:v>
      </x:c>
      <x:c r="I1215" s="23" t="n">
        <x:v>1200</x:v>
      </x:c>
      <x:c r="J1215" s="23" t="n">
        <x:f>(IF(A1215='Hybrid Calculator'!$B$6,0,1))^2+((B1215-'Hybrid Calculator'!$B$7)/1500)^2+((C1215-'Hybrid Calculator'!$B$8)/1300)^2+((D1215-'Hybrid Calculator'!$B$9)/800)^2+((E1215-'Hybrid Calculator'!$B$10)/350)^2+((F1215-'Hybrid Calculator'!$B$11)/30)^2+(G1215-'Hybrid Calculator'!$B$12)^2+((H1215-'Hybrid Calculator'!$E$14)/IF(A1215="Lightning",100,30000))^2+((I1215-'Hybrid Calculator'!$E$17)/IF(A1215="Lightning",100,30000))^2</x:f>
        <x:v>1.3809585628343373</x:v>
      </x:c>
      <x:c r="K1215" s="23" t="n">
        <x:f>RANK(J1215,$J$2:$J$1401,1)</x:f>
        <x:v>920</x:v>
      </x:c>
      <x:c r="L1215" s="23" t="n">
        <x:f>IF(K1215&lt;=7,1,0)</x:f>
        <x:v>0</x:v>
      </x:c>
      <x:c r="M1215" s="23" t="n">
        <x:f>IF(L1215=1,1/(J1215+0.000001),0)</x:f>
        <x:v>0</x:v>
      </x:c>
      <x:c r="N1215" s="23" t="n">
        <x:v>-2.1550411139553205</x:v>
      </x:c>
      <x:c r="O1215" s="23" t="n">
        <x:f>M1215</x:f>
        <x:v>0</x:v>
      </x:c>
      <x:c r="P1215" s="23" t="n">
        <x:v>3.8522260475406256</x:v>
      </x:c>
      <x:c r="Q1215" s="23" t="n">
        <x:v>0.34516026082678763</x:v>
      </x:c>
    </x:row>
    <x:row r="1216">
      <x:c r="A1216" s="23" t="str">
        <x:v>Switching</x:v>
      </x:c>
      <x:c r="B1216" s="23" t="n">
        <x:v>1041.941724321805</x:v>
      </x:c>
      <x:c r="C1216" s="23" t="n">
        <x:v>747.710109280888</x:v>
      </x:c>
      <x:c r="D1216" s="23" t="n">
        <x:v>518.0584322661161</x:v>
      </x:c>
      <x:c r="E1216" s="23" t="n">
        <x:v>302.7468413184397</x:v>
      </x:c>
      <x:c r="F1216" s="23" t="n">
        <x:v>29.565506075508893</x:v>
      </x:c>
      <x:c r="G1216" s="23" t="n">
        <x:v>0.812889464951586</x:v>
      </x:c>
      <x:c r="H1216" s="23" t="n">
        <x:v>13635</x:v>
      </x:c>
      <x:c r="I1216" s="23" t="n">
        <x:v>1200</x:v>
      </x:c>
      <x:c r="J1216" s="23" t="n">
        <x:f>(IF(A1216='Hybrid Calculator'!$B$6,0,1))^2+((B1216-'Hybrid Calculator'!$B$7)/1500)^2+((C1216-'Hybrid Calculator'!$B$8)/1300)^2+((D1216-'Hybrid Calculator'!$B$9)/800)^2+((E1216-'Hybrid Calculator'!$B$10)/350)^2+((F1216-'Hybrid Calculator'!$B$11)/30)^2+(G1216-'Hybrid Calculator'!$B$12)^2+((H1216-'Hybrid Calculator'!$E$14)/IF(A1216="Lightning",100,30000))^2+((I1216-'Hybrid Calculator'!$E$17)/IF(A1216="Lightning",100,30000))^2</x:f>
        <x:v>1.6050708577072723</x:v>
      </x:c>
      <x:c r="K1216" s="23" t="n">
        <x:f>RANK(J1216,$J$2:$J$1401,1)</x:f>
        <x:v>1356</x:v>
      </x:c>
      <x:c r="L1216" s="23" t="n">
        <x:f>IF(K1216&lt;=7,1,0)</x:f>
        <x:v>0</x:v>
      </x:c>
      <x:c r="M1216" s="23" t="n">
        <x:f>IF(L1216=1,1/(J1216+0.000001),0)</x:f>
        <x:v>0</x:v>
      </x:c>
      <x:c r="N1216" s="23" t="n">
        <x:v>-3.5070636510743043</x:v>
      </x:c>
      <x:c r="O1216" s="23" t="n">
        <x:f>M1216</x:f>
        <x:v>0</x:v>
      </x:c>
      <x:c r="P1216" s="23" t="n">
        <x:v>-50.58498953284561</x:v>
      </x:c>
      <x:c r="Q1216" s="23" t="n">
        <x:v>-3.04690240982427</x:v>
      </x:c>
    </x:row>
    <x:row r="1217">
      <x:c r="A1217" s="23" t="str">
        <x:v>Switching</x:v>
      </x:c>
      <x:c r="B1217" s="23" t="n">
        <x:v>1092.8434766246937</x:v>
      </x:c>
      <x:c r="C1217" s="23" t="n">
        <x:v>917.8019617218524</x:v>
      </x:c>
      <x:c r="D1217" s="23" t="n">
        <x:v>727.7103069238365</x:v>
      </x:c>
      <x:c r="E1217" s="23" t="n">
        <x:v>294.4122425233945</x:v>
      </x:c>
      <x:c r="F1217" s="23" t="n">
        <x:v>16.536285690497607</x:v>
      </x:c>
      <x:c r="G1217" s="23" t="n">
        <x:v>0.8286033166013659</x:v>
      </x:c>
      <x:c r="H1217" s="23" t="n">
        <x:v>11025</x:v>
      </x:c>
      <x:c r="I1217" s="23" t="n">
        <x:v>1195</x:v>
      </x:c>
      <x:c r="J1217" s="23" t="n">
        <x:f>(IF(A1217='Hybrid Calculator'!$B$6,0,1))^2+((B1217-'Hybrid Calculator'!$B$7)/1500)^2+((C1217-'Hybrid Calculator'!$B$8)/1300)^2+((D1217-'Hybrid Calculator'!$B$9)/800)^2+((E1217-'Hybrid Calculator'!$B$10)/350)^2+((F1217-'Hybrid Calculator'!$B$11)/30)^2+(G1217-'Hybrid Calculator'!$B$12)^2+((H1217-'Hybrid Calculator'!$E$14)/IF(A1217="Lightning",100,30000))^2+((I1217-'Hybrid Calculator'!$E$17)/IF(A1217="Lightning",100,30000))^2</x:f>
        <x:v>1.4427312827644447</x:v>
      </x:c>
      <x:c r="K1217" s="23" t="n">
        <x:f>RANK(J1217,$J$2:$J$1401,1)</x:f>
        <x:v>1092</x:v>
      </x:c>
      <x:c r="L1217" s="23" t="n">
        <x:f>IF(K1217&lt;=7,1,0)</x:f>
        <x:v>0</x:v>
      </x:c>
      <x:c r="M1217" s="23" t="n">
        <x:f>IF(L1217=1,1/(J1217+0.000001),0)</x:f>
        <x:v>0</x:v>
      </x:c>
      <x:c r="N1217" s="23" t="n">
        <x:v>3.7417539068613905</x:v>
      </x:c>
      <x:c r="O1217" s="23" t="n">
        <x:f>M1217</x:f>
        <x:v>0</x:v>
      </x:c>
      <x:c r="P1217" s="23" t="n">
        <x:v>46.848569414486064</x:v>
      </x:c>
      <x:c r="Q1217" s="23" t="n">
        <x:v>-1.7033090287418418</x:v>
      </x:c>
    </x:row>
    <x:row r="1218">
      <x:c r="A1218" s="23" t="str">
        <x:v>Switching</x:v>
      </x:c>
      <x:c r="B1218" s="23" t="n">
        <x:v>950.3661470953375</x:v>
      </x:c>
      <x:c r="C1218" s="23" t="n">
        <x:v>801.0842712479644</x:v>
      </x:c>
      <x:c r="D1218" s="23" t="n">
        <x:v>503.87273859232664</x:v>
      </x:c>
      <x:c r="E1218" s="23" t="n">
        <x:v>276.6453635250218</x:v>
      </x:c>
      <x:c r="F1218" s="23" t="n">
        <x:v>24.080986253917217</x:v>
      </x:c>
      <x:c r="G1218" s="23" t="n">
        <x:v>0.811756626686547</x:v>
      </x:c>
      <x:c r="H1218" s="23" t="n">
        <x:v>15775</x:v>
      </x:c>
      <x:c r="I1218" s="23" t="n">
        <x:v>1200</x:v>
      </x:c>
      <x:c r="J1218" s="23" t="n">
        <x:f>(IF(A1218='Hybrid Calculator'!$B$6,0,1))^2+((B1218-'Hybrid Calculator'!$B$7)/1500)^2+((C1218-'Hybrid Calculator'!$B$8)/1300)^2+((D1218-'Hybrid Calculator'!$B$9)/800)^2+((E1218-'Hybrid Calculator'!$B$10)/350)^2+((F1218-'Hybrid Calculator'!$B$11)/30)^2+(G1218-'Hybrid Calculator'!$B$12)^2+((H1218-'Hybrid Calculator'!$E$14)/IF(A1218="Lightning",100,30000))^2+((I1218-'Hybrid Calculator'!$E$17)/IF(A1218="Lightning",100,30000))^2</x:f>
        <x:v>1.5434544149580296</x:v>
      </x:c>
      <x:c r="K1218" s="23" t="n">
        <x:f>RANK(J1218,$J$2:$J$1401,1)</x:f>
        <x:v>1287</x:v>
      </x:c>
      <x:c r="L1218" s="23" t="n">
        <x:f>IF(K1218&lt;=7,1,0)</x:f>
        <x:v>0</x:v>
      </x:c>
      <x:c r="M1218" s="23" t="n">
        <x:f>IF(L1218=1,1/(J1218+0.000001),0)</x:f>
        <x:v>0</x:v>
      </x:c>
      <x:c r="N1218" s="23" t="n">
        <x:v>-1.2001681531206145</x:v>
      </x:c>
      <x:c r="O1218" s="23" t="n">
        <x:f>M1218</x:f>
        <x:v>0</x:v>
      </x:c>
      <x:c r="P1218" s="23" t="n">
        <x:v>-30.575804158113897</x:v>
      </x:c>
      <x:c r="Q1218" s="23" t="n">
        <x:v>1.6470592957024337</x:v>
      </x:c>
    </x:row>
    <x:row r="1219">
      <x:c r="A1219" s="23" t="str">
        <x:v>Switching</x:v>
      </x:c>
      <x:c r="B1219" s="23" t="n">
        <x:v>1006.0816249926575</x:v>
      </x:c>
      <x:c r="C1219" s="23" t="n">
        <x:v>1043.0880959844217</x:v>
      </x:c>
      <x:c r="D1219" s="23" t="n">
        <x:v>606.2539395876229</x:v>
      </x:c>
      <x:c r="E1219" s="23" t="n">
        <x:v>319.51204819604754</x:v>
      </x:c>
      <x:c r="F1219" s="23" t="n">
        <x:v>16.891565694008023</x:v>
      </x:c>
      <x:c r="G1219" s="23" t="n">
        <x:v>0.7982100903382525</x:v>
      </x:c>
      <x:c r="H1219" s="23" t="n">
        <x:v>10860</x:v>
      </x:c>
      <x:c r="I1219" s="23" t="n">
        <x:v>1195</x:v>
      </x:c>
      <x:c r="J1219" s="23" t="n">
        <x:f>(IF(A1219='Hybrid Calculator'!$B$6,0,1))^2+((B1219-'Hybrid Calculator'!$B$7)/1500)^2+((C1219-'Hybrid Calculator'!$B$8)/1300)^2+((D1219-'Hybrid Calculator'!$B$9)/800)^2+((E1219-'Hybrid Calculator'!$B$10)/350)^2+((F1219-'Hybrid Calculator'!$B$11)/30)^2+(G1219-'Hybrid Calculator'!$B$12)^2+((H1219-'Hybrid Calculator'!$E$14)/IF(A1219="Lightning",100,30000))^2+((I1219-'Hybrid Calculator'!$E$17)/IF(A1219="Lightning",100,30000))^2</x:f>
        <x:v>1.4869745550583966</x:v>
      </x:c>
      <x:c r="K1219" s="23" t="n">
        <x:f>RANK(J1219,$J$2:$J$1401,1)</x:f>
        <x:v>1187</x:v>
      </x:c>
      <x:c r="L1219" s="23" t="n">
        <x:f>IF(K1219&lt;=7,1,0)</x:f>
        <x:v>0</x:v>
      </x:c>
      <x:c r="M1219" s="23" t="n">
        <x:f>IF(L1219=1,1/(J1219+0.000001),0)</x:f>
        <x:v>0</x:v>
      </x:c>
      <x:c r="N1219" s="23" t="n">
        <x:v>1.6431034147552737</x:v>
      </x:c>
      <x:c r="O1219" s="23" t="n">
        <x:f>M1219</x:f>
        <x:v>0</x:v>
      </x:c>
      <x:c r="P1219" s="23" t="n">
        <x:v>-16.05286380193502</x:v>
      </x:c>
      <x:c r="Q1219" s="23" t="n">
        <x:v>-9.5609686796613</x:v>
      </x:c>
    </x:row>
    <x:row r="1220">
      <x:c r="A1220" s="23" t="str">
        <x:v>Switching</x:v>
      </x:c>
      <x:c r="B1220" s="23" t="n">
        <x:v>955.3444021847099</x:v>
      </x:c>
      <x:c r="C1220" s="23" t="n">
        <x:v>714.645700796973</x:v>
      </x:c>
      <x:c r="D1220" s="23" t="n">
        <x:v>681.4235469326377</x:v>
      </x:c>
      <x:c r="E1220" s="23" t="n">
        <x:v>126.17827368201688</x:v>
      </x:c>
      <x:c r="F1220" s="23" t="n">
        <x:v>25.601544607430696</x:v>
      </x:c>
      <x:c r="G1220" s="23" t="n">
        <x:v>0.7970992058538832</x:v>
      </x:c>
      <x:c r="H1220" s="23" t="n">
        <x:v>16390</x:v>
      </x:c>
      <x:c r="I1220" s="23" t="n">
        <x:v>1200</x:v>
      </x:c>
      <x:c r="J1220" s="23" t="n">
        <x:f>(IF(A1220='Hybrid Calculator'!$B$6,0,1))^2+((B1220-'Hybrid Calculator'!$B$7)/1500)^2+((C1220-'Hybrid Calculator'!$B$8)/1300)^2+((D1220-'Hybrid Calculator'!$B$9)/800)^2+((E1220-'Hybrid Calculator'!$B$10)/350)^2+((F1220-'Hybrid Calculator'!$B$11)/30)^2+(G1220-'Hybrid Calculator'!$B$12)^2+((H1220-'Hybrid Calculator'!$E$14)/IF(A1220="Lightning",100,30000))^2+((I1220-'Hybrid Calculator'!$E$17)/IF(A1220="Lightning",100,30000))^2</x:f>
        <x:v>1.5196917426518324</x:v>
      </x:c>
      <x:c r="K1220" s="23" t="n">
        <x:f>RANK(J1220,$J$2:$J$1401,1)</x:f>
        <x:v>1247</x:v>
      </x:c>
      <x:c r="L1220" s="23" t="n">
        <x:f>IF(K1220&lt;=7,1,0)</x:f>
        <x:v>0</x:v>
      </x:c>
      <x:c r="M1220" s="23" t="n">
        <x:f>IF(L1220=1,1/(J1220+0.000001),0)</x:f>
        <x:v>0</x:v>
      </x:c>
      <x:c r="N1220" s="23" t="n">
        <x:v>-0.30408527719453105</x:v>
      </x:c>
      <x:c r="O1220" s="23" t="n">
        <x:f>M1220</x:f>
        <x:v>0</x:v>
      </x:c>
      <x:c r="P1220" s="23" t="n">
        <x:v>-39.13490572142837</x:v>
      </x:c>
      <x:c r="Q1220" s="23" t="n">
        <x:v>-2.535245432068564</x:v>
      </x:c>
    </x:row>
    <x:row r="1221">
      <x:c r="A1221" s="23" t="str">
        <x:v>Switching</x:v>
      </x:c>
      <x:c r="B1221" s="23" t="n">
        <x:v>982.7002572012134</x:v>
      </x:c>
      <x:c r="C1221" s="23" t="n">
        <x:v>951.1215311242267</x:v>
      </x:c>
      <x:c r="D1221" s="23" t="n">
        <x:v>731.562299001962</x:v>
      </x:c>
      <x:c r="E1221" s="23" t="n">
        <x:v>130.10839365422726</x:v>
      </x:c>
      <x:c r="F1221" s="23" t="n">
        <x:v>28.50085803354159</x:v>
      </x:c>
      <x:c r="G1221" s="23" t="n">
        <x:v>0.84699201523792</x:v>
      </x:c>
      <x:c r="H1221" s="23" t="n">
        <x:v>13765</x:v>
      </x:c>
      <x:c r="I1221" s="23" t="n">
        <x:v>1200</x:v>
      </x:c>
      <x:c r="J1221" s="23" t="n">
        <x:f>(IF(A1221='Hybrid Calculator'!$B$6,0,1))^2+((B1221-'Hybrid Calculator'!$B$7)/1500)^2+((C1221-'Hybrid Calculator'!$B$8)/1300)^2+((D1221-'Hybrid Calculator'!$B$9)/800)^2+((E1221-'Hybrid Calculator'!$B$10)/350)^2+((F1221-'Hybrid Calculator'!$B$11)/30)^2+(G1221-'Hybrid Calculator'!$B$12)^2+((H1221-'Hybrid Calculator'!$E$14)/IF(A1221="Lightning",100,30000))^2+((I1221-'Hybrid Calculator'!$E$17)/IF(A1221="Lightning",100,30000))^2</x:f>
        <x:v>1.5024039910386224</x:v>
      </x:c>
      <x:c r="K1221" s="23" t="n">
        <x:f>RANK(J1221,$J$2:$J$1401,1)</x:f>
        <x:v>1213</x:v>
      </x:c>
      <x:c r="L1221" s="23" t="n">
        <x:f>IF(K1221&lt;=7,1,0)</x:f>
        <x:v>0</x:v>
      </x:c>
      <x:c r="M1221" s="23" t="n">
        <x:f>IF(L1221=1,1/(J1221+0.000001),0)</x:f>
        <x:v>0</x:v>
      </x:c>
      <x:c r="N1221" s="23" t="n">
        <x:v>-1.6047744524082361</x:v>
      </x:c>
      <x:c r="O1221" s="23" t="n">
        <x:f>M1221</x:f>
        <x:v>0</x:v>
      </x:c>
      <x:c r="P1221" s="23" t="n">
        <x:v>-9.70684529781147</x:v>
      </x:c>
      <x:c r="Q1221" s="23" t="n">
        <x:v>-11.884935692430304</x:v>
      </x:c>
    </x:row>
    <x:row r="1222">
      <x:c r="A1222" s="23" t="str">
        <x:v>Switching</x:v>
      </x:c>
      <x:c r="B1222" s="23" t="n">
        <x:v>1043.6201175907627</x:v>
      </x:c>
      <x:c r="C1222" s="23" t="n">
        <x:v>650.4528273944743</x:v>
      </x:c>
      <x:c r="D1222" s="23" t="n">
        <x:v>439.8233659565449</x:v>
      </x:c>
      <x:c r="E1222" s="23" t="n">
        <x:v>162.9037543735467</x:v>
      </x:c>
      <x:c r="F1222" s="23" t="n">
        <x:v>23.907374649308622</x:v>
      </x:c>
      <x:c r="G1222" s="23" t="n">
        <x:v>0.8472142958431506</x:v>
      </x:c>
      <x:c r="H1222" s="23" t="n">
        <x:v>17065</x:v>
      </x:c>
      <x:c r="I1222" s="23" t="n">
        <x:v>1200</x:v>
      </x:c>
      <x:c r="J1222" s="23" t="n">
        <x:f>(IF(A1222='Hybrid Calculator'!$B$6,0,1))^2+((B1222-'Hybrid Calculator'!$B$7)/1500)^2+((C1222-'Hybrid Calculator'!$B$8)/1300)^2+((D1222-'Hybrid Calculator'!$B$9)/800)^2+((E1222-'Hybrid Calculator'!$B$10)/350)^2+((F1222-'Hybrid Calculator'!$B$11)/30)^2+(G1222-'Hybrid Calculator'!$B$12)^2+((H1222-'Hybrid Calculator'!$E$14)/IF(A1222="Lightning",100,30000))^2+((I1222-'Hybrid Calculator'!$E$17)/IF(A1222="Lightning",100,30000))^2</x:f>
        <x:v>1.4516649370699513</x:v>
      </x:c>
      <x:c r="K1222" s="23" t="n">
        <x:f>RANK(J1222,$J$2:$J$1401,1)</x:f>
        <x:v>1111</x:v>
      </x:c>
      <x:c r="L1222" s="23" t="n">
        <x:f>IF(K1222&lt;=7,1,0)</x:f>
        <x:v>0</x:v>
      </x:c>
      <x:c r="M1222" s="23" t="n">
        <x:f>IF(L1222=1,1/(J1222+0.000001),0)</x:f>
        <x:v>0</x:v>
      </x:c>
      <x:c r="N1222" s="23" t="n">
        <x:v>-0.52125272145841</x:v>
      </x:c>
      <x:c r="O1222" s="23" t="n">
        <x:f>M1222</x:f>
        <x:v>0</x:v>
      </x:c>
      <x:c r="P1222" s="23" t="n">
        <x:v>-28.07913427550693</x:v>
      </x:c>
      <x:c r="Q1222" s="23" t="n">
        <x:v>-0.3750014715819816</x:v>
      </x:c>
    </x:row>
    <x:row r="1223">
      <x:c r="A1223" s="23" t="str">
        <x:v>Switching</x:v>
      </x:c>
      <x:c r="B1223" s="23" t="n">
        <x:v>1038.7915998580866</x:v>
      </x:c>
      <x:c r="C1223" s="23" t="n">
        <x:v>1133.7105689570308</x:v>
      </x:c>
      <x:c r="D1223" s="23" t="n">
        <x:v>496.60762092098594</x:v>
      </x:c>
      <x:c r="E1223" s="23" t="n">
        <x:v>170.40043328423053</x:v>
      </x:c>
      <x:c r="F1223" s="23" t="n">
        <x:v>15.940189579036087</x:v>
      </x:c>
      <x:c r="G1223" s="23" t="n">
        <x:v>0.8448944468703121</x:v>
      </x:c>
      <x:c r="H1223" s="23" t="n">
        <x:v>11875</x:v>
      </x:c>
      <x:c r="I1223" s="23" t="n">
        <x:v>1195</x:v>
      </x:c>
      <x:c r="J1223" s="23" t="n">
        <x:f>(IF(A1223='Hybrid Calculator'!$B$6,0,1))^2+((B1223-'Hybrid Calculator'!$B$7)/1500)^2+((C1223-'Hybrid Calculator'!$B$8)/1300)^2+((D1223-'Hybrid Calculator'!$B$9)/800)^2+((E1223-'Hybrid Calculator'!$B$10)/350)^2+((F1223-'Hybrid Calculator'!$B$11)/30)^2+(G1223-'Hybrid Calculator'!$B$12)^2+((H1223-'Hybrid Calculator'!$E$14)/IF(A1223="Lightning",100,30000))^2+((I1223-'Hybrid Calculator'!$E$17)/IF(A1223="Lightning",100,30000))^2</x:f>
        <x:v>1.2821243296139166</x:v>
      </x:c>
      <x:c r="K1223" s="23" t="n">
        <x:f>RANK(J1223,$J$2:$J$1401,1)</x:f>
        <x:v>711</x:v>
      </x:c>
      <x:c r="L1223" s="23" t="n">
        <x:f>IF(K1223&lt;=7,1,0)</x:f>
        <x:v>0</x:v>
      </x:c>
      <x:c r="M1223" s="23" t="n">
        <x:f>IF(L1223=1,1/(J1223+0.000001),0)</x:f>
        <x:v>0</x:v>
      </x:c>
      <x:c r="N1223" s="23" t="n">
        <x:v>0.9628666557536008</x:v>
      </x:c>
      <x:c r="O1223" s="23" t="n">
        <x:f>M1223</x:f>
        <x:v>0</x:v>
      </x:c>
      <x:c r="P1223" s="23" t="n">
        <x:v>59.86452468172001</x:v>
      </x:c>
      <x:c r="Q1223" s="23" t="n">
        <x:v>3.505930348521133</x:v>
      </x:c>
    </x:row>
    <x:row r="1224">
      <x:c r="A1224" s="23" t="str">
        <x:v>Switching</x:v>
      </x:c>
      <x:c r="B1224" s="23" t="n">
        <x:v>1088.0655230022967</x:v>
      </x:c>
      <x:c r="C1224" s="23" t="n">
        <x:v>817.037573212292</x:v>
      </x:c>
      <x:c r="D1224" s="23" t="n">
        <x:v>639.2279217019677</x:v>
      </x:c>
      <x:c r="E1224" s="23" t="n">
        <x:v>80.49884809413925</x:v>
      </x:c>
      <x:c r="F1224" s="23" t="n">
        <x:v>21.564398350194097</x:v>
      </x:c>
      <x:c r="G1224" s="23" t="n">
        <x:v>0.8388643025537021</x:v>
      </x:c>
      <x:c r="H1224" s="23" t="n">
        <x:v>13915</x:v>
      </x:c>
      <x:c r="I1224" s="23" t="n">
        <x:v>1200</x:v>
      </x:c>
      <x:c r="J1224" s="23" t="n">
        <x:f>(IF(A1224='Hybrid Calculator'!$B$6,0,1))^2+((B1224-'Hybrid Calculator'!$B$7)/1500)^2+((C1224-'Hybrid Calculator'!$B$8)/1300)^2+((D1224-'Hybrid Calculator'!$B$9)/800)^2+((E1224-'Hybrid Calculator'!$B$10)/350)^2+((F1224-'Hybrid Calculator'!$B$11)/30)^2+(G1224-'Hybrid Calculator'!$B$12)^2+((H1224-'Hybrid Calculator'!$E$14)/IF(A1224="Lightning",100,30000))^2+((I1224-'Hybrid Calculator'!$E$17)/IF(A1224="Lightning",100,30000))^2</x:f>
        <x:v>1.3467403116346992</x:v>
      </x:c>
      <x:c r="K1224" s="23" t="n">
        <x:f>RANK(J1224,$J$2:$J$1401,1)</x:f>
        <x:v>824</x:v>
      </x:c>
      <x:c r="L1224" s="23" t="n">
        <x:f>IF(K1224&lt;=7,1,0)</x:f>
        <x:v>0</x:v>
      </x:c>
      <x:c r="M1224" s="23" t="n">
        <x:f>IF(L1224=1,1/(J1224+0.000001),0)</x:f>
        <x:v>0</x:v>
      </x:c>
      <x:c r="N1224" s="23" t="n">
        <x:v>1.9789747605084358</x:v>
      </x:c>
      <x:c r="O1224" s="23" t="n">
        <x:f>M1224</x:f>
        <x:v>0</x:v>
      </x:c>
      <x:c r="P1224" s="23" t="n">
        <x:v>-27.845091254032468</x:v>
      </x:c>
      <x:c r="Q1224" s="23" t="n">
        <x:v>4.210649452290681</x:v>
      </x:c>
    </x:row>
    <x:row r="1225">
      <x:c r="A1225" s="23" t="str">
        <x:v>Switching</x:v>
      </x:c>
      <x:c r="B1225" s="23" t="n">
        <x:v>975.6220820941962</x:v>
      </x:c>
      <x:c r="C1225" s="23" t="n">
        <x:v>736.9681642623618</x:v>
      </x:c>
      <x:c r="D1225" s="23" t="n">
        <x:v>495.884917024523</x:v>
      </x:c>
      <x:c r="E1225" s="23" t="n">
        <x:v>321.2108958233148</x:v>
      </x:c>
      <x:c r="F1225" s="23" t="n">
        <x:v>19.03408207045868</x:v>
      </x:c>
      <x:c r="G1225" s="23" t="n">
        <x:v>0.8175285361194984</x:v>
      </x:c>
      <x:c r="H1225" s="23" t="n">
        <x:v>16055</x:v>
      </x:c>
      <x:c r="I1225" s="23" t="n">
        <x:v>1200</x:v>
      </x:c>
      <x:c r="J1225" s="23" t="n">
        <x:f>(IF(A1225='Hybrid Calculator'!$B$6,0,1))^2+((B1225-'Hybrid Calculator'!$B$7)/1500)^2+((C1225-'Hybrid Calculator'!$B$8)/1300)^2+((D1225-'Hybrid Calculator'!$B$9)/800)^2+((E1225-'Hybrid Calculator'!$B$10)/350)^2+((F1225-'Hybrid Calculator'!$B$11)/30)^2+(G1225-'Hybrid Calculator'!$B$12)^2+((H1225-'Hybrid Calculator'!$E$14)/IF(A1225="Lightning",100,30000))^2+((I1225-'Hybrid Calculator'!$E$17)/IF(A1225="Lightning",100,30000))^2</x:f>
        <x:v>1.623108191522474</x:v>
      </x:c>
      <x:c r="K1225" s="23" t="n">
        <x:f>RANK(J1225,$J$2:$J$1401,1)</x:f>
        <x:v>1364</x:v>
      </x:c>
      <x:c r="L1225" s="23" t="n">
        <x:f>IF(K1225&lt;=7,1,0)</x:f>
        <x:v>0</x:v>
      </x:c>
      <x:c r="M1225" s="23" t="n">
        <x:f>IF(L1225=1,1/(J1225+0.000001),0)</x:f>
        <x:v>0</x:v>
      </x:c>
      <x:c r="N1225" s="23" t="n">
        <x:v>-1.3143568193367514</x:v>
      </x:c>
      <x:c r="O1225" s="23" t="n">
        <x:f>M1225</x:f>
        <x:v>0</x:v>
      </x:c>
      <x:c r="P1225" s="23" t="n">
        <x:v>-56.3395273102451</x:v>
      </x:c>
      <x:c r="Q1225" s="23" t="n">
        <x:v>6.987170247272502</x:v>
      </x:c>
    </x:row>
    <x:row r="1226">
      <x:c r="A1226" s="23" t="str">
        <x:v>Switching</x:v>
      </x:c>
      <x:c r="B1226" s="23" t="n">
        <x:v>1063.5380605002865</x:v>
      </x:c>
      <x:c r="C1226" s="23" t="n">
        <x:v>710.7792198308744</x:v>
      </x:c>
      <x:c r="D1226" s="23" t="n">
        <x:v>555.7434882968664</x:v>
      </x:c>
      <x:c r="E1226" s="23" t="n">
        <x:v>126.4278316940181</x:v>
      </x:c>
      <x:c r="F1226" s="23" t="n">
        <x:v>16.409938124008477</x:v>
      </x:c>
      <x:c r="G1226" s="23" t="n">
        <x:v>0.7946116019482725</x:v>
      </x:c>
      <x:c r="H1226" s="23" t="n">
        <x:v>15355</x:v>
      </x:c>
      <x:c r="I1226" s="23" t="n">
        <x:v>1200</x:v>
      </x:c>
      <x:c r="J1226" s="23" t="n">
        <x:f>(IF(A1226='Hybrid Calculator'!$B$6,0,1))^2+((B1226-'Hybrid Calculator'!$B$7)/1500)^2+((C1226-'Hybrid Calculator'!$B$8)/1300)^2+((D1226-'Hybrid Calculator'!$B$9)/800)^2+((E1226-'Hybrid Calculator'!$B$10)/350)^2+((F1226-'Hybrid Calculator'!$B$11)/30)^2+(G1226-'Hybrid Calculator'!$B$12)^2+((H1226-'Hybrid Calculator'!$E$14)/IF(A1226="Lightning",100,30000))^2+((I1226-'Hybrid Calculator'!$E$17)/IF(A1226="Lightning",100,30000))^2</x:f>
        <x:v>1.346231127689557</x:v>
      </x:c>
      <x:c r="K1226" s="23" t="n">
        <x:f>RANK(J1226,$J$2:$J$1401,1)</x:f>
        <x:v>823</x:v>
      </x:c>
      <x:c r="L1226" s="23" t="n">
        <x:f>IF(K1226&lt;=7,1,0)</x:f>
        <x:v>0</x:v>
      </x:c>
      <x:c r="M1226" s="23" t="n">
        <x:f>IF(L1226=1,1/(J1226+0.000001),0)</x:f>
        <x:v>0</x:v>
      </x:c>
      <x:c r="N1226" s="23" t="n">
        <x:v>-2.362699907953697</x:v>
      </x:c>
      <x:c r="O1226" s="23" t="n">
        <x:f>M1226</x:f>
        <x:v>0</x:v>
      </x:c>
      <x:c r="P1226" s="23" t="n">
        <x:v>-39.07579951852631</x:v>
      </x:c>
      <x:c r="Q1226" s="23" t="n">
        <x:v>11.885792984838645</x:v>
      </x:c>
    </x:row>
    <x:row r="1227">
      <x:c r="A1227" s="23" t="str">
        <x:v>Switching</x:v>
      </x:c>
      <x:c r="B1227" s="23" t="n">
        <x:v>1002.3598266183399</x:v>
      </x:c>
      <x:c r="C1227" s="23" t="n">
        <x:v>928.5190484020859</x:v>
      </x:c>
      <x:c r="D1227" s="23" t="n">
        <x:v>486.9142550043762</x:v>
      </x:c>
      <x:c r="E1227" s="23" t="n">
        <x:v>139.2114677419886</x:v>
      </x:c>
      <x:c r="F1227" s="23" t="n">
        <x:v>10.407699957024306</x:v>
      </x:c>
      <x:c r="G1227" s="23" t="n">
        <x:v>0.8153414677269757</x:v>
      </x:c>
      <x:c r="H1227" s="23" t="n">
        <x:v>13755</x:v>
      </x:c>
      <x:c r="I1227" s="23" t="n">
        <x:v>1200</x:v>
      </x:c>
      <x:c r="J1227" s="23" t="n">
        <x:f>(IF(A1227='Hybrid Calculator'!$B$6,0,1))^2+((B1227-'Hybrid Calculator'!$B$7)/1500)^2+((C1227-'Hybrid Calculator'!$B$8)/1300)^2+((D1227-'Hybrid Calculator'!$B$9)/800)^2+((E1227-'Hybrid Calculator'!$B$10)/350)^2+((F1227-'Hybrid Calculator'!$B$11)/30)^2+(G1227-'Hybrid Calculator'!$B$12)^2+((H1227-'Hybrid Calculator'!$E$14)/IF(A1227="Lightning",100,30000))^2+((I1227-'Hybrid Calculator'!$E$17)/IF(A1227="Lightning",100,30000))^2</x:f>
        <x:v>1.3672684247568885</x:v>
      </x:c>
      <x:c r="K1227" s="23" t="n">
        <x:f>RANK(J1227,$J$2:$J$1401,1)</x:f>
        <x:v>875</x:v>
      </x:c>
      <x:c r="L1227" s="23" t="n">
        <x:f>IF(K1227&lt;=7,1,0)</x:f>
        <x:v>0</x:v>
      </x:c>
      <x:c r="M1227" s="23" t="n">
        <x:f>IF(L1227=1,1/(J1227+0.000001),0)</x:f>
        <x:v>0</x:v>
      </x:c>
      <x:c r="N1227" s="23" t="n">
        <x:v>-0.6436956412561017</x:v>
      </x:c>
      <x:c r="O1227" s="23" t="n">
        <x:f>M1227</x:f>
        <x:v>0</x:v>
      </x:c>
      <x:c r="P1227" s="23" t="n">
        <x:v>30.3453514535654</x:v>
      </x:c>
      <x:c r="Q1227" s="23" t="n">
        <x:v>9.321234545556877</x:v>
      </x:c>
    </x:row>
    <x:row r="1228">
      <x:c r="A1228" s="23" t="str">
        <x:v>Switching</x:v>
      </x:c>
      <x:c r="B1228" s="23" t="n">
        <x:v>1023.9608645904809</x:v>
      </x:c>
      <x:c r="C1228" s="23" t="n">
        <x:v>1005.351553473156</x:v>
      </x:c>
      <x:c r="D1228" s="23" t="n">
        <x:v>594.9163613840938</x:v>
      </x:c>
      <x:c r="E1228" s="23" t="n">
        <x:v>268.03752987878397</x:v>
      </x:c>
      <x:c r="F1228" s="23" t="n">
        <x:v>28.102585896849632</x:v>
      </x:c>
      <x:c r="G1228" s="23" t="n">
        <x:v>0.8217655196622946</x:v>
      </x:c>
      <x:c r="H1228" s="23" t="n">
        <x:v>11445</x:v>
      </x:c>
      <x:c r="I1228" s="23" t="n">
        <x:v>1195</x:v>
      </x:c>
      <x:c r="J1228" s="23" t="n">
        <x:f>(IF(A1228='Hybrid Calculator'!$B$6,0,1))^2+((B1228-'Hybrid Calculator'!$B$7)/1500)^2+((C1228-'Hybrid Calculator'!$B$8)/1300)^2+((D1228-'Hybrid Calculator'!$B$9)/800)^2+((E1228-'Hybrid Calculator'!$B$10)/350)^2+((F1228-'Hybrid Calculator'!$B$11)/30)^2+(G1228-'Hybrid Calculator'!$B$12)^2+((H1228-'Hybrid Calculator'!$E$14)/IF(A1228="Lightning",100,30000))^2+((I1228-'Hybrid Calculator'!$E$17)/IF(A1228="Lightning",100,30000))^2</x:f>
        <x:v>1.4618286116896417</x:v>
      </x:c>
      <x:c r="K1228" s="23" t="n">
        <x:f>RANK(J1228,$J$2:$J$1401,1)</x:f>
        <x:v>1139</x:v>
      </x:c>
      <x:c r="L1228" s="23" t="n">
        <x:f>IF(K1228&lt;=7,1,0)</x:f>
        <x:v>0</x:v>
      </x:c>
      <x:c r="M1228" s="23" t="n">
        <x:f>IF(L1228=1,1/(J1228+0.000001),0)</x:f>
        <x:v>0</x:v>
      </x:c>
      <x:c r="N1228" s="23" t="n">
        <x:v>-1.5553294335582848</x:v>
      </x:c>
      <x:c r="O1228" s="23" t="n">
        <x:f>M1228</x:f>
        <x:v>0</x:v>
      </x:c>
      <x:c r="P1228" s="23" t="n">
        <x:v>-16.207948723786103</x:v>
      </x:c>
      <x:c r="Q1228" s="23" t="n">
        <x:v>-15.200146090374346</x:v>
      </x:c>
    </x:row>
    <x:row r="1229">
      <x:c r="A1229" s="23" t="str">
        <x:v>Switching</x:v>
      </x:c>
      <x:c r="B1229" s="23" t="n">
        <x:v>1052.3171645705588</x:v>
      </x:c>
      <x:c r="C1229" s="23" t="n">
        <x:v>1092.9903564741835</x:v>
      </x:c>
      <x:c r="D1229" s="23" t="n">
        <x:v>643.2642293162644</x:v>
      </x:c>
      <x:c r="E1229" s="23" t="n">
        <x:v>164.83115257695317</x:v>
      </x:c>
      <x:c r="F1229" s="23" t="n">
        <x:v>19.726892864797264</x:v>
      </x:c>
      <x:c r="G1229" s="23" t="n">
        <x:v>0.8330795020377264</x:v>
      </x:c>
      <x:c r="H1229" s="23" t="n">
        <x:v>11250</x:v>
      </x:c>
      <x:c r="I1229" s="23" t="n">
        <x:v>1195</x:v>
      </x:c>
      <x:c r="J1229" s="23" t="n">
        <x:f>(IF(A1229='Hybrid Calculator'!$B$6,0,1))^2+((B1229-'Hybrid Calculator'!$B$7)/1500)^2+((C1229-'Hybrid Calculator'!$B$8)/1300)^2+((D1229-'Hybrid Calculator'!$B$9)/800)^2+((E1229-'Hybrid Calculator'!$B$10)/350)^2+((F1229-'Hybrid Calculator'!$B$11)/30)^2+(G1229-'Hybrid Calculator'!$B$12)^2+((H1229-'Hybrid Calculator'!$E$14)/IF(A1229="Lightning",100,30000))^2+((I1229-'Hybrid Calculator'!$E$17)/IF(A1229="Lightning",100,30000))^2</x:f>
        <x:v>1.2732751968002032</x:v>
      </x:c>
      <x:c r="K1229" s="23" t="n">
        <x:f>RANK(J1229,$J$2:$J$1401,1)</x:f>
        <x:v>704</x:v>
      </x:c>
      <x:c r="L1229" s="23" t="n">
        <x:f>IF(K1229&lt;=7,1,0)</x:f>
        <x:v>0</x:v>
      </x:c>
      <x:c r="M1229" s="23" t="n">
        <x:f>IF(L1229=1,1/(J1229+0.000001),0)</x:f>
        <x:v>0</x:v>
      </x:c>
      <x:c r="N1229" s="23" t="n">
        <x:v>2.1495511316852856</x:v>
      </x:c>
      <x:c r="O1229" s="23" t="n">
        <x:f>M1229</x:f>
        <x:v>0</x:v>
      </x:c>
      <x:c r="P1229" s="23" t="n">
        <x:v>65.08434033814319</x:v>
      </x:c>
      <x:c r="Q1229" s="23" t="n">
        <x:v>-10.237068289257422</x:v>
      </x:c>
    </x:row>
    <x:row r="1230">
      <x:c r="A1230" s="23" t="str">
        <x:v>Switching</x:v>
      </x:c>
      <x:c r="B1230" s="23" t="n">
        <x:v>1031.7633559228852</x:v>
      </x:c>
      <x:c r="C1230" s="23" t="n">
        <x:v>970.1868580770679</x:v>
      </x:c>
      <x:c r="D1230" s="23" t="n">
        <x:v>585.9291777014732</x:v>
      </x:c>
      <x:c r="E1230" s="23" t="n">
        <x:v>148.08795867254958</x:v>
      </x:c>
      <x:c r="F1230" s="23" t="n">
        <x:v>22.82152485381812</x:v>
      </x:c>
      <x:c r="G1230" s="23" t="n">
        <x:v>0.8022525359294378</x:v>
      </x:c>
      <x:c r="H1230" s="23" t="n">
        <x:v>12550</x:v>
      </x:c>
      <x:c r="I1230" s="23" t="n">
        <x:v>1200</x:v>
      </x:c>
      <x:c r="J1230" s="23" t="n">
        <x:f>(IF(A1230='Hybrid Calculator'!$B$6,0,1))^2+((B1230-'Hybrid Calculator'!$B$7)/1500)^2+((C1230-'Hybrid Calculator'!$B$8)/1300)^2+((D1230-'Hybrid Calculator'!$B$9)/800)^2+((E1230-'Hybrid Calculator'!$B$10)/350)^2+((F1230-'Hybrid Calculator'!$B$11)/30)^2+(G1230-'Hybrid Calculator'!$B$12)^2+((H1230-'Hybrid Calculator'!$E$14)/IF(A1230="Lightning",100,30000))^2+((I1230-'Hybrid Calculator'!$E$17)/IF(A1230="Lightning",100,30000))^2</x:f>
        <x:v>1.285051780323856</x:v>
      </x:c>
      <x:c r="K1230" s="23" t="n">
        <x:f>RANK(J1230,$J$2:$J$1401,1)</x:f>
        <x:v>714</x:v>
      </x:c>
      <x:c r="L1230" s="23" t="n">
        <x:f>IF(K1230&lt;=7,1,0)</x:f>
        <x:v>0</x:v>
      </x:c>
      <x:c r="M1230" s="23" t="n">
        <x:f>IF(L1230=1,1/(J1230+0.000001),0)</x:f>
        <x:v>0</x:v>
      </x:c>
      <x:c r="N1230" s="23" t="n">
        <x:v>-0.8839826515581706</x:v>
      </x:c>
      <x:c r="O1230" s="23" t="n">
        <x:f>M1230</x:f>
        <x:v>0</x:v>
      </x:c>
      <x:c r="P1230" s="23" t="n">
        <x:v>35.99791982406032</x:v>
      </x:c>
      <x:c r="Q1230" s="23" t="n">
        <x:v>-8.095517890269434</x:v>
      </x:c>
    </x:row>
    <x:row r="1231">
      <x:c r="A1231" s="23" t="str">
        <x:v>Switching</x:v>
      </x:c>
      <x:c r="B1231" s="23" t="n">
        <x:v>1017.3110443050973</x:v>
      </x:c>
      <x:c r="C1231" s="23" t="n">
        <x:v>1039.539264794439</x:v>
      </x:c>
      <x:c r="D1231" s="23" t="n">
        <x:v>656.5699360333383</x:v>
      </x:c>
      <x:c r="E1231" s="23" t="n">
        <x:v>215.7519259909168</x:v>
      </x:c>
      <x:c r="F1231" s="23" t="n">
        <x:v>10.959178110118955</x:v>
      </x:c>
      <x:c r="G1231" s="23" t="n">
        <x:v>0.8127094036806375</x:v>
      </x:c>
      <x:c r="H1231" s="23" t="n">
        <x:v>11185</x:v>
      </x:c>
      <x:c r="I1231" s="23" t="n">
        <x:v>1195</x:v>
      </x:c>
      <x:c r="J1231" s="23" t="n">
        <x:f>(IF(A1231='Hybrid Calculator'!$B$6,0,1))^2+((B1231-'Hybrid Calculator'!$B$7)/1500)^2+((C1231-'Hybrid Calculator'!$B$8)/1300)^2+((D1231-'Hybrid Calculator'!$B$9)/800)^2+((E1231-'Hybrid Calculator'!$B$10)/350)^2+((F1231-'Hybrid Calculator'!$B$11)/30)^2+(G1231-'Hybrid Calculator'!$B$12)^2+((H1231-'Hybrid Calculator'!$E$14)/IF(A1231="Lightning",100,30000))^2+((I1231-'Hybrid Calculator'!$E$17)/IF(A1231="Lightning",100,30000))^2</x:f>
        <x:v>1.3712455013453924</x:v>
      </x:c>
      <x:c r="K1231" s="23" t="n">
        <x:f>RANK(J1231,$J$2:$J$1401,1)</x:f>
        <x:v>893</x:v>
      </x:c>
      <x:c r="L1231" s="23" t="n">
        <x:f>IF(K1231&lt;=7,1,0)</x:f>
        <x:v>0</x:v>
      </x:c>
      <x:c r="M1231" s="23" t="n">
        <x:f>IF(L1231=1,1/(J1231+0.000001),0)</x:f>
        <x:v>0</x:v>
      </x:c>
      <x:c r="N1231" s="23" t="n">
        <x:v>3.1849378010530813</x:v>
      </x:c>
      <x:c r="O1231" s="23" t="n">
        <x:f>M1231</x:f>
        <x:v>0</x:v>
      </x:c>
      <x:c r="P1231" s="23" t="n">
        <x:v>11.22341333345912</x:v>
      </x:c>
      <x:c r="Q1231" s="23" t="n">
        <x:v>1.7091450906938235</x:v>
      </x:c>
    </x:row>
    <x:row r="1232">
      <x:c r="A1232" s="23" t="str">
        <x:v>Switching</x:v>
      </x:c>
      <x:c r="B1232" s="23" t="n">
        <x:v>1037.8032498061657</x:v>
      </x:c>
      <x:c r="C1232" s="23" t="n">
        <x:v>772.439816815313</x:v>
      </x:c>
      <x:c r="D1232" s="23" t="n">
        <x:v>528.1715022400022</x:v>
      </x:c>
      <x:c r="E1232" s="23" t="n">
        <x:v>213.87076795333996</x:v>
      </x:c>
      <x:c r="F1232" s="23" t="n">
        <x:v>12.315918324515224</x:v>
      </x:c>
      <x:c r="G1232" s="23" t="n">
        <x:v>0.8318173926067539</x:v>
      </x:c>
      <x:c r="H1232" s="23" t="n">
        <x:v>14120</x:v>
      </x:c>
      <x:c r="I1232" s="23" t="n">
        <x:v>1200</x:v>
      </x:c>
      <x:c r="J1232" s="23" t="n">
        <x:f>(IF(A1232='Hybrid Calculator'!$B$6,0,1))^2+((B1232-'Hybrid Calculator'!$B$7)/1500)^2+((C1232-'Hybrid Calculator'!$B$8)/1300)^2+((D1232-'Hybrid Calculator'!$B$9)/800)^2+((E1232-'Hybrid Calculator'!$B$10)/350)^2+((F1232-'Hybrid Calculator'!$B$11)/30)^2+(G1232-'Hybrid Calculator'!$B$12)^2+((H1232-'Hybrid Calculator'!$E$14)/IF(A1232="Lightning",100,30000))^2+((I1232-'Hybrid Calculator'!$E$17)/IF(A1232="Lightning",100,30000))^2</x:f>
        <x:v>1.3688598564539385</x:v>
      </x:c>
      <x:c r="K1232" s="23" t="n">
        <x:f>RANK(J1232,$J$2:$J$1401,1)</x:f>
        <x:v>880</x:v>
      </x:c>
      <x:c r="L1232" s="23" t="n">
        <x:f>IF(K1232&lt;=7,1,0)</x:f>
        <x:v>0</x:v>
      </x:c>
      <x:c r="M1232" s="23" t="n">
        <x:f>IF(L1232=1,1/(J1232+0.000001),0)</x:f>
        <x:v>0</x:v>
      </x:c>
      <x:c r="N1232" s="23" t="n">
        <x:v>-1.965296047668943</x:v>
      </x:c>
      <x:c r="O1232" s="23" t="n">
        <x:f>M1232</x:f>
        <x:v>0</x:v>
      </x:c>
      <x:c r="P1232" s="23" t="n">
        <x:v>7.070462952368871</x:v>
      </x:c>
      <x:c r="Q1232" s="23" t="n">
        <x:v>7.9230048314682335</x:v>
      </x:c>
    </x:row>
    <x:row r="1233">
      <x:c r="A1233" s="23" t="str">
        <x:v>Switching</x:v>
      </x:c>
      <x:c r="B1233" s="23" t="n">
        <x:v>971.7535121948458</x:v>
      </x:c>
      <x:c r="C1233" s="23" t="n">
        <x:v>817.9507272550836</x:v>
      </x:c>
      <x:c r="D1233" s="23" t="n">
        <x:v>403.9867387153208</x:v>
      </x:c>
      <x:c r="E1233" s="23" t="n">
        <x:v>311.6795678343624</x:v>
      </x:c>
      <x:c r="F1233" s="23" t="n">
        <x:v>29.26665070326999</x:v>
      </x:c>
      <x:c r="G1233" s="23" t="n">
        <x:v>0.8503124959813432</x:v>
      </x:c>
      <x:c r="H1233" s="23" t="n">
        <x:v>16270</x:v>
      </x:c>
      <x:c r="I1233" s="23" t="n">
        <x:v>1200</x:v>
      </x:c>
      <x:c r="J1233" s="23" t="n">
        <x:f>(IF(A1233='Hybrid Calculator'!$B$6,0,1))^2+((B1233-'Hybrid Calculator'!$B$7)/1500)^2+((C1233-'Hybrid Calculator'!$B$8)/1300)^2+((D1233-'Hybrid Calculator'!$B$9)/800)^2+((E1233-'Hybrid Calculator'!$B$10)/350)^2+((F1233-'Hybrid Calculator'!$B$11)/30)^2+(G1233-'Hybrid Calculator'!$B$12)^2+((H1233-'Hybrid Calculator'!$E$14)/IF(A1233="Lightning",100,30000))^2+((I1233-'Hybrid Calculator'!$E$17)/IF(A1233="Lightning",100,30000))^2</x:f>
        <x:v>1.7432792773869141</x:v>
      </x:c>
      <x:c r="K1233" s="23" t="n">
        <x:f>RANK(J1233,$J$2:$J$1401,1)</x:f>
        <x:v>1398</x:v>
      </x:c>
      <x:c r="L1233" s="23" t="n">
        <x:f>IF(K1233&lt;=7,1,0)</x:f>
        <x:v>0</x:v>
      </x:c>
      <x:c r="M1233" s="23" t="n">
        <x:f>IF(L1233=1,1/(J1233+0.000001),0)</x:f>
        <x:v>0</x:v>
      </x:c>
      <x:c r="N1233" s="23" t="n">
        <x:v>-0.21898313022219895</x:v>
      </x:c>
      <x:c r="O1233" s="23" t="n">
        <x:f>M1233</x:f>
        <x:v>0</x:v>
      </x:c>
      <x:c r="P1233" s="23" t="n">
        <x:v>-19.53287405123865</x:v>
      </x:c>
      <x:c r="Q1233" s="23" t="n">
        <x:v>-2.29470997494127</x:v>
      </x:c>
    </x:row>
    <x:row r="1234">
      <x:c r="A1234" s="23" t="str">
        <x:v>Switching</x:v>
      </x:c>
      <x:c r="B1234" s="23" t="n">
        <x:v>955.7559146545827</x:v>
      </x:c>
      <x:c r="C1234" s="23" t="n">
        <x:v>1030.0859994604252</x:v>
      </x:c>
      <x:c r="D1234" s="23" t="n">
        <x:v>658.7360287085176</x:v>
      </x:c>
      <x:c r="E1234" s="23" t="n">
        <x:v>162.8832714469172</x:v>
      </x:c>
      <x:c r="F1234" s="23" t="n">
        <x:v>15.605151230469346</x:v>
      </x:c>
      <x:c r="G1234" s="23" t="n">
        <x:v>0.8394626121525653</x:v>
      </x:c>
      <x:c r="H1234" s="23" t="n">
        <x:v>13475</x:v>
      </x:c>
      <x:c r="I1234" s="23" t="n">
        <x:v>1200</x:v>
      </x:c>
      <x:c r="J1234" s="23" t="n">
        <x:f>(IF(A1234='Hybrid Calculator'!$B$6,0,1))^2+((B1234-'Hybrid Calculator'!$B$7)/1500)^2+((C1234-'Hybrid Calculator'!$B$8)/1300)^2+((D1234-'Hybrid Calculator'!$B$9)/800)^2+((E1234-'Hybrid Calculator'!$B$10)/350)^2+((F1234-'Hybrid Calculator'!$B$11)/30)^2+(G1234-'Hybrid Calculator'!$B$12)^2+((H1234-'Hybrid Calculator'!$E$14)/IF(A1234="Lightning",100,30000))^2+((I1234-'Hybrid Calculator'!$E$17)/IF(A1234="Lightning",100,30000))^2</x:f>
        <x:v>1.3692579356386991</x:v>
      </x:c>
      <x:c r="K1234" s="23" t="n">
        <x:f>RANK(J1234,$J$2:$J$1401,1)</x:f>
        <x:v>884</x:v>
      </x:c>
      <x:c r="L1234" s="23" t="n">
        <x:f>IF(K1234&lt;=7,1,0)</x:f>
        <x:v>0</x:v>
      </x:c>
      <x:c r="M1234" s="23" t="n">
        <x:f>IF(L1234=1,1/(J1234+0.000001),0)</x:f>
        <x:v>0</x:v>
      </x:c>
      <x:c r="N1234" s="23" t="n">
        <x:v>0.02695282408532762</x:v>
      </x:c>
      <x:c r="O1234" s="23" t="n">
        <x:f>M1234</x:f>
        <x:v>0</x:v>
      </x:c>
      <x:c r="P1234" s="23" t="n">
        <x:v>25.957324931913263</x:v>
      </x:c>
      <x:c r="Q1234" s="23" t="n">
        <x:v>1.5092259412944031</x:v>
      </x:c>
    </x:row>
    <x:row r="1235">
      <x:c r="A1235" s="23" t="str">
        <x:v>Switching</x:v>
      </x:c>
      <x:c r="B1235" s="23" t="n">
        <x:v>1043.6122232698835</x:v>
      </x:c>
      <x:c r="C1235" s="23" t="n">
        <x:v>909.1768282698467</x:v>
      </x:c>
      <x:c r="D1235" s="23" t="n">
        <x:v>604.4738763011992</x:v>
      </x:c>
      <x:c r="E1235" s="23" t="n">
        <x:v>219.61090170778334</x:v>
      </x:c>
      <x:c r="F1235" s="23" t="n">
        <x:v>20.77602843241766</x:v>
      </x:c>
      <x:c r="G1235" s="23" t="n">
        <x:v>0.8215635263035074</x:v>
      </x:c>
      <x:c r="H1235" s="23" t="n">
        <x:v>12340</x:v>
      </x:c>
      <x:c r="I1235" s="23" t="n">
        <x:v>1200</x:v>
      </x:c>
      <x:c r="J1235" s="23" t="n">
        <x:f>(IF(A1235='Hybrid Calculator'!$B$6,0,1))^2+((B1235-'Hybrid Calculator'!$B$7)/1500)^2+((C1235-'Hybrid Calculator'!$B$8)/1300)^2+((D1235-'Hybrid Calculator'!$B$9)/800)^2+((E1235-'Hybrid Calculator'!$B$10)/350)^2+((F1235-'Hybrid Calculator'!$B$11)/30)^2+(G1235-'Hybrid Calculator'!$B$12)^2+((H1235-'Hybrid Calculator'!$E$14)/IF(A1235="Lightning",100,30000))^2+((I1235-'Hybrid Calculator'!$E$17)/IF(A1235="Lightning",100,30000))^2</x:f>
        <x:v>1.2984495801819655</x:v>
      </x:c>
      <x:c r="K1235" s="23" t="n">
        <x:f>RANK(J1235,$J$2:$J$1401,1)</x:f>
        <x:v>726</x:v>
      </x:c>
      <x:c r="L1235" s="23" t="n">
        <x:f>IF(K1235&lt;=7,1,0)</x:f>
        <x:v>0</x:v>
      </x:c>
      <x:c r="M1235" s="23" t="n">
        <x:f>IF(L1235=1,1/(J1235+0.000001),0)</x:f>
        <x:v>0</x:v>
      </x:c>
      <x:c r="N1235" s="23" t="n">
        <x:v>-2.3175710825919396</x:v>
      </x:c>
      <x:c r="O1235" s="23" t="n">
        <x:f>M1235</x:f>
        <x:v>0</x:v>
      </x:c>
      <x:c r="P1235" s="23" t="n">
        <x:v>-17.869065993507775</x:v>
      </x:c>
      <x:c r="Q1235" s="23" t="n">
        <x:v>1.1531366330168566</x:v>
      </x:c>
    </x:row>
    <x:row r="1236">
      <x:c r="A1236" s="23" t="str">
        <x:v>Switching</x:v>
      </x:c>
      <x:c r="B1236" s="23" t="n">
        <x:v>969.7852827375755</x:v>
      </x:c>
      <x:c r="C1236" s="23" t="n">
        <x:v>743.6888211988844</x:v>
      </x:c>
      <x:c r="D1236" s="23" t="n">
        <x:v>619.8770802468061</x:v>
      </x:c>
      <x:c r="E1236" s="23" t="n">
        <x:v>105.8906275848858</x:v>
      </x:c>
      <x:c r="F1236" s="23" t="n">
        <x:v>21.718999822624028</x:v>
      </x:c>
      <x:c r="G1236" s="23" t="n">
        <x:v>0.851642154834699</x:v>
      </x:c>
      <x:c r="H1236" s="23" t="n">
        <x:v>16980</x:v>
      </x:c>
      <x:c r="I1236" s="23" t="n">
        <x:v>1200</x:v>
      </x:c>
      <x:c r="J1236" s="23" t="n">
        <x:f>(IF(A1236='Hybrid Calculator'!$B$6,0,1))^2+((B1236-'Hybrid Calculator'!$B$7)/1500)^2+((C1236-'Hybrid Calculator'!$B$8)/1300)^2+((D1236-'Hybrid Calculator'!$B$9)/800)^2+((E1236-'Hybrid Calculator'!$B$10)/350)^2+((F1236-'Hybrid Calculator'!$B$11)/30)^2+(G1236-'Hybrid Calculator'!$B$12)^2+((H1236-'Hybrid Calculator'!$E$14)/IF(A1236="Lightning",100,30000))^2+((I1236-'Hybrid Calculator'!$E$17)/IF(A1236="Lightning",100,30000))^2</x:f>
        <x:v>1.4696429173993415</x:v>
      </x:c>
      <x:c r="K1236" s="23" t="n">
        <x:f>RANK(J1236,$J$2:$J$1401,1)</x:f>
        <x:v>1158</x:v>
      </x:c>
      <x:c r="L1236" s="23" t="n">
        <x:f>IF(K1236&lt;=7,1,0)</x:f>
        <x:v>0</x:v>
      </x:c>
      <x:c r="M1236" s="23" t="n">
        <x:f>IF(L1236=1,1/(J1236+0.000001),0)</x:f>
        <x:v>0</x:v>
      </x:c>
      <x:c r="N1236" s="23" t="n">
        <x:v>-0.5936613487887143</x:v>
      </x:c>
      <x:c r="O1236" s="23" t="n">
        <x:f>M1236</x:f>
        <x:v>0</x:v>
      </x:c>
      <x:c r="P1236" s="23" t="n">
        <x:v>-43.632452135210315</x:v>
      </x:c>
      <x:c r="Q1236" s="23" t="n">
        <x:v>6.644701603743897</x:v>
      </x:c>
    </x:row>
    <x:row r="1237">
      <x:c r="A1237" s="23" t="str">
        <x:v>Switching</x:v>
      </x:c>
      <x:c r="B1237" s="23" t="n">
        <x:v>958.582125918474</x:v>
      </x:c>
      <x:c r="C1237" s="23" t="n">
        <x:v>1027.0701237488538</x:v>
      </x:c>
      <x:c r="D1237" s="23" t="n">
        <x:v>627.6475342921913</x:v>
      </x:c>
      <x:c r="E1237" s="23" t="n">
        <x:v>177.77806175407022</x:v>
      </x:c>
      <x:c r="F1237" s="23" t="n">
        <x:v>15.678720451425761</x:v>
      </x:c>
      <x:c r="G1237" s="23" t="n">
        <x:v>0.8579410609416664</x:v>
      </x:c>
      <x:c r="H1237" s="23" t="n">
        <x:v>13615</x:v>
      </x:c>
      <x:c r="I1237" s="23" t="n">
        <x:v>1200</x:v>
      </x:c>
      <x:c r="J1237" s="23" t="n">
        <x:f>(IF(A1237='Hybrid Calculator'!$B$6,0,1))^2+((B1237-'Hybrid Calculator'!$B$7)/1500)^2+((C1237-'Hybrid Calculator'!$B$8)/1300)^2+((D1237-'Hybrid Calculator'!$B$9)/800)^2+((E1237-'Hybrid Calculator'!$B$10)/350)^2+((F1237-'Hybrid Calculator'!$B$11)/30)^2+(G1237-'Hybrid Calculator'!$B$12)^2+((H1237-'Hybrid Calculator'!$E$14)/IF(A1237="Lightning",100,30000))^2+((I1237-'Hybrid Calculator'!$E$17)/IF(A1237="Lightning",100,30000))^2</x:f>
        <x:v>1.3632699285835463</x:v>
      </x:c>
      <x:c r="K1237" s="23" t="n">
        <x:f>RANK(J1237,$J$2:$J$1401,1)</x:f>
        <x:v>865</x:v>
      </x:c>
      <x:c r="L1237" s="23" t="n">
        <x:f>IF(K1237&lt;=7,1,0)</x:f>
        <x:v>0</x:v>
      </x:c>
      <x:c r="M1237" s="23" t="n">
        <x:f>IF(L1237=1,1/(J1237+0.000001),0)</x:f>
        <x:v>0</x:v>
      </x:c>
      <x:c r="N1237" s="23" t="n">
        <x:v>4.201593740840281</x:v>
      </x:c>
      <x:c r="O1237" s="23" t="n">
        <x:f>M1237</x:f>
        <x:v>0</x:v>
      </x:c>
      <x:c r="P1237" s="23" t="n">
        <x:v>43.167940184690906</x:v>
      </x:c>
      <x:c r="Q1237" s="23" t="n">
        <x:v>-2.9033803727677423</x:v>
      </x:c>
    </x:row>
    <x:row r="1238">
      <x:c r="A1238" s="23" t="str">
        <x:v>Switching</x:v>
      </x:c>
      <x:c r="B1238" s="23" t="n">
        <x:v>1084.4139380846173</x:v>
      </x:c>
      <x:c r="C1238" s="23" t="n">
        <x:v>798.0354716884904</x:v>
      </x:c>
      <x:c r="D1238" s="23" t="n">
        <x:v>748.1270564720035</x:v>
      </x:c>
      <x:c r="E1238" s="23" t="n">
        <x:v>163.18828168557957</x:v>
      </x:c>
      <x:c r="F1238" s="23" t="n">
        <x:v>10.955892063677311</x:v>
      </x:c>
      <x:c r="G1238" s="23" t="n">
        <x:v>0.8390979614318349</x:v>
      </x:c>
      <x:c r="H1238" s="23" t="n">
        <x:v>12510</x:v>
      </x:c>
      <x:c r="I1238" s="23" t="n">
        <x:v>1200</x:v>
      </x:c>
      <x:c r="J1238" s="23" t="n">
        <x:f>(IF(A1238='Hybrid Calculator'!$B$6,0,1))^2+((B1238-'Hybrid Calculator'!$B$7)/1500)^2+((C1238-'Hybrid Calculator'!$B$8)/1300)^2+((D1238-'Hybrid Calculator'!$B$9)/800)^2+((E1238-'Hybrid Calculator'!$B$10)/350)^2+((F1238-'Hybrid Calculator'!$B$11)/30)^2+(G1238-'Hybrid Calculator'!$B$12)^2+((H1238-'Hybrid Calculator'!$E$14)/IF(A1238="Lightning",100,30000))^2+((I1238-'Hybrid Calculator'!$E$17)/IF(A1238="Lightning",100,30000))^2</x:f>
        <x:v>1.3884090379139262</x:v>
      </x:c>
      <x:c r="K1238" s="23" t="n">
        <x:f>RANK(J1238,$J$2:$J$1401,1)</x:f>
        <x:v>944</x:v>
      </x:c>
      <x:c r="L1238" s="23" t="n">
        <x:f>IF(K1238&lt;=7,1,0)</x:f>
        <x:v>0</x:v>
      </x:c>
      <x:c r="M1238" s="23" t="n">
        <x:f>IF(L1238=1,1/(J1238+0.000001),0)</x:f>
        <x:v>0</x:v>
      </x:c>
      <x:c r="N1238" s="23" t="n">
        <x:v>-0.03598875583730887</x:v>
      </x:c>
      <x:c r="O1238" s="23" t="n">
        <x:f>M1238</x:f>
        <x:v>0</x:v>
      </x:c>
      <x:c r="P1238" s="23" t="n">
        <x:v>8.995220101960967</x:v>
      </x:c>
      <x:c r="Q1238" s="23" t="n">
        <x:v>8.98757483225063</x:v>
      </x:c>
    </x:row>
    <x:row r="1239">
      <x:c r="A1239" s="23" t="str">
        <x:v>Switching</x:v>
      </x:c>
      <x:c r="B1239" s="23" t="n">
        <x:v>1022.7808359195478</x:v>
      </x:c>
      <x:c r="C1239" s="23" t="n">
        <x:v>627.3831188445911</x:v>
      </x:c>
      <x:c r="D1239" s="23" t="n">
        <x:v>404.9778309650719</x:v>
      </x:c>
      <x:c r="E1239" s="23" t="n">
        <x:v>122.82145341858268</x:v>
      </x:c>
      <x:c r="F1239" s="23" t="n">
        <x:v>24.61163323977962</x:v>
      </x:c>
      <x:c r="G1239" s="23" t="n">
        <x:v>0.8027652622899041</x:v>
      </x:c>
      <x:c r="H1239" s="23" t="n">
        <x:v>18515</x:v>
      </x:c>
      <x:c r="I1239" s="23" t="n">
        <x:v>1200</x:v>
      </x:c>
      <x:c r="J1239" s="23" t="n">
        <x:f>(IF(A1239='Hybrid Calculator'!$B$6,0,1))^2+((B1239-'Hybrid Calculator'!$B$7)/1500)^2+((C1239-'Hybrid Calculator'!$B$8)/1300)^2+((D1239-'Hybrid Calculator'!$B$9)/800)^2+((E1239-'Hybrid Calculator'!$B$10)/350)^2+((F1239-'Hybrid Calculator'!$B$11)/30)^2+(G1239-'Hybrid Calculator'!$B$12)^2+((H1239-'Hybrid Calculator'!$E$14)/IF(A1239="Lightning",100,30000))^2+((I1239-'Hybrid Calculator'!$E$17)/IF(A1239="Lightning",100,30000))^2</x:f>
        <x:v>1.5435384949107804</x:v>
      </x:c>
      <x:c r="K1239" s="23" t="n">
        <x:f>RANK(J1239,$J$2:$J$1401,1)</x:f>
        <x:v>1288</x:v>
      </x:c>
      <x:c r="L1239" s="23" t="n">
        <x:f>IF(K1239&lt;=7,1,0)</x:f>
        <x:v>0</x:v>
      </x:c>
      <x:c r="M1239" s="23" t="n">
        <x:f>IF(L1239=1,1/(J1239+0.000001),0)</x:f>
        <x:v>0</x:v>
      </x:c>
      <x:c r="N1239" s="23" t="n">
        <x:v>-3.3863793428382962</x:v>
      </x:c>
      <x:c r="O1239" s="23" t="n">
        <x:f>M1239</x:f>
        <x:v>0</x:v>
      </x:c>
      <x:c r="P1239" s="23" t="n">
        <x:v>-41.44208849646611</x:v>
      </x:c>
      <x:c r="Q1239" s="23" t="n">
        <x:v>4.613153368952908</x:v>
      </x:c>
    </x:row>
    <x:row r="1240">
      <x:c r="A1240" s="23" t="str">
        <x:v>Switching</x:v>
      </x:c>
      <x:c r="B1240" s="23" t="n">
        <x:v>972.7893608855084</x:v>
      </x:c>
      <x:c r="C1240" s="23" t="n">
        <x:v>1234.1319691506214</x:v>
      </x:c>
      <x:c r="D1240" s="23" t="n">
        <x:v>454.2428433895111</x:v>
      </x:c>
      <x:c r="E1240" s="23" t="n">
        <x:v>150.82507194718346</x:v>
      </x:c>
      <x:c r="F1240" s="23" t="n">
        <x:v>22.247189330868423</x:v>
      </x:c>
      <x:c r="G1240" s="23" t="n">
        <x:v>0.8473187337047421</x:v>
      </x:c>
      <x:c r="H1240" s="23" t="n">
        <x:v>13565</x:v>
      </x:c>
      <x:c r="I1240" s="23" t="n">
        <x:v>1200</x:v>
      </x:c>
      <x:c r="J1240" s="23" t="n">
        <x:f>(IF(A1240='Hybrid Calculator'!$B$6,0,1))^2+((B1240-'Hybrid Calculator'!$B$7)/1500)^2+((C1240-'Hybrid Calculator'!$B$8)/1300)^2+((D1240-'Hybrid Calculator'!$B$9)/800)^2+((E1240-'Hybrid Calculator'!$B$10)/350)^2+((F1240-'Hybrid Calculator'!$B$11)/30)^2+(G1240-'Hybrid Calculator'!$B$12)^2+((H1240-'Hybrid Calculator'!$E$14)/IF(A1240="Lightning",100,30000))^2+((I1240-'Hybrid Calculator'!$E$17)/IF(A1240="Lightning",100,30000))^2</x:f>
        <x:v>1.4023076487268196</x:v>
      </x:c>
      <x:c r="K1240" s="23" t="n">
        <x:f>RANK(J1240,$J$2:$J$1401,1)</x:f>
        <x:v>981</x:v>
      </x:c>
      <x:c r="L1240" s="23" t="n">
        <x:f>IF(K1240&lt;=7,1,0)</x:f>
        <x:v>0</x:v>
      </x:c>
      <x:c r="M1240" s="23" t="n">
        <x:f>IF(L1240=1,1/(J1240+0.000001),0)</x:f>
        <x:v>0</x:v>
      </x:c>
      <x:c r="N1240" s="23" t="n">
        <x:v>-0.6906822738472442</x:v>
      </x:c>
      <x:c r="O1240" s="23" t="n">
        <x:f>M1240</x:f>
        <x:v>0</x:v>
      </x:c>
      <x:c r="P1240" s="23" t="n">
        <x:v>38.320505186750324</x:v>
      </x:c>
      <x:c r="Q1240" s="23" t="n">
        <x:v>-8.198958858123547</x:v>
      </x:c>
    </x:row>
    <x:row r="1241">
      <x:c r="A1241" s="23" t="str">
        <x:v>Switching</x:v>
      </x:c>
      <x:c r="B1241" s="23" t="n">
        <x:v>1097.6060473243706</x:v>
      </x:c>
      <x:c r="C1241" s="23" t="n">
        <x:v>1212.44210684672</x:v>
      </x:c>
      <x:c r="D1241" s="23" t="n">
        <x:v>627.7496731840074</x:v>
      </x:c>
      <x:c r="E1241" s="23" t="n">
        <x:v>185.73987441603094</x:v>
      </x:c>
      <x:c r="F1241" s="23" t="n">
        <x:v>27.666181666310877</x:v>
      </x:c>
      <x:c r="G1241" s="23" t="n">
        <x:v>0.7907369457278401</x:v>
      </x:c>
      <x:c r="H1241" s="23" t="n">
        <x:v>10555</x:v>
      </x:c>
      <x:c r="I1241" s="23" t="n">
        <x:v>1195</x:v>
      </x:c>
      <x:c r="J1241" s="23" t="n">
        <x:f>(IF(A1241='Hybrid Calculator'!$B$6,0,1))^2+((B1241-'Hybrid Calculator'!$B$7)/1500)^2+((C1241-'Hybrid Calculator'!$B$8)/1300)^2+((D1241-'Hybrid Calculator'!$B$9)/800)^2+((E1241-'Hybrid Calculator'!$B$10)/350)^2+((F1241-'Hybrid Calculator'!$B$11)/30)^2+(G1241-'Hybrid Calculator'!$B$12)^2+((H1241-'Hybrid Calculator'!$E$14)/IF(A1241="Lightning",100,30000))^2+((I1241-'Hybrid Calculator'!$E$17)/IF(A1241="Lightning",100,30000))^2</x:f>
        <x:v>1.379644481764072</x:v>
      </x:c>
      <x:c r="K1241" s="23" t="n">
        <x:f>RANK(J1241,$J$2:$J$1401,1)</x:f>
        <x:v>914</x:v>
      </x:c>
      <x:c r="L1241" s="23" t="n">
        <x:f>IF(K1241&lt;=7,1,0)</x:f>
        <x:v>0</x:v>
      </x:c>
      <x:c r="M1241" s="23" t="n">
        <x:f>IF(L1241=1,1/(J1241+0.000001),0)</x:f>
        <x:v>0</x:v>
      </x:c>
      <x:c r="N1241" s="23" t="n">
        <x:v>-2.333356492025814</x:v>
      </x:c>
      <x:c r="O1241" s="23" t="n">
        <x:f>M1241</x:f>
        <x:v>0</x:v>
      </x:c>
      <x:c r="P1241" s="23" t="n">
        <x:v>48.87830858231473</x:v>
      </x:c>
      <x:c r="Q1241" s="23" t="n">
        <x:v>-13.751239578345121</x:v>
      </x:c>
    </x:row>
    <x:row r="1242">
      <x:c r="A1242" s="23" t="str">
        <x:v>Switching</x:v>
      </x:c>
      <x:c r="B1242" s="23" t="n">
        <x:v>1048.6533110961318</x:v>
      </x:c>
      <x:c r="C1242" s="23" t="n">
        <x:v>981.6041004261933</x:v>
      </x:c>
      <x:c r="D1242" s="23" t="n">
        <x:v>730.7422103360295</x:v>
      </x:c>
      <x:c r="E1242" s="23" t="n">
        <x:v>218.80423043156043</x:v>
      </x:c>
      <x:c r="F1242" s="23" t="n">
        <x:v>23.0194955971092</x:v>
      </x:c>
      <x:c r="G1242" s="23" t="n">
        <x:v>0.8380526886996813</x:v>
      </x:c>
      <x:c r="H1242" s="23" t="n">
        <x:v>11075</x:v>
      </x:c>
      <x:c r="I1242" s="23" t="n">
        <x:v>1195</x:v>
      </x:c>
      <x:c r="J1242" s="23" t="n">
        <x:f>(IF(A1242='Hybrid Calculator'!$B$6,0,1))^2+((B1242-'Hybrid Calculator'!$B$7)/1500)^2+((C1242-'Hybrid Calculator'!$B$8)/1300)^2+((D1242-'Hybrid Calculator'!$B$9)/800)^2+((E1242-'Hybrid Calculator'!$B$10)/350)^2+((F1242-'Hybrid Calculator'!$B$11)/30)^2+(G1242-'Hybrid Calculator'!$B$12)^2+((H1242-'Hybrid Calculator'!$E$14)/IF(A1242="Lightning",100,30000))^2+((I1242-'Hybrid Calculator'!$E$17)/IF(A1242="Lightning",100,30000))^2</x:f>
        <x:v>1.3546321904271428</x:v>
      </x:c>
      <x:c r="K1242" s="23" t="n">
        <x:f>RANK(J1242,$J$2:$J$1401,1)</x:f>
        <x:v>843</x:v>
      </x:c>
      <x:c r="L1242" s="23" t="n">
        <x:f>IF(K1242&lt;=7,1,0)</x:f>
        <x:v>0</x:v>
      </x:c>
      <x:c r="M1242" s="23" t="n">
        <x:f>IF(L1242=1,1/(J1242+0.000001),0)</x:f>
        <x:v>0</x:v>
      </x:c>
      <x:c r="N1242" s="23" t="n">
        <x:v>1.8439475054295542</x:v>
      </x:c>
      <x:c r="O1242" s="23" t="n">
        <x:f>M1242</x:f>
        <x:v>0</x:v>
      </x:c>
      <x:c r="P1242" s="23" t="n">
        <x:v>29.072202765624752</x:v>
      </x:c>
      <x:c r="Q1242" s="23" t="n">
        <x:v>-9.212475269744118</x:v>
      </x:c>
    </x:row>
    <x:row r="1243">
      <x:c r="A1243" s="23" t="str">
        <x:v>Switching</x:v>
      </x:c>
      <x:c r="B1243" s="23" t="n">
        <x:v>1076.9612882868387</x:v>
      </x:c>
      <x:c r="C1243" s="23" t="n">
        <x:v>919.7819996858016</x:v>
      </x:c>
      <x:c r="D1243" s="23" t="n">
        <x:v>526.2899638153613</x:v>
      </x:c>
      <x:c r="E1243" s="23" t="n">
        <x:v>296.52934583835304</x:v>
      </x:c>
      <x:c r="F1243" s="23" t="n">
        <x:v>14.019074846524745</x:v>
      </x:c>
      <x:c r="G1243" s="23" t="n">
        <x:v>0.8464849313767627</x:v>
      </x:c>
      <x:c r="H1243" s="23" t="n">
        <x:v>12270</x:v>
      </x:c>
      <x:c r="I1243" s="23" t="n">
        <x:v>1200</x:v>
      </x:c>
      <x:c r="J1243" s="23" t="n">
        <x:f>(IF(A1243='Hybrid Calculator'!$B$6,0,1))^2+((B1243-'Hybrid Calculator'!$B$7)/1500)^2+((C1243-'Hybrid Calculator'!$B$8)/1300)^2+((D1243-'Hybrid Calculator'!$B$9)/800)^2+((E1243-'Hybrid Calculator'!$B$10)/350)^2+((F1243-'Hybrid Calculator'!$B$11)/30)^2+(G1243-'Hybrid Calculator'!$B$12)^2+((H1243-'Hybrid Calculator'!$E$14)/IF(A1243="Lightning",100,30000))^2+((I1243-'Hybrid Calculator'!$E$17)/IF(A1243="Lightning",100,30000))^2</x:f>
        <x:v>1.4235351115550259</x:v>
      </x:c>
      <x:c r="K1243" s="23" t="n">
        <x:f>RANK(J1243,$J$2:$J$1401,1)</x:f>
        <x:v>1046</x:v>
      </x:c>
      <x:c r="L1243" s="23" t="n">
        <x:f>IF(K1243&lt;=7,1,0)</x:f>
        <x:v>0</x:v>
      </x:c>
      <x:c r="M1243" s="23" t="n">
        <x:f>IF(L1243=1,1/(J1243+0.000001),0)</x:f>
        <x:v>0</x:v>
      </x:c>
      <x:c r="N1243" s="23" t="n">
        <x:v>1.1527451383258551</x:v>
      </x:c>
      <x:c r="O1243" s="23" t="n">
        <x:f>M1243</x:f>
        <x:v>0</x:v>
      </x:c>
      <x:c r="P1243" s="23" t="n">
        <x:v>38.033929711646124</x:v>
      </x:c>
      <x:c r="Q1243" s="23" t="n">
        <x:v>6.019010054342971</x:v>
      </x:c>
    </x:row>
    <x:row r="1244">
      <x:c r="A1244" s="23" t="str">
        <x:v>Switching</x:v>
      </x:c>
      <x:c r="B1244" s="23" t="n">
        <x:v>975.7857790915295</x:v>
      </x:c>
      <x:c r="C1244" s="23" t="n">
        <x:v>1073.86093797395</x:v>
      </x:c>
      <x:c r="D1244" s="23" t="n">
        <x:v>738.4463209658861</x:v>
      </x:c>
      <x:c r="E1244" s="23" t="n">
        <x:v>271.7705817031674</x:v>
      </x:c>
      <x:c r="F1244" s="23" t="n">
        <x:v>28.814328298904</x:v>
      </x:c>
      <x:c r="G1244" s="23" t="n">
        <x:v>0.7931984545919113</x:v>
      </x:c>
      <x:c r="H1244" s="23" t="n">
        <x:v>10260</x:v>
      </x:c>
      <x:c r="I1244" s="23" t="n">
        <x:v>1195</x:v>
      </x:c>
      <x:c r="J1244" s="23" t="n">
        <x:f>(IF(A1244='Hybrid Calculator'!$B$6,0,1))^2+((B1244-'Hybrid Calculator'!$B$7)/1500)^2+((C1244-'Hybrid Calculator'!$B$8)/1300)^2+((D1244-'Hybrid Calculator'!$B$9)/800)^2+((E1244-'Hybrid Calculator'!$B$10)/350)^2+((F1244-'Hybrid Calculator'!$B$11)/30)^2+(G1244-'Hybrid Calculator'!$B$12)^2+((H1244-'Hybrid Calculator'!$E$14)/IF(A1244="Lightning",100,30000))^2+((I1244-'Hybrid Calculator'!$E$17)/IF(A1244="Lightning",100,30000))^2</x:f>
        <x:v>1.565495135773571</x:v>
      </x:c>
      <x:c r="K1244" s="23" t="n">
        <x:f>RANK(J1244,$J$2:$J$1401,1)</x:f>
        <x:v>1323</x:v>
      </x:c>
      <x:c r="L1244" s="23" t="n">
        <x:f>IF(K1244&lt;=7,1,0)</x:f>
        <x:v>0</x:v>
      </x:c>
      <x:c r="M1244" s="23" t="n">
        <x:f>IF(L1244=1,1/(J1244+0.000001),0)</x:f>
        <x:v>0</x:v>
      </x:c>
      <x:c r="N1244" s="23" t="n">
        <x:v>-1.8617542780127678</x:v>
      </x:c>
      <x:c r="O1244" s="23" t="n">
        <x:f>M1244</x:f>
        <x:v>0</x:v>
      </x:c>
      <x:c r="P1244" s="23" t="n">
        <x:v>13.666325733270241</x:v>
      </x:c>
      <x:c r="Q1244" s="23" t="n">
        <x:v>-13.185876668637889</x:v>
      </x:c>
    </x:row>
    <x:row r="1245">
      <x:c r="A1245" s="23" t="str">
        <x:v>Switching</x:v>
      </x:c>
      <x:c r="B1245" s="23" t="n">
        <x:v>1015.7127043581568</x:v>
      </x:c>
      <x:c r="C1245" s="23" t="n">
        <x:v>706.7384795751423</x:v>
      </x:c>
      <x:c r="D1245" s="23" t="n">
        <x:v>732.2516898624599</x:v>
      </x:c>
      <x:c r="E1245" s="23" t="n">
        <x:v>322.80968762468547</x:v>
      </x:c>
      <x:c r="F1245" s="23" t="n">
        <x:v>17.179321605246514</x:v>
      </x:c>
      <x:c r="G1245" s="23" t="n">
        <x:v>0.8456451265886427</x:v>
      </x:c>
      <x:c r="H1245" s="23" t="n">
        <x:v>12140</x:v>
      </x:c>
      <x:c r="I1245" s="23" t="n">
        <x:v>1200</x:v>
      </x:c>
      <x:c r="J1245" s="23" t="n">
        <x:f>(IF(A1245='Hybrid Calculator'!$B$6,0,1))^2+((B1245-'Hybrid Calculator'!$B$7)/1500)^2+((C1245-'Hybrid Calculator'!$B$8)/1300)^2+((D1245-'Hybrid Calculator'!$B$9)/800)^2+((E1245-'Hybrid Calculator'!$B$10)/350)^2+((F1245-'Hybrid Calculator'!$B$11)/30)^2+(G1245-'Hybrid Calculator'!$B$12)^2+((H1245-'Hybrid Calculator'!$E$14)/IF(A1245="Lightning",100,30000))^2+((I1245-'Hybrid Calculator'!$E$17)/IF(A1245="Lightning",100,30000))^2</x:f>
        <x:v>1.5811982860380789</x:v>
      </x:c>
      <x:c r="K1245" s="23" t="n">
        <x:f>RANK(J1245,$J$2:$J$1401,1)</x:f>
        <x:v>1335</x:v>
      </x:c>
      <x:c r="L1245" s="23" t="n">
        <x:f>IF(K1245&lt;=7,1,0)</x:f>
        <x:v>0</x:v>
      </x:c>
      <x:c r="M1245" s="23" t="n">
        <x:f>IF(L1245=1,1/(J1245+0.000001),0)</x:f>
        <x:v>0</x:v>
      </x:c>
      <x:c r="N1245" s="23" t="n">
        <x:v>2.634617942198645</x:v>
      </x:c>
      <x:c r="O1245" s="23" t="n">
        <x:f>M1245</x:f>
        <x:v>0</x:v>
      </x:c>
      <x:c r="P1245" s="23" t="n">
        <x:v>11.015049927900236</x:v>
      </x:c>
      <x:c r="Q1245" s="23" t="n">
        <x:v>-3.222460422310178</x:v>
      </x:c>
    </x:row>
    <x:row r="1246">
      <x:c r="A1246" s="23" t="str">
        <x:v>Switching</x:v>
      </x:c>
      <x:c r="B1246" s="23" t="n">
        <x:v>1034.8029097076505</x:v>
      </x:c>
      <x:c r="C1246" s="23" t="n">
        <x:v>1244.3290660972707</x:v>
      </x:c>
      <x:c r="D1246" s="23" t="n">
        <x:v>375.96291806548834</x:v>
      </x:c>
      <x:c r="E1246" s="23" t="n">
        <x:v>92.88759132148698</x:v>
      </x:c>
      <x:c r="F1246" s="23" t="n">
        <x:v>10.372602436691523</x:v>
      </x:c>
      <x:c r="G1246" s="23" t="n">
        <x:v>0.8512959115975537</x:v>
      </x:c>
      <x:c r="H1246" s="23" t="n">
        <x:v>12485</x:v>
      </x:c>
      <x:c r="I1246" s="23" t="n">
        <x:v>1200</x:v>
      </x:c>
      <x:c r="J1246" s="23" t="n">
        <x:f>(IF(A1246='Hybrid Calculator'!$B$6,0,1))^2+((B1246-'Hybrid Calculator'!$B$7)/1500)^2+((C1246-'Hybrid Calculator'!$B$8)/1300)^2+((D1246-'Hybrid Calculator'!$B$9)/800)^2+((E1246-'Hybrid Calculator'!$B$10)/350)^2+((F1246-'Hybrid Calculator'!$B$11)/30)^2+(G1246-'Hybrid Calculator'!$B$12)^2+((H1246-'Hybrid Calculator'!$E$14)/IF(A1246="Lightning",100,30000))^2+((I1246-'Hybrid Calculator'!$E$17)/IF(A1246="Lightning",100,30000))^2</x:f>
        <x:v>1.458061696092546</x:v>
      </x:c>
      <x:c r="K1246" s="23" t="n">
        <x:f>RANK(J1246,$J$2:$J$1401,1)</x:f>
        <x:v>1126</x:v>
      </x:c>
      <x:c r="L1246" s="23" t="n">
        <x:f>IF(K1246&lt;=7,1,0)</x:f>
        <x:v>0</x:v>
      </x:c>
      <x:c r="M1246" s="23" t="n">
        <x:f>IF(L1246=1,1/(J1246+0.000001),0)</x:f>
        <x:v>0</x:v>
      </x:c>
      <x:c r="N1246" s="23" t="n">
        <x:v>1.1284285098700195</x:v>
      </x:c>
      <x:c r="O1246" s="23" t="n">
        <x:f>M1246</x:f>
        <x:v>0</x:v>
      </x:c>
      <x:c r="P1246" s="23" t="n">
        <x:v>-1.5323534974504582</x:v>
      </x:c>
      <x:c r="Q1246" s="23" t="n">
        <x:v>6.596131778477684</x:v>
      </x:c>
    </x:row>
    <x:row r="1247">
      <x:c r="A1247" s="23" t="str">
        <x:v>Switching</x:v>
      </x:c>
      <x:c r="B1247" s="23" t="n">
        <x:v>952.45355052175</x:v>
      </x:c>
      <x:c r="C1247" s="23" t="n">
        <x:v>1170.2337846858427</x:v>
      </x:c>
      <x:c r="D1247" s="23" t="n">
        <x:v>469.32208286598325</x:v>
      </x:c>
      <x:c r="E1247" s="23" t="n">
        <x:v>257.75605618953705</x:v>
      </x:c>
      <x:c r="F1247" s="23" t="n">
        <x:v>26.343237648252398</x:v>
      </x:c>
      <x:c r="G1247" s="23" t="n">
        <x:v>0.8435816677613184</x:v>
      </x:c>
      <x:c r="H1247" s="23" t="n">
        <x:v>13150</x:v>
      </x:c>
      <x:c r="I1247" s="23" t="n">
        <x:v>1200</x:v>
      </x:c>
      <x:c r="J1247" s="23" t="n">
        <x:f>(IF(A1247='Hybrid Calculator'!$B$6,0,1))^2+((B1247-'Hybrid Calculator'!$B$7)/1500)^2+((C1247-'Hybrid Calculator'!$B$8)/1300)^2+((D1247-'Hybrid Calculator'!$B$9)/800)^2+((E1247-'Hybrid Calculator'!$B$10)/350)^2+((F1247-'Hybrid Calculator'!$B$11)/30)^2+(G1247-'Hybrid Calculator'!$B$12)^2+((H1247-'Hybrid Calculator'!$E$14)/IF(A1247="Lightning",100,30000))^2+((I1247-'Hybrid Calculator'!$E$17)/IF(A1247="Lightning",100,30000))^2</x:f>
        <x:v>1.5173014197668437</x:v>
      </x:c>
      <x:c r="K1247" s="23" t="n">
        <x:f>RANK(J1247,$J$2:$J$1401,1)</x:f>
        <x:v>1242</x:v>
      </x:c>
      <x:c r="L1247" s="23" t="n">
        <x:f>IF(K1247&lt;=7,1,0)</x:f>
        <x:v>0</x:v>
      </x:c>
      <x:c r="M1247" s="23" t="n">
        <x:f>IF(L1247=1,1/(J1247+0.000001),0)</x:f>
        <x:v>0</x:v>
      </x:c>
      <x:c r="N1247" s="23" t="n">
        <x:v>2.419489702570985</x:v>
      </x:c>
      <x:c r="O1247" s="23" t="n">
        <x:f>M1247</x:f>
        <x:v>0</x:v>
      </x:c>
      <x:c r="P1247" s="23" t="n">
        <x:v>37.01386817517596</x:v>
      </x:c>
      <x:c r="Q1247" s="23" t="n">
        <x:v>-8.281097729444696</x:v>
      </x:c>
    </x:row>
    <x:row r="1248">
      <x:c r="A1248" s="23" t="str">
        <x:v>Switching</x:v>
      </x:c>
      <x:c r="B1248" s="23" t="n">
        <x:v>1039.1769972164184</x:v>
      </x:c>
      <x:c r="C1248" s="23" t="n">
        <x:v>932.3747038724832</x:v>
      </x:c>
      <x:c r="D1248" s="23" t="n">
        <x:v>723.7892476841807</x:v>
      </x:c>
      <x:c r="E1248" s="23" t="n">
        <x:v>106.20543754892424</x:v>
      </x:c>
      <x:c r="F1248" s="23" t="n">
        <x:v>22.51587423682213</x:v>
      </x:c>
      <x:c r="G1248" s="23" t="n">
        <x:v>0.8305921783135273</x:v>
      </x:c>
      <x:c r="H1248" s="23" t="n">
        <x:v>12135</x:v>
      </x:c>
      <x:c r="I1248" s="23" t="n">
        <x:v>1200</x:v>
      </x:c>
      <x:c r="J1248" s="23" t="n">
        <x:f>(IF(A1248='Hybrid Calculator'!$B$6,0,1))^2+((B1248-'Hybrid Calculator'!$B$7)/1500)^2+((C1248-'Hybrid Calculator'!$B$8)/1300)^2+((D1248-'Hybrid Calculator'!$B$9)/800)^2+((E1248-'Hybrid Calculator'!$B$10)/350)^2+((F1248-'Hybrid Calculator'!$B$11)/30)^2+(G1248-'Hybrid Calculator'!$B$12)^2+((H1248-'Hybrid Calculator'!$E$14)/IF(A1248="Lightning",100,30000))^2+((I1248-'Hybrid Calculator'!$E$17)/IF(A1248="Lightning",100,30000))^2</x:f>
        <x:v>1.3459243396277207</x:v>
      </x:c>
      <x:c r="K1248" s="23" t="n">
        <x:f>RANK(J1248,$J$2:$J$1401,1)</x:f>
        <x:v>820</x:v>
      </x:c>
      <x:c r="L1248" s="23" t="n">
        <x:f>IF(K1248&lt;=7,1,0)</x:f>
        <x:v>0</x:v>
      </x:c>
      <x:c r="M1248" s="23" t="n">
        <x:f>IF(L1248=1,1/(J1248+0.000001),0)</x:f>
        <x:v>0</x:v>
      </x:c>
      <x:c r="N1248" s="23" t="n">
        <x:v>1.47382741717621</x:v>
      </x:c>
      <x:c r="O1248" s="23" t="n">
        <x:f>M1248</x:f>
        <x:v>0</x:v>
      </x:c>
      <x:c r="P1248" s="23" t="n">
        <x:v>-15.205029750458834</x:v>
      </x:c>
      <x:c r="Q1248" s="23" t="n">
        <x:v>-11.565070483852423</x:v>
      </x:c>
    </x:row>
    <x:row r="1249">
      <x:c r="A1249" s="23" t="str">
        <x:v>Switching</x:v>
      </x:c>
      <x:c r="B1249" s="23" t="n">
        <x:v>953.6748790298589</x:v>
      </x:c>
      <x:c r="C1249" s="23" t="n">
        <x:v>1091.5186108788475</x:v>
      </x:c>
      <x:c r="D1249" s="23" t="n">
        <x:v>700.2875667996705</x:v>
      </x:c>
      <x:c r="E1249" s="23" t="n">
        <x:v>146.59650662913918</x:v>
      </x:c>
      <x:c r="F1249" s="23" t="n">
        <x:v>17.61081977793947</x:v>
      </x:c>
      <x:c r="G1249" s="23" t="n">
        <x:v>0.7931320866709576</x:v>
      </x:c>
      <x:c r="H1249" s="23" t="n">
        <x:v>11035</x:v>
      </x:c>
      <x:c r="I1249" s="23" t="n">
        <x:v>1195</x:v>
      </x:c>
      <x:c r="J1249" s="23" t="n">
        <x:f>(IF(A1249='Hybrid Calculator'!$B$6,0,1))^2+((B1249-'Hybrid Calculator'!$B$7)/1500)^2+((C1249-'Hybrid Calculator'!$B$8)/1300)^2+((D1249-'Hybrid Calculator'!$B$9)/800)^2+((E1249-'Hybrid Calculator'!$B$10)/350)^2+((F1249-'Hybrid Calculator'!$B$11)/30)^2+(G1249-'Hybrid Calculator'!$B$12)^2+((H1249-'Hybrid Calculator'!$E$14)/IF(A1249="Lightning",100,30000))^2+((I1249-'Hybrid Calculator'!$E$17)/IF(A1249="Lightning",100,30000))^2</x:f>
        <x:v>1.3332215134530796</x:v>
      </x:c>
      <x:c r="K1249" s="23" t="n">
        <x:f>RANK(J1249,$J$2:$J$1401,1)</x:f>
        <x:v>784</x:v>
      </x:c>
      <x:c r="L1249" s="23" t="n">
        <x:f>IF(K1249&lt;=7,1,0)</x:f>
        <x:v>0</x:v>
      </x:c>
      <x:c r="M1249" s="23" t="n">
        <x:f>IF(L1249=1,1/(J1249+0.000001),0)</x:f>
        <x:v>0</x:v>
      </x:c>
      <x:c r="N1249" s="23" t="n">
        <x:v>4.421421410211906</x:v>
      </x:c>
      <x:c r="O1249" s="23" t="n">
        <x:f>M1249</x:f>
        <x:v>0</x:v>
      </x:c>
      <x:c r="P1249" s="23" t="n">
        <x:v>0.7297188614120387</x:v>
      </x:c>
      <x:c r="Q1249" s="23" t="n">
        <x:v>-9.431942035770135</x:v>
      </x:c>
    </x:row>
    <x:row r="1250">
      <x:c r="A1250" s="23" t="str">
        <x:v>Switching</x:v>
      </x:c>
      <x:c r="B1250" s="23" t="n">
        <x:v>1030.8825955959037</x:v>
      </x:c>
      <x:c r="C1250" s="23" t="n">
        <x:v>1197.3260259372182</x:v>
      </x:c>
      <x:c r="D1250" s="23" t="n">
        <x:v>477.2414341568947</x:v>
      </x:c>
      <x:c r="E1250" s="23" t="n">
        <x:v>231.63574641337618</x:v>
      </x:c>
      <x:c r="F1250" s="23" t="n">
        <x:v>12.383783201687038</x:v>
      </x:c>
      <x:c r="G1250" s="23" t="n">
        <x:v>0.8088595384708606</x:v>
      </x:c>
      <x:c r="H1250" s="23" t="n">
        <x:v>11220</x:v>
      </x:c>
      <x:c r="I1250" s="23" t="n">
        <x:v>1195</x:v>
      </x:c>
      <x:c r="J1250" s="23" t="n">
        <x:f>(IF(A1250='Hybrid Calculator'!$B$6,0,1))^2+((B1250-'Hybrid Calculator'!$B$7)/1500)^2+((C1250-'Hybrid Calculator'!$B$8)/1300)^2+((D1250-'Hybrid Calculator'!$B$9)/800)^2+((E1250-'Hybrid Calculator'!$B$10)/350)^2+((F1250-'Hybrid Calculator'!$B$11)/30)^2+(G1250-'Hybrid Calculator'!$B$12)^2+((H1250-'Hybrid Calculator'!$E$14)/IF(A1250="Lightning",100,30000))^2+((I1250-'Hybrid Calculator'!$E$17)/IF(A1250="Lightning",100,30000))^2</x:f>
        <x:v>1.3774710873626026</x:v>
      </x:c>
      <x:c r="K1250" s="23" t="n">
        <x:f>RANK(J1250,$J$2:$J$1401,1)</x:f>
        <x:v>911</x:v>
      </x:c>
      <x:c r="L1250" s="23" t="n">
        <x:f>IF(K1250&lt;=7,1,0)</x:f>
        <x:v>0</x:v>
      </x:c>
      <x:c r="M1250" s="23" t="n">
        <x:f>IF(L1250=1,1/(J1250+0.000001),0)</x:f>
        <x:v>0</x:v>
      </x:c>
      <x:c r="N1250" s="23" t="n">
        <x:v>5.0105518286682695</x:v>
      </x:c>
      <x:c r="O1250" s="23" t="n">
        <x:f>M1250</x:f>
        <x:v>0</x:v>
      </x:c>
      <x:c r="P1250" s="23" t="n">
        <x:v>58.93652171223221</x:v>
      </x:c>
      <x:c r="Q1250" s="23" t="n">
        <x:v>-2.11124437375247</x:v>
      </x:c>
    </x:row>
    <x:row r="1251">
      <x:c r="A1251" s="23" t="str">
        <x:v>Switching</x:v>
      </x:c>
      <x:c r="B1251" s="23" t="n">
        <x:v>989.9098484660499</x:v>
      </x:c>
      <x:c r="C1251" s="23" t="n">
        <x:v>712.3553062789142</x:v>
      </x:c>
      <x:c r="D1251" s="23" t="n">
        <x:v>577.4634412489831</x:v>
      </x:c>
      <x:c r="E1251" s="23" t="n">
        <x:v>254.35759550426155</x:v>
      </x:c>
      <x:c r="F1251" s="23" t="n">
        <x:v>19.939287727233022</x:v>
      </x:c>
      <x:c r="G1251" s="23" t="n">
        <x:v>0.8221289434749633</x:v>
      </x:c>
      <x:c r="H1251" s="23" t="n">
        <x:v>13850</x:v>
      </x:c>
      <x:c r="I1251" s="23" t="n">
        <x:v>1200</x:v>
      </x:c>
      <x:c r="J1251" s="23" t="n">
        <x:f>(IF(A1251='Hybrid Calculator'!$B$6,0,1))^2+((B1251-'Hybrid Calculator'!$B$7)/1500)^2+((C1251-'Hybrid Calculator'!$B$8)/1300)^2+((D1251-'Hybrid Calculator'!$B$9)/800)^2+((E1251-'Hybrid Calculator'!$B$10)/350)^2+((F1251-'Hybrid Calculator'!$B$11)/30)^2+(G1251-'Hybrid Calculator'!$B$12)^2+((H1251-'Hybrid Calculator'!$E$14)/IF(A1251="Lightning",100,30000))^2+((I1251-'Hybrid Calculator'!$E$17)/IF(A1251="Lightning",100,30000))^2</x:f>
        <x:v>1.4090638487125104</x:v>
      </x:c>
      <x:c r="K1251" s="23" t="n">
        <x:f>RANK(J1251,$J$2:$J$1401,1)</x:f>
        <x:v>1001</x:v>
      </x:c>
      <x:c r="L1251" s="23" t="n">
        <x:f>IF(K1251&lt;=7,1,0)</x:f>
        <x:v>0</x:v>
      </x:c>
      <x:c r="M1251" s="23" t="n">
        <x:f>IF(L1251=1,1/(J1251+0.000001),0)</x:f>
        <x:v>0</x:v>
      </x:c>
      <x:c r="N1251" s="23" t="n">
        <x:v>-3.0451320147153353</x:v>
      </x:c>
      <x:c r="O1251" s="23" t="n">
        <x:f>M1251</x:f>
        <x:v>0</x:v>
      </x:c>
      <x:c r="P1251" s="23" t="n">
        <x:v>-63.434195339784765</x:v>
      </x:c>
      <x:c r="Q1251" s="23" t="n">
        <x:v>-3.661295944353583</x:v>
      </x:c>
    </x:row>
    <x:row r="1252">
      <x:c r="A1252" s="23" t="str">
        <x:v>Switching</x:v>
      </x:c>
      <x:c r="B1252" s="23" t="n">
        <x:v>989.8971516638994</x:v>
      </x:c>
      <x:c r="C1252" s="23" t="n">
        <x:v>781.0620418167673</x:v>
      </x:c>
      <x:c r="D1252" s="23" t="n">
        <x:v>472.21491504460573</x:v>
      </x:c>
      <x:c r="E1252" s="23" t="n">
        <x:v>252.43238218361512</x:v>
      </x:c>
      <x:c r="F1252" s="23" t="n">
        <x:v>14.157463414594531</x:v>
      </x:c>
      <x:c r="G1252" s="23" t="n">
        <x:v>0.8122207788866945</x:v>
      </x:c>
      <x:c r="H1252" s="23" t="n">
        <x:v>14205</x:v>
      </x:c>
      <x:c r="I1252" s="23" t="n">
        <x:v>1200</x:v>
      </x:c>
      <x:c r="J1252" s="23" t="n">
        <x:f>(IF(A1252='Hybrid Calculator'!$B$6,0,1))^2+((B1252-'Hybrid Calculator'!$B$7)/1500)^2+((C1252-'Hybrid Calculator'!$B$8)/1300)^2+((D1252-'Hybrid Calculator'!$B$9)/800)^2+((E1252-'Hybrid Calculator'!$B$10)/350)^2+((F1252-'Hybrid Calculator'!$B$11)/30)^2+(G1252-'Hybrid Calculator'!$B$12)^2+((H1252-'Hybrid Calculator'!$E$14)/IF(A1252="Lightning",100,30000))^2+((I1252-'Hybrid Calculator'!$E$17)/IF(A1252="Lightning",100,30000))^2</x:f>
        <x:v>1.4189844768865347</x:v>
      </x:c>
      <x:c r="K1252" s="23" t="n">
        <x:f>RANK(J1252,$J$2:$J$1401,1)</x:f>
        <x:v>1038</x:v>
      </x:c>
      <x:c r="L1252" s="23" t="n">
        <x:f>IF(K1252&lt;=7,1,0)</x:f>
        <x:v>0</x:v>
      </x:c>
      <x:c r="M1252" s="23" t="n">
        <x:f>IF(L1252=1,1/(J1252+0.000001),0)</x:f>
        <x:v>0</x:v>
      </x:c>
      <x:c r="N1252" s="23" t="n">
        <x:v>0.8483732146769967</x:v>
      </x:c>
      <x:c r="O1252" s="23" t="n">
        <x:f>M1252</x:f>
        <x:v>0</x:v>
      </x:c>
      <x:c r="P1252" s="23" t="n">
        <x:v>26.06317156528894</x:v>
      </x:c>
      <x:c r="Q1252" s="23" t="n">
        <x:v>8.052562568722692</x:v>
      </x:c>
    </x:row>
    <x:row r="1253">
      <x:c r="A1253" s="23" t="str">
        <x:v>Switching</x:v>
      </x:c>
      <x:c r="B1253" s="23" t="n">
        <x:v>1008.1914390088059</x:v>
      </x:c>
      <x:c r="C1253" s="23" t="n">
        <x:v>1208.5140904644504</x:v>
      </x:c>
      <x:c r="D1253" s="23" t="n">
        <x:v>669.922782573849</x:v>
      </x:c>
      <x:c r="E1253" s="23" t="n">
        <x:v>307.5568281766027</x:v>
      </x:c>
      <x:c r="F1253" s="23" t="n">
        <x:v>15.782513451296836</x:v>
      </x:c>
      <x:c r="G1253" s="23" t="n">
        <x:v>0.8580782304005697</x:v>
      </x:c>
      <x:c r="H1253" s="23" t="n">
        <x:v>11415</x:v>
      </x:c>
      <x:c r="I1253" s="23" t="n">
        <x:v>1195</x:v>
      </x:c>
      <x:c r="J1253" s="23" t="n">
        <x:f>(IF(A1253='Hybrid Calculator'!$B$6,0,1))^2+((B1253-'Hybrid Calculator'!$B$7)/1500)^2+((C1253-'Hybrid Calculator'!$B$8)/1300)^2+((D1253-'Hybrid Calculator'!$B$9)/800)^2+((E1253-'Hybrid Calculator'!$B$10)/350)^2+((F1253-'Hybrid Calculator'!$B$11)/30)^2+(G1253-'Hybrid Calculator'!$B$12)^2+((H1253-'Hybrid Calculator'!$E$14)/IF(A1253="Lightning",100,30000))^2+((I1253-'Hybrid Calculator'!$E$17)/IF(A1253="Lightning",100,30000))^2</x:f>
        <x:v>1.5557200016516715</x:v>
      </x:c>
      <x:c r="K1253" s="23" t="n">
        <x:f>RANK(J1253,$J$2:$J$1401,1)</x:f>
        <x:v>1311</x:v>
      </x:c>
      <x:c r="L1253" s="23" t="n">
        <x:f>IF(K1253&lt;=7,1,0)</x:f>
        <x:v>0</x:v>
      </x:c>
      <x:c r="M1253" s="23" t="n">
        <x:f>IF(L1253=1,1/(J1253+0.000001),0)</x:f>
        <x:v>0</x:v>
      </x:c>
      <x:c r="N1253" s="23" t="n">
        <x:v>4.018290522198328</x:v>
      </x:c>
      <x:c r="O1253" s="23" t="n">
        <x:f>M1253</x:f>
        <x:v>0</x:v>
      </x:c>
      <x:c r="P1253" s="23" t="n">
        <x:v>28.36162477916332</x:v>
      </x:c>
      <x:c r="Q1253" s="23" t="n">
        <x:v>-6.020182730687111</x:v>
      </x:c>
    </x:row>
    <x:row r="1254">
      <x:c r="A1254" s="23" t="str">
        <x:v>Switching</x:v>
      </x:c>
      <x:c r="B1254" s="23" t="n">
        <x:v>999.4818378938362</x:v>
      </x:c>
      <x:c r="C1254" s="23" t="n">
        <x:v>1213.731879054103</x:v>
      </x:c>
      <x:c r="D1254" s="23" t="n">
        <x:v>571.1856696754694</x:v>
      </x:c>
      <x:c r="E1254" s="23" t="n">
        <x:v>312.0273436489515</x:v>
      </x:c>
      <x:c r="F1254" s="23" t="n">
        <x:v>18.841975250281394</x:v>
      </x:c>
      <x:c r="G1254" s="23" t="n">
        <x:v>0.828331268306356</x:v>
      </x:c>
      <x:c r="H1254" s="23" t="n">
        <x:v>10200</x:v>
      </x:c>
      <x:c r="I1254" s="23" t="n">
        <x:v>1195</x:v>
      </x:c>
      <x:c r="J1254" s="23" t="n">
        <x:f>(IF(A1254='Hybrid Calculator'!$B$6,0,1))^2+((B1254-'Hybrid Calculator'!$B$7)/1500)^2+((C1254-'Hybrid Calculator'!$B$8)/1300)^2+((D1254-'Hybrid Calculator'!$B$9)/800)^2+((E1254-'Hybrid Calculator'!$B$10)/350)^2+((F1254-'Hybrid Calculator'!$B$11)/30)^2+(G1254-'Hybrid Calculator'!$B$12)^2+((H1254-'Hybrid Calculator'!$E$14)/IF(A1254="Lightning",100,30000))^2+((I1254-'Hybrid Calculator'!$E$17)/IF(A1254="Lightning",100,30000))^2</x:f>
        <x:v>1.4971748609699476</x:v>
      </x:c>
      <x:c r="K1254" s="23" t="n">
        <x:f>RANK(J1254,$J$2:$J$1401,1)</x:f>
        <x:v>1204</x:v>
      </x:c>
      <x:c r="L1254" s="23" t="n">
        <x:f>IF(K1254&lt;=7,1,0)</x:f>
        <x:v>0</x:v>
      </x:c>
      <x:c r="M1254" s="23" t="n">
        <x:f>IF(L1254=1,1/(J1254+0.000001),0)</x:f>
        <x:v>0</x:v>
      </x:c>
      <x:c r="N1254" s="23" t="n">
        <x:v>3.6853419753918786</x:v>
      </x:c>
      <x:c r="O1254" s="23" t="n">
        <x:f>M1254</x:f>
        <x:v>0</x:v>
      </x:c>
      <x:c r="P1254" s="23" t="n">
        <x:v>44.58861147948619</x:v>
      </x:c>
      <x:c r="Q1254" s="23" t="n">
        <x:v>-7.3177392280929325</x:v>
      </x:c>
    </x:row>
    <x:row r="1255">
      <x:c r="A1255" s="23" t="str">
        <x:v>Switching</x:v>
      </x:c>
      <x:c r="B1255" s="23" t="n">
        <x:v>1040.0023695430718</x:v>
      </x:c>
      <x:c r="C1255" s="23" t="n">
        <x:v>944.8201361577958</x:v>
      </x:c>
      <x:c r="D1255" s="23" t="n">
        <x:v>467.28137684985995</x:v>
      </x:c>
      <x:c r="E1255" s="23" t="n">
        <x:v>253.8926264224574</x:v>
      </x:c>
      <x:c r="F1255" s="23" t="n">
        <x:v>24.10512940166518</x:v>
      </x:c>
      <x:c r="G1255" s="23" t="n">
        <x:v>0.8590798249840736</x:v>
      </x:c>
      <x:c r="H1255" s="23" t="n">
        <x:v>12835</x:v>
      </x:c>
      <x:c r="I1255" s="23" t="n">
        <x:v>1200</x:v>
      </x:c>
      <x:c r="J1255" s="23" t="n">
        <x:f>(IF(A1255='Hybrid Calculator'!$B$6,0,1))^2+((B1255-'Hybrid Calculator'!$B$7)/1500)^2+((C1255-'Hybrid Calculator'!$B$8)/1300)^2+((D1255-'Hybrid Calculator'!$B$9)/800)^2+((E1255-'Hybrid Calculator'!$B$10)/350)^2+((F1255-'Hybrid Calculator'!$B$11)/30)^2+(G1255-'Hybrid Calculator'!$B$12)^2+((H1255-'Hybrid Calculator'!$E$14)/IF(A1255="Lightning",100,30000))^2+((I1255-'Hybrid Calculator'!$E$17)/IF(A1255="Lightning",100,30000))^2</x:f>
        <x:v>1.380568920763277</x:v>
      </x:c>
      <x:c r="K1255" s="23" t="n">
        <x:f>RANK(J1255,$J$2:$J$1401,1)</x:f>
        <x:v>918</x:v>
      </x:c>
      <x:c r="L1255" s="23" t="n">
        <x:f>IF(K1255&lt;=7,1,0)</x:f>
        <x:v>0</x:v>
      </x:c>
      <x:c r="M1255" s="23" t="n">
        <x:f>IF(L1255=1,1/(J1255+0.000001),0)</x:f>
        <x:v>0</x:v>
      </x:c>
      <x:c r="N1255" s="23" t="n">
        <x:v>-1.0344653747419557</x:v>
      </x:c>
      <x:c r="O1255" s="23" t="n">
        <x:f>M1255</x:f>
        <x:v>0</x:v>
      </x:c>
      <x:c r="P1255" s="23" t="n">
        <x:v>-14.372672770304234</x:v>
      </x:c>
      <x:c r="Q1255" s="23" t="n">
        <x:v>-4.600613946998692</x:v>
      </x:c>
    </x:row>
    <x:row r="1256">
      <x:c r="A1256" s="23" t="str">
        <x:v>Switching</x:v>
      </x:c>
      <x:c r="B1256" s="23" t="n">
        <x:v>966.0381499212235</x:v>
      </x:c>
      <x:c r="C1256" s="23" t="n">
        <x:v>1193.2672222028486</x:v>
      </x:c>
      <x:c r="D1256" s="23" t="n">
        <x:v>550.9116178378463</x:v>
      </x:c>
      <x:c r="E1256" s="23" t="n">
        <x:v>145.69295638473704</x:v>
      </x:c>
      <x:c r="F1256" s="23" t="n">
        <x:v>19.197410192340612</x:v>
      </x:c>
      <x:c r="G1256" s="23" t="n">
        <x:v>0.8485260491468944</x:v>
      </x:c>
      <x:c r="H1256" s="23" t="n">
        <x:v>13200</x:v>
      </x:c>
      <x:c r="I1256" s="23" t="n">
        <x:v>1200</x:v>
      </x:c>
      <x:c r="J1256" s="23" t="n">
        <x:f>(IF(A1256='Hybrid Calculator'!$B$6,0,1))^2+((B1256-'Hybrid Calculator'!$B$7)/1500)^2+((C1256-'Hybrid Calculator'!$B$8)/1300)^2+((D1256-'Hybrid Calculator'!$B$9)/800)^2+((E1256-'Hybrid Calculator'!$B$10)/350)^2+((F1256-'Hybrid Calculator'!$B$11)/30)^2+(G1256-'Hybrid Calculator'!$B$12)^2+((H1256-'Hybrid Calculator'!$E$14)/IF(A1256="Lightning",100,30000))^2+((I1256-'Hybrid Calculator'!$E$17)/IF(A1256="Lightning",100,30000))^2</x:f>
        <x:v>1.3625694608542775</x:v>
      </x:c>
      <x:c r="K1256" s="23" t="n">
        <x:f>RANK(J1256,$J$2:$J$1401,1)</x:f>
        <x:v>862</x:v>
      </x:c>
      <x:c r="L1256" s="23" t="n">
        <x:f>IF(K1256&lt;=7,1,0)</x:f>
        <x:v>0</x:v>
      </x:c>
      <x:c r="M1256" s="23" t="n">
        <x:f>IF(L1256=1,1/(J1256+0.000001),0)</x:f>
        <x:v>0</x:v>
      </x:c>
      <x:c r="N1256" s="23" t="n">
        <x:v>4.272296627657937</x:v>
      </x:c>
      <x:c r="O1256" s="23" t="n">
        <x:f>M1256</x:f>
        <x:v>0</x:v>
      </x:c>
      <x:c r="P1256" s="23" t="n">
        <x:v>61.75512253819852</x:v>
      </x:c>
      <x:c r="Q1256" s="23" t="n">
        <x:v>-3.434329667335305</x:v>
      </x:c>
    </x:row>
    <x:row r="1257">
      <x:c r="A1257" s="23" t="str">
        <x:v>Switching</x:v>
      </x:c>
      <x:c r="B1257" s="23" t="n">
        <x:v>981.9939661887474</x:v>
      </x:c>
      <x:c r="C1257" s="23" t="n">
        <x:v>1215.2489232597873</x:v>
      </x:c>
      <x:c r="D1257" s="23" t="n">
        <x:v>514.5742644555867</x:v>
      </x:c>
      <x:c r="E1257" s="23" t="n">
        <x:v>124.98132783919573</x:v>
      </x:c>
      <x:c r="F1257" s="23" t="n">
        <x:v>17.12899068230763</x:v>
      </x:c>
      <x:c r="G1257" s="23" t="n">
        <x:v>0.8422103384463117</x:v>
      </x:c>
      <x:c r="H1257" s="23" t="n">
        <x:v>13450</x:v>
      </x:c>
      <x:c r="I1257" s="23" t="n">
        <x:v>1200</x:v>
      </x:c>
      <x:c r="J1257" s="23" t="n">
        <x:f>(IF(A1257='Hybrid Calculator'!$B$6,0,1))^2+((B1257-'Hybrid Calculator'!$B$7)/1500)^2+((C1257-'Hybrid Calculator'!$B$8)/1300)^2+((D1257-'Hybrid Calculator'!$B$9)/800)^2+((E1257-'Hybrid Calculator'!$B$10)/350)^2+((F1257-'Hybrid Calculator'!$B$11)/30)^2+(G1257-'Hybrid Calculator'!$B$12)^2+((H1257-'Hybrid Calculator'!$E$14)/IF(A1257="Lightning",100,30000))^2+((I1257-'Hybrid Calculator'!$E$17)/IF(A1257="Lightning",100,30000))^2</x:f>
        <x:v>1.3752315851647579</x:v>
      </x:c>
      <x:c r="K1257" s="23" t="n">
        <x:f>RANK(J1257,$J$2:$J$1401,1)</x:f>
        <x:v>904</x:v>
      </x:c>
      <x:c r="L1257" s="23" t="n">
        <x:f>IF(K1257&lt;=7,1,0)</x:f>
        <x:v>0</x:v>
      </x:c>
      <x:c r="M1257" s="23" t="n">
        <x:f>IF(L1257=1,1/(J1257+0.000001),0)</x:f>
        <x:v>0</x:v>
      </x:c>
      <x:c r="N1257" s="23" t="n">
        <x:v>-0.38248724015269886</x:v>
      </x:c>
      <x:c r="O1257" s="23" t="n">
        <x:f>M1257</x:f>
        <x:v>0</x:v>
      </x:c>
      <x:c r="P1257" s="23" t="n">
        <x:v>70.54247125958227</x:v>
      </x:c>
      <x:c r="Q1257" s="23" t="n">
        <x:v>-3.5249802410902475</x:v>
      </x:c>
    </x:row>
    <x:row r="1258">
      <x:c r="A1258" s="23" t="str">
        <x:v>Switching</x:v>
      </x:c>
      <x:c r="B1258" s="23" t="n">
        <x:v>1064.2925188178197</x:v>
      </x:c>
      <x:c r="C1258" s="23" t="n">
        <x:v>774.6135178138502</x:v>
      </x:c>
      <x:c r="D1258" s="23" t="n">
        <x:v>700.2666346728802</x:v>
      </x:c>
      <x:c r="E1258" s="23" t="n">
        <x:v>120.31629062956199</x:v>
      </x:c>
      <x:c r="F1258" s="23" t="n">
        <x:v>10.875590509735048</x:v>
      </x:c>
      <x:c r="G1258" s="23" t="n">
        <x:v>0.7947304476960563</x:v>
      </x:c>
      <x:c r="H1258" s="23" t="n">
        <x:v>13405</x:v>
      </x:c>
      <x:c r="I1258" s="23" t="n">
        <x:v>1200</x:v>
      </x:c>
      <x:c r="J1258" s="23" t="n">
        <x:f>(IF(A1258='Hybrid Calculator'!$B$6,0,1))^2+((B1258-'Hybrid Calculator'!$B$7)/1500)^2+((C1258-'Hybrid Calculator'!$B$8)/1300)^2+((D1258-'Hybrid Calculator'!$B$9)/800)^2+((E1258-'Hybrid Calculator'!$B$10)/350)^2+((F1258-'Hybrid Calculator'!$B$11)/30)^2+(G1258-'Hybrid Calculator'!$B$12)^2+((H1258-'Hybrid Calculator'!$E$14)/IF(A1258="Lightning",100,30000))^2+((I1258-'Hybrid Calculator'!$E$17)/IF(A1258="Lightning",100,30000))^2</x:f>
        <x:v>1.3959856337963823</x:v>
      </x:c>
      <x:c r="K1258" s="23" t="n">
        <x:f>RANK(J1258,$J$2:$J$1401,1)</x:f>
        <x:v>966</x:v>
      </x:c>
      <x:c r="L1258" s="23" t="n">
        <x:f>IF(K1258&lt;=7,1,0)</x:f>
        <x:v>0</x:v>
      </x:c>
      <x:c r="M1258" s="23" t="n">
        <x:f>IF(L1258=1,1/(J1258+0.000001),0)</x:f>
        <x:v>0</x:v>
      </x:c>
      <x:c r="N1258" s="23" t="n">
        <x:v>-0.2860537534993455</x:v>
      </x:c>
      <x:c r="O1258" s="23" t="n">
        <x:f>M1258</x:f>
        <x:v>0</x:v>
      </x:c>
      <x:c r="P1258" s="23" t="n">
        <x:v>-28.977324133097227</x:v>
      </x:c>
      <x:c r="Q1258" s="23" t="n">
        <x:v>9.85247073762207</x:v>
      </x:c>
    </x:row>
    <x:row r="1259">
      <x:c r="A1259" s="23" t="str">
        <x:v>Switching</x:v>
      </x:c>
      <x:c r="B1259" s="23" t="n">
        <x:v>1092.3430310445838</x:v>
      </x:c>
      <x:c r="C1259" s="23" t="n">
        <x:v>683.025287464261</x:v>
      </x:c>
      <x:c r="D1259" s="23" t="n">
        <x:v>362.3450039885938</x:v>
      </x:c>
      <x:c r="E1259" s="23" t="n">
        <x:v>243.86956453789026</x:v>
      </x:c>
      <x:c r="F1259" s="23" t="n">
        <x:v>12.041789398994297</x:v>
      </x:c>
      <x:c r="G1259" s="23" t="n">
        <x:v>0.8558409066777677</x:v>
      </x:c>
      <x:c r="H1259" s="23" t="n">
        <x:v>16590</x:v>
      </x:c>
      <x:c r="I1259" s="23" t="n">
        <x:v>1200</x:v>
      </x:c>
      <x:c r="J1259" s="23" t="n">
        <x:f>(IF(A1259='Hybrid Calculator'!$B$6,0,1))^2+((B1259-'Hybrid Calculator'!$B$7)/1500)^2+((C1259-'Hybrid Calculator'!$B$8)/1300)^2+((D1259-'Hybrid Calculator'!$B$9)/800)^2+((E1259-'Hybrid Calculator'!$B$10)/350)^2+((F1259-'Hybrid Calculator'!$B$11)/30)^2+(G1259-'Hybrid Calculator'!$B$12)^2+((H1259-'Hybrid Calculator'!$E$14)/IF(A1259="Lightning",100,30000))^2+((I1259-'Hybrid Calculator'!$E$17)/IF(A1259="Lightning",100,30000))^2</x:f>
        <x:v>1.520347913344869</x:v>
      </x:c>
      <x:c r="K1259" s="23" t="n">
        <x:f>RANK(J1259,$J$2:$J$1401,1)</x:f>
        <x:v>1248</x:v>
      </x:c>
      <x:c r="L1259" s="23" t="n">
        <x:f>IF(K1259&lt;=7,1,0)</x:f>
        <x:v>0</x:v>
      </x:c>
      <x:c r="M1259" s="23" t="n">
        <x:f>IF(L1259=1,1/(J1259+0.000001),0)</x:f>
        <x:v>0</x:v>
      </x:c>
      <x:c r="N1259" s="23" t="n">
        <x:v>-0.5064628196055594</x:v>
      </x:c>
      <x:c r="O1259" s="23" t="n">
        <x:f>M1259</x:f>
        <x:v>0</x:v>
      </x:c>
      <x:c r="P1259" s="23" t="n">
        <x:v>-53.47229078706414</x:v>
      </x:c>
      <x:c r="Q1259" s="23" t="n">
        <x:v>11.850352824181073</x:v>
      </x:c>
    </x:row>
    <x:row r="1260">
      <x:c r="A1260" s="23" t="str">
        <x:v>Switching</x:v>
      </x:c>
      <x:c r="B1260" s="23" t="n">
        <x:v>965.2621428482234</x:v>
      </x:c>
      <x:c r="C1260" s="23" t="n">
        <x:v>1049.5167519315146</x:v>
      </x:c>
      <x:c r="D1260" s="23" t="n">
        <x:v>426.8941456452012</x:v>
      </x:c>
      <x:c r="E1260" s="23" t="n">
        <x:v>281.379542297218</x:v>
      </x:c>
      <x:c r="F1260" s="23" t="n">
        <x:v>16.06601575948298</x:v>
      </x:c>
      <x:c r="G1260" s="23" t="n">
        <x:v>0.8475131098483689</x:v>
      </x:c>
      <x:c r="H1260" s="23" t="n">
        <x:v>14195</x:v>
      </x:c>
      <x:c r="I1260" s="23" t="n">
        <x:v>1200</x:v>
      </x:c>
      <x:c r="J1260" s="23" t="n">
        <x:f>(IF(A1260='Hybrid Calculator'!$B$6,0,1))^2+((B1260-'Hybrid Calculator'!$B$7)/1500)^2+((C1260-'Hybrid Calculator'!$B$8)/1300)^2+((D1260-'Hybrid Calculator'!$B$9)/800)^2+((E1260-'Hybrid Calculator'!$B$10)/350)^2+((F1260-'Hybrid Calculator'!$B$11)/30)^2+(G1260-'Hybrid Calculator'!$B$12)^2+((H1260-'Hybrid Calculator'!$E$14)/IF(A1260="Lightning",100,30000))^2+((I1260-'Hybrid Calculator'!$E$17)/IF(A1260="Lightning",100,30000))^2</x:f>
        <x:v>1.4979309238702112</x:v>
      </x:c>
      <x:c r="K1260" s="23" t="n">
        <x:f>RANK(J1260,$J$2:$J$1401,1)</x:f>
        <x:v>1207</x:v>
      </x:c>
      <x:c r="L1260" s="23" t="n">
        <x:f>IF(K1260&lt;=7,1,0)</x:f>
        <x:v>0</x:v>
      </x:c>
      <x:c r="M1260" s="23" t="n">
        <x:f>IF(L1260=1,1/(J1260+0.000001),0)</x:f>
        <x:v>0</x:v>
      </x:c>
      <x:c r="N1260" s="23" t="n">
        <x:v>0.7159862144121973</x:v>
      </x:c>
      <x:c r="O1260" s="23" t="n">
        <x:f>M1260</x:f>
        <x:v>0</x:v>
      </x:c>
      <x:c r="P1260" s="23" t="n">
        <x:v>18.238134041223475</x:v>
      </x:c>
      <x:c r="Q1260" s="23" t="n">
        <x:v>4.870107563891338</x:v>
      </x:c>
    </x:row>
    <x:row r="1261">
      <x:c r="A1261" s="23" t="str">
        <x:v>Switching</x:v>
      </x:c>
      <x:c r="B1261" s="23" t="n">
        <x:v>995.9549938910641</x:v>
      </x:c>
      <x:c r="C1261" s="23" t="n">
        <x:v>693.6724505620077</x:v>
      </x:c>
      <x:c r="D1261" s="23" t="n">
        <x:v>497.20978969708085</x:v>
      </x:c>
      <x:c r="E1261" s="23" t="n">
        <x:v>123.51420165039599</x:v>
      </x:c>
      <x:c r="F1261" s="23" t="n">
        <x:v>11.125682436395437</x:v>
      </x:c>
      <x:c r="G1261" s="23" t="n">
        <x:v>0.795571161643602</x:v>
      </x:c>
      <x:c r="H1261" s="23" t="n">
        <x:v>16270</x:v>
      </x:c>
      <x:c r="I1261" s="23" t="n">
        <x:v>1200</x:v>
      </x:c>
      <x:c r="J1261" s="23" t="n">
        <x:f>(IF(A1261='Hybrid Calculator'!$B$6,0,1))^2+((B1261-'Hybrid Calculator'!$B$7)/1500)^2+((C1261-'Hybrid Calculator'!$B$8)/1300)^2+((D1261-'Hybrid Calculator'!$B$9)/800)^2+((E1261-'Hybrid Calculator'!$B$10)/350)^2+((F1261-'Hybrid Calculator'!$B$11)/30)^2+(G1261-'Hybrid Calculator'!$B$12)^2+((H1261-'Hybrid Calculator'!$E$14)/IF(A1261="Lightning",100,30000))^2+((I1261-'Hybrid Calculator'!$E$17)/IF(A1261="Lightning",100,30000))^2</x:f>
        <x:v>1.4568864564763375</x:v>
      </x:c>
      <x:c r="K1261" s="23" t="n">
        <x:f>RANK(J1261,$J$2:$J$1401,1)</x:f>
        <x:v>1122</x:v>
      </x:c>
      <x:c r="L1261" s="23" t="n">
        <x:f>IF(K1261&lt;=7,1,0)</x:f>
        <x:v>0</x:v>
      </x:c>
      <x:c r="M1261" s="23" t="n">
        <x:f>IF(L1261=1,1/(J1261+0.000001),0)</x:f>
        <x:v>0</x:v>
      </x:c>
      <x:c r="N1261" s="23" t="n">
        <x:v>-0.08451798428026791</x:v>
      </x:c>
      <x:c r="O1261" s="23" t="n">
        <x:f>M1261</x:f>
        <x:v>0</x:v>
      </x:c>
      <x:c r="P1261" s="23" t="n">
        <x:v>-56.84056111969903</x:v>
      </x:c>
      <x:c r="Q1261" s="23" t="n">
        <x:v>10.608033792296737</x:v>
      </x:c>
    </x:row>
    <x:row r="1262">
      <x:c r="A1262" s="23" t="str">
        <x:v>Switching</x:v>
      </x:c>
      <x:c r="B1262" s="23" t="n">
        <x:v>1002.2261472418904</x:v>
      </x:c>
      <x:c r="C1262" s="23" t="n">
        <x:v>656.9746822468005</x:v>
      </x:c>
      <x:c r="D1262" s="23" t="n">
        <x:v>526.2529464438558</x:v>
      </x:c>
      <x:c r="E1262" s="23" t="n">
        <x:v>286.31665509426966</x:v>
      </x:c>
      <x:c r="F1262" s="23" t="n">
        <x:v>11.461724853143096</x:v>
      </x:c>
      <x:c r="G1262" s="23" t="n">
        <x:v>0.7987648699549027</x:v>
      </x:c>
      <x:c r="H1262" s="23" t="n">
        <x:v>14555</x:v>
      </x:c>
      <x:c r="I1262" s="23" t="n">
        <x:v>1200</x:v>
      </x:c>
      <x:c r="J1262" s="23" t="n">
        <x:f>(IF(A1262='Hybrid Calculator'!$B$6,0,1))^2+((B1262-'Hybrid Calculator'!$B$7)/1500)^2+((C1262-'Hybrid Calculator'!$B$8)/1300)^2+((D1262-'Hybrid Calculator'!$B$9)/800)^2+((E1262-'Hybrid Calculator'!$B$10)/350)^2+((F1262-'Hybrid Calculator'!$B$11)/30)^2+(G1262-'Hybrid Calculator'!$B$12)^2+((H1262-'Hybrid Calculator'!$E$14)/IF(A1262="Lightning",100,30000))^2+((I1262-'Hybrid Calculator'!$E$17)/IF(A1262="Lightning",100,30000))^2</x:f>
        <x:v>1.545052853753116</x:v>
      </x:c>
      <x:c r="K1262" s="23" t="n">
        <x:f>RANK(J1262,$J$2:$J$1401,1)</x:f>
        <x:v>1292</x:v>
      </x:c>
      <x:c r="L1262" s="23" t="n">
        <x:f>IF(K1262&lt;=7,1,0)</x:f>
        <x:v>0</x:v>
      </x:c>
      <x:c r="M1262" s="23" t="n">
        <x:f>IF(L1262=1,1/(J1262+0.000001),0)</x:f>
        <x:v>0</x:v>
      </x:c>
      <x:c r="N1262" s="23" t="n">
        <x:v>0.4302655785423326</x:v>
      </x:c>
      <x:c r="O1262" s="23" t="n">
        <x:f>M1262</x:f>
        <x:v>0</x:v>
      </x:c>
      <x:c r="P1262" s="23" t="n">
        <x:v>10.155141846251809</x:v>
      </x:c>
      <x:c r="Q1262" s="23" t="n">
        <x:v>7.672352773671946</x:v>
      </x:c>
    </x:row>
    <x:row r="1263">
      <x:c r="A1263" s="23" t="str">
        <x:v>Switching</x:v>
      </x:c>
      <x:c r="B1263" s="23" t="n">
        <x:v>1017.7472785697319</x:v>
      </x:c>
      <x:c r="C1263" s="23" t="n">
        <x:v>921.8430750304833</x:v>
      </x:c>
      <x:c r="D1263" s="23" t="n">
        <x:v>533.3287985064089</x:v>
      </x:c>
      <x:c r="E1263" s="23" t="n">
        <x:v>244.22566841356456</x:v>
      </x:c>
      <x:c r="F1263" s="23" t="n">
        <x:v>11.496511195320636</x:v>
      </x:c>
      <x:c r="G1263" s="23" t="n">
        <x:v>0.7947437297226861</x:v>
      </x:c>
      <x:c r="H1263" s="23" t="n">
        <x:v>12585</x:v>
      </x:c>
      <x:c r="I1263" s="23" t="n">
        <x:v>1200</x:v>
      </x:c>
      <x:c r="J1263" s="23" t="n">
        <x:f>(IF(A1263='Hybrid Calculator'!$B$6,0,1))^2+((B1263-'Hybrid Calculator'!$B$7)/1500)^2+((C1263-'Hybrid Calculator'!$B$8)/1300)^2+((D1263-'Hybrid Calculator'!$B$9)/800)^2+((E1263-'Hybrid Calculator'!$B$10)/350)^2+((F1263-'Hybrid Calculator'!$B$11)/30)^2+(G1263-'Hybrid Calculator'!$B$12)^2+((H1263-'Hybrid Calculator'!$E$14)/IF(A1263="Lightning",100,30000))^2+((I1263-'Hybrid Calculator'!$E$17)/IF(A1263="Lightning",100,30000))^2</x:f>
        <x:v>1.382235662573474</x:v>
      </x:c>
      <x:c r="K1263" s="23" t="n">
        <x:f>RANK(J1263,$J$2:$J$1401,1)</x:f>
        <x:v>923</x:v>
      </x:c>
      <x:c r="L1263" s="23" t="n">
        <x:f>IF(K1263&lt;=7,1,0)</x:f>
        <x:v>0</x:v>
      </x:c>
      <x:c r="M1263" s="23" t="n">
        <x:f>IF(L1263=1,1/(J1263+0.000001),0)</x:f>
        <x:v>0</x:v>
      </x:c>
      <x:c r="N1263" s="23" t="n">
        <x:v>-0.7747089860616541</x:v>
      </x:c>
      <x:c r="O1263" s="23" t="n">
        <x:f>M1263</x:f>
        <x:v>0</x:v>
      </x:c>
      <x:c r="P1263" s="23" t="n">
        <x:v>6.472096075010995</x:v>
      </x:c>
      <x:c r="Q1263" s="23" t="n">
        <x:v>5.194680779376995</x:v>
      </x:c>
    </x:row>
    <x:row r="1264">
      <x:c r="A1264" s="23" t="str">
        <x:v>Switching</x:v>
      </x:c>
      <x:c r="B1264" s="23" t="n">
        <x:v>965.4806840000674</x:v>
      </x:c>
      <x:c r="C1264" s="23" t="n">
        <x:v>1124.0967685938813</x:v>
      </x:c>
      <x:c r="D1264" s="23" t="n">
        <x:v>459.03871543705463</x:v>
      </x:c>
      <x:c r="E1264" s="23" t="n">
        <x:v>181.40003281412646</x:v>
      </x:c>
      <x:c r="F1264" s="23" t="n">
        <x:v>25.48004958126694</x:v>
      </x:c>
      <x:c r="G1264" s="23" t="n">
        <x:v>0.8432087619486265</x:v>
      </x:c>
      <x:c r="H1264" s="23" t="n">
        <x:v>14140</x:v>
      </x:c>
      <x:c r="I1264" s="23" t="n">
        <x:v>1200</x:v>
      </x:c>
      <x:c r="J1264" s="23" t="n">
        <x:f>(IF(A1264='Hybrid Calculator'!$B$6,0,1))^2+((B1264-'Hybrid Calculator'!$B$7)/1500)^2+((C1264-'Hybrid Calculator'!$B$8)/1300)^2+((D1264-'Hybrid Calculator'!$B$9)/800)^2+((E1264-'Hybrid Calculator'!$B$10)/350)^2+((F1264-'Hybrid Calculator'!$B$11)/30)^2+(G1264-'Hybrid Calculator'!$B$12)^2+((H1264-'Hybrid Calculator'!$E$14)/IF(A1264="Lightning",100,30000))^2+((I1264-'Hybrid Calculator'!$E$17)/IF(A1264="Lightning",100,30000))^2</x:f>
        <x:v>1.4257673265263069</x:v>
      </x:c>
      <x:c r="K1264" s="23" t="n">
        <x:f>RANK(J1264,$J$2:$J$1401,1)</x:f>
        <x:v>1051</x:v>
      </x:c>
      <x:c r="L1264" s="23" t="n">
        <x:f>IF(K1264&lt;=7,1,0)</x:f>
        <x:v>0</x:v>
      </x:c>
      <x:c r="M1264" s="23" t="n">
        <x:f>IF(L1264=1,1/(J1264+0.000001),0)</x:f>
        <x:v>0</x:v>
      </x:c>
      <x:c r="N1264" s="23" t="n">
        <x:v>0.051758424313476326</x:v>
      </x:c>
      <x:c r="O1264" s="23" t="n">
        <x:f>M1264</x:f>
        <x:v>0</x:v>
      </x:c>
      <x:c r="P1264" s="23" t="n">
        <x:v>49.14727974074549</x:v>
      </x:c>
      <x:c r="Q1264" s="23" t="n">
        <x:v>-4.917082640530452</x:v>
      </x:c>
    </x:row>
    <x:row r="1265">
      <x:c r="A1265" s="23" t="str">
        <x:v>Switching</x:v>
      </x:c>
      <x:c r="B1265" s="23" t="n">
        <x:v>1006.3589306897484</x:v>
      </x:c>
      <x:c r="C1265" s="23" t="n">
        <x:v>1182.905047154054</x:v>
      </x:c>
      <x:c r="D1265" s="23" t="n">
        <x:v>735.8820210210979</x:v>
      </x:c>
      <x:c r="E1265" s="23" t="n">
        <x:v>308.4170825732872</x:v>
      </x:c>
      <x:c r="F1265" s="23" t="n">
        <x:v>8.298081878107041</x:v>
      </x:c>
      <x:c r="G1265" s="23" t="n">
        <x:v>0.8025098003074527</x:v>
      </x:c>
      <x:c r="H1265" s="23" t="n">
        <x:v>9600</x:v>
      </x:c>
      <x:c r="I1265" s="23" t="n">
        <x:v>1195</x:v>
      </x:c>
      <x:c r="J1265" s="23" t="n">
        <x:f>(IF(A1265='Hybrid Calculator'!$B$6,0,1))^2+((B1265-'Hybrid Calculator'!$B$7)/1500)^2+((C1265-'Hybrid Calculator'!$B$8)/1300)^2+((D1265-'Hybrid Calculator'!$B$9)/800)^2+((E1265-'Hybrid Calculator'!$B$10)/350)^2+((F1265-'Hybrid Calculator'!$B$11)/30)^2+(G1265-'Hybrid Calculator'!$B$12)^2+((H1265-'Hybrid Calculator'!$E$14)/IF(A1265="Lightning",100,30000))^2+((I1265-'Hybrid Calculator'!$E$17)/IF(A1265="Lightning",100,30000))^2</x:f>
        <x:v>1.6540804555083537</x:v>
      </x:c>
      <x:c r="K1265" s="23" t="n">
        <x:f>RANK(J1265,$J$2:$J$1401,1)</x:f>
        <x:v>1383</x:v>
      </x:c>
      <x:c r="L1265" s="23" t="n">
        <x:f>IF(K1265&lt;=7,1,0)</x:f>
        <x:v>0</x:v>
      </x:c>
      <x:c r="M1265" s="23" t="n">
        <x:f>IF(L1265=1,1/(J1265+0.000001),0)</x:f>
        <x:v>0</x:v>
      </x:c>
      <x:c r="N1265" s="23" t="n">
        <x:v>6.4922817939474555</x:v>
      </x:c>
      <x:c r="O1265" s="23" t="n">
        <x:f>M1265</x:f>
        <x:v>0</x:v>
      </x:c>
      <x:c r="P1265" s="23" t="n">
        <x:v>28.024640474263833</x:v>
      </x:c>
      <x:c r="Q1265" s="23" t="n">
        <x:v>-11.551449464576763</x:v>
      </x:c>
    </x:row>
    <x:row r="1266">
      <x:c r="A1266" s="23" t="str">
        <x:v>Switching</x:v>
      </x:c>
      <x:c r="B1266" s="23" t="n">
        <x:v>1040.266923746094</x:v>
      </x:c>
      <x:c r="C1266" s="23" t="n">
        <x:v>758.8542072917335</x:v>
      </x:c>
      <x:c r="D1266" s="23" t="n">
        <x:v>474.8224338516593</x:v>
      </x:c>
      <x:c r="E1266" s="23" t="n">
        <x:v>177.58382645668462</x:v>
      </x:c>
      <x:c r="F1266" s="23" t="n">
        <x:v>10.441982943564653</x:v>
      </x:c>
      <x:c r="G1266" s="23" t="n">
        <x:v>0.8054401938640513</x:v>
      </x:c>
      <x:c r="H1266" s="23" t="n">
        <x:v>15155</x:v>
      </x:c>
      <x:c r="I1266" s="23" t="n">
        <x:v>1200</x:v>
      </x:c>
      <x:c r="J1266" s="23" t="n">
        <x:f>(IF(A1266='Hybrid Calculator'!$B$6,0,1))^2+((B1266-'Hybrid Calculator'!$B$7)/1500)^2+((C1266-'Hybrid Calculator'!$B$8)/1300)^2+((D1266-'Hybrid Calculator'!$B$9)/800)^2+((E1266-'Hybrid Calculator'!$B$10)/350)^2+((F1266-'Hybrid Calculator'!$B$11)/30)^2+(G1266-'Hybrid Calculator'!$B$12)^2+((H1266-'Hybrid Calculator'!$E$14)/IF(A1266="Lightning",100,30000))^2+((I1266-'Hybrid Calculator'!$E$17)/IF(A1266="Lightning",100,30000))^2</x:f>
        <x:v>1.4053083539321347</x:v>
      </x:c>
      <x:c r="K1266" s="23" t="n">
        <x:f>RANK(J1266,$J$2:$J$1401,1)</x:f>
        <x:v>995</x:v>
      </x:c>
      <x:c r="L1266" s="23" t="n">
        <x:f>IF(K1266&lt;=7,1,0)</x:f>
        <x:v>0</x:v>
      </x:c>
      <x:c r="M1266" s="23" t="n">
        <x:f>IF(L1266=1,1/(J1266+0.000001),0)</x:f>
        <x:v>0</x:v>
      </x:c>
      <x:c r="N1266" s="23" t="n">
        <x:v>0.49657820383092144</x:v>
      </x:c>
      <x:c r="O1266" s="23" t="n">
        <x:f>M1266</x:f>
        <x:v>0</x:v>
      </x:c>
      <x:c r="P1266" s="23" t="n">
        <x:v>-10.933719248612306</x:v>
      </x:c>
      <x:c r="Q1266" s="23" t="n">
        <x:v>9.112604534541788</x:v>
      </x:c>
    </x:row>
    <x:row r="1267">
      <x:c r="A1267" s="23" t="str">
        <x:v>Switching</x:v>
      </x:c>
      <x:c r="B1267" s="23" t="n">
        <x:v>1075.7615218055435</x:v>
      </x:c>
      <x:c r="C1267" s="23" t="n">
        <x:v>1174.1387952817604</x:v>
      </x:c>
      <x:c r="D1267" s="23" t="n">
        <x:v>461.7911105044186</x:v>
      </x:c>
      <x:c r="E1267" s="23" t="n">
        <x:v>325.3997228294611</x:v>
      </x:c>
      <x:c r="F1267" s="23" t="n">
        <x:v>10.874053771141917</x:v>
      </x:c>
      <x:c r="G1267" s="23" t="n">
        <x:v>0.8458310626400635</x:v>
      </x:c>
      <x:c r="H1267" s="23" t="n">
        <x:v>10905</x:v>
      </x:c>
      <x:c r="I1267" s="23" t="n">
        <x:v>1195</x:v>
      </x:c>
      <x:c r="J1267" s="23" t="n">
        <x:f>(IF(A1267='Hybrid Calculator'!$B$6,0,1))^2+((B1267-'Hybrid Calculator'!$B$7)/1500)^2+((C1267-'Hybrid Calculator'!$B$8)/1300)^2+((D1267-'Hybrid Calculator'!$B$9)/800)^2+((E1267-'Hybrid Calculator'!$B$10)/350)^2+((F1267-'Hybrid Calculator'!$B$11)/30)^2+(G1267-'Hybrid Calculator'!$B$12)^2+((H1267-'Hybrid Calculator'!$E$14)/IF(A1267="Lightning",100,30000))^2+((I1267-'Hybrid Calculator'!$E$17)/IF(A1267="Lightning",100,30000))^2</x:f>
        <x:v>1.567529817582595</x:v>
      </x:c>
      <x:c r="K1267" s="23" t="n">
        <x:f>RANK(J1267,$J$2:$J$1401,1)</x:f>
        <x:v>1326</x:v>
      </x:c>
      <x:c r="L1267" s="23" t="n">
        <x:f>IF(K1267&lt;=7,1,0)</x:f>
        <x:v>0</x:v>
      </x:c>
      <x:c r="M1267" s="23" t="n">
        <x:f>IF(L1267=1,1/(J1267+0.000001),0)</x:f>
        <x:v>0</x:v>
      </x:c>
      <x:c r="N1267" s="23" t="n">
        <x:v>0.7804233675559544</x:v>
      </x:c>
      <x:c r="O1267" s="23" t="n">
        <x:f>M1267</x:f>
        <x:v>0</x:v>
      </x:c>
      <x:c r="P1267" s="23" t="n">
        <x:v>10.776344384791173</x:v>
      </x:c>
      <x:c r="Q1267" s="23" t="n">
        <x:v>-1.913279730537397</x:v>
      </x:c>
    </x:row>
    <x:row r="1268">
      <x:c r="A1268" s="23" t="str">
        <x:v>Switching</x:v>
      </x:c>
      <x:c r="B1268" s="23" t="n">
        <x:v>1061.0741568962112</x:v>
      </x:c>
      <x:c r="C1268" s="23" t="n">
        <x:v>1017.810734838713</x:v>
      </x:c>
      <x:c r="D1268" s="23" t="n">
        <x:v>421.9086714088917</x:v>
      </x:c>
      <x:c r="E1268" s="23" t="n">
        <x:v>252.31504659866914</x:v>
      </x:c>
      <x:c r="F1268" s="23" t="n">
        <x:v>9.05218458082527</x:v>
      </x:c>
      <x:c r="G1268" s="23" t="n">
        <x:v>0.8432410250394605</x:v>
      </x:c>
      <x:c r="H1268" s="23" t="n">
        <x:v>12640</x:v>
      </x:c>
      <x:c r="I1268" s="23" t="n">
        <x:v>1200</x:v>
      </x:c>
      <x:c r="J1268" s="23" t="n">
        <x:f>(IF(A1268='Hybrid Calculator'!$B$6,0,1))^2+((B1268-'Hybrid Calculator'!$B$7)/1500)^2+((C1268-'Hybrid Calculator'!$B$8)/1300)^2+((D1268-'Hybrid Calculator'!$B$9)/800)^2+((E1268-'Hybrid Calculator'!$B$10)/350)^2+((F1268-'Hybrid Calculator'!$B$11)/30)^2+(G1268-'Hybrid Calculator'!$B$12)^2+((H1268-'Hybrid Calculator'!$E$14)/IF(A1268="Lightning",100,30000))^2+((I1268-'Hybrid Calculator'!$E$17)/IF(A1268="Lightning",100,30000))^2</x:f>
        <x:v>1.4478841126717084</x:v>
      </x:c>
      <x:c r="K1268" s="23" t="n">
        <x:f>RANK(J1268,$J$2:$J$1401,1)</x:f>
        <x:v>1102</x:v>
      </x:c>
      <x:c r="L1268" s="23" t="n">
        <x:f>IF(K1268&lt;=7,1,0)</x:f>
        <x:v>0</x:v>
      </x:c>
      <x:c r="M1268" s="23" t="n">
        <x:f>IF(L1268=1,1/(J1268+0.000001),0)</x:f>
        <x:v>0</x:v>
      </x:c>
      <x:c r="N1268" s="23" t="n">
        <x:v>3.59917090631356</x:v>
      </x:c>
      <x:c r="O1268" s="23" t="n">
        <x:f>M1268</x:f>
        <x:v>0</x:v>
      </x:c>
      <x:c r="P1268" s="23" t="n">
        <x:v>55.17876208029611</x:v>
      </x:c>
      <x:c r="Q1268" s="23" t="n">
        <x:v>0.37637453473257665</x:v>
      </x:c>
    </x:row>
    <x:row r="1269">
      <x:c r="A1269" s="23" t="str">
        <x:v>Switching</x:v>
      </x:c>
      <x:c r="B1269" s="23" t="n">
        <x:v>1001.7442159238271</x:v>
      </x:c>
      <x:c r="C1269" s="23" t="n">
        <x:v>714.490151964128</x:v>
      </x:c>
      <x:c r="D1269" s="23" t="n">
        <x:v>549.1644754074514</x:v>
      </x:c>
      <x:c r="E1269" s="23" t="n">
        <x:v>294.2842357279733</x:v>
      </x:c>
      <x:c r="F1269" s="23" t="n">
        <x:v>10.331304618623108</x:v>
      </x:c>
      <x:c r="G1269" s="23" t="n">
        <x:v>0.8091348469164222</x:v>
      </x:c>
      <x:c r="H1269" s="23" t="n">
        <x:v>13725</x:v>
      </x:c>
      <x:c r="I1269" s="23" t="n">
        <x:v>1200</x:v>
      </x:c>
      <x:c r="J1269" s="23" t="n">
        <x:f>(IF(A1269='Hybrid Calculator'!$B$6,0,1))^2+((B1269-'Hybrid Calculator'!$B$7)/1500)^2+((C1269-'Hybrid Calculator'!$B$8)/1300)^2+((D1269-'Hybrid Calculator'!$B$9)/800)^2+((E1269-'Hybrid Calculator'!$B$10)/350)^2+((F1269-'Hybrid Calculator'!$B$11)/30)^2+(G1269-'Hybrid Calculator'!$B$12)^2+((H1269-'Hybrid Calculator'!$E$14)/IF(A1269="Lightning",100,30000))^2+((I1269-'Hybrid Calculator'!$E$17)/IF(A1269="Lightning",100,30000))^2</x:f>
        <x:v>1.5477828667118325</x:v>
      </x:c>
      <x:c r="K1269" s="23" t="n">
        <x:f>RANK(J1269,$J$2:$J$1401,1)</x:f>
        <x:v>1298</x:v>
      </x:c>
      <x:c r="L1269" s="23" t="n">
        <x:f>IF(K1269&lt;=7,1,0)</x:f>
        <x:v>0</x:v>
      </x:c>
      <x:c r="M1269" s="23" t="n">
        <x:f>IF(L1269=1,1/(J1269+0.000001),0)</x:f>
        <x:v>0</x:v>
      </x:c>
      <x:c r="N1269" s="23" t="n">
        <x:v>0.6195672071971501</x:v>
      </x:c>
      <x:c r="O1269" s="23" t="n">
        <x:f>M1269</x:f>
        <x:v>0</x:v>
      </x:c>
      <x:c r="P1269" s="23" t="n">
        <x:v>9.989150233229793</x:v>
      </x:c>
      <x:c r="Q1269" s="23" t="n">
        <x:v>1.2189179590831145</x:v>
      </x:c>
    </x:row>
    <x:row r="1270">
      <x:c r="A1270" s="23" t="str">
        <x:v>Switching</x:v>
      </x:c>
      <x:c r="B1270" s="23" t="n">
        <x:v>968.9294808544219</x:v>
      </x:c>
      <x:c r="C1270" s="23" t="n">
        <x:v>944.627410674002</x:v>
      </x:c>
      <x:c r="D1270" s="23" t="n">
        <x:v>654.120815731585</x:v>
      </x:c>
      <x:c r="E1270" s="23" t="n">
        <x:v>327.0205035642721</x:v>
      </x:c>
      <x:c r="F1270" s="23" t="n">
        <x:v>17.918683560565114</x:v>
      </x:c>
      <x:c r="G1270" s="23" t="n">
        <x:v>0.7961954615195282</x:v>
      </x:c>
      <x:c r="H1270" s="23" t="n">
        <x:v>11105</x:v>
      </x:c>
      <x:c r="I1270" s="23" t="n">
        <x:v>1195</x:v>
      </x:c>
      <x:c r="J1270" s="23" t="n">
        <x:f>(IF(A1270='Hybrid Calculator'!$B$6,0,1))^2+((B1270-'Hybrid Calculator'!$B$7)/1500)^2+((C1270-'Hybrid Calculator'!$B$8)/1300)^2+((D1270-'Hybrid Calculator'!$B$9)/800)^2+((E1270-'Hybrid Calculator'!$B$10)/350)^2+((F1270-'Hybrid Calculator'!$B$11)/30)^2+(G1270-'Hybrid Calculator'!$B$12)^2+((H1270-'Hybrid Calculator'!$E$14)/IF(A1270="Lightning",100,30000))^2+((I1270-'Hybrid Calculator'!$E$17)/IF(A1270="Lightning",100,30000))^2</x:f>
        <x:v>1.5289190072610126</x:v>
      </x:c>
      <x:c r="K1270" s="23" t="n">
        <x:f>RANK(J1270,$J$2:$J$1401,1)</x:f>
        <x:v>1262</x:v>
      </x:c>
      <x:c r="L1270" s="23" t="n">
        <x:f>IF(K1270&lt;=7,1,0)</x:f>
        <x:v>0</x:v>
      </x:c>
      <x:c r="M1270" s="23" t="n">
        <x:f>IF(L1270=1,1/(J1270+0.000001),0)</x:f>
        <x:v>0</x:v>
      </x:c>
      <x:c r="N1270" s="23" t="n">
        <x:v>2.92078865283284</x:v>
      </x:c>
      <x:c r="O1270" s="23" t="n">
        <x:f>M1270</x:f>
        <x:v>0</x:v>
      </x:c>
      <x:c r="P1270" s="23" t="n">
        <x:v>19.04032896625631</x:v>
      </x:c>
      <x:c r="Q1270" s="23" t="n">
        <x:v>-0.9060963064315501</x:v>
      </x:c>
    </x:row>
    <x:row r="1271">
      <x:c r="A1271" s="23" t="str">
        <x:v>Switching</x:v>
      </x:c>
      <x:c r="B1271" s="23" t="n">
        <x:v>956.008001754526</x:v>
      </x:c>
      <x:c r="C1271" s="23" t="n">
        <x:v>619.63280972559</x:v>
      </x:c>
      <x:c r="D1271" s="23" t="n">
        <x:v>384.4939508475363</x:v>
      </x:c>
      <x:c r="E1271" s="23" t="n">
        <x:v>166.22605283744633</x:v>
      </x:c>
      <x:c r="F1271" s="23" t="n">
        <x:v>28.20622943388298</x:v>
      </x:c>
      <x:c r="G1271" s="23" t="n">
        <x:v>0.8003152301395312</x:v>
      </x:c>
      <x:c r="H1271" s="23" t="n">
        <x:v>21320</x:v>
      </x:c>
      <x:c r="I1271" s="23" t="n">
        <x:v>1200</x:v>
      </x:c>
      <x:c r="J1271" s="23" t="n">
        <x:f>(IF(A1271='Hybrid Calculator'!$B$6,0,1))^2+((B1271-'Hybrid Calculator'!$B$7)/1500)^2+((C1271-'Hybrid Calculator'!$B$8)/1300)^2+((D1271-'Hybrid Calculator'!$B$9)/800)^2+((E1271-'Hybrid Calculator'!$B$10)/350)^2+((F1271-'Hybrid Calculator'!$B$11)/30)^2+(G1271-'Hybrid Calculator'!$B$12)^2+((H1271-'Hybrid Calculator'!$E$14)/IF(A1271="Lightning",100,30000))^2+((I1271-'Hybrid Calculator'!$E$17)/IF(A1271="Lightning",100,30000))^2</x:f>
        <x:v>1.7614357808983567</x:v>
      </x:c>
      <x:c r="K1271" s="23" t="n">
        <x:f>RANK(J1271,$J$2:$J$1401,1)</x:f>
        <x:v>1399</x:v>
      </x:c>
      <x:c r="L1271" s="23" t="n">
        <x:f>IF(K1271&lt;=7,1,0)</x:f>
        <x:v>0</x:v>
      </x:c>
      <x:c r="M1271" s="23" t="n">
        <x:f>IF(L1271=1,1/(J1271+0.000001),0)</x:f>
        <x:v>0</x:v>
      </x:c>
      <x:c r="N1271" s="23" t="n">
        <x:v>-4.437158855771713</x:v>
      </x:c>
      <x:c r="O1271" s="23" t="n">
        <x:f>M1271</x:f>
        <x:v>0</x:v>
      </x:c>
      <x:c r="P1271" s="23" t="n">
        <x:v>-6.157910149030158</x:v>
      </x:c>
      <x:c r="Q1271" s="23" t="n">
        <x:v>1.1545106152526614</x:v>
      </x:c>
    </x:row>
    <x:row r="1272">
      <x:c r="A1272" s="23" t="str">
        <x:v>Switching</x:v>
      </x:c>
      <x:c r="B1272" s="23" t="n">
        <x:v>994.5447535952553</x:v>
      </x:c>
      <x:c r="C1272" s="23" t="n">
        <x:v>1212.6827992149629</x:v>
      </x:c>
      <x:c r="D1272" s="23" t="n">
        <x:v>374.49690364301205</x:v>
      </x:c>
      <x:c r="E1272" s="23" t="n">
        <x:v>206.85223360313103</x:v>
      </x:c>
      <x:c r="F1272" s="23" t="n">
        <x:v>10.037661549635231</x:v>
      </x:c>
      <x:c r="G1272" s="23" t="n">
        <x:v>0.802041279047262</x:v>
      </x:c>
      <x:c r="H1272" s="23" t="n">
        <x:v>11920</x:v>
      </x:c>
      <x:c r="I1272" s="23" t="n">
        <x:v>1195</x:v>
      </x:c>
      <x:c r="J1272" s="23" t="n">
        <x:f>(IF(A1272='Hybrid Calculator'!$B$6,0,1))^2+((B1272-'Hybrid Calculator'!$B$7)/1500)^2+((C1272-'Hybrid Calculator'!$B$8)/1300)^2+((D1272-'Hybrid Calculator'!$B$9)/800)^2+((E1272-'Hybrid Calculator'!$B$10)/350)^2+((F1272-'Hybrid Calculator'!$B$11)/30)^2+(G1272-'Hybrid Calculator'!$B$12)^2+((H1272-'Hybrid Calculator'!$E$14)/IF(A1272="Lightning",100,30000))^2+((I1272-'Hybrid Calculator'!$E$17)/IF(A1272="Lightning",100,30000))^2</x:f>
        <x:v>1.4491451819600158</x:v>
      </x:c>
      <x:c r="K1272" s="23" t="n">
        <x:f>RANK(J1272,$J$2:$J$1401,1)</x:f>
        <x:v>1107</x:v>
      </x:c>
      <x:c r="L1272" s="23" t="n">
        <x:f>IF(K1272&lt;=7,1,0)</x:f>
        <x:v>0</x:v>
      </x:c>
      <x:c r="M1272" s="23" t="n">
        <x:f>IF(L1272=1,1/(J1272+0.000001),0)</x:f>
        <x:v>0</x:v>
      </x:c>
      <x:c r="N1272" s="23" t="n">
        <x:v>5.221973639205856</x:v>
      </x:c>
      <x:c r="O1272" s="23" t="n">
        <x:f>M1272</x:f>
        <x:v>0</x:v>
      </x:c>
      <x:c r="P1272" s="23" t="n">
        <x:v>57.21372357230166</x:v>
      </x:c>
      <x:c r="Q1272" s="23" t="n">
        <x:v>7.307063080788339</x:v>
      </x:c>
    </x:row>
    <x:row r="1273">
      <x:c r="A1273" s="23" t="str">
        <x:v>Switching</x:v>
      </x:c>
      <x:c r="B1273" s="23" t="n">
        <x:v>1036.0232328413986</x:v>
      </x:c>
      <x:c r="C1273" s="23" t="n">
        <x:v>1063.9072744641453</x:v>
      </x:c>
      <x:c r="D1273" s="23" t="n">
        <x:v>571.2133008055389</x:v>
      </x:c>
      <x:c r="E1273" s="23" t="n">
        <x:v>307.46908047702163</x:v>
      </x:c>
      <x:c r="F1273" s="23" t="n">
        <x:v>10.657424672972411</x:v>
      </x:c>
      <x:c r="G1273" s="23" t="n">
        <x:v>0.8313549652881921</x:v>
      </x:c>
      <x:c r="H1273" s="23" t="n">
        <x:v>11010</x:v>
      </x:c>
      <x:c r="I1273" s="23" t="n">
        <x:v>1195</x:v>
      </x:c>
      <x:c r="J1273" s="23" t="n">
        <x:f>(IF(A1273='Hybrid Calculator'!$B$6,0,1))^2+((B1273-'Hybrid Calculator'!$B$7)/1500)^2+((C1273-'Hybrid Calculator'!$B$8)/1300)^2+((D1273-'Hybrid Calculator'!$B$9)/800)^2+((E1273-'Hybrid Calculator'!$B$10)/350)^2+((F1273-'Hybrid Calculator'!$B$11)/30)^2+(G1273-'Hybrid Calculator'!$B$12)^2+((H1273-'Hybrid Calculator'!$E$14)/IF(A1273="Lightning",100,30000))^2+((I1273-'Hybrid Calculator'!$E$17)/IF(A1273="Lightning",100,30000))^2</x:f>
        <x:v>1.5081233176499322</x:v>
      </x:c>
      <x:c r="K1273" s="23" t="n">
        <x:f>RANK(J1273,$J$2:$J$1401,1)</x:f>
        <x:v>1225</x:v>
      </x:c>
      <x:c r="L1273" s="23" t="n">
        <x:f>IF(K1273&lt;=7,1,0)</x:f>
        <x:v>0</x:v>
      </x:c>
      <x:c r="M1273" s="23" t="n">
        <x:f>IF(L1273=1,1/(J1273+0.000001),0)</x:f>
        <x:v>0</x:v>
      </x:c>
      <x:c r="N1273" s="23" t="n">
        <x:v>0.20308940199959125</x:v>
      </x:c>
      <x:c r="O1273" s="23" t="n">
        <x:f>M1273</x:f>
        <x:v>0</x:v>
      </x:c>
      <x:c r="P1273" s="23" t="n">
        <x:v>20.118141014886533</x:v>
      </x:c>
      <x:c r="Q1273" s="23" t="n">
        <x:v>0.6808221555693308</x:v>
      </x:c>
    </x:row>
    <x:row r="1274">
      <x:c r="A1274" s="23" t="str">
        <x:v>Switching</x:v>
      </x:c>
      <x:c r="B1274" s="23" t="n">
        <x:v>1052.6017003227025</x:v>
      </x:c>
      <x:c r="C1274" s="23" t="n">
        <x:v>732.7726501855068</x:v>
      </x:c>
      <x:c r="D1274" s="23" t="n">
        <x:v>533.996438793838</x:v>
      </x:c>
      <x:c r="E1274" s="23" t="n">
        <x:v>309.1940639843233</x:v>
      </x:c>
      <x:c r="F1274" s="23" t="n">
        <x:v>13.136603906750679</x:v>
      </x:c>
      <x:c r="G1274" s="23" t="n">
        <x:v>0.8498543895618059</x:v>
      </x:c>
      <x:c r="H1274" s="23" t="n">
        <x:v>13570</x:v>
      </x:c>
      <x:c r="I1274" s="23" t="n">
        <x:v>1200</x:v>
      </x:c>
      <x:c r="J1274" s="23" t="n">
        <x:f>(IF(A1274='Hybrid Calculator'!$B$6,0,1))^2+((B1274-'Hybrid Calculator'!$B$7)/1500)^2+((C1274-'Hybrid Calculator'!$B$8)/1300)^2+((D1274-'Hybrid Calculator'!$B$9)/800)^2+((E1274-'Hybrid Calculator'!$B$10)/350)^2+((F1274-'Hybrid Calculator'!$B$11)/30)^2+(G1274-'Hybrid Calculator'!$B$12)^2+((H1274-'Hybrid Calculator'!$E$14)/IF(A1274="Lightning",100,30000))^2+((I1274-'Hybrid Calculator'!$E$17)/IF(A1274="Lightning",100,30000))^2</x:f>
        <x:v>1.5159407469016486</x:v>
      </x:c>
      <x:c r="K1274" s="23" t="n">
        <x:f>RANK(J1274,$J$2:$J$1401,1)</x:f>
        <x:v>1240</x:v>
      </x:c>
      <x:c r="L1274" s="23" t="n">
        <x:f>IF(K1274&lt;=7,1,0)</x:f>
        <x:v>0</x:v>
      </x:c>
      <x:c r="M1274" s="23" t="n">
        <x:f>IF(L1274=1,1/(J1274+0.000001),0)</x:f>
        <x:v>0</x:v>
      </x:c>
      <x:c r="N1274" s="23" t="n">
        <x:v>1.0324371134865373</x:v>
      </x:c>
      <x:c r="O1274" s="23" t="n">
        <x:f>M1274</x:f>
        <x:v>0</x:v>
      </x:c>
      <x:c r="P1274" s="23" t="n">
        <x:v>-44.677438200500546</x:v>
      </x:c>
      <x:c r="Q1274" s="23" t="n">
        <x:v>2.3716253285306266</x:v>
      </x:c>
    </x:row>
    <x:row r="1275">
      <x:c r="A1275" s="23" t="str">
        <x:v>Switching</x:v>
      </x:c>
      <x:c r="B1275" s="23" t="n">
        <x:v>1025.1079623703845</x:v>
      </x:c>
      <x:c r="C1275" s="23" t="n">
        <x:v>1104.7239606967196</x:v>
      </x:c>
      <x:c r="D1275" s="23" t="n">
        <x:v>444.8448550887406</x:v>
      </x:c>
      <x:c r="E1275" s="23" t="n">
        <x:v>159.2773594148457</x:v>
      </x:c>
      <x:c r="F1275" s="23" t="n">
        <x:v>26.101335054729134</x:v>
      </x:c>
      <x:c r="G1275" s="23" t="n">
        <x:v>0.8152173994993791</x:v>
      </x:c>
      <x:c r="H1275" s="23" t="n">
        <x:v>12515</x:v>
      </x:c>
      <x:c r="I1275" s="23" t="n">
        <x:v>1200</x:v>
      </x:c>
      <x:c r="J1275" s="23" t="n">
        <x:f>(IF(A1275='Hybrid Calculator'!$B$6,0,1))^2+((B1275-'Hybrid Calculator'!$B$7)/1500)^2+((C1275-'Hybrid Calculator'!$B$8)/1300)^2+((D1275-'Hybrid Calculator'!$B$9)/800)^2+((E1275-'Hybrid Calculator'!$B$10)/350)^2+((F1275-'Hybrid Calculator'!$B$11)/30)^2+(G1275-'Hybrid Calculator'!$B$12)^2+((H1275-'Hybrid Calculator'!$E$14)/IF(A1275="Lightning",100,30000))^2+((I1275-'Hybrid Calculator'!$E$17)/IF(A1275="Lightning",100,30000))^2</x:f>
        <x:v>1.3533191556813478</x:v>
      </x:c>
      <x:c r="K1275" s="23" t="n">
        <x:f>RANK(J1275,$J$2:$J$1401,1)</x:f>
        <x:v>839</x:v>
      </x:c>
      <x:c r="L1275" s="23" t="n">
        <x:f>IF(K1275&lt;=7,1,0)</x:f>
        <x:v>0</x:v>
      </x:c>
      <x:c r="M1275" s="23" t="n">
        <x:f>IF(L1275=1,1/(J1275+0.000001),0)</x:f>
        <x:v>0</x:v>
      </x:c>
      <x:c r="N1275" s="23" t="n">
        <x:v>2.0485908148647525</x:v>
      </x:c>
      <x:c r="O1275" s="23" t="n">
        <x:f>M1275</x:f>
        <x:v>0</x:v>
      </x:c>
      <x:c r="P1275" s="23" t="n">
        <x:v>-6.508430147410309</x:v>
      </x:c>
      <x:c r="Q1275" s="23" t="n">
        <x:v>-4.6451687471322884</x:v>
      </x:c>
    </x:row>
    <x:row r="1276">
      <x:c r="A1276" s="23" t="str">
        <x:v>Switching</x:v>
      </x:c>
      <x:c r="B1276" s="23" t="n">
        <x:v>959.3500405084342</x:v>
      </x:c>
      <x:c r="C1276" s="23" t="n">
        <x:v>650.2124884049408</x:v>
      </x:c>
      <x:c r="D1276" s="23" t="n">
        <x:v>655.0501024350524</x:v>
      </x:c>
      <x:c r="E1276" s="23" t="n">
        <x:v>90.11430920334533</x:v>
      </x:c>
      <x:c r="F1276" s="23" t="n">
        <x:v>14.99984486028552</x:v>
      </x:c>
      <x:c r="G1276" s="23" t="n">
        <x:v>0.7962349705048837</x:v>
      </x:c>
      <x:c r="H1276" s="23" t="n">
        <x:v>15325</x:v>
      </x:c>
      <x:c r="I1276" s="23" t="n">
        <x:v>1200</x:v>
      </x:c>
      <x:c r="J1276" s="23" t="n">
        <x:f>(IF(A1276='Hybrid Calculator'!$B$6,0,1))^2+((B1276-'Hybrid Calculator'!$B$7)/1500)^2+((C1276-'Hybrid Calculator'!$B$8)/1300)^2+((D1276-'Hybrid Calculator'!$B$9)/800)^2+((E1276-'Hybrid Calculator'!$B$10)/350)^2+((F1276-'Hybrid Calculator'!$B$11)/30)^2+(G1276-'Hybrid Calculator'!$B$12)^2+((H1276-'Hybrid Calculator'!$E$14)/IF(A1276="Lightning",100,30000))^2+((I1276-'Hybrid Calculator'!$E$17)/IF(A1276="Lightning",100,30000))^2</x:f>
        <x:v>1.461788247158079</x:v>
      </x:c>
      <x:c r="K1276" s="23" t="n">
        <x:f>RANK(J1276,$J$2:$J$1401,1)</x:f>
        <x:v>1138</x:v>
      </x:c>
      <x:c r="L1276" s="23" t="n">
        <x:f>IF(K1276&lt;=7,1,0)</x:f>
        <x:v>0</x:v>
      </x:c>
      <x:c r="M1276" s="23" t="n">
        <x:f>IF(L1276=1,1/(J1276+0.000001),0)</x:f>
        <x:v>0</x:v>
      </x:c>
      <x:c r="N1276" s="23" t="n">
        <x:v>-2.2563860381498273</x:v>
      </x:c>
      <x:c r="O1276" s="23" t="n">
        <x:f>M1276</x:f>
        <x:v>0</x:v>
      </x:c>
      <x:c r="P1276" s="23" t="n">
        <x:v>-44.97830531994987</x:v>
      </x:c>
      <x:c r="Q1276" s="23" t="n">
        <x:v>8.671368719628049</x:v>
      </x:c>
    </x:row>
    <x:row r="1277">
      <x:c r="A1277" s="23" t="str">
        <x:v>Switching</x:v>
      </x:c>
      <x:c r="B1277" s="23" t="n">
        <x:v>1083.9965432998724</x:v>
      </x:c>
      <x:c r="C1277" s="23" t="n">
        <x:v>953.8011363474652</x:v>
      </x:c>
      <x:c r="D1277" s="23" t="n">
        <x:v>713.0295057781041</x:v>
      </x:c>
      <x:c r="E1277" s="23" t="n">
        <x:v>194.08280488103628</x:v>
      </x:c>
      <x:c r="F1277" s="23" t="n">
        <x:v>29.10342081123963</x:v>
      </x:c>
      <x:c r="G1277" s="23" t="n">
        <x:v>0.8495614856062458</x:v>
      </x:c>
      <x:c r="H1277" s="23" t="n">
        <x:v>11490</x:v>
      </x:c>
      <x:c r="I1277" s="23" t="n">
        <x:v>1195</x:v>
      </x:c>
      <x:c r="J1277" s="23" t="n">
        <x:f>(IF(A1277='Hybrid Calculator'!$B$6,0,1))^2+((B1277-'Hybrid Calculator'!$B$7)/1500)^2+((C1277-'Hybrid Calculator'!$B$8)/1300)^2+((D1277-'Hybrid Calculator'!$B$9)/800)^2+((E1277-'Hybrid Calculator'!$B$10)/350)^2+((F1277-'Hybrid Calculator'!$B$11)/30)^2+(G1277-'Hybrid Calculator'!$B$12)^2+((H1277-'Hybrid Calculator'!$E$14)/IF(A1277="Lightning",100,30000))^2+((I1277-'Hybrid Calculator'!$E$17)/IF(A1277="Lightning",100,30000))^2</x:f>
        <x:v>1.417564394757966</x:v>
      </x:c>
      <x:c r="K1277" s="23" t="n">
        <x:f>RANK(J1277,$J$2:$J$1401,1)</x:f>
        <x:v>1032</x:v>
      </x:c>
      <x:c r="L1277" s="23" t="n">
        <x:f>IF(K1277&lt;=7,1,0)</x:f>
        <x:v>0</x:v>
      </x:c>
      <x:c r="M1277" s="23" t="n">
        <x:f>IF(L1277=1,1/(J1277+0.000001),0)</x:f>
        <x:v>0</x:v>
      </x:c>
      <x:c r="N1277" s="23" t="n">
        <x:v>0.1559854668315097</x:v>
      </x:c>
      <x:c r="O1277" s="23" t="n">
        <x:f>M1277</x:f>
        <x:v>0</x:v>
      </x:c>
      <x:c r="P1277" s="23" t="n">
        <x:v>-17.90759710318298</x:v>
      </x:c>
      <x:c r="Q1277" s="23" t="n">
        <x:v>-20.751493906903534</x:v>
      </x:c>
    </x:row>
    <x:row r="1278">
      <x:c r="A1278" s="23" t="str">
        <x:v>Switching</x:v>
      </x:c>
      <x:c r="B1278" s="23" t="n">
        <x:v>1054.6879630768672</x:v>
      </x:c>
      <x:c r="C1278" s="23" t="n">
        <x:v>674.3197790463455</x:v>
      </x:c>
      <x:c r="D1278" s="23" t="n">
        <x:v>709.1761849820614</x:v>
      </x:c>
      <x:c r="E1278" s="23" t="n">
        <x:v>226.0840342915617</x:v>
      </x:c>
      <x:c r="F1278" s="23" t="n">
        <x:v>15.585261634550989</x:v>
      </x:c>
      <x:c r="G1278" s="23" t="n">
        <x:v>0.84986828395864</x:v>
      </x:c>
      <x:c r="H1278" s="23" t="n">
        <x:v>13285</x:v>
      </x:c>
      <x:c r="I1278" s="23" t="n">
        <x:v>1200</x:v>
      </x:c>
      <x:c r="J1278" s="23" t="n">
        <x:f>(IF(A1278='Hybrid Calculator'!$B$6,0,1))^2+((B1278-'Hybrid Calculator'!$B$7)/1500)^2+((C1278-'Hybrid Calculator'!$B$8)/1300)^2+((D1278-'Hybrid Calculator'!$B$9)/800)^2+((E1278-'Hybrid Calculator'!$B$10)/350)^2+((F1278-'Hybrid Calculator'!$B$11)/30)^2+(G1278-'Hybrid Calculator'!$B$12)^2+((H1278-'Hybrid Calculator'!$E$14)/IF(A1278="Lightning",100,30000))^2+((I1278-'Hybrid Calculator'!$E$17)/IF(A1278="Lightning",100,30000))^2</x:f>
        <x:v>1.40132543023332</x:v>
      </x:c>
      <x:c r="K1278" s="23" t="n">
        <x:f>RANK(J1278,$J$2:$J$1401,1)</x:f>
        <x:v>978</x:v>
      </x:c>
      <x:c r="L1278" s="23" t="n">
        <x:f>IF(K1278&lt;=7,1,0)</x:f>
        <x:v>0</x:v>
      </x:c>
      <x:c r="M1278" s="23" t="n">
        <x:f>IF(L1278=1,1/(J1278+0.000001),0)</x:f>
        <x:v>0</x:v>
      </x:c>
      <x:c r="N1278" s="23" t="n">
        <x:v>3.1324963161028165</x:v>
      </x:c>
      <x:c r="O1278" s="23" t="n">
        <x:f>M1278</x:f>
        <x:v>0</x:v>
      </x:c>
      <x:c r="P1278" s="23" t="n">
        <x:v>-29.53598298890438</x:v>
      </x:c>
      <x:c r="Q1278" s="23" t="n">
        <x:v>5.14303445416067</x:v>
      </x:c>
    </x:row>
    <x:row r="1279">
      <x:c r="A1279" s="23" t="str">
        <x:v>Switching</x:v>
      </x:c>
      <x:c r="B1279" s="23" t="n">
        <x:v>1020.633065502625</x:v>
      </x:c>
      <x:c r="C1279" s="23" t="n">
        <x:v>984.6524618566036</x:v>
      </x:c>
      <x:c r="D1279" s="23" t="n">
        <x:v>437.7021818421781</x:v>
      </x:c>
      <x:c r="E1279" s="23" t="n">
        <x:v>185.41127540636808</x:v>
      </x:c>
      <x:c r="F1279" s="23" t="n">
        <x:v>9.07472446700558</x:v>
      </x:c>
      <x:c r="G1279" s="23" t="n">
        <x:v>0.7993448023032398</x:v>
      </x:c>
      <x:c r="H1279" s="23" t="n">
        <x:v>13300</x:v>
      </x:c>
      <x:c r="I1279" s="23" t="n">
        <x:v>1200</x:v>
      </x:c>
      <x:c r="J1279" s="23" t="n">
        <x:f>(IF(A1279='Hybrid Calculator'!$B$6,0,1))^2+((B1279-'Hybrid Calculator'!$B$7)/1500)^2+((C1279-'Hybrid Calculator'!$B$8)/1300)^2+((D1279-'Hybrid Calculator'!$B$9)/800)^2+((E1279-'Hybrid Calculator'!$B$10)/350)^2+((F1279-'Hybrid Calculator'!$B$11)/30)^2+(G1279-'Hybrid Calculator'!$B$12)^2+((H1279-'Hybrid Calculator'!$E$14)/IF(A1279="Lightning",100,30000))^2+((I1279-'Hybrid Calculator'!$E$17)/IF(A1279="Lightning",100,30000))^2</x:f>
        <x:v>1.3954379068292082</x:v>
      </x:c>
      <x:c r="K1279" s="23" t="n">
        <x:f>RANK(J1279,$J$2:$J$1401,1)</x:f>
        <x:v>965</x:v>
      </x:c>
      <x:c r="L1279" s="23" t="n">
        <x:f>IF(K1279&lt;=7,1,0)</x:f>
        <x:v>0</x:v>
      </x:c>
      <x:c r="M1279" s="23" t="n">
        <x:f>IF(L1279=1,1/(J1279+0.000001),0)</x:f>
        <x:v>0</x:v>
      </x:c>
      <x:c r="N1279" s="23" t="n">
        <x:v>2.2749089632435755</x:v>
      </x:c>
      <x:c r="O1279" s="23" t="n">
        <x:f>M1279</x:f>
        <x:v>0</x:v>
      </x:c>
      <x:c r="P1279" s="23" t="n">
        <x:v>23.438787551016503</x:v>
      </x:c>
      <x:c r="Q1279" s="23" t="n">
        <x:v>9.52386920551362</x:v>
      </x:c>
    </x:row>
    <x:row r="1280">
      <x:c r="A1280" s="23" t="str">
        <x:v>Switching</x:v>
      </x:c>
      <x:c r="B1280" s="23" t="n">
        <x:v>1020.8384222351015</x:v>
      </x:c>
      <x:c r="C1280" s="23" t="n">
        <x:v>860.7846721424721</x:v>
      </x:c>
      <x:c r="D1280" s="23" t="n">
        <x:v>602.2105420008302</x:v>
      </x:c>
      <x:c r="E1280" s="23" t="n">
        <x:v>109.28195061394945</x:v>
      </x:c>
      <x:c r="F1280" s="23" t="n">
        <x:v>16.611915612593293</x:v>
      </x:c>
      <x:c r="G1280" s="23" t="n">
        <x:v>0.8409999230806716</x:v>
      </x:c>
      <x:c r="H1280" s="23" t="n">
        <x:v>13600</x:v>
      </x:c>
      <x:c r="I1280" s="23" t="n">
        <x:v>1200</x:v>
      </x:c>
      <x:c r="J1280" s="23" t="n">
        <x:f>(IF(A1280='Hybrid Calculator'!$B$6,0,1))^2+((B1280-'Hybrid Calculator'!$B$7)/1500)^2+((C1280-'Hybrid Calculator'!$B$8)/1300)^2+((D1280-'Hybrid Calculator'!$B$9)/800)^2+((E1280-'Hybrid Calculator'!$B$10)/350)^2+((F1280-'Hybrid Calculator'!$B$11)/30)^2+(G1280-'Hybrid Calculator'!$B$12)^2+((H1280-'Hybrid Calculator'!$E$14)/IF(A1280="Lightning",100,30000))^2+((I1280-'Hybrid Calculator'!$E$17)/IF(A1280="Lightning",100,30000))^2</x:f>
        <x:v>1.3124638563963045</x:v>
      </x:c>
      <x:c r="K1280" s="23" t="n">
        <x:f>RANK(J1280,$J$2:$J$1401,1)</x:f>
        <x:v>750</x:v>
      </x:c>
      <x:c r="L1280" s="23" t="n">
        <x:f>IF(K1280&lt;=7,1,0)</x:f>
        <x:v>0</x:v>
      </x:c>
      <x:c r="M1280" s="23" t="n">
        <x:f>IF(L1280=1,1/(J1280+0.000001),0)</x:f>
        <x:v>0</x:v>
      </x:c>
      <x:c r="N1280" s="23" t="n">
        <x:v>1.9810253578575612</x:v>
      </x:c>
      <x:c r="O1280" s="23" t="n">
        <x:f>M1280</x:f>
        <x:v>0</x:v>
      </x:c>
      <x:c r="P1280" s="23" t="n">
        <x:v>13.771767998524865</x:v>
      </x:c>
      <x:c r="Q1280" s="23" t="n">
        <x:v>-2.0985486439996066</x:v>
      </x:c>
    </x:row>
    <x:row r="1281">
      <x:c r="A1281" s="23" t="str">
        <x:v>Switching</x:v>
      </x:c>
      <x:c r="B1281" s="23" t="n">
        <x:v>1097.4327342235483</x:v>
      </x:c>
      <x:c r="C1281" s="23" t="n">
        <x:v>1065.155806695111</x:v>
      </x:c>
      <x:c r="D1281" s="23" t="n">
        <x:v>671.5897613205016</x:v>
      </x:c>
      <x:c r="E1281" s="23" t="n">
        <x:v>262.4307481292635</x:v>
      </x:c>
      <x:c r="F1281" s="23" t="n">
        <x:v>16.804123290348798</x:v>
      </x:c>
      <x:c r="G1281" s="23" t="n">
        <x:v>0.8043607012042776</x:v>
      </x:c>
      <x:c r="H1281" s="23" t="n">
        <x:v>10695</x:v>
      </x:c>
      <x:c r="I1281" s="23" t="n">
        <x:v>1195</x:v>
      </x:c>
      <x:c r="J1281" s="23" t="n">
        <x:f>(IF(A1281='Hybrid Calculator'!$B$6,0,1))^2+((B1281-'Hybrid Calculator'!$B$7)/1500)^2+((C1281-'Hybrid Calculator'!$B$8)/1300)^2+((D1281-'Hybrid Calculator'!$B$9)/800)^2+((E1281-'Hybrid Calculator'!$B$10)/350)^2+((F1281-'Hybrid Calculator'!$B$11)/30)^2+(G1281-'Hybrid Calculator'!$B$12)^2+((H1281-'Hybrid Calculator'!$E$14)/IF(A1281="Lightning",100,30000))^2+((I1281-'Hybrid Calculator'!$E$17)/IF(A1281="Lightning",100,30000))^2</x:f>
        <x:v>1.3551425200410014</x:v>
      </x:c>
      <x:c r="K1281" s="23" t="n">
        <x:f>RANK(J1281,$J$2:$J$1401,1)</x:f>
        <x:v>844</x:v>
      </x:c>
      <x:c r="L1281" s="23" t="n">
        <x:f>IF(K1281&lt;=7,1,0)</x:f>
        <x:v>0</x:v>
      </x:c>
      <x:c r="M1281" s="23" t="n">
        <x:f>IF(L1281=1,1/(J1281+0.000001),0)</x:f>
        <x:v>0</x:v>
      </x:c>
      <x:c r="N1281" s="23" t="n">
        <x:v>1.4060196449049158</x:v>
      </x:c>
      <x:c r="O1281" s="23" t="n">
        <x:f>M1281</x:f>
        <x:v>0</x:v>
      </x:c>
      <x:c r="P1281" s="23" t="n">
        <x:v>-25.867503292316997</x:v>
      </x:c>
      <x:c r="Q1281" s="23" t="n">
        <x:v>-8.594669255118333</x:v>
      </x:c>
    </x:row>
    <x:row r="1282">
      <x:c r="A1282" s="23" t="str">
        <x:v>Switching</x:v>
      </x:c>
      <x:c r="B1282" s="23" t="n">
        <x:v>1079.0607422357425</x:v>
      </x:c>
      <x:c r="C1282" s="23" t="n">
        <x:v>1108.647295983974</x:v>
      </x:c>
      <x:c r="D1282" s="23" t="n">
        <x:v>407.7180963009596</x:v>
      </x:c>
      <x:c r="E1282" s="23" t="n">
        <x:v>147.9203399340622</x:v>
      </x:c>
      <x:c r="F1282" s="23" t="n">
        <x:v>22.3304249541834</x:v>
      </x:c>
      <x:c r="G1282" s="23" t="n">
        <x:v>0.8211511375824921</x:v>
      </x:c>
      <x:c r="H1282" s="23" t="n">
        <x:v>12850</x:v>
      </x:c>
      <x:c r="I1282" s="23" t="n">
        <x:v>1200</x:v>
      </x:c>
      <x:c r="J1282" s="23" t="n">
        <x:f>(IF(A1282='Hybrid Calculator'!$B$6,0,1))^2+((B1282-'Hybrid Calculator'!$B$7)/1500)^2+((C1282-'Hybrid Calculator'!$B$8)/1300)^2+((D1282-'Hybrid Calculator'!$B$9)/800)^2+((E1282-'Hybrid Calculator'!$B$10)/350)^2+((F1282-'Hybrid Calculator'!$B$11)/30)^2+(G1282-'Hybrid Calculator'!$B$12)^2+((H1282-'Hybrid Calculator'!$E$14)/IF(A1282="Lightning",100,30000))^2+((I1282-'Hybrid Calculator'!$E$17)/IF(A1282="Lightning",100,30000))^2</x:f>
        <x:v>1.3059969668888964</x:v>
      </x:c>
      <x:c r="K1282" s="23" t="n">
        <x:f>RANK(J1282,$J$2:$J$1401,1)</x:f>
        <x:v>741</x:v>
      </x:c>
      <x:c r="L1282" s="23" t="n">
        <x:f>IF(K1282&lt;=7,1,0)</x:f>
        <x:v>0</x:v>
      </x:c>
      <x:c r="M1282" s="23" t="n">
        <x:f>IF(L1282=1,1/(J1282+0.000001),0)</x:f>
        <x:v>0</x:v>
      </x:c>
      <x:c r="N1282" s="23" t="n">
        <x:v>1.995149042926414</x:v>
      </x:c>
      <x:c r="O1282" s="23" t="n">
        <x:f>M1282</x:f>
        <x:v>0</x:v>
      </x:c>
      <x:c r="P1282" s="23" t="n">
        <x:v>64.03851959897793</x:v>
      </x:c>
      <x:c r="Q1282" s="23" t="n">
        <x:v>-1.1891075086211913</x:v>
      </x:c>
    </x:row>
    <x:row r="1283">
      <x:c r="A1283" s="23" t="str">
        <x:v>Switching</x:v>
      </x:c>
      <x:c r="B1283" s="23" t="n">
        <x:v>1008.7308894260786</x:v>
      </x:c>
      <x:c r="C1283" s="23" t="n">
        <x:v>682.9059377778322</x:v>
      </x:c>
      <x:c r="D1283" s="23" t="n">
        <x:v>509.70697132870555</x:v>
      </x:c>
      <x:c r="E1283" s="23" t="n">
        <x:v>293.0488142138347</x:v>
      </x:c>
      <x:c r="F1283" s="23" t="n">
        <x:v>20.01167232496664</x:v>
      </x:c>
      <x:c r="G1283" s="23" t="n">
        <x:v>0.7965870334021747</x:v>
      </x:c>
      <x:c r="H1283" s="23" t="n">
        <x:v>14395</x:v>
      </x:c>
      <x:c r="I1283" s="23" t="n">
        <x:v>1200</x:v>
      </x:c>
      <x:c r="J1283" s="23" t="n">
        <x:f>(IF(A1283='Hybrid Calculator'!$B$6,0,1))^2+((B1283-'Hybrid Calculator'!$B$7)/1500)^2+((C1283-'Hybrid Calculator'!$B$8)/1300)^2+((D1283-'Hybrid Calculator'!$B$9)/800)^2+((E1283-'Hybrid Calculator'!$B$10)/350)^2+((F1283-'Hybrid Calculator'!$B$11)/30)^2+(G1283-'Hybrid Calculator'!$B$12)^2+((H1283-'Hybrid Calculator'!$E$14)/IF(A1283="Lightning",100,30000))^2+((I1283-'Hybrid Calculator'!$E$17)/IF(A1283="Lightning",100,30000))^2</x:f>
        <x:v>1.4939907229729097</x:v>
      </x:c>
      <x:c r="K1283" s="23" t="n">
        <x:f>RANK(J1283,$J$2:$J$1401,1)</x:f>
        <x:v>1195</x:v>
      </x:c>
      <x:c r="L1283" s="23" t="n">
        <x:f>IF(K1283&lt;=7,1,0)</x:f>
        <x:v>0</x:v>
      </x:c>
      <x:c r="M1283" s="23" t="n">
        <x:f>IF(L1283=1,1/(J1283+0.000001),0)</x:f>
        <x:v>0</x:v>
      </x:c>
      <x:c r="N1283" s="23" t="n">
        <x:v>1.0930676594584554</x:v>
      </x:c>
      <x:c r="O1283" s="23" t="n">
        <x:f>M1283</x:f>
        <x:v>0</x:v>
      </x:c>
      <x:c r="P1283" s="23" t="n">
        <x:v>-30.443378871849745</x:v>
      </x:c>
      <x:c r="Q1283" s="23" t="n">
        <x:v>7.832246297894358</x:v>
      </x:c>
    </x:row>
    <x:row r="1284">
      <x:c r="A1284" s="23" t="str">
        <x:v>Switching</x:v>
      </x:c>
      <x:c r="B1284" s="23" t="n">
        <x:v>1032.9537129495293</x:v>
      </x:c>
      <x:c r="C1284" s="23" t="n">
        <x:v>1095.9825483965687</x:v>
      </x:c>
      <x:c r="D1284" s="23" t="n">
        <x:v>414.50091134756804</x:v>
      </x:c>
      <x:c r="E1284" s="23" t="n">
        <x:v>251.17999988840893</x:v>
      </x:c>
      <x:c r="F1284" s="23" t="n">
        <x:v>25.453149743378162</x:v>
      </x:c>
      <x:c r="G1284" s="23" t="n">
        <x:v>0.8258593834401109</x:v>
      </x:c>
      <x:c r="H1284" s="23" t="n">
        <x:v>12140</x:v>
      </x:c>
      <x:c r="I1284" s="23" t="n">
        <x:v>1200</x:v>
      </x:c>
      <x:c r="J1284" s="23" t="n">
        <x:f>(IF(A1284='Hybrid Calculator'!$B$6,0,1))^2+((B1284-'Hybrid Calculator'!$B$7)/1500)^2+((C1284-'Hybrid Calculator'!$B$8)/1300)^2+((D1284-'Hybrid Calculator'!$B$9)/800)^2+((E1284-'Hybrid Calculator'!$B$10)/350)^2+((F1284-'Hybrid Calculator'!$B$11)/30)^2+(G1284-'Hybrid Calculator'!$B$12)^2+((H1284-'Hybrid Calculator'!$E$14)/IF(A1284="Lightning",100,30000))^2+((I1284-'Hybrid Calculator'!$E$17)/IF(A1284="Lightning",100,30000))^2</x:f>
        <x:v>1.4168024779493598</x:v>
      </x:c>
      <x:c r="K1284" s="23" t="n">
        <x:f>RANK(J1284,$J$2:$J$1401,1)</x:f>
        <x:v>1030</x:v>
      </x:c>
      <x:c r="L1284" s="23" t="n">
        <x:f>IF(K1284&lt;=7,1,0)</x:f>
        <x:v>0</x:v>
      </x:c>
      <x:c r="M1284" s="23" t="n">
        <x:f>IF(L1284=1,1/(J1284+0.000001),0)</x:f>
        <x:v>0</x:v>
      </x:c>
      <x:c r="N1284" s="23" t="n">
        <x:v>2.24614132539665</x:v>
      </x:c>
      <x:c r="O1284" s="23" t="n">
        <x:f>M1284</x:f>
        <x:v>0</x:v>
      </x:c>
      <x:c r="P1284" s="23" t="n">
        <x:v>24.04790701677848</x:v>
      </x:c>
      <x:c r="Q1284" s="23" t="n">
        <x:v>-5.176037845263181</x:v>
      </x:c>
    </x:row>
    <x:row r="1285">
      <x:c r="A1285" s="23" t="str">
        <x:v>Switching</x:v>
      </x:c>
      <x:c r="B1285" s="23" t="n">
        <x:v>1074.7214044560678</x:v>
      </x:c>
      <x:c r="C1285" s="23" t="n">
        <x:v>1168.3705396717414</x:v>
      </x:c>
      <x:c r="D1285" s="23" t="n">
        <x:v>704.4561770744622</x:v>
      </x:c>
      <x:c r="E1285" s="23" t="n">
        <x:v>119.10753643140197</x:v>
      </x:c>
      <x:c r="F1285" s="23" t="n">
        <x:v>10.736401586327702</x:v>
      </x:c>
      <x:c r="G1285" s="23" t="n">
        <x:v>0.790139928474091</x:v>
      </x:c>
      <x:c r="H1285" s="23" t="n">
        <x:v>10735</x:v>
      </x:c>
      <x:c r="I1285" s="23" t="n">
        <x:v>1195</x:v>
      </x:c>
      <x:c r="J1285" s="23" t="n">
        <x:f>(IF(A1285='Hybrid Calculator'!$B$6,0,1))^2+((B1285-'Hybrid Calculator'!$B$7)/1500)^2+((C1285-'Hybrid Calculator'!$B$8)/1300)^2+((D1285-'Hybrid Calculator'!$B$9)/800)^2+((E1285-'Hybrid Calculator'!$B$10)/350)^2+((F1285-'Hybrid Calculator'!$B$11)/30)^2+(G1285-'Hybrid Calculator'!$B$12)^2+((H1285-'Hybrid Calculator'!$E$14)/IF(A1285="Lightning",100,30000))^2+((I1285-'Hybrid Calculator'!$E$17)/IF(A1285="Lightning",100,30000))^2</x:f>
        <x:v>1.3838519000289125</x:v>
      </x:c>
      <x:c r="K1285" s="23" t="n">
        <x:f>RANK(J1285,$J$2:$J$1401,1)</x:f>
        <x:v>927</x:v>
      </x:c>
      <x:c r="L1285" s="23" t="n">
        <x:f>IF(K1285&lt;=7,1,0)</x:f>
        <x:v>0</x:v>
      </x:c>
      <x:c r="M1285" s="23" t="n">
        <x:f>IF(L1285=1,1/(J1285+0.000001),0)</x:f>
        <x:v>0</x:v>
      </x:c>
      <x:c r="N1285" s="23" t="n">
        <x:v>3.9059021088529846</x:v>
      </x:c>
      <x:c r="O1285" s="23" t="n">
        <x:f>M1285</x:f>
        <x:v>0</x:v>
      </x:c>
      <x:c r="P1285" s="23" t="n">
        <x:v>38.38582872262805</x:v>
      </x:c>
      <x:c r="Q1285" s="23" t="n">
        <x:v>-6.021090585271168</x:v>
      </x:c>
    </x:row>
    <x:row r="1286">
      <x:c r="A1286" s="23" t="str">
        <x:v>Switching</x:v>
      </x:c>
      <x:c r="B1286" s="23" t="n">
        <x:v>1007.0209394441918</x:v>
      </x:c>
      <x:c r="C1286" s="23" t="n">
        <x:v>663.4336698916741</x:v>
      </x:c>
      <x:c r="D1286" s="23" t="n">
        <x:v>616.3511514663696</x:v>
      </x:c>
      <x:c r="E1286" s="23" t="n">
        <x:v>233.01359252771363</x:v>
      </x:c>
      <x:c r="F1286" s="23" t="n">
        <x:v>8.802488344721496</x:v>
      </x:c>
      <x:c r="G1286" s="23" t="n">
        <x:v>0.8380629321164452</x:v>
      </x:c>
      <x:c r="H1286" s="23" t="n">
        <x:v>14135</x:v>
      </x:c>
      <x:c r="I1286" s="23" t="n">
        <x:v>1200</x:v>
      </x:c>
      <x:c r="J1286" s="23" t="n">
        <x:f>(IF(A1286='Hybrid Calculator'!$B$6,0,1))^2+((B1286-'Hybrid Calculator'!$B$7)/1500)^2+((C1286-'Hybrid Calculator'!$B$8)/1300)^2+((D1286-'Hybrid Calculator'!$B$9)/800)^2+((E1286-'Hybrid Calculator'!$B$10)/350)^2+((F1286-'Hybrid Calculator'!$B$11)/30)^2+(G1286-'Hybrid Calculator'!$B$12)^2+((H1286-'Hybrid Calculator'!$E$14)/IF(A1286="Lightning",100,30000))^2+((I1286-'Hybrid Calculator'!$E$17)/IF(A1286="Lightning",100,30000))^2</x:f>
        <x:v>1.5024321879866724</x:v>
      </x:c>
      <x:c r="K1286" s="23" t="n">
        <x:f>RANK(J1286,$J$2:$J$1401,1)</x:f>
        <x:v>1214</x:v>
      </x:c>
      <x:c r="L1286" s="23" t="n">
        <x:f>IF(K1286&lt;=7,1,0)</x:f>
        <x:v>0</x:v>
      </x:c>
      <x:c r="M1286" s="23" t="n">
        <x:f>IF(L1286=1,1/(J1286+0.000001),0)</x:f>
        <x:v>0</x:v>
      </x:c>
      <x:c r="N1286" s="23" t="n">
        <x:v>-0.3842167190125849</x:v>
      </x:c>
      <x:c r="O1286" s="23" t="n">
        <x:f>M1286</x:f>
        <x:v>0</x:v>
      </x:c>
      <x:c r="P1286" s="23" t="n">
        <x:v>-49.26223596664249</x:v>
      </x:c>
      <x:c r="Q1286" s="23" t="n">
        <x:v>2.810504467666533</x:v>
      </x:c>
    </x:row>
    <x:row r="1287">
      <x:c r="A1287" s="23" t="str">
        <x:v>Switching</x:v>
      </x:c>
      <x:c r="B1287" s="23" t="n">
        <x:v>1055.9623584966175</x:v>
      </x:c>
      <x:c r="C1287" s="23" t="n">
        <x:v>1164.1427055932581</x:v>
      </x:c>
      <x:c r="D1287" s="23" t="n">
        <x:v>436.4441848360002</x:v>
      </x:c>
      <x:c r="E1287" s="23" t="n">
        <x:v>205.74458273593336</x:v>
      </x:c>
      <x:c r="F1287" s="23" t="n">
        <x:v>13.332405996974558</x:v>
      </x:c>
      <x:c r="G1287" s="23" t="n">
        <x:v>0.8099996665213257</x:v>
      </x:c>
      <x:c r="H1287" s="23" t="n">
        <x:v>11840</x:v>
      </x:c>
      <x:c r="I1287" s="23" t="n">
        <x:v>1195</x:v>
      </x:c>
      <x:c r="J1287" s="23" t="n">
        <x:f>(IF(A1287='Hybrid Calculator'!$B$6,0,1))^2+((B1287-'Hybrid Calculator'!$B$7)/1500)^2+((C1287-'Hybrid Calculator'!$B$8)/1300)^2+((D1287-'Hybrid Calculator'!$B$9)/800)^2+((E1287-'Hybrid Calculator'!$B$10)/350)^2+((F1287-'Hybrid Calculator'!$B$11)/30)^2+(G1287-'Hybrid Calculator'!$B$12)^2+((H1287-'Hybrid Calculator'!$E$14)/IF(A1287="Lightning",100,30000))^2+((I1287-'Hybrid Calculator'!$E$17)/IF(A1287="Lightning",100,30000))^2</x:f>
        <x:v>1.3363418447172235</x:v>
      </x:c>
      <x:c r="K1287" s="23" t="n">
        <x:f>RANK(J1287,$J$2:$J$1401,1)</x:f>
        <x:v>791</x:v>
      </x:c>
      <x:c r="L1287" s="23" t="n">
        <x:f>IF(K1287&lt;=7,1,0)</x:f>
        <x:v>0</x:v>
      </x:c>
      <x:c r="M1287" s="23" t="n">
        <x:f>IF(L1287=1,1/(J1287+0.000001),0)</x:f>
        <x:v>0</x:v>
      </x:c>
      <x:c r="N1287" s="23" t="n">
        <x:v>4.548091850101258</x:v>
      </x:c>
      <x:c r="O1287" s="23" t="n">
        <x:f>M1287</x:f>
        <x:v>0</x:v>
      </x:c>
      <x:c r="P1287" s="23" t="n">
        <x:v>15.452134905737694</x:v>
      </x:c>
      <x:c r="Q1287" s="23" t="n">
        <x:v>2.560315160677419</x:v>
      </x:c>
    </x:row>
    <x:row r="1288">
      <x:c r="A1288" s="23" t="str">
        <x:v>Switching</x:v>
      </x:c>
      <x:c r="B1288" s="23" t="n">
        <x:v>1012.0359657332301</x:v>
      </x:c>
      <x:c r="C1288" s="23" t="n">
        <x:v>605.5133033893071</x:v>
      </x:c>
      <x:c r="D1288" s="23" t="n">
        <x:v>648.3189346268773</x:v>
      </x:c>
      <x:c r="E1288" s="23" t="n">
        <x:v>216.9293700554408</x:v>
      </x:c>
      <x:c r="F1288" s="23" t="n">
        <x:v>22.846350273117423</x:v>
      </x:c>
      <x:c r="G1288" s="23" t="n">
        <x:v>0.8230331787583418</x:v>
      </x:c>
      <x:c r="H1288" s="23" t="n">
        <x:v>14540</x:v>
      </x:c>
      <x:c r="I1288" s="23" t="n">
        <x:v>1200</x:v>
      </x:c>
      <x:c r="J1288" s="23" t="n">
        <x:f>(IF(A1288='Hybrid Calculator'!$B$6,0,1))^2+((B1288-'Hybrid Calculator'!$B$7)/1500)^2+((C1288-'Hybrid Calculator'!$B$8)/1300)^2+((D1288-'Hybrid Calculator'!$B$9)/800)^2+((E1288-'Hybrid Calculator'!$B$10)/350)^2+((F1288-'Hybrid Calculator'!$B$11)/30)^2+(G1288-'Hybrid Calculator'!$B$12)^2+((H1288-'Hybrid Calculator'!$E$14)/IF(A1288="Lightning",100,30000))^2+((I1288-'Hybrid Calculator'!$E$17)/IF(A1288="Lightning",100,30000))^2</x:f>
        <x:v>1.437926627805407</x:v>
      </x:c>
      <x:c r="K1288" s="23" t="n">
        <x:f>RANK(J1288,$J$2:$J$1401,1)</x:f>
        <x:v>1079</x:v>
      </x:c>
      <x:c r="L1288" s="23" t="n">
        <x:f>IF(K1288&lt;=7,1,0)</x:f>
        <x:v>0</x:v>
      </x:c>
      <x:c r="M1288" s="23" t="n">
        <x:f>IF(L1288=1,1/(J1288+0.000001),0)</x:f>
        <x:v>0</x:v>
      </x:c>
      <x:c r="N1288" s="23" t="n">
        <x:v>0.3848586331061199</x:v>
      </x:c>
      <x:c r="O1288" s="23" t="n">
        <x:f>M1288</x:f>
        <x:v>0</x:v>
      </x:c>
      <x:c r="P1288" s="23" t="n">
        <x:v>7.666737163891412</x:v>
      </x:c>
      <x:c r="Q1288" s="23" t="n">
        <x:v>-1.38728370001877</x:v>
      </x:c>
    </x:row>
    <x:row r="1289">
      <x:c r="A1289" s="23" t="str">
        <x:v>Switching</x:v>
      </x:c>
      <x:c r="B1289" s="23" t="n">
        <x:v>1023.1879529193975</x:v>
      </x:c>
      <x:c r="C1289" s="23" t="n">
        <x:v>1088.5545429075137</x:v>
      </x:c>
      <x:c r="D1289" s="23" t="n">
        <x:v>537.0629609562457</x:v>
      </x:c>
      <x:c r="E1289" s="23" t="n">
        <x:v>248.44555246643722</x:v>
      </x:c>
      <x:c r="F1289" s="23" t="n">
        <x:v>20.516784687060863</x:v>
      </x:c>
      <x:c r="G1289" s="23" t="n">
        <x:v>0.7907150353165344</x:v>
      </x:c>
      <x:c r="H1289" s="23" t="n">
        <x:v>11410</x:v>
      </x:c>
      <x:c r="I1289" s="23" t="n">
        <x:v>1195</x:v>
      </x:c>
      <x:c r="J1289" s="23" t="n">
        <x:f>(IF(A1289='Hybrid Calculator'!$B$6,0,1))^2+((B1289-'Hybrid Calculator'!$B$7)/1500)^2+((C1289-'Hybrid Calculator'!$B$8)/1300)^2+((D1289-'Hybrid Calculator'!$B$9)/800)^2+((E1289-'Hybrid Calculator'!$B$10)/350)^2+((F1289-'Hybrid Calculator'!$B$11)/30)^2+(G1289-'Hybrid Calculator'!$B$12)^2+((H1289-'Hybrid Calculator'!$E$14)/IF(A1289="Lightning",100,30000))^2+((I1289-'Hybrid Calculator'!$E$17)/IF(A1289="Lightning",100,30000))^2</x:f>
        <x:v>1.3369776490981506</x:v>
      </x:c>
      <x:c r="K1289" s="23" t="n">
        <x:f>RANK(J1289,$J$2:$J$1401,1)</x:f>
        <x:v>794</x:v>
      </x:c>
      <x:c r="L1289" s="23" t="n">
        <x:f>IF(K1289&lt;=7,1,0)</x:f>
        <x:v>0</x:v>
      </x:c>
      <x:c r="M1289" s="23" t="n">
        <x:f>IF(L1289=1,1/(J1289+0.000001),0)</x:f>
        <x:v>0</x:v>
      </x:c>
      <x:c r="N1289" s="23" t="n">
        <x:v>-1.9366076369464054</x:v>
      </x:c>
      <x:c r="O1289" s="23" t="n">
        <x:f>M1289</x:f>
        <x:v>0</x:v>
      </x:c>
      <x:c r="P1289" s="23" t="n">
        <x:v>-16.412326016321458</x:v>
      </x:c>
      <x:c r="Q1289" s="23" t="n">
        <x:v>-9.537571743978674</x:v>
      </x:c>
    </x:row>
    <x:row r="1290">
      <x:c r="A1290" s="23" t="str">
        <x:v>Switching</x:v>
      </x:c>
      <x:c r="B1290" s="23" t="n">
        <x:v>996.3238974101841</x:v>
      </x:c>
      <x:c r="C1290" s="23" t="n">
        <x:v>1123.2364916591905</x:v>
      </x:c>
      <x:c r="D1290" s="23" t="n">
        <x:v>457.52196703106165</x:v>
      </x:c>
      <x:c r="E1290" s="23" t="n">
        <x:v>265.37472939351574</x:v>
      </x:c>
      <x:c r="F1290" s="23" t="n">
        <x:v>23.880544679239392</x:v>
      </x:c>
      <x:c r="G1290" s="23" t="n">
        <x:v>0.8498999747564085</x:v>
      </x:c>
      <x:c r="H1290" s="23" t="n">
        <x:v>13515</x:v>
      </x:c>
      <x:c r="I1290" s="23" t="n">
        <x:v>1200</x:v>
      </x:c>
      <x:c r="J1290" s="23" t="n">
        <x:f>(IF(A1290='Hybrid Calculator'!$B$6,0,1))^2+((B1290-'Hybrid Calculator'!$B$7)/1500)^2+((C1290-'Hybrid Calculator'!$B$8)/1300)^2+((D1290-'Hybrid Calculator'!$B$9)/800)^2+((E1290-'Hybrid Calculator'!$B$10)/350)^2+((F1290-'Hybrid Calculator'!$B$11)/30)^2+(G1290-'Hybrid Calculator'!$B$12)^2+((H1290-'Hybrid Calculator'!$E$14)/IF(A1290="Lightning",100,30000))^2+((I1290-'Hybrid Calculator'!$E$17)/IF(A1290="Lightning",100,30000))^2</x:f>
        <x:v>1.4733785783492657</x:v>
      </x:c>
      <x:c r="K1290" s="23" t="n">
        <x:f>RANK(J1290,$J$2:$J$1401,1)</x:f>
        <x:v>1166</x:v>
      </x:c>
      <x:c r="L1290" s="23" t="n">
        <x:f>IF(K1290&lt;=7,1,0)</x:f>
        <x:v>0</x:v>
      </x:c>
      <x:c r="M1290" s="23" t="n">
        <x:f>IF(L1290=1,1/(J1290+0.000001),0)</x:f>
        <x:v>0</x:v>
      </x:c>
      <x:c r="N1290" s="23" t="n">
        <x:v>-0.08839420175570467</x:v>
      </x:c>
      <x:c r="O1290" s="23" t="n">
        <x:f>M1290</x:f>
        <x:v>0</x:v>
      </x:c>
      <x:c r="P1290" s="23" t="n">
        <x:v>35.72341564140561</x:v>
      </x:c>
      <x:c r="Q1290" s="23" t="n">
        <x:v>-14.161485272928417</x:v>
      </x:c>
    </x:row>
    <x:row r="1291">
      <x:c r="A1291" s="23" t="str">
        <x:v>Switching</x:v>
      </x:c>
      <x:c r="B1291" s="23" t="n">
        <x:v>1047.1174664446153</x:v>
      </x:c>
      <x:c r="C1291" s="23" t="n">
        <x:v>973.723649722524</x:v>
      </x:c>
      <x:c r="D1291" s="23" t="n">
        <x:v>603.2298871316016</x:v>
      </x:c>
      <x:c r="E1291" s="23" t="n">
        <x:v>312.6905739028007</x:v>
      </x:c>
      <x:c r="F1291" s="23" t="n">
        <x:v>15.615744621027261</x:v>
      </x:c>
      <x:c r="G1291" s="23" t="n">
        <x:v>0.804346216195263</x:v>
      </x:c>
      <x:c r="H1291" s="23" t="n">
        <x:v>11315</x:v>
      </x:c>
      <x:c r="I1291" s="23" t="n">
        <x:v>1195</x:v>
      </x:c>
      <x:c r="J1291" s="23" t="n">
        <x:f>(IF(A1291='Hybrid Calculator'!$B$6,0,1))^2+((B1291-'Hybrid Calculator'!$B$7)/1500)^2+((C1291-'Hybrid Calculator'!$B$8)/1300)^2+((D1291-'Hybrid Calculator'!$B$9)/800)^2+((E1291-'Hybrid Calculator'!$B$10)/350)^2+((F1291-'Hybrid Calculator'!$B$11)/30)^2+(G1291-'Hybrid Calculator'!$B$12)^2+((H1291-'Hybrid Calculator'!$E$14)/IF(A1291="Lightning",100,30000))^2+((I1291-'Hybrid Calculator'!$E$17)/IF(A1291="Lightning",100,30000))^2</x:f>
        <x:v>1.4572495649588046</x:v>
      </x:c>
      <x:c r="K1291" s="23" t="n">
        <x:f>RANK(J1291,$J$2:$J$1401,1)</x:f>
        <x:v>1124</x:v>
      </x:c>
      <x:c r="L1291" s="23" t="n">
        <x:f>IF(K1291&lt;=7,1,0)</x:f>
        <x:v>0</x:v>
      </x:c>
      <x:c r="M1291" s="23" t="n">
        <x:f>IF(L1291=1,1/(J1291+0.000001),0)</x:f>
        <x:v>0</x:v>
      </x:c>
      <x:c r="N1291" s="23" t="n">
        <x:v>4.575714843900101</x:v>
      </x:c>
      <x:c r="O1291" s="23" t="n">
        <x:f>M1291</x:f>
        <x:v>0</x:v>
      </x:c>
      <x:c r="P1291" s="23" t="n">
        <x:v>40.90712515081759</x:v>
      </x:c>
      <x:c r="Q1291" s="23" t="n">
        <x:v>-3.385686946548958</x:v>
      </x:c>
    </x:row>
    <x:row r="1292">
      <x:c r="A1292" s="23" t="str">
        <x:v>Switching</x:v>
      </x:c>
      <x:c r="B1292" s="23" t="n">
        <x:v>1023.6754623940215</x:v>
      </x:c>
      <x:c r="C1292" s="23" t="n">
        <x:v>965.9569527604617</x:v>
      </x:c>
      <x:c r="D1292" s="23" t="n">
        <x:v>596.3001783937216</x:v>
      </x:c>
      <x:c r="E1292" s="23" t="n">
        <x:v>141.79249909473583</x:v>
      </x:c>
      <x:c r="F1292" s="23" t="n">
        <x:v>27.23439393658191</x:v>
      </x:c>
      <x:c r="G1292" s="23" t="n">
        <x:v>0.8496934049273841</x:v>
      </x:c>
      <x:c r="H1292" s="23" t="n">
        <x:v>12550</x:v>
      </x:c>
      <x:c r="I1292" s="23" t="n">
        <x:v>1200</x:v>
      </x:c>
      <x:c r="J1292" s="23" t="n">
        <x:f>(IF(A1292='Hybrid Calculator'!$B$6,0,1))^2+((B1292-'Hybrid Calculator'!$B$7)/1500)^2+((C1292-'Hybrid Calculator'!$B$8)/1300)^2+((D1292-'Hybrid Calculator'!$B$9)/800)^2+((E1292-'Hybrid Calculator'!$B$10)/350)^2+((F1292-'Hybrid Calculator'!$B$11)/30)^2+(G1292-'Hybrid Calculator'!$B$12)^2+((H1292-'Hybrid Calculator'!$E$14)/IF(A1292="Lightning",100,30000))^2+((I1292-'Hybrid Calculator'!$E$17)/IF(A1292="Lightning",100,30000))^2</x:f>
        <x:v>1.3553722573175435</x:v>
      </x:c>
      <x:c r="K1292" s="23" t="n">
        <x:f>RANK(J1292,$J$2:$J$1401,1)</x:f>
        <x:v>846</x:v>
      </x:c>
      <x:c r="L1292" s="23" t="n">
        <x:f>IF(K1292&lt;=7,1,0)</x:f>
        <x:v>0</x:v>
      </x:c>
      <x:c r="M1292" s="23" t="n">
        <x:f>IF(L1292=1,1/(J1292+0.000001),0)</x:f>
        <x:v>0</x:v>
      </x:c>
      <x:c r="N1292" s="23" t="n">
        <x:v>-1.2286786824849685</x:v>
      </x:c>
      <x:c r="O1292" s="23" t="n">
        <x:f>M1292</x:f>
        <x:v>0</x:v>
      </x:c>
      <x:c r="P1292" s="23" t="n">
        <x:v>-2.4213402581840455</x:v>
      </x:c>
      <x:c r="Q1292" s="23" t="n">
        <x:v>-9.455208140881382</x:v>
      </x:c>
    </x:row>
    <x:row r="1293">
      <x:c r="A1293" s="23" t="str">
        <x:v>Switching</x:v>
      </x:c>
      <x:c r="B1293" s="23" t="n">
        <x:v>951.9108222215436</x:v>
      </x:c>
      <x:c r="C1293" s="23" t="n">
        <x:v>802.663547033444</x:v>
      </x:c>
      <x:c r="D1293" s="23" t="n">
        <x:v>592.5046312622726</x:v>
      </x:c>
      <x:c r="E1293" s="23" t="n">
        <x:v>277.36188964452595</x:v>
      </x:c>
      <x:c r="F1293" s="23" t="n">
        <x:v>17.5372242028825</x:v>
      </x:c>
      <x:c r="G1293" s="23" t="n">
        <x:v>0.8450766312517226</x:v>
      </x:c>
      <x:c r="H1293" s="23" t="n">
        <x:v>14920</x:v>
      </x:c>
      <x:c r="I1293" s="23" t="n">
        <x:v>1200</x:v>
      </x:c>
      <x:c r="J1293" s="23" t="n">
        <x:f>(IF(A1293='Hybrid Calculator'!$B$6,0,1))^2+((B1293-'Hybrid Calculator'!$B$7)/1500)^2+((C1293-'Hybrid Calculator'!$B$8)/1300)^2+((D1293-'Hybrid Calculator'!$B$9)/800)^2+((E1293-'Hybrid Calculator'!$B$10)/350)^2+((F1293-'Hybrid Calculator'!$B$11)/30)^2+(G1293-'Hybrid Calculator'!$B$12)^2+((H1293-'Hybrid Calculator'!$E$14)/IF(A1293="Lightning",100,30000))^2+((I1293-'Hybrid Calculator'!$E$17)/IF(A1293="Lightning",100,30000))^2</x:f>
        <x:v>1.4954639520919972</x:v>
      </x:c>
      <x:c r="K1293" s="23" t="n">
        <x:f>RANK(J1293,$J$2:$J$1401,1)</x:f>
        <x:v>1200</x:v>
      </x:c>
      <x:c r="L1293" s="23" t="n">
        <x:f>IF(K1293&lt;=7,1,0)</x:f>
        <x:v>0</x:v>
      </x:c>
      <x:c r="M1293" s="23" t="n">
        <x:f>IF(L1293=1,1/(J1293+0.000001),0)</x:f>
        <x:v>0</x:v>
      </x:c>
      <x:c r="N1293" s="23" t="n">
        <x:v>0.8171505129449486</x:v>
      </x:c>
      <x:c r="O1293" s="23" t="n">
        <x:f>M1293</x:f>
        <x:v>0</x:v>
      </x:c>
      <x:c r="P1293" s="23" t="n">
        <x:v>-31.62473729315525</x:v>
      </x:c>
      <x:c r="Q1293" s="23" t="n">
        <x:v>6.534820786333853</x:v>
      </x:c>
    </x:row>
    <x:row r="1294">
      <x:c r="A1294" s="23" t="str">
        <x:v>Switching</x:v>
      </x:c>
      <x:c r="B1294" s="23" t="n">
        <x:v>994.7464485187083</x:v>
      </x:c>
      <x:c r="C1294" s="23" t="n">
        <x:v>676.4001287403516</x:v>
      </x:c>
      <x:c r="D1294" s="23" t="n">
        <x:v>459.3758253380656</x:v>
      </x:c>
      <x:c r="E1294" s="23" t="n">
        <x:v>136.31127051310614</x:v>
      </x:c>
      <x:c r="F1294" s="23" t="n">
        <x:v>14.737968266010284</x:v>
      </x:c>
      <x:c r="G1294" s="23" t="n">
        <x:v>0.8212501514540054</x:v>
      </x:c>
      <x:c r="H1294" s="23" t="n">
        <x:v>16810</x:v>
      </x:c>
      <x:c r="I1294" s="23" t="n">
        <x:v>1200</x:v>
      </x:c>
      <x:c r="J1294" s="23" t="n">
        <x:f>(IF(A1294='Hybrid Calculator'!$B$6,0,1))^2+((B1294-'Hybrid Calculator'!$B$7)/1500)^2+((C1294-'Hybrid Calculator'!$B$8)/1300)^2+((D1294-'Hybrid Calculator'!$B$9)/800)^2+((E1294-'Hybrid Calculator'!$B$10)/350)^2+((F1294-'Hybrid Calculator'!$B$11)/30)^2+(G1294-'Hybrid Calculator'!$B$12)^2+((H1294-'Hybrid Calculator'!$E$14)/IF(A1294="Lightning",100,30000))^2+((I1294-'Hybrid Calculator'!$E$17)/IF(A1294="Lightning",100,30000))^2</x:f>
        <x:v>1.4335849479811758</x:v>
      </x:c>
      <x:c r="K1294" s="23" t="n">
        <x:f>RANK(J1294,$J$2:$J$1401,1)</x:f>
        <x:v>1066</x:v>
      </x:c>
      <x:c r="L1294" s="23" t="n">
        <x:f>IF(K1294&lt;=7,1,0)</x:f>
        <x:v>0</x:v>
      </x:c>
      <x:c r="M1294" s="23" t="n">
        <x:f>IF(L1294=1,1/(J1294+0.000001),0)</x:f>
        <x:v>0</x:v>
      </x:c>
      <x:c r="N1294" s="23" t="n">
        <x:v>-1.5790339725427884</x:v>
      </x:c>
      <x:c r="O1294" s="23" t="n">
        <x:f>M1294</x:f>
        <x:v>0</x:v>
      </x:c>
      <x:c r="P1294" s="23" t="n">
        <x:v>-64.68098726380867</x:v>
      </x:c>
      <x:c r="Q1294" s="23" t="n">
        <x:v>10.877273052256783</x:v>
      </x:c>
    </x:row>
    <x:row r="1295">
      <x:c r="A1295" s="23" t="str">
        <x:v>Switching</x:v>
      </x:c>
      <x:c r="B1295" s="23" t="n">
        <x:v>1071.6640220140107</x:v>
      </x:c>
      <x:c r="C1295" s="23" t="n">
        <x:v>997.1632906934246</x:v>
      </x:c>
      <x:c r="D1295" s="23" t="n">
        <x:v>368.3911723084748</x:v>
      </x:c>
      <x:c r="E1295" s="23" t="n">
        <x:v>242.82122069969773</x:v>
      </x:c>
      <x:c r="F1295" s="23" t="n">
        <x:v>12.52338986704126</x:v>
      </x:c>
      <x:c r="G1295" s="23" t="n">
        <x:v>0.8559016026323661</x:v>
      </x:c>
      <x:c r="H1295" s="23" t="n">
        <x:v>13295</x:v>
      </x:c>
      <x:c r="I1295" s="23" t="n">
        <x:v>1200</x:v>
      </x:c>
      <x:c r="J1295" s="23" t="n">
        <x:f>(IF(A1295='Hybrid Calculator'!$B$6,0,1))^2+((B1295-'Hybrid Calculator'!$B$7)/1500)^2+((C1295-'Hybrid Calculator'!$B$8)/1300)^2+((D1295-'Hybrid Calculator'!$B$9)/800)^2+((E1295-'Hybrid Calculator'!$B$10)/350)^2+((F1295-'Hybrid Calculator'!$B$11)/30)^2+(G1295-'Hybrid Calculator'!$B$12)^2+((H1295-'Hybrid Calculator'!$E$14)/IF(A1295="Lightning",100,30000))^2+((I1295-'Hybrid Calculator'!$E$17)/IF(A1295="Lightning",100,30000))^2</x:f>
        <x:v>1.4031327797002855</x:v>
      </x:c>
      <x:c r="K1295" s="23" t="n">
        <x:f>RANK(J1295,$J$2:$J$1401,1)</x:f>
        <x:v>985</x:v>
      </x:c>
      <x:c r="L1295" s="23" t="n">
        <x:f>IF(K1295&lt;=7,1,0)</x:f>
        <x:v>0</x:v>
      </x:c>
      <x:c r="M1295" s="23" t="n">
        <x:f>IF(L1295=1,1/(J1295+0.000001),0)</x:f>
        <x:v>0</x:v>
      </x:c>
      <x:c r="N1295" s="23" t="n">
        <x:v>2.776677206334057</x:v>
      </x:c>
      <x:c r="O1295" s="23" t="n">
        <x:f>M1295</x:f>
        <x:v>0</x:v>
      </x:c>
      <x:c r="P1295" s="23" t="n">
        <x:v>-13.850287922051848</x:v>
      </x:c>
      <x:c r="Q1295" s="23" t="n">
        <x:v>9.694488316623392</x:v>
      </x:c>
    </x:row>
    <x:row r="1296">
      <x:c r="A1296" s="23" t="str">
        <x:v>Switching</x:v>
      </x:c>
      <x:c r="B1296" s="23" t="n">
        <x:v>1073.6098387511447</x:v>
      </x:c>
      <x:c r="C1296" s="23" t="n">
        <x:v>609.78226197185</x:v>
      </x:c>
      <x:c r="D1296" s="23" t="n">
        <x:v>641.109462082386</x:v>
      </x:c>
      <x:c r="E1296" s="23" t="n">
        <x:v>249.87492045154795</x:v>
      </x:c>
      <x:c r="F1296" s="23" t="n">
        <x:v>17.766381333582103</x:v>
      </x:c>
      <x:c r="G1296" s="23" t="n">
        <x:v>0.8507179241231643</x:v>
      </x:c>
      <x:c r="H1296" s="23" t="n">
        <x:v>14250</x:v>
      </x:c>
      <x:c r="I1296" s="23" t="n">
        <x:v>1200</x:v>
      </x:c>
      <x:c r="J1296" s="23" t="n">
        <x:f>(IF(A1296='Hybrid Calculator'!$B$6,0,1))^2+((B1296-'Hybrid Calculator'!$B$7)/1500)^2+((C1296-'Hybrid Calculator'!$B$8)/1300)^2+((D1296-'Hybrid Calculator'!$B$9)/800)^2+((E1296-'Hybrid Calculator'!$B$10)/350)^2+((F1296-'Hybrid Calculator'!$B$11)/30)^2+(G1296-'Hybrid Calculator'!$B$12)^2+((H1296-'Hybrid Calculator'!$E$14)/IF(A1296="Lightning",100,30000))^2+((I1296-'Hybrid Calculator'!$E$17)/IF(A1296="Lightning",100,30000))^2</x:f>
        <x:v>1.4286834502543369</x:v>
      </x:c>
      <x:c r="K1296" s="23" t="n">
        <x:f>RANK(J1296,$J$2:$J$1401,1)</x:f>
        <x:v>1058</x:v>
      </x:c>
      <x:c r="L1296" s="23" t="n">
        <x:f>IF(K1296&lt;=7,1,0)</x:f>
        <x:v>0</x:v>
      </x:c>
      <x:c r="M1296" s="23" t="n">
        <x:f>IF(L1296=1,1/(J1296+0.000001),0)</x:f>
        <x:v>0</x:v>
      </x:c>
      <x:c r="N1296" s="23" t="n">
        <x:v>-0.7650016703416327</x:v>
      </x:c>
      <x:c r="O1296" s="23" t="n">
        <x:f>M1296</x:f>
        <x:v>0</x:v>
      </x:c>
      <x:c r="P1296" s="23" t="n">
        <x:v>-62.99849795233695</x:v>
      </x:c>
      <x:c r="Q1296" s="23" t="n">
        <x:v>1.7572571649284328</x:v>
      </x:c>
    </x:row>
    <x:row r="1297">
      <x:c r="A1297" s="23" t="str">
        <x:v>Switching</x:v>
      </x:c>
      <x:c r="B1297" s="23" t="n">
        <x:v>979.3564668740146</x:v>
      </x:c>
      <x:c r="C1297" s="23" t="n">
        <x:v>636.545881908387</x:v>
      </x:c>
      <x:c r="D1297" s="23" t="n">
        <x:v>434.6324554644525</x:v>
      </x:c>
      <x:c r="E1297" s="23" t="n">
        <x:v>162.72447308991104</x:v>
      </x:c>
      <x:c r="F1297" s="23" t="n">
        <x:v>9.107654010411352</x:v>
      </x:c>
      <x:c r="G1297" s="23" t="n">
        <x:v>0.8313164670486004</x:v>
      </x:c>
      <x:c r="H1297" s="23" t="n">
        <x:v>20220</x:v>
      </x:c>
      <x:c r="I1297" s="23" t="n">
        <x:v>1200</x:v>
      </x:c>
      <x:c r="J1297" s="23" t="n">
        <x:f>(IF(A1297='Hybrid Calculator'!$B$6,0,1))^2+((B1297-'Hybrid Calculator'!$B$7)/1500)^2+((C1297-'Hybrid Calculator'!$B$8)/1300)^2+((D1297-'Hybrid Calculator'!$B$9)/800)^2+((E1297-'Hybrid Calculator'!$B$10)/350)^2+((F1297-'Hybrid Calculator'!$B$11)/30)^2+(G1297-'Hybrid Calculator'!$B$12)^2+((H1297-'Hybrid Calculator'!$E$14)/IF(A1297="Lightning",100,30000))^2+((I1297-'Hybrid Calculator'!$E$17)/IF(A1297="Lightning",100,30000))^2</x:f>
        <x:v>1.6749363262785006</x:v>
      </x:c>
      <x:c r="K1297" s="23" t="n">
        <x:f>RANK(J1297,$J$2:$J$1401,1)</x:f>
        <x:v>1387</x:v>
      </x:c>
      <x:c r="L1297" s="23" t="n">
        <x:f>IF(K1297&lt;=7,1,0)</x:f>
        <x:v>0</x:v>
      </x:c>
      <x:c r="M1297" s="23" t="n">
        <x:f>IF(L1297=1,1/(J1297+0.000001),0)</x:f>
        <x:v>0</x:v>
      </x:c>
      <x:c r="N1297" s="23" t="n">
        <x:v>0.0029136233366102715</x:v>
      </x:c>
      <x:c r="O1297" s="23" t="n">
        <x:f>M1297</x:f>
        <x:v>0</x:v>
      </x:c>
      <x:c r="P1297" s="23" t="n">
        <x:v>17.489386130262574</x:v>
      </x:c>
      <x:c r="Q1297" s="23" t="n">
        <x:v>16.73610120448234</x:v>
      </x:c>
    </x:row>
    <x:row r="1298">
      <x:c r="A1298" s="23" t="str">
        <x:v>Switching</x:v>
      </x:c>
      <x:c r="B1298" s="23" t="n">
        <x:v>1015.6553994864225</x:v>
      </x:c>
      <x:c r="C1298" s="23" t="n">
        <x:v>770.0414447463118</x:v>
      </x:c>
      <x:c r="D1298" s="23" t="n">
        <x:v>620.3141765668988</x:v>
      </x:c>
      <x:c r="E1298" s="23" t="n">
        <x:v>329.48575400048867</x:v>
      </x:c>
      <x:c r="F1298" s="23" t="n">
        <x:v>15.365129781886935</x:v>
      </x:c>
      <x:c r="G1298" s="23" t="n">
        <x:v>0.8340481069427915</x:v>
      </x:c>
      <x:c r="H1298" s="23" t="n">
        <x:v>12435</x:v>
      </x:c>
      <x:c r="I1298" s="23" t="n">
        <x:v>1200</x:v>
      </x:c>
      <x:c r="J1298" s="23" t="n">
        <x:f>(IF(A1298='Hybrid Calculator'!$B$6,0,1))^2+((B1298-'Hybrid Calculator'!$B$7)/1500)^2+((C1298-'Hybrid Calculator'!$B$8)/1300)^2+((D1298-'Hybrid Calculator'!$B$9)/800)^2+((E1298-'Hybrid Calculator'!$B$10)/350)^2+((F1298-'Hybrid Calculator'!$B$11)/30)^2+(G1298-'Hybrid Calculator'!$B$12)^2+((H1298-'Hybrid Calculator'!$E$14)/IF(A1298="Lightning",100,30000))^2+((I1298-'Hybrid Calculator'!$E$17)/IF(A1298="Lightning",100,30000))^2</x:f>
        <x:v>1.5469362604687402</x:v>
      </x:c>
      <x:c r="K1298" s="23" t="n">
        <x:f>RANK(J1298,$J$2:$J$1401,1)</x:f>
        <x:v>1295</x:v>
      </x:c>
      <x:c r="L1298" s="23" t="n">
        <x:f>IF(K1298&lt;=7,1,0)</x:f>
        <x:v>0</x:v>
      </x:c>
      <x:c r="M1298" s="23" t="n">
        <x:f>IF(L1298=1,1/(J1298+0.000001),0)</x:f>
        <x:v>0</x:v>
      </x:c>
      <x:c r="N1298" s="23" t="n">
        <x:v>-1.3841501488710435</x:v>
      </x:c>
      <x:c r="O1298" s="23" t="n">
        <x:f>M1298</x:f>
        <x:v>0</x:v>
      </x:c>
      <x:c r="P1298" s="23" t="n">
        <x:v>27.175545943272937</x:v>
      </x:c>
      <x:c r="Q1298" s="23" t="n">
        <x:v>6.961496155528266</x:v>
      </x:c>
    </x:row>
    <x:row r="1299">
      <x:c r="A1299" s="23" t="str">
        <x:v>Switching</x:v>
      </x:c>
      <x:c r="B1299" s="23" t="n">
        <x:v>968.9430880011059</x:v>
      </x:c>
      <x:c r="C1299" s="23" t="n">
        <x:v>942.1826927224174</x:v>
      </x:c>
      <x:c r="D1299" s="23" t="n">
        <x:v>473.1064395047724</x:v>
      </x:c>
      <x:c r="E1299" s="23" t="n">
        <x:v>230.4024190362543</x:v>
      </x:c>
      <x:c r="F1299" s="23" t="n">
        <x:v>20.80957166524604</x:v>
      </x:c>
      <x:c r="G1299" s="23" t="n">
        <x:v>0.81376687430311</x:v>
      </x:c>
      <x:c r="H1299" s="23" t="n">
        <x:v>15160</x:v>
      </x:c>
      <x:c r="I1299" s="23" t="n">
        <x:v>1200</x:v>
      </x:c>
      <x:c r="J1299" s="23" t="n">
        <x:f>(IF(A1299='Hybrid Calculator'!$B$6,0,1))^2+((B1299-'Hybrid Calculator'!$B$7)/1500)^2+((C1299-'Hybrid Calculator'!$B$8)/1300)^2+((D1299-'Hybrid Calculator'!$B$9)/800)^2+((E1299-'Hybrid Calculator'!$B$10)/350)^2+((F1299-'Hybrid Calculator'!$B$11)/30)^2+(G1299-'Hybrid Calculator'!$B$12)^2+((H1299-'Hybrid Calculator'!$E$14)/IF(A1299="Lightning",100,30000))^2+((I1299-'Hybrid Calculator'!$E$17)/IF(A1299="Lightning",100,30000))^2</x:f>
        <x:v>1.412548984345087</x:v>
      </x:c>
      <x:c r="K1299" s="23" t="n">
        <x:f>RANK(J1299,$J$2:$J$1401,1)</x:f>
        <x:v>1017</x:v>
      </x:c>
      <x:c r="L1299" s="23" t="n">
        <x:f>IF(K1299&lt;=7,1,0)</x:f>
        <x:v>0</x:v>
      </x:c>
      <x:c r="M1299" s="23" t="n">
        <x:f>IF(L1299=1,1/(J1299+0.000001),0)</x:f>
        <x:v>0</x:v>
      </x:c>
      <x:c r="N1299" s="23" t="n">
        <x:v>-2.9787207158019555</x:v>
      </x:c>
      <x:c r="O1299" s="23" t="n">
        <x:f>M1299</x:f>
        <x:v>0</x:v>
      </x:c>
      <x:c r="P1299" s="23" t="n">
        <x:v>-26.826774759112595</x:v>
      </x:c>
      <x:c r="Q1299" s="23" t="n">
        <x:v>0.748160538066827</x:v>
      </x:c>
    </x:row>
    <x:row r="1300">
      <x:c r="A1300" s="23" t="str">
        <x:v>Switching</x:v>
      </x:c>
      <x:c r="B1300" s="23" t="n">
        <x:v>963.0138558102772</x:v>
      </x:c>
      <x:c r="C1300" s="23" t="n">
        <x:v>1136.2621225998737</x:v>
      </x:c>
      <x:c r="D1300" s="23" t="n">
        <x:v>511.88599206507206</x:v>
      </x:c>
      <x:c r="E1300" s="23" t="n">
        <x:v>189.6058145049028</x:v>
      </x:c>
      <x:c r="F1300" s="23" t="n">
        <x:v>23.611707457341254</x:v>
      </x:c>
      <x:c r="G1300" s="23" t="n">
        <x:v>0.8299284020322375</x:v>
      </x:c>
      <x:c r="H1300" s="23" t="n">
        <x:v>13575</x:v>
      </x:c>
      <x:c r="I1300" s="23" t="n">
        <x:v>1200</x:v>
      </x:c>
      <x:c r="J1300" s="23" t="n">
        <x:f>(IF(A1300='Hybrid Calculator'!$B$6,0,1))^2+((B1300-'Hybrid Calculator'!$B$7)/1500)^2+((C1300-'Hybrid Calculator'!$B$8)/1300)^2+((D1300-'Hybrid Calculator'!$B$9)/800)^2+((E1300-'Hybrid Calculator'!$B$10)/350)^2+((F1300-'Hybrid Calculator'!$B$11)/30)^2+(G1300-'Hybrid Calculator'!$B$12)^2+((H1300-'Hybrid Calculator'!$E$14)/IF(A1300="Lightning",100,30000))^2+((I1300-'Hybrid Calculator'!$E$17)/IF(A1300="Lightning",100,30000))^2</x:f>
        <x:v>1.390289011905089</x:v>
      </x:c>
      <x:c r="K1300" s="23" t="n">
        <x:f>RANK(J1300,$J$2:$J$1401,1)</x:f>
        <x:v>951</x:v>
      </x:c>
      <x:c r="L1300" s="23" t="n">
        <x:f>IF(K1300&lt;=7,1,0)</x:f>
        <x:v>0</x:v>
      </x:c>
      <x:c r="M1300" s="23" t="n">
        <x:f>IF(L1300=1,1/(J1300+0.000001),0)</x:f>
        <x:v>0</x:v>
      </x:c>
      <x:c r="N1300" s="23" t="n">
        <x:v>2.309583943356671</x:v>
      </x:c>
      <x:c r="O1300" s="23" t="n">
        <x:f>M1300</x:f>
        <x:v>0</x:v>
      </x:c>
      <x:c r="P1300" s="23" t="n">
        <x:v>18.19567336321643</x:v>
      </x:c>
      <x:c r="Q1300" s="23" t="n">
        <x:v>-6.243214324137853</x:v>
      </x:c>
    </x:row>
    <x:row r="1301">
      <x:c r="A1301" s="23" t="str">
        <x:v>Switching</x:v>
      </x:c>
      <x:c r="B1301" s="23" t="n">
        <x:v>1034.9524874589406</x:v>
      </x:c>
      <x:c r="C1301" s="23" t="n">
        <x:v>1139.9237524252385</x:v>
      </x:c>
      <x:c r="D1301" s="23" t="n">
        <x:v>403.8152630440891</x:v>
      </x:c>
      <x:c r="E1301" s="23" t="n">
        <x:v>170.71603219490498</x:v>
      </x:c>
      <x:c r="F1301" s="23" t="n">
        <x:v>22.300547133665532</x:v>
      </x:c>
      <x:c r="G1301" s="23" t="n">
        <x:v>0.8517627818882466</x:v>
      </x:c>
      <x:c r="H1301" s="23" t="n">
        <x:v>12475</x:v>
      </x:c>
      <x:c r="I1301" s="23" t="n">
        <x:v>1200</x:v>
      </x:c>
      <x:c r="J1301" s="23" t="n">
        <x:f>(IF(A1301='Hybrid Calculator'!$B$6,0,1))^2+((B1301-'Hybrid Calculator'!$B$7)/1500)^2+((C1301-'Hybrid Calculator'!$B$8)/1300)^2+((D1301-'Hybrid Calculator'!$B$9)/800)^2+((E1301-'Hybrid Calculator'!$B$10)/350)^2+((F1301-'Hybrid Calculator'!$B$11)/30)^2+(G1301-'Hybrid Calculator'!$B$12)^2+((H1301-'Hybrid Calculator'!$E$14)/IF(A1301="Lightning",100,30000))^2+((I1301-'Hybrid Calculator'!$E$17)/IF(A1301="Lightning",100,30000))^2</x:f>
        <x:v>1.3254383884341894</x:v>
      </x:c>
      <x:c r="K1301" s="23" t="n">
        <x:f>RANK(J1301,$J$2:$J$1401,1)</x:f>
        <x:v>768</x:v>
      </x:c>
      <x:c r="L1301" s="23" t="n">
        <x:f>IF(K1301&lt;=7,1,0)</x:f>
        <x:v>0</x:v>
      </x:c>
      <x:c r="M1301" s="23" t="n">
        <x:f>IF(L1301=1,1/(J1301+0.000001),0)</x:f>
        <x:v>0</x:v>
      </x:c>
      <x:c r="N1301" s="23" t="n">
        <x:v>-3.110343274467084</x:v>
      </x:c>
      <x:c r="O1301" s="23" t="n">
        <x:f>M1301</x:f>
        <x:v>0</x:v>
      </x:c>
      <x:c r="P1301" s="23" t="n">
        <x:v>43.41511923069629</x:v>
      </x:c>
      <x:c r="Q1301" s="23" t="n">
        <x:v>-8.89246493140331</x:v>
      </x:c>
    </x:row>
    <x:row r="1302">
      <x:c r="A1302" s="23" t="str">
        <x:v>Switching</x:v>
      </x:c>
      <x:c r="B1302" s="23" t="n">
        <x:v>1004.1221495252103</x:v>
      </x:c>
      <x:c r="C1302" s="23" t="n">
        <x:v>1060.8441349933855</x:v>
      </x:c>
      <x:c r="D1302" s="23" t="n">
        <x:v>526.7655676230788</x:v>
      </x:c>
      <x:c r="E1302" s="23" t="n">
        <x:v>80.54687150986865</x:v>
      </x:c>
      <x:c r="F1302" s="23" t="n">
        <x:v>15.947892244905233</x:v>
      </x:c>
      <x:c r="G1302" s="23" t="n">
        <x:v>0.8298759654560127</x:v>
      </x:c>
      <x:c r="H1302" s="23" t="n">
        <x:v>12820</x:v>
      </x:c>
      <x:c r="I1302" s="23" t="n">
        <x:v>1200</x:v>
      </x:c>
      <x:c r="J1302" s="23" t="n">
        <x:f>(IF(A1302='Hybrid Calculator'!$B$6,0,1))^2+((B1302-'Hybrid Calculator'!$B$7)/1500)^2+((C1302-'Hybrid Calculator'!$B$8)/1300)^2+((D1302-'Hybrid Calculator'!$B$9)/800)^2+((E1302-'Hybrid Calculator'!$B$10)/350)^2+((F1302-'Hybrid Calculator'!$B$11)/30)^2+(G1302-'Hybrid Calculator'!$B$12)^2+((H1302-'Hybrid Calculator'!$E$14)/IF(A1302="Lightning",100,30000))^2+((I1302-'Hybrid Calculator'!$E$17)/IF(A1302="Lightning",100,30000))^2</x:f>
        <x:v>1.335590390531034</x:v>
      </x:c>
      <x:c r="K1302" s="23" t="n">
        <x:f>RANK(J1302,$J$2:$J$1401,1)</x:f>
        <x:v>789</x:v>
      </x:c>
      <x:c r="L1302" s="23" t="n">
        <x:f>IF(K1302&lt;=7,1,0)</x:f>
        <x:v>0</x:v>
      </x:c>
      <x:c r="M1302" s="23" t="n">
        <x:f>IF(L1302=1,1/(J1302+0.000001),0)</x:f>
        <x:v>0</x:v>
      </x:c>
      <x:c r="N1302" s="23" t="n">
        <x:v>3.888475674060004</x:v>
      </x:c>
      <x:c r="O1302" s="23" t="n">
        <x:f>M1302</x:f>
        <x:v>0</x:v>
      </x:c>
      <x:c r="P1302" s="23" t="n">
        <x:v>-16.593424596712794</x:v>
      </x:c>
      <x:c r="Q1302" s="23" t="n">
        <x:v>2.4356546322079566</x:v>
      </x:c>
    </x:row>
    <x:row r="1303">
      <x:c r="A1303" s="23" t="str">
        <x:v>Switching</x:v>
      </x:c>
      <x:c r="B1303" s="23" t="n">
        <x:v>1033.0627095070668</x:v>
      </x:c>
      <x:c r="C1303" s="23" t="n">
        <x:v>781.7939336178824</x:v>
      </x:c>
      <x:c r="D1303" s="23" t="n">
        <x:v>565.8766080625355</x:v>
      </x:c>
      <x:c r="E1303" s="23" t="n">
        <x:v>145.9140506759286</x:v>
      </x:c>
      <x:c r="F1303" s="23" t="n">
        <x:v>20.69121420616284</x:v>
      </x:c>
      <x:c r="G1303" s="23" t="n">
        <x:v>0.817109118285589</x:v>
      </x:c>
      <x:c r="H1303" s="23" t="n">
        <x:v>14320</x:v>
      </x:c>
      <x:c r="I1303" s="23" t="n">
        <x:v>1200</x:v>
      </x:c>
      <x:c r="J1303" s="23" t="n">
        <x:f>(IF(A1303='Hybrid Calculator'!$B$6,0,1))^2+((B1303-'Hybrid Calculator'!$B$7)/1500)^2+((C1303-'Hybrid Calculator'!$B$8)/1300)^2+((D1303-'Hybrid Calculator'!$B$9)/800)^2+((E1303-'Hybrid Calculator'!$B$10)/350)^2+((F1303-'Hybrid Calculator'!$B$11)/30)^2+(G1303-'Hybrid Calculator'!$B$12)^2+((H1303-'Hybrid Calculator'!$E$14)/IF(A1303="Lightning",100,30000))^2+((I1303-'Hybrid Calculator'!$E$17)/IF(A1303="Lightning",100,30000))^2</x:f>
        <x:v>1.3110791480337352</x:v>
      </x:c>
      <x:c r="K1303" s="23" t="n">
        <x:f>RANK(J1303,$J$2:$J$1401,1)</x:f>
        <x:v>749</x:v>
      </x:c>
      <x:c r="L1303" s="23" t="n">
        <x:f>IF(K1303&lt;=7,1,0)</x:f>
        <x:v>0</x:v>
      </x:c>
      <x:c r="M1303" s="23" t="n">
        <x:f>IF(L1303=1,1/(J1303+0.000001),0)</x:f>
        <x:v>0</x:v>
      </x:c>
      <x:c r="N1303" s="23" t="n">
        <x:v>-3.8860007423500917</x:v>
      </x:c>
      <x:c r="O1303" s="23" t="n">
        <x:f>M1303</x:f>
        <x:v>0</x:v>
      </x:c>
      <x:c r="P1303" s="23" t="n">
        <x:v>10.154277370576892</x:v>
      </x:c>
      <x:c r="Q1303" s="23" t="n">
        <x:v>4.511679406505664</x:v>
      </x:c>
    </x:row>
    <x:row r="1304">
      <x:c r="A1304" s="23" t="str">
        <x:v>Switching</x:v>
      </x:c>
      <x:c r="B1304" s="23" t="n">
        <x:v>1083.4686460439116</x:v>
      </x:c>
      <x:c r="C1304" s="23" t="n">
        <x:v>961.6878973203711</x:v>
      </x:c>
      <x:c r="D1304" s="23" t="n">
        <x:v>504.2962295934558</x:v>
      </x:c>
      <x:c r="E1304" s="23" t="n">
        <x:v>96.24452258693054</x:v>
      </x:c>
      <x:c r="F1304" s="23" t="n">
        <x:v>27.62188833206892</x:v>
      </x:c>
      <x:c r="G1304" s="23" t="n">
        <x:v>0.8436754667968489</x:v>
      </x:c>
      <x:c r="H1304" s="23" t="n">
        <x:v>13690</x:v>
      </x:c>
      <x:c r="I1304" s="23" t="n">
        <x:v>1200</x:v>
      </x:c>
      <x:c r="J1304" s="23" t="n">
        <x:f>(IF(A1304='Hybrid Calculator'!$B$6,0,1))^2+((B1304-'Hybrid Calculator'!$B$7)/1500)^2+((C1304-'Hybrid Calculator'!$B$8)/1300)^2+((D1304-'Hybrid Calculator'!$B$9)/800)^2+((E1304-'Hybrid Calculator'!$B$10)/350)^2+((F1304-'Hybrid Calculator'!$B$11)/30)^2+(G1304-'Hybrid Calculator'!$B$12)^2+((H1304-'Hybrid Calculator'!$E$14)/IF(A1304="Lightning",100,30000))^2+((I1304-'Hybrid Calculator'!$E$17)/IF(A1304="Lightning",100,30000))^2</x:f>
        <x:v>1.3841112426572342</x:v>
      </x:c>
      <x:c r="K1304" s="23" t="n">
        <x:f>RANK(J1304,$J$2:$J$1401,1)</x:f>
        <x:v>930</x:v>
      </x:c>
      <x:c r="L1304" s="23" t="n">
        <x:f>IF(K1304&lt;=7,1,0)</x:f>
        <x:v>0</x:v>
      </x:c>
      <x:c r="M1304" s="23" t="n">
        <x:f>IF(L1304=1,1/(J1304+0.000001),0)</x:f>
        <x:v>0</x:v>
      </x:c>
      <x:c r="N1304" s="23" t="n">
        <x:v>-2.7335760222391627</x:v>
      </x:c>
      <x:c r="O1304" s="23" t="n">
        <x:f>M1304</x:f>
        <x:v>0</x:v>
      </x:c>
      <x:c r="P1304" s="23" t="n">
        <x:v>19.975550508440847</x:v>
      </x:c>
      <x:c r="Q1304" s="23" t="n">
        <x:v>-3.236275062857203</x:v>
      </x:c>
    </x:row>
    <x:row r="1305">
      <x:c r="A1305" s="23" t="str">
        <x:v>Switching</x:v>
      </x:c>
      <x:c r="B1305" s="23" t="n">
        <x:v>1095.0579769094475</x:v>
      </x:c>
      <x:c r="C1305" s="23" t="n">
        <x:v>879.1767071699724</x:v>
      </x:c>
      <x:c r="D1305" s="23" t="n">
        <x:v>388.1207880564034</x:v>
      </x:c>
      <x:c r="E1305" s="23" t="n">
        <x:v>266.9792337529361</x:v>
      </x:c>
      <x:c r="F1305" s="23" t="n">
        <x:v>22.791004730854183</x:v>
      </x:c>
      <x:c r="G1305" s="23" t="n">
        <x:v>0.7910917469253764</x:v>
      </x:c>
      <x:c r="H1305" s="23" t="n">
        <x:v>13940</x:v>
      </x:c>
      <x:c r="I1305" s="23" t="n">
        <x:v>1200</x:v>
      </x:c>
      <x:c r="J1305" s="23" t="n">
        <x:f>(IF(A1305='Hybrid Calculator'!$B$6,0,1))^2+((B1305-'Hybrid Calculator'!$B$7)/1500)^2+((C1305-'Hybrid Calculator'!$B$8)/1300)^2+((D1305-'Hybrid Calculator'!$B$9)/800)^2+((E1305-'Hybrid Calculator'!$B$10)/350)^2+((F1305-'Hybrid Calculator'!$B$11)/30)^2+(G1305-'Hybrid Calculator'!$B$12)^2+((H1305-'Hybrid Calculator'!$E$14)/IF(A1305="Lightning",100,30000))^2+((I1305-'Hybrid Calculator'!$E$17)/IF(A1305="Lightning",100,30000))^2</x:f>
        <x:v>1.4173490269849756</x:v>
      </x:c>
      <x:c r="K1305" s="23" t="n">
        <x:f>RANK(J1305,$J$2:$J$1401,1)</x:f>
        <x:v>1031</x:v>
      </x:c>
      <x:c r="L1305" s="23" t="n">
        <x:f>IF(K1305&lt;=7,1,0)</x:f>
        <x:v>0</x:v>
      </x:c>
      <x:c r="M1305" s="23" t="n">
        <x:f>IF(L1305=1,1/(J1305+0.000001),0)</x:f>
        <x:v>0</x:v>
      </x:c>
      <x:c r="N1305" s="23" t="n">
        <x:v>0.5776016219736277</x:v>
      </x:c>
      <x:c r="O1305" s="23" t="n">
        <x:f>M1305</x:f>
        <x:v>0</x:v>
      </x:c>
      <x:c r="P1305" s="23" t="n">
        <x:v>-25.23511494353761</x:v>
      </x:c>
      <x:c r="Q1305" s="23" t="n">
        <x:v>-6.6842649309703575</x:v>
      </x:c>
    </x:row>
    <x:row r="1306">
      <x:c r="A1306" s="23" t="str">
        <x:v>Switching</x:v>
      </x:c>
      <x:c r="B1306" s="23" t="n">
        <x:v>1032.2133249836043</x:v>
      </x:c>
      <x:c r="C1306" s="23" t="n">
        <x:v>1120.7736291107722</x:v>
      </x:c>
      <x:c r="D1306" s="23" t="n">
        <x:v>490.5783325433731</x:v>
      </x:c>
      <x:c r="E1306" s="23" t="n">
        <x:v>232.12746703764424</x:v>
      </x:c>
      <x:c r="F1306" s="23" t="n">
        <x:v>10.735728862695396</x:v>
      </x:c>
      <x:c r="G1306" s="23" t="n">
        <x:v>0.7972503246343695</x:v>
      </x:c>
      <x:c r="H1306" s="23" t="n">
        <x:v>11600</x:v>
      </x:c>
      <x:c r="I1306" s="23" t="n">
        <x:v>1195</x:v>
      </x:c>
      <x:c r="J1306" s="23" t="n">
        <x:f>(IF(A1306='Hybrid Calculator'!$B$6,0,1))^2+((B1306-'Hybrid Calculator'!$B$7)/1500)^2+((C1306-'Hybrid Calculator'!$B$8)/1300)^2+((D1306-'Hybrid Calculator'!$B$9)/800)^2+((E1306-'Hybrid Calculator'!$B$10)/350)^2+((F1306-'Hybrid Calculator'!$B$11)/30)^2+(G1306-'Hybrid Calculator'!$B$12)^2+((H1306-'Hybrid Calculator'!$E$14)/IF(A1306="Lightning",100,30000))^2+((I1306-'Hybrid Calculator'!$E$17)/IF(A1306="Lightning",100,30000))^2</x:f>
        <x:v>1.3843980864667258</x:v>
      </x:c>
      <x:c r="K1306" s="23" t="n">
        <x:f>RANK(J1306,$J$2:$J$1401,1)</x:f>
        <x:v>933</x:v>
      </x:c>
      <x:c r="L1306" s="23" t="n">
        <x:f>IF(K1306&lt;=7,1,0)</x:f>
        <x:v>0</x:v>
      </x:c>
      <x:c r="M1306" s="23" t="n">
        <x:f>IF(L1306=1,1/(J1306+0.000001),0)</x:f>
        <x:v>0</x:v>
      </x:c>
      <x:c r="N1306" s="23" t="n">
        <x:v>0.8612492687457802</x:v>
      </x:c>
      <x:c r="O1306" s="23" t="n">
        <x:f>M1306</x:f>
        <x:v>0</x:v>
      </x:c>
      <x:c r="P1306" s="23" t="n">
        <x:v>52.99051665718389</x:v>
      </x:c>
      <x:c r="Q1306" s="23" t="n">
        <x:v>3.430392804310486</x:v>
      </x:c>
    </x:row>
    <x:row r="1307">
      <x:c r="A1307" s="23" t="str">
        <x:v>Switching</x:v>
      </x:c>
      <x:c r="B1307" s="23" t="n">
        <x:v>1005.0662276218645</x:v>
      </x:c>
      <x:c r="C1307" s="23" t="n">
        <x:v>1241.0840799100697</x:v>
      </x:c>
      <x:c r="D1307" s="23" t="n">
        <x:v>461.72707146033645</x:v>
      </x:c>
      <x:c r="E1307" s="23" t="n">
        <x:v>203.7810660386458</x:v>
      </x:c>
      <x:c r="F1307" s="23" t="n">
        <x:v>28.940917370375246</x:v>
      </x:c>
      <x:c r="G1307" s="23" t="n">
        <x:v>0.84625269764103</x:v>
      </x:c>
      <x:c r="H1307" s="23" t="n">
        <x:v>13085</x:v>
      </x:c>
      <x:c r="I1307" s="23" t="n">
        <x:v>1200</x:v>
      </x:c>
      <x:c r="J1307" s="23" t="n">
        <x:f>(IF(A1307='Hybrid Calculator'!$B$6,0,1))^2+((B1307-'Hybrid Calculator'!$B$7)/1500)^2+((C1307-'Hybrid Calculator'!$B$8)/1300)^2+((D1307-'Hybrid Calculator'!$B$9)/800)^2+((E1307-'Hybrid Calculator'!$B$10)/350)^2+((F1307-'Hybrid Calculator'!$B$11)/30)^2+(G1307-'Hybrid Calculator'!$B$12)^2+((H1307-'Hybrid Calculator'!$E$14)/IF(A1307="Lightning",100,30000))^2+((I1307-'Hybrid Calculator'!$E$17)/IF(A1307="Lightning",100,30000))^2</x:f>
        <x:v>1.5069153130257718</x:v>
      </x:c>
      <x:c r="K1307" s="23" t="n">
        <x:f>RANK(J1307,$J$2:$J$1401,1)</x:f>
        <x:v>1222</x:v>
      </x:c>
      <x:c r="L1307" s="23" t="n">
        <x:f>IF(K1307&lt;=7,1,0)</x:f>
        <x:v>0</x:v>
      </x:c>
      <x:c r="M1307" s="23" t="n">
        <x:f>IF(L1307=1,1/(J1307+0.000001),0)</x:f>
        <x:v>0</x:v>
      </x:c>
      <x:c r="N1307" s="23" t="n">
        <x:v>-2.233898444441081</x:v>
      </x:c>
      <x:c r="O1307" s="23" t="n">
        <x:f>M1307</x:f>
        <x:v>0</x:v>
      </x:c>
      <x:c r="P1307" s="23" t="n">
        <x:v>58.28660124406133</x:v>
      </x:c>
      <x:c r="Q1307" s="23" t="n">
        <x:v>-21.176663297589357</x:v>
      </x:c>
    </x:row>
    <x:row r="1308">
      <x:c r="A1308" s="23" t="str">
        <x:v>Switching</x:v>
      </x:c>
      <x:c r="B1308" s="23" t="n">
        <x:v>1046.3872099295259</x:v>
      </x:c>
      <x:c r="C1308" s="23" t="n">
        <x:v>626.0786064318381</x:v>
      </x:c>
      <x:c r="D1308" s="23" t="n">
        <x:v>562.8093155100942</x:v>
      </x:c>
      <x:c r="E1308" s="23" t="n">
        <x:v>155.20414289319888</x:v>
      </x:c>
      <x:c r="F1308" s="23" t="n">
        <x:v>28.67703396640718</x:v>
      </x:c>
      <x:c r="G1308" s="23" t="n">
        <x:v>0.8127704569068738</x:v>
      </x:c>
      <x:c r="H1308" s="23" t="n">
        <x:v>15910</x:v>
      </x:c>
      <x:c r="I1308" s="23" t="n">
        <x:v>1200</x:v>
      </x:c>
      <x:c r="J1308" s="23" t="n">
        <x:f>(IF(A1308='Hybrid Calculator'!$B$6,0,1))^2+((B1308-'Hybrid Calculator'!$B$7)/1500)^2+((C1308-'Hybrid Calculator'!$B$8)/1300)^2+((D1308-'Hybrid Calculator'!$B$9)/800)^2+((E1308-'Hybrid Calculator'!$B$10)/350)^2+((F1308-'Hybrid Calculator'!$B$11)/30)^2+(G1308-'Hybrid Calculator'!$B$12)^2+((H1308-'Hybrid Calculator'!$E$14)/IF(A1308="Lightning",100,30000))^2+((I1308-'Hybrid Calculator'!$E$17)/IF(A1308="Lightning",100,30000))^2</x:f>
        <x:v>1.49591909715308</x:v>
      </x:c>
      <x:c r="K1308" s="23" t="n">
        <x:f>RANK(J1308,$J$2:$J$1401,1)</x:f>
        <x:v>1202</x:v>
      </x:c>
      <x:c r="L1308" s="23" t="n">
        <x:f>IF(K1308&lt;=7,1,0)</x:f>
        <x:v>0</x:v>
      </x:c>
      <x:c r="M1308" s="23" t="n">
        <x:f>IF(L1308=1,1/(J1308+0.000001),0)</x:f>
        <x:v>0</x:v>
      </x:c>
      <x:c r="N1308" s="23" t="n">
        <x:v>-4.000714394337251</x:v>
      </x:c>
      <x:c r="O1308" s="23" t="n">
        <x:f>M1308</x:f>
        <x:v>0</x:v>
      </x:c>
      <x:c r="P1308" s="23" t="n">
        <x:v>3.9648741319228975</x:v>
      </x:c>
      <x:c r="Q1308" s="23" t="n">
        <x:v>-1.6977554247037006</x:v>
      </x:c>
    </x:row>
    <x:row r="1309">
      <x:c r="A1309" s="23" t="str">
        <x:v>Switching</x:v>
      </x:c>
      <x:c r="B1309" s="23" t="n">
        <x:v>1061.5145125077106</x:v>
      </x:c>
      <x:c r="C1309" s="23" t="n">
        <x:v>727.1490693325177</x:v>
      </x:c>
      <x:c r="D1309" s="23" t="n">
        <x:v>570.3537792898715</x:v>
      </x:c>
      <x:c r="E1309" s="23" t="n">
        <x:v>123.06228901259601</x:v>
      </x:c>
      <x:c r="F1309" s="23" t="n">
        <x:v>13.775940243620425</x:v>
      </x:c>
      <x:c r="G1309" s="23" t="n">
        <x:v>0.8031329790176824</x:v>
      </x:c>
      <x:c r="H1309" s="23" t="n">
        <x:v>15055</x:v>
      </x:c>
      <x:c r="I1309" s="23" t="n">
        <x:v>1200</x:v>
      </x:c>
      <x:c r="J1309" s="23" t="n">
        <x:f>(IF(A1309='Hybrid Calculator'!$B$6,0,1))^2+((B1309-'Hybrid Calculator'!$B$7)/1500)^2+((C1309-'Hybrid Calculator'!$B$8)/1300)^2+((D1309-'Hybrid Calculator'!$B$9)/800)^2+((E1309-'Hybrid Calculator'!$B$10)/350)^2+((F1309-'Hybrid Calculator'!$B$11)/30)^2+(G1309-'Hybrid Calculator'!$B$12)^2+((H1309-'Hybrid Calculator'!$E$14)/IF(A1309="Lightning",100,30000))^2+((I1309-'Hybrid Calculator'!$E$17)/IF(A1309="Lightning",100,30000))^2</x:f>
        <x:v>1.3580901665832155</x:v>
      </x:c>
      <x:c r="K1309" s="23" t="n">
        <x:f>RANK(J1309,$J$2:$J$1401,1)</x:f>
        <x:v>850</x:v>
      </x:c>
      <x:c r="L1309" s="23" t="n">
        <x:f>IF(K1309&lt;=7,1,0)</x:f>
        <x:v>0</x:v>
      </x:c>
      <x:c r="M1309" s="23" t="n">
        <x:f>IF(L1309=1,1/(J1309+0.000001),0)</x:f>
        <x:v>0</x:v>
      </x:c>
      <x:c r="N1309" s="23" t="n">
        <x:v>-0.3943728831559383</x:v>
      </x:c>
      <x:c r="O1309" s="23" t="n">
        <x:f>M1309</x:f>
        <x:v>0</x:v>
      </x:c>
      <x:c r="P1309" s="23" t="n">
        <x:v>-23.190051564849455</x:v>
      </x:c>
      <x:c r="Q1309" s="23" t="n">
        <x:v>11.595678256629526</x:v>
      </x:c>
    </x:row>
    <x:row r="1310">
      <x:c r="A1310" s="23" t="str">
        <x:v>Switching</x:v>
      </x:c>
      <x:c r="B1310" s="23" t="n">
        <x:v>1071.4339951751754</x:v>
      </x:c>
      <x:c r="C1310" s="23" t="n">
        <x:v>626.9930037320592</x:v>
      </x:c>
      <x:c r="D1310" s="23" t="n">
        <x:v>401.0654080659151</x:v>
      </x:c>
      <x:c r="E1310" s="23" t="n">
        <x:v>169.2425665515475</x:v>
      </x:c>
      <x:c r="F1310" s="23" t="n">
        <x:v>11.705346287228167</x:v>
      </x:c>
      <x:c r="G1310" s="23" t="n">
        <x:v>0.8304798668506556</x:v>
      </x:c>
      <x:c r="H1310" s="23" t="n">
        <x:v>17860</x:v>
      </x:c>
      <x:c r="I1310" s="23" t="n">
        <x:v>1200</x:v>
      </x:c>
      <x:c r="J1310" s="23" t="n">
        <x:f>(IF(A1310='Hybrid Calculator'!$B$6,0,1))^2+((B1310-'Hybrid Calculator'!$B$7)/1500)^2+((C1310-'Hybrid Calculator'!$B$8)/1300)^2+((D1310-'Hybrid Calculator'!$B$9)/800)^2+((E1310-'Hybrid Calculator'!$B$10)/350)^2+((F1310-'Hybrid Calculator'!$B$11)/30)^2+(G1310-'Hybrid Calculator'!$B$12)^2+((H1310-'Hybrid Calculator'!$E$14)/IF(A1310="Lightning",100,30000))^2+((I1310-'Hybrid Calculator'!$E$17)/IF(A1310="Lightning",100,30000))^2</x:f>
        <x:v>1.5086842955480306</x:v>
      </x:c>
      <x:c r="K1310" s="23" t="n">
        <x:f>RANK(J1310,$J$2:$J$1401,1)</x:f>
        <x:v>1226</x:v>
      </x:c>
      <x:c r="L1310" s="23" t="n">
        <x:f>IF(K1310&lt;=7,1,0)</x:f>
        <x:v>0</x:v>
      </x:c>
      <x:c r="M1310" s="23" t="n">
        <x:f>IF(L1310=1,1/(J1310+0.000001),0)</x:f>
        <x:v>0</x:v>
      </x:c>
      <x:c r="N1310" s="23" t="n">
        <x:v>-2.9891840674442847</x:v>
      </x:c>
      <x:c r="O1310" s="23" t="n">
        <x:f>M1310</x:f>
        <x:v>0</x:v>
      </x:c>
      <x:c r="P1310" s="23" t="n">
        <x:v>-37.715472036507435</x:v>
      </x:c>
      <x:c r="Q1310" s="23" t="n">
        <x:v>17.806563094068224</x:v>
      </x:c>
    </x:row>
    <x:row r="1311">
      <x:c r="A1311" s="23" t="str">
        <x:v>Switching</x:v>
      </x:c>
      <x:c r="B1311" s="23" t="n">
        <x:v>965.0096768862568</x:v>
      </x:c>
      <x:c r="C1311" s="23" t="n">
        <x:v>677.260267501697</x:v>
      </x:c>
      <x:c r="D1311" s="23" t="n">
        <x:v>719.3584273569286</x:v>
      </x:c>
      <x:c r="E1311" s="23" t="n">
        <x:v>99.20217543374747</x:v>
      </x:c>
      <x:c r="F1311" s="23" t="n">
        <x:v>13.287114951293916</x:v>
      </x:c>
      <x:c r="G1311" s="23" t="n">
        <x:v>0.8288429933413863</x:v>
      </x:c>
      <x:c r="H1311" s="23" t="n">
        <x:v>16680</x:v>
      </x:c>
      <x:c r="I1311" s="23" t="n">
        <x:v>1200</x:v>
      </x:c>
      <x:c r="J1311" s="23" t="n">
        <x:f>(IF(A1311='Hybrid Calculator'!$B$6,0,1))^2+((B1311-'Hybrid Calculator'!$B$7)/1500)^2+((C1311-'Hybrid Calculator'!$B$8)/1300)^2+((D1311-'Hybrid Calculator'!$B$9)/800)^2+((E1311-'Hybrid Calculator'!$B$10)/350)^2+((F1311-'Hybrid Calculator'!$B$11)/30)^2+(G1311-'Hybrid Calculator'!$B$12)^2+((H1311-'Hybrid Calculator'!$E$14)/IF(A1311="Lightning",100,30000))^2+((I1311-'Hybrid Calculator'!$E$17)/IF(A1311="Lightning",100,30000))^2</x:f>
        <x:v>1.5470371099797726</x:v>
      </x:c>
      <x:c r="K1311" s="23" t="n">
        <x:f>RANK(J1311,$J$2:$J$1401,1)</x:f>
        <x:v>1296</x:v>
      </x:c>
      <x:c r="L1311" s="23" t="n">
        <x:f>IF(K1311&lt;=7,1,0)</x:f>
        <x:v>0</x:v>
      </x:c>
      <x:c r="M1311" s="23" t="n">
        <x:f>IF(L1311=1,1/(J1311+0.000001),0)</x:f>
        <x:v>0</x:v>
      </x:c>
      <x:c r="N1311" s="23" t="n">
        <x:v>-2.3602049321315235</x:v>
      </x:c>
      <x:c r="O1311" s="23" t="n">
        <x:f>M1311</x:f>
        <x:v>0</x:v>
      </x:c>
      <x:c r="P1311" s="23" t="n">
        <x:v>-20.659019198466012</x:v>
      </x:c>
      <x:c r="Q1311" s="23" t="n">
        <x:v>9.172533427784174</x:v>
      </x:c>
    </x:row>
    <x:row r="1312">
      <x:c r="A1312" s="23" t="str">
        <x:v>Switching</x:v>
      </x:c>
      <x:c r="B1312" s="23" t="n">
        <x:v>963.75736980699</x:v>
      </x:c>
      <x:c r="C1312" s="23" t="n">
        <x:v>909.3487626756541</x:v>
      </x:c>
      <x:c r="D1312" s="23" t="n">
        <x:v>720.8534618839622</x:v>
      </x:c>
      <x:c r="E1312" s="23" t="n">
        <x:v>175.66849452676252</x:v>
      </x:c>
      <x:c r="F1312" s="23" t="n">
        <x:v>22.06848542764783</x:v>
      </x:c>
      <x:c r="G1312" s="23" t="n">
        <x:v>0.792863480153028</x:v>
      </x:c>
      <x:c r="H1312" s="23" t="n">
        <x:v>11840</x:v>
      </x:c>
      <x:c r="I1312" s="23" t="n">
        <x:v>1195</x:v>
      </x:c>
      <x:c r="J1312" s="23" t="n">
        <x:f>(IF(A1312='Hybrid Calculator'!$B$6,0,1))^2+((B1312-'Hybrid Calculator'!$B$7)/1500)^2+((C1312-'Hybrid Calculator'!$B$8)/1300)^2+((D1312-'Hybrid Calculator'!$B$9)/800)^2+((E1312-'Hybrid Calculator'!$B$10)/350)^2+((F1312-'Hybrid Calculator'!$B$11)/30)^2+(G1312-'Hybrid Calculator'!$B$12)^2+((H1312-'Hybrid Calculator'!$E$14)/IF(A1312="Lightning",100,30000))^2+((I1312-'Hybrid Calculator'!$E$17)/IF(A1312="Lightning",100,30000))^2</x:f>
        <x:v>1.3490842297494474</x:v>
      </x:c>
      <x:c r="K1312" s="23" t="n">
        <x:f>RANK(J1312,$J$2:$J$1401,1)</x:f>
        <x:v>829</x:v>
      </x:c>
      <x:c r="L1312" s="23" t="n">
        <x:f>IF(K1312&lt;=7,1,0)</x:f>
        <x:v>0</x:v>
      </x:c>
      <x:c r="M1312" s="23" t="n">
        <x:f>IF(L1312=1,1/(J1312+0.000001),0)</x:f>
        <x:v>0</x:v>
      </x:c>
      <x:c r="N1312" s="23" t="n">
        <x:v>1.676313063144761</x:v>
      </x:c>
      <x:c r="O1312" s="23" t="n">
        <x:f>M1312</x:f>
        <x:v>0</x:v>
      </x:c>
      <x:c r="P1312" s="23" t="n">
        <x:v>-7.987022503038588</x:v>
      </x:c>
      <x:c r="Q1312" s="23" t="n">
        <x:v>-1.960170413777746</x:v>
      </x:c>
    </x:row>
    <x:row r="1313">
      <x:c r="A1313" s="23" t="str">
        <x:v>Switching</x:v>
      </x:c>
      <x:c r="B1313" s="23" t="n">
        <x:v>965.7319279504009</x:v>
      </x:c>
      <x:c r="C1313" s="23" t="n">
        <x:v>1132.054626639001</x:v>
      </x:c>
      <x:c r="D1313" s="23" t="n">
        <x:v>676.6772096045315</x:v>
      </x:c>
      <x:c r="E1313" s="23" t="n">
        <x:v>127.96510748565197</x:v>
      </x:c>
      <x:c r="F1313" s="23" t="n">
        <x:v>23.800800228957087</x:v>
      </x:c>
      <x:c r="G1313" s="23" t="n">
        <x:v>0.8160737279010937</x:v>
      </x:c>
      <x:c r="H1313" s="23" t="n">
        <x:v>12885</x:v>
      </x:c>
      <x:c r="I1313" s="23" t="n">
        <x:v>1200</x:v>
      </x:c>
      <x:c r="J1313" s="23" t="n">
        <x:f>(IF(A1313='Hybrid Calculator'!$B$6,0,1))^2+((B1313-'Hybrid Calculator'!$B$7)/1500)^2+((C1313-'Hybrid Calculator'!$B$8)/1300)^2+((D1313-'Hybrid Calculator'!$B$9)/800)^2+((E1313-'Hybrid Calculator'!$B$10)/350)^2+((F1313-'Hybrid Calculator'!$B$11)/30)^2+(G1313-'Hybrid Calculator'!$B$12)^2+((H1313-'Hybrid Calculator'!$E$14)/IF(A1313="Lightning",100,30000))^2+((I1313-'Hybrid Calculator'!$E$17)/IF(A1313="Lightning",100,30000))^2</x:f>
        <x:v>1.4093673451076403</x:v>
      </x:c>
      <x:c r="K1313" s="23" t="n">
        <x:f>RANK(J1313,$J$2:$J$1401,1)</x:f>
        <x:v>1005</x:v>
      </x:c>
      <x:c r="L1313" s="23" t="n">
        <x:f>IF(K1313&lt;=7,1,0)</x:f>
        <x:v>0</x:v>
      </x:c>
      <x:c r="M1313" s="23" t="n">
        <x:f>IF(L1313=1,1/(J1313+0.000001),0)</x:f>
        <x:v>0</x:v>
      </x:c>
      <x:c r="N1313" s="23" t="n">
        <x:v>0.8932353046054686</x:v>
      </x:c>
      <x:c r="O1313" s="23" t="n">
        <x:f>M1313</x:f>
        <x:v>0</x:v>
      </x:c>
      <x:c r="P1313" s="23" t="n">
        <x:v>51.0686656134576</x:v>
      </x:c>
      <x:c r="Q1313" s="23" t="n">
        <x:v>-5.7975479582290745</x:v>
      </x:c>
    </x:row>
    <x:row r="1314">
      <x:c r="A1314" s="23" t="str">
        <x:v>Switching</x:v>
      </x:c>
      <x:c r="B1314" s="23" t="n">
        <x:v>1047.1788233378902</x:v>
      </x:c>
      <x:c r="C1314" s="23" t="n">
        <x:v>887.415689707268</x:v>
      </x:c>
      <x:c r="D1314" s="23" t="n">
        <x:v>568.0641062557697</x:v>
      </x:c>
      <x:c r="E1314" s="23" t="n">
        <x:v>111.807858904358</x:v>
      </x:c>
      <x:c r="F1314" s="23" t="n">
        <x:v>11.111659734509885</x:v>
      </x:c>
      <x:c r="G1314" s="23" t="n">
        <x:v>0.7983143469481729</x:v>
      </x:c>
      <x:c r="H1314" s="23" t="n">
        <x:v>13645</x:v>
      </x:c>
      <x:c r="I1314" s="23" t="n">
        <x:v>1200</x:v>
      </x:c>
      <x:c r="J1314" s="23" t="n">
        <x:f>(IF(A1314='Hybrid Calculator'!$B$6,0,1))^2+((B1314-'Hybrid Calculator'!$B$7)/1500)^2+((C1314-'Hybrid Calculator'!$B$8)/1300)^2+((D1314-'Hybrid Calculator'!$B$9)/800)^2+((E1314-'Hybrid Calculator'!$B$10)/350)^2+((F1314-'Hybrid Calculator'!$B$11)/30)^2+(G1314-'Hybrid Calculator'!$B$12)^2+((H1314-'Hybrid Calculator'!$E$14)/IF(A1314="Lightning",100,30000))^2+((I1314-'Hybrid Calculator'!$E$17)/IF(A1314="Lightning",100,30000))^2</x:f>
        <x:v>1.3514353649143067</x:v>
      </x:c>
      <x:c r="K1314" s="23" t="n">
        <x:f>RANK(J1314,$J$2:$J$1401,1)</x:f>
        <x:v>833</x:v>
      </x:c>
      <x:c r="L1314" s="23" t="n">
        <x:f>IF(K1314&lt;=7,1,0)</x:f>
        <x:v>0</x:v>
      </x:c>
      <x:c r="M1314" s="23" t="n">
        <x:f>IF(L1314=1,1/(J1314+0.000001),0)</x:f>
        <x:v>0</x:v>
      </x:c>
      <x:c r="N1314" s="23" t="n">
        <x:v>1.2532545195292357</x:v>
      </x:c>
      <x:c r="O1314" s="23" t="n">
        <x:f>M1314</x:f>
        <x:v>0</x:v>
      </x:c>
      <x:c r="P1314" s="23" t="n">
        <x:v>1.6593673308398138</x:v>
      </x:c>
      <x:c r="Q1314" s="23" t="n">
        <x:v>8.49036834630806</x:v>
      </x:c>
    </x:row>
    <x:row r="1315">
      <x:c r="A1315" s="23" t="str">
        <x:v>Switching</x:v>
      </x:c>
      <x:c r="B1315" s="23" t="n">
        <x:v>961.6166546824388</x:v>
      </x:c>
      <x:c r="C1315" s="23" t="n">
        <x:v>806.0304237529635</x:v>
      </x:c>
      <x:c r="D1315" s="23" t="n">
        <x:v>562.0255901478231</x:v>
      </x:c>
      <x:c r="E1315" s="23" t="n">
        <x:v>323.6674964847043</x:v>
      </x:c>
      <x:c r="F1315" s="23" t="n">
        <x:v>25.477081218268722</x:v>
      </x:c>
      <x:c r="G1315" s="23" t="n">
        <x:v>0.8021174268331379</x:v>
      </x:c>
      <x:c r="H1315" s="23" t="n">
        <x:v>14750</x:v>
      </x:c>
      <x:c r="I1315" s="23" t="n">
        <x:v>1200</x:v>
      </x:c>
      <x:c r="J1315" s="23" t="n">
        <x:f>(IF(A1315='Hybrid Calculator'!$B$6,0,1))^2+((B1315-'Hybrid Calculator'!$B$7)/1500)^2+((C1315-'Hybrid Calculator'!$B$8)/1300)^2+((D1315-'Hybrid Calculator'!$B$9)/800)^2+((E1315-'Hybrid Calculator'!$B$10)/350)^2+((F1315-'Hybrid Calculator'!$B$11)/30)^2+(G1315-'Hybrid Calculator'!$B$12)^2+((H1315-'Hybrid Calculator'!$E$14)/IF(A1315="Lightning",100,30000))^2+((I1315-'Hybrid Calculator'!$E$17)/IF(A1315="Lightning",100,30000))^2</x:f>
        <x:v>1.6448378013249005</x:v>
      </x:c>
      <x:c r="K1315" s="23" t="n">
        <x:f>RANK(J1315,$J$2:$J$1401,1)</x:f>
        <x:v>1378</x:v>
      </x:c>
      <x:c r="L1315" s="23" t="n">
        <x:f>IF(K1315&lt;=7,1,0)</x:f>
        <x:v>0</x:v>
      </x:c>
      <x:c r="M1315" s="23" t="n">
        <x:f>IF(L1315=1,1/(J1315+0.000001),0)</x:f>
        <x:v>0</x:v>
      </x:c>
      <x:c r="N1315" s="23" t="n">
        <x:v>0.13439500891769285</x:v>
      </x:c>
      <x:c r="O1315" s="23" t="n">
        <x:f>M1315</x:f>
        <x:v>0</x:v>
      </x:c>
      <x:c r="P1315" s="23" t="n">
        <x:v>4.240293572484916</x:v>
      </x:c>
      <x:c r="Q1315" s="23" t="n">
        <x:v>-3.684423009800412</x:v>
      </x:c>
    </x:row>
    <x:row r="1316">
      <x:c r="A1316" s="23" t="str">
        <x:v>Switching</x:v>
      </x:c>
      <x:c r="B1316" s="23" t="n">
        <x:v>1026.9325301982462</x:v>
      </x:c>
      <x:c r="C1316" s="23" t="n">
        <x:v>1056.0332042514347</x:v>
      </x:c>
      <x:c r="D1316" s="23" t="n">
        <x:v>579.3851086869836</x:v>
      </x:c>
      <x:c r="E1316" s="23" t="n">
        <x:v>169.04024405637756</x:v>
      </x:c>
      <x:c r="F1316" s="23" t="n">
        <x:v>9.87043428607285</x:v>
      </x:c>
      <x:c r="G1316" s="23" t="n">
        <x:v>0.8403475662251003</x:v>
      </x:c>
      <x:c r="H1316" s="23" t="n">
        <x:v>11850</x:v>
      </x:c>
      <x:c r="I1316" s="23" t="n">
        <x:v>1195</x:v>
      </x:c>
      <x:c r="J1316" s="23" t="n">
        <x:f>(IF(A1316='Hybrid Calculator'!$B$6,0,1))^2+((B1316-'Hybrid Calculator'!$B$7)/1500)^2+((C1316-'Hybrid Calculator'!$B$8)/1300)^2+((D1316-'Hybrid Calculator'!$B$9)/800)^2+((E1316-'Hybrid Calculator'!$B$10)/350)^2+((F1316-'Hybrid Calculator'!$B$11)/30)^2+(G1316-'Hybrid Calculator'!$B$12)^2+((H1316-'Hybrid Calculator'!$E$14)/IF(A1316="Lightning",100,30000))^2+((I1316-'Hybrid Calculator'!$E$17)/IF(A1316="Lightning",100,30000))^2</x:f>
        <x:v>1.3477400247535998</x:v>
      </x:c>
      <x:c r="K1316" s="23" t="n">
        <x:f>RANK(J1316,$J$2:$J$1401,1)</x:f>
        <x:v>826</x:v>
      </x:c>
      <x:c r="L1316" s="23" t="n">
        <x:f>IF(K1316&lt;=7,1,0)</x:f>
        <x:v>0</x:v>
      </x:c>
      <x:c r="M1316" s="23" t="n">
        <x:f>IF(L1316=1,1/(J1316+0.000001),0)</x:f>
        <x:v>0</x:v>
      </x:c>
      <x:c r="N1316" s="23" t="n">
        <x:v>2.077739232127385</x:v>
      </x:c>
      <x:c r="O1316" s="23" t="n">
        <x:f>M1316</x:f>
        <x:v>0</x:v>
      </x:c>
      <x:c r="P1316" s="23" t="n">
        <x:v>-13.869805758939947</x:v>
      </x:c>
      <x:c r="Q1316" s="23" t="n">
        <x:v>6.84894841156347</x:v>
      </x:c>
    </x:row>
    <x:row r="1317">
      <x:c r="A1317" s="23" t="str">
        <x:v>Switching</x:v>
      </x:c>
      <x:c r="B1317" s="23" t="n">
        <x:v>1000.6462026038207</x:v>
      </x:c>
      <x:c r="C1317" s="23" t="n">
        <x:v>1058.4637225838378</x:v>
      </x:c>
      <x:c r="D1317" s="23" t="n">
        <x:v>615.4018738307059</x:v>
      </x:c>
      <x:c r="E1317" s="23" t="n">
        <x:v>172.7907780278474</x:v>
      </x:c>
      <x:c r="F1317" s="23" t="n">
        <x:v>19.335614040959626</x:v>
      </x:c>
      <x:c r="G1317" s="23" t="n">
        <x:v>0.8159478027606384</x:v>
      </x:c>
      <x:c r="H1317" s="23" t="n">
        <x:v>11580</x:v>
      </x:c>
      <x:c r="I1317" s="23" t="n">
        <x:v>1195</x:v>
      </x:c>
      <x:c r="J1317" s="23" t="n">
        <x:f>(IF(A1317='Hybrid Calculator'!$B$6,0,1))^2+((B1317-'Hybrid Calculator'!$B$7)/1500)^2+((C1317-'Hybrid Calculator'!$B$8)/1300)^2+((D1317-'Hybrid Calculator'!$B$9)/800)^2+((E1317-'Hybrid Calculator'!$B$10)/350)^2+((F1317-'Hybrid Calculator'!$B$11)/30)^2+(G1317-'Hybrid Calculator'!$B$12)^2+((H1317-'Hybrid Calculator'!$E$14)/IF(A1317="Lightning",100,30000))^2+((I1317-'Hybrid Calculator'!$E$17)/IF(A1317="Lightning",100,30000))^2</x:f>
        <x:v>1.2808223803422594</x:v>
      </x:c>
      <x:c r="K1317" s="23" t="n">
        <x:f>RANK(J1317,$J$2:$J$1401,1)</x:f>
        <x:v>709</x:v>
      </x:c>
      <x:c r="L1317" s="23" t="n">
        <x:f>IF(K1317&lt;=7,1,0)</x:f>
        <x:v>0</x:v>
      </x:c>
      <x:c r="M1317" s="23" t="n">
        <x:f>IF(L1317=1,1/(J1317+0.000001),0)</x:f>
        <x:v>0</x:v>
      </x:c>
      <x:c r="N1317" s="23" t="n">
        <x:v>-0.728194361828713</x:v>
      </x:c>
      <x:c r="O1317" s="23" t="n">
        <x:f>M1317</x:f>
        <x:v>0</x:v>
      </x:c>
      <x:c r="P1317" s="23" t="n">
        <x:v>57.1895869463533</x:v>
      </x:c>
      <x:c r="Q1317" s="23" t="n">
        <x:v>-4.077092343120853</x:v>
      </x:c>
    </x:row>
    <x:row r="1318">
      <x:c r="A1318" s="23" t="str">
        <x:v>Switching</x:v>
      </x:c>
      <x:c r="B1318" s="23" t="n">
        <x:v>950.9286321699619</x:v>
      </x:c>
      <x:c r="C1318" s="23" t="n">
        <x:v>673.1159078306518</x:v>
      </x:c>
      <x:c r="D1318" s="23" t="n">
        <x:v>356.10830653458834</x:v>
      </x:c>
      <x:c r="E1318" s="23" t="n">
        <x:v>282.10104674333706</x:v>
      </x:c>
      <x:c r="F1318" s="23" t="n">
        <x:v>12.738575277850032</x:v>
      </x:c>
      <x:c r="G1318" s="23" t="n">
        <x:v>0.8542977323126979</x:v>
      </x:c>
      <x:c r="H1318" s="23" t="n">
        <x:v>19025</x:v>
      </x:c>
      <x:c r="I1318" s="23" t="n">
        <x:v>1200</x:v>
      </x:c>
      <x:c r="J1318" s="23" t="n">
        <x:f>(IF(A1318='Hybrid Calculator'!$B$6,0,1))^2+((B1318-'Hybrid Calculator'!$B$7)/1500)^2+((C1318-'Hybrid Calculator'!$B$8)/1300)^2+((D1318-'Hybrid Calculator'!$B$9)/800)^2+((E1318-'Hybrid Calculator'!$B$10)/350)^2+((F1318-'Hybrid Calculator'!$B$11)/30)^2+(G1318-'Hybrid Calculator'!$B$12)^2+((H1318-'Hybrid Calculator'!$E$14)/IF(A1318="Lightning",100,30000))^2+((I1318-'Hybrid Calculator'!$E$17)/IF(A1318="Lightning",100,30000))^2</x:f>
        <x:v>1.7328543861567614</x:v>
      </x:c>
      <x:c r="K1318" s="23" t="n">
        <x:f>RANK(J1318,$J$2:$J$1401,1)</x:f>
        <x:v>1396</x:v>
      </x:c>
      <x:c r="L1318" s="23" t="n">
        <x:f>IF(K1318&lt;=7,1,0)</x:f>
        <x:v>0</x:v>
      </x:c>
      <x:c r="M1318" s="23" t="n">
        <x:f>IF(L1318=1,1/(J1318+0.000001),0)</x:f>
        <x:v>0</x:v>
      </x:c>
      <x:c r="N1318" s="23" t="n">
        <x:v>-0.6867092516498303</x:v>
      </x:c>
      <x:c r="O1318" s="23" t="n">
        <x:f>M1318</x:f>
        <x:v>0</x:v>
      </x:c>
      <x:c r="P1318" s="23" t="n">
        <x:v>-31.44061813366534</x:v>
      </x:c>
      <x:c r="Q1318" s="23" t="n">
        <x:v>14.18477181774199</x:v>
      </x:c>
    </x:row>
    <x:row r="1319">
      <x:c r="A1319" s="23" t="str">
        <x:v>Switching</x:v>
      </x:c>
      <x:c r="B1319" s="23" t="n">
        <x:v>1054.719212523196</x:v>
      </x:c>
      <x:c r="C1319" s="23" t="n">
        <x:v>1174.7532638022676</x:v>
      </x:c>
      <x:c r="D1319" s="23" t="n">
        <x:v>676.0767088271677</x:v>
      </x:c>
      <x:c r="E1319" s="23" t="n">
        <x:v>160.11733158491552</x:v>
      </x:c>
      <x:c r="F1319" s="23" t="n">
        <x:v>17.712856974918395</x:v>
      </x:c>
      <x:c r="G1319" s="23" t="n">
        <x:v>0.8041580455051736</x:v>
      </x:c>
      <x:c r="H1319" s="23" t="n">
        <x:v>10635</x:v>
      </x:c>
      <x:c r="I1319" s="23" t="n">
        <x:v>1195</x:v>
      </x:c>
      <x:c r="J1319" s="23" t="n">
        <x:f>(IF(A1319='Hybrid Calculator'!$B$6,0,1))^2+((B1319-'Hybrid Calculator'!$B$7)/1500)^2+((C1319-'Hybrid Calculator'!$B$8)/1300)^2+((D1319-'Hybrid Calculator'!$B$9)/800)^2+((E1319-'Hybrid Calculator'!$B$10)/350)^2+((F1319-'Hybrid Calculator'!$B$11)/30)^2+(G1319-'Hybrid Calculator'!$B$12)^2+((H1319-'Hybrid Calculator'!$E$14)/IF(A1319="Lightning",100,30000))^2+((I1319-'Hybrid Calculator'!$E$17)/IF(A1319="Lightning",100,30000))^2</x:f>
        <x:v>1.2995715255586158</x:v>
      </x:c>
      <x:c r="K1319" s="23" t="n">
        <x:f>RANK(J1319,$J$2:$J$1401,1)</x:f>
        <x:v>728</x:v>
      </x:c>
      <x:c r="L1319" s="23" t="n">
        <x:f>IF(K1319&lt;=7,1,0)</x:f>
        <x:v>0</x:v>
      </x:c>
      <x:c r="M1319" s="23" t="n">
        <x:f>IF(L1319=1,1/(J1319+0.000001),0)</x:f>
        <x:v>0</x:v>
      </x:c>
      <x:c r="N1319" s="23" t="n">
        <x:v>1.6211336080759509</x:v>
      </x:c>
      <x:c r="O1319" s="23" t="n">
        <x:f>M1319</x:f>
        <x:v>0</x:v>
      </x:c>
      <x:c r="P1319" s="23" t="n">
        <x:v>-17.07169002244109</x:v>
      </x:c>
      <x:c r="Q1319" s="23" t="n">
        <x:v>-1.415755658348644</x:v>
      </x:c>
    </x:row>
    <x:row r="1320">
      <x:c r="A1320" s="23" t="str">
        <x:v>Switching</x:v>
      </x:c>
      <x:c r="B1320" s="23" t="n">
        <x:v>950.3147282404825</x:v>
      </x:c>
      <x:c r="C1320" s="23" t="n">
        <x:v>1069.883635325823</x:v>
      </x:c>
      <x:c r="D1320" s="23" t="n">
        <x:v>695.5599371343851</x:v>
      </x:c>
      <x:c r="E1320" s="23" t="n">
        <x:v>110.49112594453618</x:v>
      </x:c>
      <x:c r="F1320" s="23" t="n">
        <x:v>12.43782436195761</x:v>
      </x:c>
      <x:c r="G1320" s="23" t="n">
        <x:v>0.7925123092043214</x:v>
      </x:c>
      <x:c r="H1320" s="23" t="n">
        <x:v>13300</x:v>
      </x:c>
      <x:c r="I1320" s="23" t="n">
        <x:v>1200</x:v>
      </x:c>
      <x:c r="J1320" s="23" t="n">
        <x:f>(IF(A1320='Hybrid Calculator'!$B$6,0,1))^2+((B1320-'Hybrid Calculator'!$B$7)/1500)^2+((C1320-'Hybrid Calculator'!$B$8)/1300)^2+((D1320-'Hybrid Calculator'!$B$9)/800)^2+((E1320-'Hybrid Calculator'!$B$10)/350)^2+((F1320-'Hybrid Calculator'!$B$11)/30)^2+(G1320-'Hybrid Calculator'!$B$12)^2+((H1320-'Hybrid Calculator'!$E$14)/IF(A1320="Lightning",100,30000))^2+((I1320-'Hybrid Calculator'!$E$17)/IF(A1320="Lightning",100,30000))^2</x:f>
        <x:v>1.4394442731805264</x:v>
      </x:c>
      <x:c r="K1320" s="23" t="n">
        <x:f>RANK(J1320,$J$2:$J$1401,1)</x:f>
        <x:v>1084</x:v>
      </x:c>
      <x:c r="L1320" s="23" t="n">
        <x:f>IF(K1320&lt;=7,1,0)</x:f>
        <x:v>0</x:v>
      </x:c>
      <x:c r="M1320" s="23" t="n">
        <x:f>IF(L1320=1,1/(J1320+0.000001),0)</x:f>
        <x:v>0</x:v>
      </x:c>
      <x:c r="N1320" s="23" t="n">
        <x:v>1.2828098817612954</x:v>
      </x:c>
      <x:c r="O1320" s="23" t="n">
        <x:f>M1320</x:f>
        <x:v>0</x:v>
      </x:c>
      <x:c r="P1320" s="23" t="n">
        <x:v>-7.59110785085295</x:v>
      </x:c>
      <x:c r="Q1320" s="23" t="n">
        <x:v>-0.3025246174215681</x:v>
      </x:c>
    </x:row>
    <x:row r="1321">
      <x:c r="A1321" s="23" t="str">
        <x:v>Switching</x:v>
      </x:c>
      <x:c r="B1321" s="23" t="n">
        <x:v>985.9733313671313</x:v>
      </x:c>
      <x:c r="C1321" s="23" t="n">
        <x:v>794.1509708296508</x:v>
      </x:c>
      <x:c r="D1321" s="23" t="n">
        <x:v>564.255019556731</x:v>
      </x:c>
      <x:c r="E1321" s="23" t="n">
        <x:v>161.78428548853844</x:v>
      </x:c>
      <x:c r="F1321" s="23" t="n">
        <x:v>12.120142634492368</x:v>
      </x:c>
      <x:c r="G1321" s="23" t="n">
        <x:v>0.8014932803064585</x:v>
      </x:c>
      <x:c r="H1321" s="23" t="n">
        <x:v>14070</x:v>
      </x:c>
      <x:c r="I1321" s="23" t="n">
        <x:v>1200</x:v>
      </x:c>
      <x:c r="J1321" s="23" t="n">
        <x:f>(IF(A1321='Hybrid Calculator'!$B$6,0,1))^2+((B1321-'Hybrid Calculator'!$B$7)/1500)^2+((C1321-'Hybrid Calculator'!$B$8)/1300)^2+((D1321-'Hybrid Calculator'!$B$9)/800)^2+((E1321-'Hybrid Calculator'!$B$10)/350)^2+((F1321-'Hybrid Calculator'!$B$11)/30)^2+(G1321-'Hybrid Calculator'!$B$12)^2+((H1321-'Hybrid Calculator'!$E$14)/IF(A1321="Lightning",100,30000))^2+((I1321-'Hybrid Calculator'!$E$17)/IF(A1321="Lightning",100,30000))^2</x:f>
        <x:v>1.3605966073544071</x:v>
      </x:c>
      <x:c r="K1321" s="23" t="n">
        <x:f>RANK(J1321,$J$2:$J$1401,1)</x:f>
        <x:v>857</x:v>
      </x:c>
      <x:c r="L1321" s="23" t="n">
        <x:f>IF(K1321&lt;=7,1,0)</x:f>
        <x:v>0</x:v>
      </x:c>
      <x:c r="M1321" s="23" t="n">
        <x:f>IF(L1321=1,1/(J1321+0.000001),0)</x:f>
        <x:v>0</x:v>
      </x:c>
      <x:c r="N1321" s="23" t="n">
        <x:v>-1.31505095431163</x:v>
      </x:c>
      <x:c r="O1321" s="23" t="n">
        <x:f>M1321</x:f>
        <x:v>0</x:v>
      </x:c>
      <x:c r="P1321" s="23" t="n">
        <x:v>-7.655206491782337</x:v>
      </x:c>
      <x:c r="Q1321" s="23" t="n">
        <x:v>11.65522286650264</x:v>
      </x:c>
    </x:row>
    <x:row r="1322">
      <x:c r="A1322" s="23" t="str">
        <x:v>Switching</x:v>
      </x:c>
      <x:c r="B1322" s="23" t="n">
        <x:v>979.8893890809268</x:v>
      </x:c>
      <x:c r="C1322" s="23" t="n">
        <x:v>1123.3372107963078</x:v>
      </x:c>
      <x:c r="D1322" s="23" t="n">
        <x:v>426.45840402692556</x:v>
      </x:c>
      <x:c r="E1322" s="23" t="n">
        <x:v>217.118817132432</x:v>
      </x:c>
      <x:c r="F1322" s="23" t="n">
        <x:v>8.713183205574751</x:v>
      </x:c>
      <x:c r="G1322" s="23" t="n">
        <x:v>0.8487642195471563</x:v>
      </x:c>
      <x:c r="H1322" s="23" t="n">
        <x:v>14120</x:v>
      </x:c>
      <x:c r="I1322" s="23" t="n">
        <x:v>1200</x:v>
      </x:c>
      <x:c r="J1322" s="23" t="n">
        <x:f>(IF(A1322='Hybrid Calculator'!$B$6,0,1))^2+((B1322-'Hybrid Calculator'!$B$7)/1500)^2+((C1322-'Hybrid Calculator'!$B$8)/1300)^2+((D1322-'Hybrid Calculator'!$B$9)/800)^2+((E1322-'Hybrid Calculator'!$B$10)/350)^2+((F1322-'Hybrid Calculator'!$B$11)/30)^2+(G1322-'Hybrid Calculator'!$B$12)^2+((H1322-'Hybrid Calculator'!$E$14)/IF(A1322="Lightning",100,30000))^2+((I1322-'Hybrid Calculator'!$E$17)/IF(A1322="Lightning",100,30000))^2</x:f>
        <x:v>1.506236050026394</x:v>
      </x:c>
      <x:c r="K1322" s="23" t="n">
        <x:f>RANK(J1322,$J$2:$J$1401,1)</x:f>
        <x:v>1221</x:v>
      </x:c>
      <x:c r="L1322" s="23" t="n">
        <x:f>IF(K1322&lt;=7,1,0)</x:f>
        <x:v>0</x:v>
      </x:c>
      <x:c r="M1322" s="23" t="n">
        <x:f>IF(L1322=1,1/(J1322+0.000001),0)</x:f>
        <x:v>0</x:v>
      </x:c>
      <x:c r="N1322" s="23" t="n">
        <x:v>1.8701918874796775</x:v>
      </x:c>
      <x:c r="O1322" s="23" t="n">
        <x:f>M1322</x:f>
        <x:v>0</x:v>
      </x:c>
      <x:c r="P1322" s="23" t="n">
        <x:v>-5.179660986148519</x:v>
      </x:c>
      <x:c r="Q1322" s="23" t="n">
        <x:v>-2.4100740828752123</x:v>
      </x:c>
    </x:row>
    <x:row r="1323">
      <x:c r="A1323" s="23" t="str">
        <x:v>Switching</x:v>
      </x:c>
      <x:c r="B1323" s="23" t="n">
        <x:v>965.2947597322054</x:v>
      </x:c>
      <x:c r="C1323" s="23" t="n">
        <x:v>1013.1982623366639</x:v>
      </x:c>
      <x:c r="D1323" s="23" t="n">
        <x:v>559.883149433881</x:v>
      </x:c>
      <x:c r="E1323" s="23" t="n">
        <x:v>232.33663748949766</x:v>
      </x:c>
      <x:c r="F1323" s="23" t="n">
        <x:v>25.64700953895226</x:v>
      </x:c>
      <x:c r="G1323" s="23" t="n">
        <x:v>0.8591928360937163</x:v>
      </x:c>
      <x:c r="H1323" s="23" t="n">
        <x:v>13820</x:v>
      </x:c>
      <x:c r="I1323" s="23" t="n">
        <x:v>1200</x:v>
      </x:c>
      <x:c r="J1323" s="23" t="n">
        <x:f>(IF(A1323='Hybrid Calculator'!$B$6,0,1))^2+((B1323-'Hybrid Calculator'!$B$7)/1500)^2+((C1323-'Hybrid Calculator'!$B$8)/1300)^2+((D1323-'Hybrid Calculator'!$B$9)/800)^2+((E1323-'Hybrid Calculator'!$B$10)/350)^2+((F1323-'Hybrid Calculator'!$B$11)/30)^2+(G1323-'Hybrid Calculator'!$B$12)^2+((H1323-'Hybrid Calculator'!$E$14)/IF(A1323="Lightning",100,30000))^2+((I1323-'Hybrid Calculator'!$E$17)/IF(A1323="Lightning",100,30000))^2</x:f>
        <x:v>1.4411344224902316</x:v>
      </x:c>
      <x:c r="K1323" s="23" t="n">
        <x:f>RANK(J1323,$J$2:$J$1401,1)</x:f>
        <x:v>1086</x:v>
      </x:c>
      <x:c r="L1323" s="23" t="n">
        <x:f>IF(K1323&lt;=7,1,0)</x:f>
        <x:v>0</x:v>
      </x:c>
      <x:c r="M1323" s="23" t="n">
        <x:f>IF(L1323=1,1/(J1323+0.000001),0)</x:f>
        <x:v>0</x:v>
      </x:c>
      <x:c r="N1323" s="23" t="n">
        <x:v>1.1848780329986255</x:v>
      </x:c>
      <x:c r="O1323" s="23" t="n">
        <x:f>M1323</x:f>
        <x:v>0</x:v>
      </x:c>
      <x:c r="P1323" s="23" t="n">
        <x:v>50.35461773232328</x:v>
      </x:c>
      <x:c r="Q1323" s="23" t="n">
        <x:v>-13.528980928874944</x:v>
      </x:c>
    </x:row>
    <x:row r="1324">
      <x:c r="A1324" s="23" t="str">
        <x:v>Switching</x:v>
      </x:c>
      <x:c r="B1324" s="23" t="n">
        <x:v>960.4867194080725</x:v>
      </x:c>
      <x:c r="C1324" s="23" t="n">
        <x:v>998.8093107123859</x:v>
      </x:c>
      <x:c r="D1324" s="23" t="n">
        <x:v>424.68167170882225</x:v>
      </x:c>
      <x:c r="E1324" s="23" t="n">
        <x:v>82.5176978087984</x:v>
      </x:c>
      <x:c r="F1324" s="23" t="n">
        <x:v>15.036672136746347</x:v>
      </x:c>
      <x:c r="G1324" s="23" t="n">
        <x:v>0.8214424508227967</x:v>
      </x:c>
      <x:c r="H1324" s="23" t="n">
        <x:v>16565</x:v>
      </x:c>
      <x:c r="I1324" s="23" t="n">
        <x:v>1200</x:v>
      </x:c>
      <x:c r="J1324" s="23" t="n">
        <x:f>(IF(A1324='Hybrid Calculator'!$B$6,0,1))^2+((B1324-'Hybrid Calculator'!$B$7)/1500)^2+((C1324-'Hybrid Calculator'!$B$8)/1300)^2+((D1324-'Hybrid Calculator'!$B$9)/800)^2+((E1324-'Hybrid Calculator'!$B$10)/350)^2+((F1324-'Hybrid Calculator'!$B$11)/30)^2+(G1324-'Hybrid Calculator'!$B$12)^2+((H1324-'Hybrid Calculator'!$E$14)/IF(A1324="Lightning",100,30000))^2+((I1324-'Hybrid Calculator'!$E$17)/IF(A1324="Lightning",100,30000))^2</x:f>
        <x:v>1.4729539528588464</x:v>
      </x:c>
      <x:c r="K1324" s="23" t="n">
        <x:f>RANK(J1324,$J$2:$J$1401,1)</x:f>
        <x:v>1165</x:v>
      </x:c>
      <x:c r="L1324" s="23" t="n">
        <x:f>IF(K1324&lt;=7,1,0)</x:f>
        <x:v>0</x:v>
      </x:c>
      <x:c r="M1324" s="23" t="n">
        <x:f>IF(L1324=1,1/(J1324+0.000001),0)</x:f>
        <x:v>0</x:v>
      </x:c>
      <x:c r="N1324" s="23" t="n">
        <x:v>-2.4470840834983676</x:v>
      </x:c>
      <x:c r="O1324" s="23" t="n">
        <x:f>M1324</x:f>
        <x:v>0</x:v>
      </x:c>
      <x:c r="P1324" s="23" t="n">
        <x:v>-20.109958948462463</x:v>
      </x:c>
      <x:c r="Q1324" s="23" t="n">
        <x:v>7.698172341048121</x:v>
      </x:c>
    </x:row>
    <x:row r="1325">
      <x:c r="A1325" s="23" t="str">
        <x:v>Switching</x:v>
      </x:c>
      <x:c r="B1325" s="23" t="n">
        <x:v>1004.0015121805482</x:v>
      </x:c>
      <x:c r="C1325" s="23" t="n">
        <x:v>610.714265704155</x:v>
      </x:c>
      <x:c r="D1325" s="23" t="n">
        <x:v>514.0402405522764</x:v>
      </x:c>
      <x:c r="E1325" s="23" t="n">
        <x:v>314.89529185462743</x:v>
      </x:c>
      <x:c r="F1325" s="23" t="n">
        <x:v>20.732835890259594</x:v>
      </x:c>
      <x:c r="G1325" s="23" t="n">
        <x:v>0.8245345946680754</x:v>
      </x:c>
      <x:c r="H1325" s="23" t="n">
        <x:v>14855</x:v>
      </x:c>
      <x:c r="I1325" s="23" t="n">
        <x:v>1200</x:v>
      </x:c>
      <x:c r="J1325" s="23" t="n">
        <x:f>(IF(A1325='Hybrid Calculator'!$B$6,0,1))^2+((B1325-'Hybrid Calculator'!$B$7)/1500)^2+((C1325-'Hybrid Calculator'!$B$8)/1300)^2+((D1325-'Hybrid Calculator'!$B$9)/800)^2+((E1325-'Hybrid Calculator'!$B$10)/350)^2+((F1325-'Hybrid Calculator'!$B$11)/30)^2+(G1325-'Hybrid Calculator'!$B$12)^2+((H1325-'Hybrid Calculator'!$E$14)/IF(A1325="Lightning",100,30000))^2+((I1325-'Hybrid Calculator'!$E$17)/IF(A1325="Lightning",100,30000))^2</x:f>
        <x:v>1.5855607623474963</x:v>
      </x:c>
      <x:c r="K1325" s="23" t="n">
        <x:f>RANK(J1325,$J$2:$J$1401,1)</x:f>
        <x:v>1339</x:v>
      </x:c>
      <x:c r="L1325" s="23" t="n">
        <x:f>IF(K1325&lt;=7,1,0)</x:f>
        <x:v>0</x:v>
      </x:c>
      <x:c r="M1325" s="23" t="n">
        <x:f>IF(L1325=1,1/(J1325+0.000001),0)</x:f>
        <x:v>0</x:v>
      </x:c>
      <x:c r="N1325" s="23" t="n">
        <x:v>1.056853414103756</x:v>
      </x:c>
      <x:c r="O1325" s="23" t="n">
        <x:f>M1325</x:f>
        <x:v>0</x:v>
      </x:c>
      <x:c r="P1325" s="23" t="n">
        <x:v>-65.15692750502376</x:v>
      </x:c>
      <x:c r="Q1325" s="23" t="n">
        <x:v>7.303745780362647</x:v>
      </x:c>
    </x:row>
    <x:row r="1326">
      <x:c r="A1326" s="23" t="str">
        <x:v>Switching</x:v>
      </x:c>
      <x:c r="B1326" s="23" t="n">
        <x:v>955.9189080260694</x:v>
      </x:c>
      <x:c r="C1326" s="23" t="n">
        <x:v>841.7665860964917</x:v>
      </x:c>
      <x:c r="D1326" s="23" t="n">
        <x:v>737.794735468924</x:v>
      </x:c>
      <x:c r="E1326" s="23" t="n">
        <x:v>159.05224995920435</x:v>
      </x:c>
      <x:c r="F1326" s="23" t="n">
        <x:v>8.473469728603959</x:v>
      </x:c>
      <x:c r="G1326" s="23" t="n">
        <x:v>0.7944338633422741</x:v>
      </x:c>
      <x:c r="H1326" s="23" t="n">
        <x:v>12300</x:v>
      </x:c>
      <x:c r="I1326" s="23" t="n">
        <x:v>1200</x:v>
      </x:c>
      <x:c r="J1326" s="23" t="n">
        <x:f>(IF(A1326='Hybrid Calculator'!$B$6,0,1))^2+((B1326-'Hybrid Calculator'!$B$7)/1500)^2+((C1326-'Hybrid Calculator'!$B$8)/1300)^2+((D1326-'Hybrid Calculator'!$B$9)/800)^2+((E1326-'Hybrid Calculator'!$B$10)/350)^2+((F1326-'Hybrid Calculator'!$B$11)/30)^2+(G1326-'Hybrid Calculator'!$B$12)^2+((H1326-'Hybrid Calculator'!$E$14)/IF(A1326="Lightning",100,30000))^2+((I1326-'Hybrid Calculator'!$E$17)/IF(A1326="Lightning",100,30000))^2</x:f>
        <x:v>1.4674821612574238</x:v>
      </x:c>
      <x:c r="K1326" s="23" t="n">
        <x:f>RANK(J1326,$J$2:$J$1401,1)</x:f>
        <x:v>1151</x:v>
      </x:c>
      <x:c r="L1326" s="23" t="n">
        <x:f>IF(K1326&lt;=7,1,0)</x:f>
        <x:v>0</x:v>
      </x:c>
      <x:c r="M1326" s="23" t="n">
        <x:f>IF(L1326=1,1/(J1326+0.000001),0)</x:f>
        <x:v>0</x:v>
      </x:c>
      <x:c r="N1326" s="23" t="n">
        <x:v>3.758652123438452</x:v>
      </x:c>
      <x:c r="O1326" s="23" t="n">
        <x:f>M1326</x:f>
        <x:v>0</x:v>
      </x:c>
      <x:c r="P1326" s="23" t="n">
        <x:v>30.59985284246659</x:v>
      </x:c>
      <x:c r="Q1326" s="23" t="n">
        <x:v>7.060141421169305</x:v>
      </x:c>
    </x:row>
    <x:row r="1327">
      <x:c r="A1327" s="23" t="str">
        <x:v>Switching</x:v>
      </x:c>
      <x:c r="B1327" s="23" t="n">
        <x:v>983.217928709928</x:v>
      </x:c>
      <x:c r="C1327" s="23" t="n">
        <x:v>635.516384546645</x:v>
      </x:c>
      <x:c r="D1327" s="23" t="n">
        <x:v>696.7271917499602</x:v>
      </x:c>
      <x:c r="E1327" s="23" t="n">
        <x:v>188.29674475826323</x:v>
      </x:c>
      <x:c r="F1327" s="23" t="n">
        <x:v>25.43154523568228</x:v>
      </x:c>
      <x:c r="G1327" s="23" t="n">
        <x:v>0.853722016424872</x:v>
      </x:c>
      <x:c r="H1327" s="23" t="n">
        <x:v>16410</x:v>
      </x:c>
      <x:c r="I1327" s="23" t="n">
        <x:v>1200</x:v>
      </x:c>
      <x:c r="J1327" s="23" t="n">
        <x:f>(IF(A1327='Hybrid Calculator'!$B$6,0,1))^2+((B1327-'Hybrid Calculator'!$B$7)/1500)^2+((C1327-'Hybrid Calculator'!$B$8)/1300)^2+((D1327-'Hybrid Calculator'!$B$9)/800)^2+((E1327-'Hybrid Calculator'!$B$10)/350)^2+((F1327-'Hybrid Calculator'!$B$11)/30)^2+(G1327-'Hybrid Calculator'!$B$12)^2+((H1327-'Hybrid Calculator'!$E$14)/IF(A1327="Lightning",100,30000))^2+((I1327-'Hybrid Calculator'!$E$17)/IF(A1327="Lightning",100,30000))^2</x:f>
        <x:v>1.5398519387028724</x:v>
      </x:c>
      <x:c r="K1327" s="23" t="n">
        <x:f>RANK(J1327,$J$2:$J$1401,1)</x:f>
        <x:v>1282</x:v>
      </x:c>
      <x:c r="L1327" s="23" t="n">
        <x:f>IF(K1327&lt;=7,1,0)</x:f>
        <x:v>0</x:v>
      </x:c>
      <x:c r="M1327" s="23" t="n">
        <x:f>IF(L1327=1,1/(J1327+0.000001),0)</x:f>
        <x:v>0</x:v>
      </x:c>
      <x:c r="N1327" s="23" t="n">
        <x:v>-1.6858975419997648</x:v>
      </x:c>
      <x:c r="O1327" s="23" t="n">
        <x:f>M1327</x:f>
        <x:v>0</x:v>
      </x:c>
      <x:c r="P1327" s="23" t="n">
        <x:v>-32.89824059084913</x:v>
      </x:c>
      <x:c r="Q1327" s="23" t="n">
        <x:v>-0.1989034825583076</x:v>
      </x:c>
    </x:row>
    <x:row r="1328">
      <x:c r="A1328" s="23" t="str">
        <x:v>Switching</x:v>
      </x:c>
      <x:c r="B1328" s="23" t="n">
        <x:v>966.1268435185775</x:v>
      </x:c>
      <x:c r="C1328" s="23" t="n">
        <x:v>685.0111433886923</x:v>
      </x:c>
      <x:c r="D1328" s="23" t="n">
        <x:v>520.3958433121443</x:v>
      </x:c>
      <x:c r="E1328" s="23" t="n">
        <x:v>227.19771005911753</x:v>
      </x:c>
      <x:c r="F1328" s="23" t="n">
        <x:v>14.80707683134824</x:v>
      </x:c>
      <x:c r="G1328" s="23" t="n">
        <x:v>0.8051333487848752</x:v>
      </x:c>
      <x:c r="H1328" s="23" t="n">
        <x:v>17415</x:v>
      </x:c>
      <x:c r="I1328" s="23" t="n">
        <x:v>1200</x:v>
      </x:c>
      <x:c r="J1328" s="23" t="n">
        <x:f>(IF(A1328='Hybrid Calculator'!$B$6,0,1))^2+((B1328-'Hybrid Calculator'!$B$7)/1500)^2+((C1328-'Hybrid Calculator'!$B$8)/1300)^2+((D1328-'Hybrid Calculator'!$B$9)/800)^2+((E1328-'Hybrid Calculator'!$B$10)/350)^2+((F1328-'Hybrid Calculator'!$B$11)/30)^2+(G1328-'Hybrid Calculator'!$B$12)^2+((H1328-'Hybrid Calculator'!$E$14)/IF(A1328="Lightning",100,30000))^2+((I1328-'Hybrid Calculator'!$E$17)/IF(A1328="Lightning",100,30000))^2</x:f>
        <x:v>1.510946452870353</x:v>
      </x:c>
      <x:c r="K1328" s="23" t="n">
        <x:f>RANK(J1328,$J$2:$J$1401,1)</x:f>
        <x:v>1228</x:v>
      </x:c>
      <x:c r="L1328" s="23" t="n">
        <x:f>IF(K1328&lt;=7,1,0)</x:f>
        <x:v>0</x:v>
      </x:c>
      <x:c r="M1328" s="23" t="n">
        <x:f>IF(L1328=1,1/(J1328+0.000001),0)</x:f>
        <x:v>0</x:v>
      </x:c>
      <x:c r="N1328" s="23" t="n">
        <x:v>-2.6206850927625567</x:v>
      </x:c>
      <x:c r="O1328" s="23" t="n">
        <x:f>M1328</x:f>
        <x:v>0</x:v>
      </x:c>
      <x:c r="P1328" s="23" t="n">
        <x:v>-39.92445478857462</x:v>
      </x:c>
      <x:c r="Q1328" s="23" t="n">
        <x:v>12.299950308212374</x:v>
      </x:c>
    </x:row>
    <x:row r="1329">
      <x:c r="A1329" s="23" t="str">
        <x:v>Switching</x:v>
      </x:c>
      <x:c r="B1329" s="23" t="n">
        <x:v>1090.9282598062418</x:v>
      </x:c>
      <x:c r="C1329" s="23" t="n">
        <x:v>1020.6114493776113</x:v>
      </x:c>
      <x:c r="D1329" s="23" t="n">
        <x:v>458.4427389316261</x:v>
      </x:c>
      <x:c r="E1329" s="23" t="n">
        <x:v>170.27959627564996</x:v>
      </x:c>
      <x:c r="F1329" s="23" t="n">
        <x:v>25.95267931325361</x:v>
      </x:c>
      <x:c r="G1329" s="23" t="n">
        <x:v>0.7923144191317261</x:v>
      </x:c>
      <x:c r="H1329" s="23" t="n">
        <x:v>12965</x:v>
      </x:c>
      <x:c r="I1329" s="23" t="n">
        <x:v>1200</x:v>
      </x:c>
      <x:c r="J1329" s="23" t="n">
        <x:f>(IF(A1329='Hybrid Calculator'!$B$6,0,1))^2+((B1329-'Hybrid Calculator'!$B$7)/1500)^2+((C1329-'Hybrid Calculator'!$B$8)/1300)^2+((D1329-'Hybrid Calculator'!$B$9)/800)^2+((E1329-'Hybrid Calculator'!$B$10)/350)^2+((F1329-'Hybrid Calculator'!$B$11)/30)^2+(G1329-'Hybrid Calculator'!$B$12)^2+((H1329-'Hybrid Calculator'!$E$14)/IF(A1329="Lightning",100,30000))^2+((I1329-'Hybrid Calculator'!$E$17)/IF(A1329="Lightning",100,30000))^2</x:f>
        <x:v>1.3222258389437842</x:v>
      </x:c>
      <x:c r="K1329" s="23" t="n">
        <x:f>RANK(J1329,$J$2:$J$1401,1)</x:f>
        <x:v>764</x:v>
      </x:c>
      <x:c r="L1329" s="23" t="n">
        <x:f>IF(K1329&lt;=7,1,0)</x:f>
        <x:v>0</x:v>
      </x:c>
      <x:c r="M1329" s="23" t="n">
        <x:f>IF(L1329=1,1/(J1329+0.000001),0)</x:f>
        <x:v>0</x:v>
      </x:c>
      <x:c r="N1329" s="23" t="n">
        <x:v>-0.2620175328242169</x:v>
      </x:c>
      <x:c r="O1329" s="23" t="n">
        <x:f>M1329</x:f>
        <x:v>0</x:v>
      </x:c>
      <x:c r="P1329" s="23" t="n">
        <x:v>-8.979518317039037</x:v>
      </x:c>
      <x:c r="Q1329" s="23" t="n">
        <x:v>-3.662760628498063</x:v>
      </x:c>
    </x:row>
    <x:row r="1330">
      <x:c r="A1330" s="23" t="str">
        <x:v>Switching</x:v>
      </x:c>
      <x:c r="B1330" s="23" t="n">
        <x:v>961.693492392078</x:v>
      </x:c>
      <x:c r="C1330" s="23" t="n">
        <x:v>1231.9478517281823</x:v>
      </x:c>
      <x:c r="D1330" s="23" t="n">
        <x:v>412.36432921141386</x:v>
      </x:c>
      <x:c r="E1330" s="23" t="n">
        <x:v>254.69238612102345</x:v>
      </x:c>
      <x:c r="F1330" s="23" t="n">
        <x:v>21.466207899153233</x:v>
      </x:c>
      <x:c r="G1330" s="23" t="n">
        <x:v>0.8310353791178204</x:v>
      </x:c>
      <x:c r="H1330" s="23" t="n">
        <x:v>13140</x:v>
      </x:c>
      <x:c r="I1330" s="23" t="n">
        <x:v>1200</x:v>
      </x:c>
      <x:c r="J1330" s="23" t="n">
        <x:f>(IF(A1330='Hybrid Calculator'!$B$6,0,1))^2+((B1330-'Hybrid Calculator'!$B$7)/1500)^2+((C1330-'Hybrid Calculator'!$B$8)/1300)^2+((D1330-'Hybrid Calculator'!$B$9)/800)^2+((E1330-'Hybrid Calculator'!$B$10)/350)^2+((F1330-'Hybrid Calculator'!$B$11)/30)^2+(G1330-'Hybrid Calculator'!$B$12)^2+((H1330-'Hybrid Calculator'!$E$14)/IF(A1330="Lightning",100,30000))^2+((I1330-'Hybrid Calculator'!$E$17)/IF(A1330="Lightning",100,30000))^2</x:f>
        <x:v>1.4850153112996667</x:v>
      </x:c>
      <x:c r="K1330" s="23" t="n">
        <x:f>RANK(J1330,$J$2:$J$1401,1)</x:f>
        <x:v>1185</x:v>
      </x:c>
      <x:c r="L1330" s="23" t="n">
        <x:f>IF(K1330&lt;=7,1,0)</x:f>
        <x:v>0</x:v>
      </x:c>
      <x:c r="M1330" s="23" t="n">
        <x:f>IF(L1330=1,1/(J1330+0.000001),0)</x:f>
        <x:v>0</x:v>
      </x:c>
      <x:c r="N1330" s="23" t="n">
        <x:v>1.4076071351042287</x:v>
      </x:c>
      <x:c r="O1330" s="23" t="n">
        <x:f>M1330</x:f>
        <x:v>0</x:v>
      </x:c>
      <x:c r="P1330" s="23" t="n">
        <x:v>34.51358308238014</x:v>
      </x:c>
      <x:c r="Q1330" s="23" t="n">
        <x:v>-4.733536125467253</x:v>
      </x:c>
    </x:row>
    <x:row r="1331">
      <x:c r="A1331" s="23" t="str">
        <x:v>Switching</x:v>
      </x:c>
      <x:c r="B1331" s="23" t="n">
        <x:v>980.6084680487402</x:v>
      </x:c>
      <x:c r="C1331" s="23" t="n">
        <x:v>797.9857757454738</x:v>
      </x:c>
      <x:c r="D1331" s="23" t="n">
        <x:v>643.4257951565087</x:v>
      </x:c>
      <x:c r="E1331" s="23" t="n">
        <x:v>246.3187979720533</x:v>
      </x:c>
      <x:c r="F1331" s="23" t="n">
        <x:v>17.346605418715626</x:v>
      </x:c>
      <x:c r="G1331" s="23" t="n">
        <x:v>0.8268393550952897</x:v>
      </x:c>
      <x:c r="H1331" s="23" t="n">
        <x:v>14785</x:v>
      </x:c>
      <x:c r="I1331" s="23" t="n">
        <x:v>1200</x:v>
      </x:c>
      <x:c r="J1331" s="23" t="n">
        <x:f>(IF(A1331='Hybrid Calculator'!$B$6,0,1))^2+((B1331-'Hybrid Calculator'!$B$7)/1500)^2+((C1331-'Hybrid Calculator'!$B$8)/1300)^2+((D1331-'Hybrid Calculator'!$B$9)/800)^2+((E1331-'Hybrid Calculator'!$B$10)/350)^2+((F1331-'Hybrid Calculator'!$B$11)/30)^2+(G1331-'Hybrid Calculator'!$B$12)^2+((H1331-'Hybrid Calculator'!$E$14)/IF(A1331="Lightning",100,30000))^2+((I1331-'Hybrid Calculator'!$E$17)/IF(A1331="Lightning",100,30000))^2</x:f>
        <x:v>1.4415503722212322</x:v>
      </x:c>
      <x:c r="K1331" s="23" t="n">
        <x:f>RANK(J1331,$J$2:$J$1401,1)</x:f>
        <x:v>1087</x:v>
      </x:c>
      <x:c r="L1331" s="23" t="n">
        <x:f>IF(K1331&lt;=7,1,0)</x:f>
        <x:v>0</x:v>
      </x:c>
      <x:c r="M1331" s="23" t="n">
        <x:f>IF(L1331=1,1/(J1331+0.000001),0)</x:f>
        <x:v>0</x:v>
      </x:c>
      <x:c r="N1331" s="23" t="n">
        <x:v>1.622571331827885</x:v>
      </x:c>
      <x:c r="O1331" s="23" t="n">
        <x:f>M1331</x:f>
        <x:v>0</x:v>
      </x:c>
      <x:c r="P1331" s="23" t="n">
        <x:v>3.539775463708338</x:v>
      </x:c>
      <x:c r="Q1331" s="23" t="n">
        <x:v>6.464178939843123</x:v>
      </x:c>
    </x:row>
    <x:row r="1332">
      <x:c r="A1332" s="23" t="str">
        <x:v>Switching</x:v>
      </x:c>
      <x:c r="B1332" s="23" t="n">
        <x:v>1015.8536260481924</x:v>
      </x:c>
      <x:c r="C1332" s="23" t="n">
        <x:v>1216.668274521362</x:v>
      </x:c>
      <x:c r="D1332" s="23" t="n">
        <x:v>388.82575538009405</x:v>
      </x:c>
      <x:c r="E1332" s="23" t="n">
        <x:v>164.31327511789277</x:v>
      </x:c>
      <x:c r="F1332" s="23" t="n">
        <x:v>17.968869123607874</x:v>
      </x:c>
      <x:c r="G1332" s="23" t="n">
        <x:v>0.799772855269257</x:v>
      </x:c>
      <x:c r="H1332" s="23" t="n">
        <x:v>12085</x:v>
      </x:c>
      <x:c r="I1332" s="23" t="n">
        <x:v>1200</x:v>
      </x:c>
      <x:c r="J1332" s="23" t="n">
        <x:f>(IF(A1332='Hybrid Calculator'!$B$6,0,1))^2+((B1332-'Hybrid Calculator'!$B$7)/1500)^2+((C1332-'Hybrid Calculator'!$B$8)/1300)^2+((D1332-'Hybrid Calculator'!$B$9)/800)^2+((E1332-'Hybrid Calculator'!$B$10)/350)^2+((F1332-'Hybrid Calculator'!$B$11)/30)^2+(G1332-'Hybrid Calculator'!$B$12)^2+((H1332-'Hybrid Calculator'!$E$14)/IF(A1332="Lightning",100,30000))^2+((I1332-'Hybrid Calculator'!$E$17)/IF(A1332="Lightning",100,30000))^2</x:f>
        <x:v>1.3381297210895178</x:v>
      </x:c>
      <x:c r="K1332" s="23" t="n">
        <x:f>RANK(J1332,$J$2:$J$1401,1)</x:f>
        <x:v>795</x:v>
      </x:c>
      <x:c r="L1332" s="23" t="n">
        <x:f>IF(K1332&lt;=7,1,0)</x:f>
        <x:v>0</x:v>
      </x:c>
      <x:c r="M1332" s="23" t="n">
        <x:f>IF(L1332=1,1/(J1332+0.000001),0)</x:f>
        <x:v>0</x:v>
      </x:c>
      <x:c r="N1332" s="23" t="n">
        <x:v>-0.2957455994036877</x:v>
      </x:c>
      <x:c r="O1332" s="23" t="n">
        <x:f>M1332</x:f>
        <x:v>0</x:v>
      </x:c>
      <x:c r="P1332" s="23" t="n">
        <x:v>67.78562402133366</x:v>
      </x:c>
      <x:c r="Q1332" s="23" t="n">
        <x:v>-4.89567296516384</x:v>
      </x:c>
    </x:row>
    <x:row r="1333">
      <x:c r="A1333" s="23" t="str">
        <x:v>Switching</x:v>
      </x:c>
      <x:c r="B1333" s="23" t="n">
        <x:v>1079.5989526552148</x:v>
      </x:c>
      <x:c r="C1333" s="23" t="n">
        <x:v>739.007341931574</x:v>
      </x:c>
      <x:c r="D1333" s="23" t="n">
        <x:v>472.6294373162091</x:v>
      </x:c>
      <x:c r="E1333" s="23" t="n">
        <x:v>241.6099700331688</x:v>
      </x:c>
      <x:c r="F1333" s="23" t="n">
        <x:v>20.70600790763274</x:v>
      </x:c>
      <x:c r="G1333" s="23" t="n">
        <x:v>0.8377461975021289</x:v>
      </x:c>
      <x:c r="H1333" s="23" t="n">
        <x:v>14715</x:v>
      </x:c>
      <x:c r="I1333" s="23" t="n">
        <x:v>1200</x:v>
      </x:c>
      <x:c r="J1333" s="23" t="n">
        <x:f>(IF(A1333='Hybrid Calculator'!$B$6,0,1))^2+((B1333-'Hybrid Calculator'!$B$7)/1500)^2+((C1333-'Hybrid Calculator'!$B$8)/1300)^2+((D1333-'Hybrid Calculator'!$B$9)/800)^2+((E1333-'Hybrid Calculator'!$B$10)/350)^2+((F1333-'Hybrid Calculator'!$B$11)/30)^2+(G1333-'Hybrid Calculator'!$B$12)^2+((H1333-'Hybrid Calculator'!$E$14)/IF(A1333="Lightning",100,30000))^2+((I1333-'Hybrid Calculator'!$E$17)/IF(A1333="Lightning",100,30000))^2</x:f>
        <x:v>1.3762066221555862</x:v>
      </x:c>
      <x:c r="K1333" s="23" t="n">
        <x:f>RANK(J1333,$J$2:$J$1401,1)</x:f>
        <x:v>907</x:v>
      </x:c>
      <x:c r="L1333" s="23" t="n">
        <x:f>IF(K1333&lt;=7,1,0)</x:f>
        <x:v>0</x:v>
      </x:c>
      <x:c r="M1333" s="23" t="n">
        <x:f>IF(L1333=1,1/(J1333+0.000001),0)</x:f>
        <x:v>0</x:v>
      </x:c>
      <x:c r="N1333" s="23" t="n">
        <x:v>-0.30576315213141925</x:v>
      </x:c>
      <x:c r="O1333" s="23" t="n">
        <x:f>M1333</x:f>
        <x:v>0</x:v>
      </x:c>
      <x:c r="P1333" s="23" t="n">
        <x:v>21.804385349716085</x:v>
      </x:c>
      <x:c r="Q1333" s="23" t="n">
        <x:v>-1.9605031104247246</x:v>
      </x:c>
    </x:row>
    <x:row r="1334">
      <x:c r="A1334" s="23" t="str">
        <x:v>Switching</x:v>
      </x:c>
      <x:c r="B1334" s="23" t="n">
        <x:v>1052.5809766957536</x:v>
      </x:c>
      <x:c r="C1334" s="23" t="n">
        <x:v>754.4603460584767</x:v>
      </x:c>
      <x:c r="D1334" s="23" t="n">
        <x:v>541.364411264658</x:v>
      </x:c>
      <x:c r="E1334" s="23" t="n">
        <x:v>168.17968372022733</x:v>
      </x:c>
      <x:c r="F1334" s="23" t="n">
        <x:v>16.54140360560268</x:v>
      </x:c>
      <x:c r="G1334" s="23" t="n">
        <x:v>0.8441867174743675</x:v>
      </x:c>
      <x:c r="H1334" s="23" t="n">
        <x:v>14610</x:v>
      </x:c>
      <x:c r="I1334" s="23" t="n">
        <x:v>1200</x:v>
      </x:c>
      <x:c r="J1334" s="23" t="n">
        <x:f>(IF(A1334='Hybrid Calculator'!$B$6,0,1))^2+((B1334-'Hybrid Calculator'!$B$7)/1500)^2+((C1334-'Hybrid Calculator'!$B$8)/1300)^2+((D1334-'Hybrid Calculator'!$B$9)/800)^2+((E1334-'Hybrid Calculator'!$B$10)/350)^2+((F1334-'Hybrid Calculator'!$B$11)/30)^2+(G1334-'Hybrid Calculator'!$B$12)^2+((H1334-'Hybrid Calculator'!$E$14)/IF(A1334="Lightning",100,30000))^2+((I1334-'Hybrid Calculator'!$E$17)/IF(A1334="Lightning",100,30000))^2</x:f>
        <x:v>1.314344944631963</x:v>
      </x:c>
      <x:c r="K1334" s="23" t="n">
        <x:f>RANK(J1334,$J$2:$J$1401,1)</x:f>
        <x:v>752</x:v>
      </x:c>
      <x:c r="L1334" s="23" t="n">
        <x:f>IF(K1334&lt;=7,1,0)</x:f>
        <x:v>0</x:v>
      </x:c>
      <x:c r="M1334" s="23" t="n">
        <x:f>IF(L1334=1,1/(J1334+0.000001),0)</x:f>
        <x:v>0</x:v>
      </x:c>
      <x:c r="N1334" s="23" t="n">
        <x:v>-1.2437339039215942</x:v>
      </x:c>
      <x:c r="O1334" s="23" t="n">
        <x:f>M1334</x:f>
        <x:v>0</x:v>
      </x:c>
      <x:c r="P1334" s="23" t="n">
        <x:v>-7.976852770109872</x:v>
      </x:c>
      <x:c r="Q1334" s="23" t="n">
        <x:v>6.983316739961083</x:v>
      </x:c>
    </x:row>
    <x:row r="1335">
      <x:c r="A1335" s="23" t="str">
        <x:v>Switching</x:v>
      </x:c>
      <x:c r="B1335" s="23" t="n">
        <x:v>964.6135058137588</x:v>
      </x:c>
      <x:c r="C1335" s="23" t="n">
        <x:v>1168.4243189170957</x:v>
      </x:c>
      <x:c r="D1335" s="23" t="n">
        <x:v>591.7782529257238</x:v>
      </x:c>
      <x:c r="E1335" s="23" t="n">
        <x:v>105.54898720700294</x:v>
      </x:c>
      <x:c r="F1335" s="23" t="n">
        <x:v>28.851400220301002</x:v>
      </x:c>
      <x:c r="G1335" s="23" t="n">
        <x:v>0.8540983379539102</x:v>
      </x:c>
      <x:c r="H1335" s="23" t="n">
        <x:v>13375</x:v>
      </x:c>
      <x:c r="I1335" s="23" t="n">
        <x:v>1200</x:v>
      </x:c>
      <x:c r="J1335" s="23" t="n">
        <x:f>(IF(A1335='Hybrid Calculator'!$B$6,0,1))^2+((B1335-'Hybrid Calculator'!$B$7)/1500)^2+((C1335-'Hybrid Calculator'!$B$8)/1300)^2+((D1335-'Hybrid Calculator'!$B$9)/800)^2+((E1335-'Hybrid Calculator'!$B$10)/350)^2+((F1335-'Hybrid Calculator'!$B$11)/30)^2+(G1335-'Hybrid Calculator'!$B$12)^2+((H1335-'Hybrid Calculator'!$E$14)/IF(A1335="Lightning",100,30000))^2+((I1335-'Hybrid Calculator'!$E$17)/IF(A1335="Lightning",100,30000))^2</x:f>
        <x:v>1.5025280404613364</x:v>
      </x:c>
      <x:c r="K1335" s="23" t="n">
        <x:f>RANK(J1335,$J$2:$J$1401,1)</x:f>
        <x:v>1215</x:v>
      </x:c>
      <x:c r="L1335" s="23" t="n">
        <x:f>IF(K1335&lt;=7,1,0)</x:f>
        <x:v>0</x:v>
      </x:c>
      <x:c r="M1335" s="23" t="n">
        <x:f>IF(L1335=1,1/(J1335+0.000001),0)</x:f>
        <x:v>0</x:v>
      </x:c>
      <x:c r="N1335" s="23" t="n">
        <x:v>-2.9010229964648317</x:v>
      </x:c>
      <x:c r="O1335" s="23" t="n">
        <x:f>M1335</x:f>
        <x:v>0</x:v>
      </x:c>
      <x:c r="P1335" s="23" t="n">
        <x:v>42.66195750519137</x:v>
      </x:c>
      <x:c r="Q1335" s="23" t="n">
        <x:v>-8.953644112158713</x:v>
      </x:c>
    </x:row>
    <x:row r="1336">
      <x:c r="A1336" s="23" t="str">
        <x:v>Switching</x:v>
      </x:c>
      <x:c r="B1336" s="23" t="n">
        <x:v>1099.9582600779831</x:v>
      </x:c>
      <x:c r="C1336" s="23" t="n">
        <x:v>635.8215035288595</x:v>
      </x:c>
      <x:c r="D1336" s="23" t="n">
        <x:v>437.14188132435083</x:v>
      </x:c>
      <x:c r="E1336" s="23" t="n">
        <x:v>289.02412763098255</x:v>
      </x:c>
      <x:c r="F1336" s="23" t="n">
        <x:v>25.165451990440488</x:v>
      </x:c>
      <x:c r="G1336" s="23" t="n">
        <x:v>0.8064432652224787</x:v>
      </x:c>
      <x:c r="H1336" s="23" t="n">
        <x:v>15700</x:v>
      </x:c>
      <x:c r="I1336" s="23" t="n">
        <x:v>1200</x:v>
      </x:c>
      <x:c r="J1336" s="23" t="n">
        <x:f>(IF(A1336='Hybrid Calculator'!$B$6,0,1))^2+((B1336-'Hybrid Calculator'!$B$7)/1500)^2+((C1336-'Hybrid Calculator'!$B$8)/1300)^2+((D1336-'Hybrid Calculator'!$B$9)/800)^2+((E1336-'Hybrid Calculator'!$B$10)/350)^2+((F1336-'Hybrid Calculator'!$B$11)/30)^2+(G1336-'Hybrid Calculator'!$B$12)^2+((H1336-'Hybrid Calculator'!$E$14)/IF(A1336="Lightning",100,30000))^2+((I1336-'Hybrid Calculator'!$E$17)/IF(A1336="Lightning",100,30000))^2</x:f>
        <x:v>1.5612694683287378</x:v>
      </x:c>
      <x:c r="K1336" s="23" t="n">
        <x:f>RANK(J1336,$J$2:$J$1401,1)</x:f>
        <x:v>1319</x:v>
      </x:c>
      <x:c r="L1336" s="23" t="n">
        <x:f>IF(K1336&lt;=7,1,0)</x:f>
        <x:v>0</x:v>
      </x:c>
      <x:c r="M1336" s="23" t="n">
        <x:f>IF(L1336=1,1/(J1336+0.000001),0)</x:f>
        <x:v>0</x:v>
      </x:c>
      <x:c r="N1336" s="23" t="n">
        <x:v>-2.755936154769614</x:v>
      </x:c>
      <x:c r="O1336" s="23" t="n">
        <x:f>M1336</x:f>
        <x:v>0</x:v>
      </x:c>
      <x:c r="P1336" s="23" t="n">
        <x:v>-69.75296003574476</x:v>
      </x:c>
      <x:c r="Q1336" s="23" t="n">
        <x:v>5.13266550269509</x:v>
      </x:c>
    </x:row>
    <x:row r="1337">
      <x:c r="A1337" s="23" t="str">
        <x:v>Switching</x:v>
      </x:c>
      <x:c r="B1337" s="23" t="n">
        <x:v>1050.2550989040174</x:v>
      </x:c>
      <x:c r="C1337" s="23" t="n">
        <x:v>833.6247568251565</x:v>
      </x:c>
      <x:c r="D1337" s="23" t="n">
        <x:v>474.18373906984925</x:v>
      </x:c>
      <x:c r="E1337" s="23" t="n">
        <x:v>225.43901872821152</x:v>
      </x:c>
      <x:c r="F1337" s="23" t="n">
        <x:v>24.866570115555078</x:v>
      </x:c>
      <x:c r="G1337" s="23" t="n">
        <x:v>0.8435025581950322</x:v>
      </x:c>
      <x:c r="H1337" s="23" t="n">
        <x:v>13950</x:v>
      </x:c>
      <x:c r="I1337" s="23" t="n">
        <x:v>1200</x:v>
      </x:c>
      <x:c r="J1337" s="23" t="n">
        <x:f>(IF(A1337='Hybrid Calculator'!$B$6,0,1))^2+((B1337-'Hybrid Calculator'!$B$7)/1500)^2+((C1337-'Hybrid Calculator'!$B$8)/1300)^2+((D1337-'Hybrid Calculator'!$B$9)/800)^2+((E1337-'Hybrid Calculator'!$B$10)/350)^2+((F1337-'Hybrid Calculator'!$B$11)/30)^2+(G1337-'Hybrid Calculator'!$B$12)^2+((H1337-'Hybrid Calculator'!$E$14)/IF(A1337="Lightning",100,30000))^2+((I1337-'Hybrid Calculator'!$E$17)/IF(A1337="Lightning",100,30000))^2</x:f>
        <x:v>1.3718736337690964</x:v>
      </x:c>
      <x:c r="K1337" s="23" t="n">
        <x:f>RANK(J1337,$J$2:$J$1401,1)</x:f>
        <x:v>896</x:v>
      </x:c>
      <x:c r="L1337" s="23" t="n">
        <x:f>IF(K1337&lt;=7,1,0)</x:f>
        <x:v>0</x:v>
      </x:c>
      <x:c r="M1337" s="23" t="n">
        <x:f>IF(L1337=1,1/(J1337+0.000001),0)</x:f>
        <x:v>0</x:v>
      </x:c>
      <x:c r="N1337" s="23" t="n">
        <x:v>-0.15111773142126594</x:v>
      </x:c>
      <x:c r="O1337" s="23" t="n">
        <x:f>M1337</x:f>
        <x:v>0</x:v>
      </x:c>
      <x:c r="P1337" s="23" t="n">
        <x:v>2.106072384980962</x:v>
      </x:c>
      <x:c r="Q1337" s="23" t="n">
        <x:v>-5.780621833977875</x:v>
      </x:c>
    </x:row>
    <x:row r="1338">
      <x:c r="A1338" s="23" t="str">
        <x:v>Switching</x:v>
      </x:c>
      <x:c r="B1338" s="23" t="n">
        <x:v>1062.5790556659922</x:v>
      </x:c>
      <x:c r="C1338" s="23" t="n">
        <x:v>764.8514035739936</x:v>
      </x:c>
      <x:c r="D1338" s="23" t="n">
        <x:v>741.3711901754141</x:v>
      </x:c>
      <x:c r="E1338" s="23" t="n">
        <x:v>95.47120016766712</x:v>
      </x:c>
      <x:c r="F1338" s="23" t="n">
        <x:v>8.745894980616868</x:v>
      </x:c>
      <x:c r="G1338" s="23" t="n">
        <x:v>0.8473876122082584</x:v>
      </x:c>
      <x:c r="H1338" s="23" t="n">
        <x:v>13350</x:v>
      </x:c>
      <x:c r="I1338" s="23" t="n">
        <x:v>1200</x:v>
      </x:c>
      <x:c r="J1338" s="23" t="n">
        <x:f>(IF(A1338='Hybrid Calculator'!$B$6,0,1))^2+((B1338-'Hybrid Calculator'!$B$7)/1500)^2+((C1338-'Hybrid Calculator'!$B$8)/1300)^2+((D1338-'Hybrid Calculator'!$B$9)/800)^2+((E1338-'Hybrid Calculator'!$B$10)/350)^2+((F1338-'Hybrid Calculator'!$B$11)/30)^2+(G1338-'Hybrid Calculator'!$B$12)^2+((H1338-'Hybrid Calculator'!$E$14)/IF(A1338="Lightning",100,30000))^2+((I1338-'Hybrid Calculator'!$E$17)/IF(A1338="Lightning",100,30000))^2</x:f>
        <x:v>1.4825138318671414</x:v>
      </x:c>
      <x:c r="K1338" s="23" t="n">
        <x:f>RANK(J1338,$J$2:$J$1401,1)</x:f>
        <x:v>1181</x:v>
      </x:c>
      <x:c r="L1338" s="23" t="n">
        <x:f>IF(K1338&lt;=7,1,0)</x:f>
        <x:v>0</x:v>
      </x:c>
      <x:c r="M1338" s="23" t="n">
        <x:f>IF(L1338=1,1/(J1338+0.000001),0)</x:f>
        <x:v>0</x:v>
      </x:c>
      <x:c r="N1338" s="23" t="n">
        <x:v>-0.4944786638202743</x:v>
      </x:c>
      <x:c r="O1338" s="23" t="n">
        <x:f>M1338</x:f>
        <x:v>0</x:v>
      </x:c>
      <x:c r="P1338" s="23" t="n">
        <x:v>15.217943536404164</x:v>
      </x:c>
      <x:c r="Q1338" s="23" t="n">
        <x:v>4.319247332284931</x:v>
      </x:c>
    </x:row>
    <x:row r="1339">
      <x:c r="A1339" s="23" t="str">
        <x:v>Switching</x:v>
      </x:c>
      <x:c r="B1339" s="23" t="n">
        <x:v>1088.1393262534402</x:v>
      </x:c>
      <x:c r="C1339" s="23" t="n">
        <x:v>805.5828819517046</x:v>
      </x:c>
      <x:c r="D1339" s="23" t="n">
        <x:v>534.6306729130447</x:v>
      </x:c>
      <x:c r="E1339" s="23" t="n">
        <x:v>120.78610928263515</x:v>
      </x:c>
      <x:c r="F1339" s="23" t="n">
        <x:v>13.066219090949744</x:v>
      </x:c>
      <x:c r="G1339" s="23" t="n">
        <x:v>0.8266731862165034</x:v>
      </x:c>
      <x:c r="H1339" s="23" t="n">
        <x:v>14640</x:v>
      </x:c>
      <x:c r="I1339" s="23" t="n">
        <x:v>1200</x:v>
      </x:c>
      <x:c r="J1339" s="23" t="n">
        <x:f>(IF(A1339='Hybrid Calculator'!$B$6,0,1))^2+((B1339-'Hybrid Calculator'!$B$7)/1500)^2+((C1339-'Hybrid Calculator'!$B$8)/1300)^2+((D1339-'Hybrid Calculator'!$B$9)/800)^2+((E1339-'Hybrid Calculator'!$B$10)/350)^2+((F1339-'Hybrid Calculator'!$B$11)/30)^2+(G1339-'Hybrid Calculator'!$B$12)^2+((H1339-'Hybrid Calculator'!$E$14)/IF(A1339="Lightning",100,30000))^2+((I1339-'Hybrid Calculator'!$E$17)/IF(A1339="Lightning",100,30000))^2</x:f>
        <x:v>1.331346908550429</x:v>
      </x:c>
      <x:c r="K1339" s="23" t="n">
        <x:f>RANK(J1339,$J$2:$J$1401,1)</x:f>
        <x:v>778</x:v>
      </x:c>
      <x:c r="L1339" s="23" t="n">
        <x:f>IF(K1339&lt;=7,1,0)</x:f>
        <x:v>0</x:v>
      </x:c>
      <x:c r="M1339" s="23" t="n">
        <x:f>IF(L1339=1,1/(J1339+0.000001),0)</x:f>
        <x:v>0</x:v>
      </x:c>
      <x:c r="N1339" s="23" t="n">
        <x:v>-0.6431038939821576</x:v>
      </x:c>
      <x:c r="O1339" s="23" t="n">
        <x:f>M1339</x:f>
        <x:v>0</x:v>
      </x:c>
      <x:c r="P1339" s="23" t="n">
        <x:v>-48.48463520973337</x:v>
      </x:c>
      <x:c r="Q1339" s="23" t="n">
        <x:v>14.03671104894238</x:v>
      </x:c>
    </x:row>
    <x:row r="1340">
      <x:c r="A1340" s="23" t="str">
        <x:v>Switching</x:v>
      </x:c>
      <x:c r="B1340" s="23" t="n">
        <x:v>1045.835728617385</x:v>
      </x:c>
      <x:c r="C1340" s="23" t="n">
        <x:v>823.5438778880052</x:v>
      </x:c>
      <x:c r="D1340" s="23" t="n">
        <x:v>397.25274723023176</x:v>
      </x:c>
      <x:c r="E1340" s="23" t="n">
        <x:v>250.9441191633232</x:v>
      </x:c>
      <x:c r="F1340" s="23" t="n">
        <x:v>14.06912449002266</x:v>
      </x:c>
      <x:c r="G1340" s="23" t="n">
        <x:v>0.8302030693576672</x:v>
      </x:c>
      <x:c r="H1340" s="23" t="n">
        <x:v>14530</x:v>
      </x:c>
      <x:c r="I1340" s="23" t="n">
        <x:v>1200</x:v>
      </x:c>
      <x:c r="J1340" s="23" t="n">
        <x:f>(IF(A1340='Hybrid Calculator'!$B$6,0,1))^2+((B1340-'Hybrid Calculator'!$B$7)/1500)^2+((C1340-'Hybrid Calculator'!$B$8)/1300)^2+((D1340-'Hybrid Calculator'!$B$9)/800)^2+((E1340-'Hybrid Calculator'!$B$10)/350)^2+((F1340-'Hybrid Calculator'!$B$11)/30)^2+(G1340-'Hybrid Calculator'!$B$12)^2+((H1340-'Hybrid Calculator'!$E$14)/IF(A1340="Lightning",100,30000))^2+((I1340-'Hybrid Calculator'!$E$17)/IF(A1340="Lightning",100,30000))^2</x:f>
        <x:v>1.420405918810786</x:v>
      </x:c>
      <x:c r="K1340" s="23" t="n">
        <x:f>RANK(J1340,$J$2:$J$1401,1)</x:f>
        <x:v>1039</x:v>
      </x:c>
      <x:c r="L1340" s="23" t="n">
        <x:f>IF(K1340&lt;=7,1,0)</x:f>
        <x:v>0</x:v>
      </x:c>
      <x:c r="M1340" s="23" t="n">
        <x:f>IF(L1340=1,1/(J1340+0.000001),0)</x:f>
        <x:v>0</x:v>
      </x:c>
      <x:c r="N1340" s="23" t="n">
        <x:v>-1.711899225222595</x:v>
      </x:c>
      <x:c r="O1340" s="23" t="n">
        <x:f>M1340</x:f>
        <x:v>0</x:v>
      </x:c>
      <x:c r="P1340" s="23" t="n">
        <x:v>-15.724456961029773</x:v>
      </x:c>
      <x:c r="Q1340" s="23" t="n">
        <x:v>2.084770338728731</x:v>
      </x:c>
    </x:row>
    <x:row r="1341">
      <x:c r="A1341" s="23" t="str">
        <x:v>Switching</x:v>
      </x:c>
      <x:c r="B1341" s="23" t="n">
        <x:v>997.0542498980649</x:v>
      </x:c>
      <x:c r="C1341" s="23" t="n">
        <x:v>863.1276802858338</x:v>
      </x:c>
      <x:c r="D1341" s="23" t="n">
        <x:v>599.5212060399354</x:v>
      </x:c>
      <x:c r="E1341" s="23" t="n">
        <x:v>317.4442578293383</x:v>
      </x:c>
      <x:c r="F1341" s="23" t="n">
        <x:v>26.680672785732895</x:v>
      </x:c>
      <x:c r="G1341" s="23" t="n">
        <x:v>0.8029250782495365</x:v>
      </x:c>
      <x:c r="H1341" s="23" t="n">
        <x:v>12015</x:v>
      </x:c>
      <x:c r="I1341" s="23" t="n">
        <x:v>1200</x:v>
      </x:c>
      <x:c r="J1341" s="23" t="n">
        <x:f>(IF(A1341='Hybrid Calculator'!$B$6,0,1))^2+((B1341-'Hybrid Calculator'!$B$7)/1500)^2+((C1341-'Hybrid Calculator'!$B$8)/1300)^2+((D1341-'Hybrid Calculator'!$B$9)/800)^2+((E1341-'Hybrid Calculator'!$B$10)/350)^2+((F1341-'Hybrid Calculator'!$B$11)/30)^2+(G1341-'Hybrid Calculator'!$B$12)^2+((H1341-'Hybrid Calculator'!$E$14)/IF(A1341="Lightning",100,30000))^2+((I1341-'Hybrid Calculator'!$E$17)/IF(A1341="Lightning",100,30000))^2</x:f>
        <x:v>1.5611033320947016</x:v>
      </x:c>
      <x:c r="K1341" s="23" t="n">
        <x:f>RANK(J1341,$J$2:$J$1401,1)</x:f>
        <x:v>1317</x:v>
      </x:c>
      <x:c r="L1341" s="23" t="n">
        <x:f>IF(K1341&lt;=7,1,0)</x:f>
        <x:v>0</x:v>
      </x:c>
      <x:c r="M1341" s="23" t="n">
        <x:f>IF(L1341=1,1/(J1341+0.000001),0)</x:f>
        <x:v>0</x:v>
      </x:c>
      <x:c r="N1341" s="23" t="n">
        <x:v>1.0004984140487352</x:v>
      </x:c>
      <x:c r="O1341" s="23" t="n">
        <x:f>M1341</x:f>
        <x:v>0</x:v>
      </x:c>
      <x:c r="P1341" s="23" t="n">
        <x:v>-35.839811563566855</x:v>
      </x:c>
      <x:c r="Q1341" s="23" t="n">
        <x:v>-11.538430625955925</x:v>
      </x:c>
    </x:row>
    <x:row r="1342">
      <x:c r="A1342" s="23" t="str">
        <x:v>Switching</x:v>
      </x:c>
      <x:c r="B1342" s="23" t="n">
        <x:v>1001.6564102144912</x:v>
      </x:c>
      <x:c r="C1342" s="23" t="n">
        <x:v>1127.030711446423</x:v>
      </x:c>
      <x:c r="D1342" s="23" t="n">
        <x:v>564.4089475274086</x:v>
      </x:c>
      <x:c r="E1342" s="23" t="n">
        <x:v>297.3814055859111</x:v>
      </x:c>
      <x:c r="F1342" s="23" t="n">
        <x:v>16.197189609520137</x:v>
      </x:c>
      <x:c r="G1342" s="23" t="n">
        <x:v>0.8225445333472453</x:v>
      </x:c>
      <x:c r="H1342" s="23" t="n">
        <x:v>10755</x:v>
      </x:c>
      <x:c r="I1342" s="23" t="n">
        <x:v>1195</x:v>
      </x:c>
      <x:c r="J1342" s="23" t="n">
        <x:f>(IF(A1342='Hybrid Calculator'!$B$6,0,1))^2+((B1342-'Hybrid Calculator'!$B$7)/1500)^2+((C1342-'Hybrid Calculator'!$B$8)/1300)^2+((D1342-'Hybrid Calculator'!$B$9)/800)^2+((E1342-'Hybrid Calculator'!$B$10)/350)^2+((F1342-'Hybrid Calculator'!$B$11)/30)^2+(G1342-'Hybrid Calculator'!$B$12)^2+((H1342-'Hybrid Calculator'!$E$14)/IF(A1342="Lightning",100,30000))^2+((I1342-'Hybrid Calculator'!$E$17)/IF(A1342="Lightning",100,30000))^2</x:f>
        <x:v>1.4436133504056212</x:v>
      </x:c>
      <x:c r="K1342" s="23" t="n">
        <x:f>RANK(J1342,$J$2:$J$1401,1)</x:f>
        <x:v>1094</x:v>
      </x:c>
      <x:c r="L1342" s="23" t="n">
        <x:f>IF(K1342&lt;=7,1,0)</x:f>
        <x:v>0</x:v>
      </x:c>
      <x:c r="M1342" s="23" t="n">
        <x:f>IF(L1342=1,1/(J1342+0.000001),0)</x:f>
        <x:v>0</x:v>
      </x:c>
      <x:c r="N1342" s="23" t="n">
        <x:v>1.7787211983198858</x:v>
      </x:c>
      <x:c r="O1342" s="23" t="n">
        <x:f>M1342</x:f>
        <x:v>0</x:v>
      </x:c>
      <x:c r="P1342" s="23" t="n">
        <x:v>36.17893302260063</x:v>
      </x:c>
      <x:c r="Q1342" s="23" t="n">
        <x:v>-7.995600218865093</x:v>
      </x:c>
    </x:row>
    <x:row r="1343">
      <x:c r="A1343" s="23" t="str">
        <x:v>Switching</x:v>
      </x:c>
      <x:c r="B1343" s="23" t="n">
        <x:v>1019.7207107092254</x:v>
      </x:c>
      <x:c r="C1343" s="23" t="n">
        <x:v>822.748367022723</x:v>
      </x:c>
      <x:c r="D1343" s="23" t="n">
        <x:v>737.1154955588281</x:v>
      </x:c>
      <x:c r="E1343" s="23" t="n">
        <x:v>276.6701546916738</x:v>
      </x:c>
      <x:c r="F1343" s="23" t="n">
        <x:v>25.446453338023275</x:v>
      </x:c>
      <x:c r="G1343" s="23" t="n">
        <x:v>0.8502508091647178</x:v>
      </x:c>
      <x:c r="H1343" s="23" t="n">
        <x:v>13585</x:v>
      </x:c>
      <x:c r="I1343" s="23" t="n">
        <x:v>1200</x:v>
      </x:c>
      <x:c r="J1343" s="23" t="n">
        <x:f>(IF(A1343='Hybrid Calculator'!$B$6,0,1))^2+((B1343-'Hybrid Calculator'!$B$7)/1500)^2+((C1343-'Hybrid Calculator'!$B$8)/1300)^2+((D1343-'Hybrid Calculator'!$B$9)/800)^2+((E1343-'Hybrid Calculator'!$B$10)/350)^2+((F1343-'Hybrid Calculator'!$B$11)/30)^2+(G1343-'Hybrid Calculator'!$B$12)^2+((H1343-'Hybrid Calculator'!$E$14)/IF(A1343="Lightning",100,30000))^2+((I1343-'Hybrid Calculator'!$E$17)/IF(A1343="Lightning",100,30000))^2</x:f>
        <x:v>1.551887092470943</x:v>
      </x:c>
      <x:c r="K1343" s="23" t="n">
        <x:f>RANK(J1343,$J$2:$J$1401,1)</x:f>
        <x:v>1307</x:v>
      </x:c>
      <x:c r="L1343" s="23" t="n">
        <x:f>IF(K1343&lt;=7,1,0)</x:f>
        <x:v>0</x:v>
      </x:c>
      <x:c r="M1343" s="23" t="n">
        <x:f>IF(L1343=1,1/(J1343+0.000001),0)</x:f>
        <x:v>0</x:v>
      </x:c>
      <x:c r="N1343" s="23" t="n">
        <x:v>2.442244886586792</x:v>
      </x:c>
      <x:c r="O1343" s="23" t="n">
        <x:f>M1343</x:f>
        <x:v>0</x:v>
      </x:c>
      <x:c r="P1343" s="23" t="n">
        <x:v>26.039414435193066</x:v>
      </x:c>
      <x:c r="Q1343" s="23" t="n">
        <x:v>-5.405495597230242</x:v>
      </x:c>
    </x:row>
    <x:row r="1344">
      <x:c r="A1344" s="23" t="str">
        <x:v>Switching</x:v>
      </x:c>
      <x:c r="B1344" s="23" t="n">
        <x:v>974.2351118475199</x:v>
      </x:c>
      <x:c r="C1344" s="23" t="n">
        <x:v>751.4854854322039</x:v>
      </x:c>
      <x:c r="D1344" s="23" t="n">
        <x:v>522.9742901399732</x:v>
      </x:c>
      <x:c r="E1344" s="23" t="n">
        <x:v>157.95151747995988</x:v>
      </x:c>
      <x:c r="F1344" s="23" t="n">
        <x:v>13.161228461191058</x:v>
      </x:c>
      <x:c r="G1344" s="23" t="n">
        <x:v>0.8568113709730096</x:v>
      </x:c>
      <x:c r="H1344" s="23" t="n">
        <x:v>17420</x:v>
      </x:c>
      <x:c r="I1344" s="23" t="n">
        <x:v>1200</x:v>
      </x:c>
      <x:c r="J1344" s="23" t="n">
        <x:f>(IF(A1344='Hybrid Calculator'!$B$6,0,1))^2+((B1344-'Hybrid Calculator'!$B$7)/1500)^2+((C1344-'Hybrid Calculator'!$B$8)/1300)^2+((D1344-'Hybrid Calculator'!$B$9)/800)^2+((E1344-'Hybrid Calculator'!$B$10)/350)^2+((F1344-'Hybrid Calculator'!$B$11)/30)^2+(G1344-'Hybrid Calculator'!$B$12)^2+((H1344-'Hybrid Calculator'!$E$14)/IF(A1344="Lightning",100,30000))^2+((I1344-'Hybrid Calculator'!$E$17)/IF(A1344="Lightning",100,30000))^2</x:f>
        <x:v>1.4671892638174373</x:v>
      </x:c>
      <x:c r="K1344" s="23" t="n">
        <x:f>RANK(J1344,$J$2:$J$1401,1)</x:f>
        <x:v>1148</x:v>
      </x:c>
      <x:c r="L1344" s="23" t="n">
        <x:f>IF(K1344&lt;=7,1,0)</x:f>
        <x:v>0</x:v>
      </x:c>
      <x:c r="M1344" s="23" t="n">
        <x:f>IF(L1344=1,1/(J1344+0.000001),0)</x:f>
        <x:v>0</x:v>
      </x:c>
      <x:c r="N1344" s="23" t="n">
        <x:v>-2.349184818469041</x:v>
      </x:c>
      <x:c r="O1344" s="23" t="n">
        <x:f>M1344</x:f>
        <x:v>0</x:v>
      </x:c>
      <x:c r="P1344" s="23" t="n">
        <x:v>-47.88603889290471</x:v>
      </x:c>
      <x:c r="Q1344" s="23" t="n">
        <x:v>11.785586005270602</x:v>
      </x:c>
    </x:row>
    <x:row r="1345">
      <x:c r="A1345" s="23" t="str">
        <x:v>Switching</x:v>
      </x:c>
      <x:c r="B1345" s="23" t="n">
        <x:v>1059.8100552917458</x:v>
      </x:c>
      <x:c r="C1345" s="23" t="n">
        <x:v>676.6769862035289</x:v>
      </x:c>
      <x:c r="D1345" s="23" t="n">
        <x:v>450.86437622085214</x:v>
      </x:c>
      <x:c r="E1345" s="23" t="n">
        <x:v>186.41012690030038</x:v>
      </x:c>
      <x:c r="F1345" s="23" t="n">
        <x:v>19.043622982222587</x:v>
      </x:c>
      <x:c r="G1345" s="23" t="n">
        <x:v>0.8082572073535994</x:v>
      </x:c>
      <x:c r="H1345" s="23" t="n">
        <x:v>16275</x:v>
      </x:c>
      <x:c r="I1345" s="23" t="n">
        <x:v>1200</x:v>
      </x:c>
      <x:c r="J1345" s="23" t="n">
        <x:f>(IF(A1345='Hybrid Calculator'!$B$6,0,1))^2+((B1345-'Hybrid Calculator'!$B$7)/1500)^2+((C1345-'Hybrid Calculator'!$B$8)/1300)^2+((D1345-'Hybrid Calculator'!$B$9)/800)^2+((E1345-'Hybrid Calculator'!$B$10)/350)^2+((F1345-'Hybrid Calculator'!$B$11)/30)^2+(G1345-'Hybrid Calculator'!$B$12)^2+((H1345-'Hybrid Calculator'!$E$14)/IF(A1345="Lightning",100,30000))^2+((I1345-'Hybrid Calculator'!$E$17)/IF(A1345="Lightning",100,30000))^2</x:f>
        <x:v>1.3861437699696149</x:v>
      </x:c>
      <x:c r="K1345" s="23" t="n">
        <x:f>RANK(J1345,$J$2:$J$1401,1)</x:f>
        <x:v>938</x:v>
      </x:c>
      <x:c r="L1345" s="23" t="n">
        <x:f>IF(K1345&lt;=7,1,0)</x:f>
        <x:v>0</x:v>
      </x:c>
      <x:c r="M1345" s="23" t="n">
        <x:f>IF(L1345=1,1/(J1345+0.000001),0)</x:f>
        <x:v>0</x:v>
      </x:c>
      <x:c r="N1345" s="23" t="n">
        <x:v>-4.126458602416648</x:v>
      </x:c>
      <x:c r="O1345" s="23" t="n">
        <x:f>M1345</x:f>
        <x:v>0</x:v>
      </x:c>
      <x:c r="P1345" s="23" t="n">
        <x:v>-13.583028231530534</x:v>
      </x:c>
      <x:c r="Q1345" s="23" t="n">
        <x:v>11.542003706195146</x:v>
      </x:c>
    </x:row>
    <x:row r="1346">
      <x:c r="A1346" s="23" t="str">
        <x:v>Switching</x:v>
      </x:c>
      <x:c r="B1346" s="23" t="n">
        <x:v>988.8288761489093</x:v>
      </x:c>
      <x:c r="C1346" s="23" t="n">
        <x:v>1122.0884899958037</x:v>
      </x:c>
      <x:c r="D1346" s="23" t="n">
        <x:v>532.925813831389</x:v>
      </x:c>
      <x:c r="E1346" s="23" t="n">
        <x:v>257.9343011439778</x:v>
      </x:c>
      <x:c r="F1346" s="23" t="n">
        <x:v>21.34332321025431</x:v>
      </x:c>
      <x:c r="G1346" s="23" t="n">
        <x:v>0.7971910489653238</x:v>
      </x:c>
      <x:c r="H1346" s="23" t="n">
        <x:v>11180</x:v>
      </x:c>
      <x:c r="I1346" s="23" t="n">
        <x:v>1195</x:v>
      </x:c>
      <x:c r="J1346" s="23" t="n">
        <x:f>(IF(A1346='Hybrid Calculator'!$B$6,0,1))^2+((B1346-'Hybrid Calculator'!$B$7)/1500)^2+((C1346-'Hybrid Calculator'!$B$8)/1300)^2+((D1346-'Hybrid Calculator'!$B$9)/800)^2+((E1346-'Hybrid Calculator'!$B$10)/350)^2+((F1346-'Hybrid Calculator'!$B$11)/30)^2+(G1346-'Hybrid Calculator'!$B$12)^2+((H1346-'Hybrid Calculator'!$E$14)/IF(A1346="Lightning",100,30000))^2+((I1346-'Hybrid Calculator'!$E$17)/IF(A1346="Lightning",100,30000))^2</x:f>
        <x:v>1.373818897253447</x:v>
      </x:c>
      <x:c r="K1346" s="23" t="n">
        <x:f>RANK(J1346,$J$2:$J$1401,1)</x:f>
        <x:v>903</x:v>
      </x:c>
      <x:c r="L1346" s="23" t="n">
        <x:f>IF(K1346&lt;=7,1,0)</x:f>
        <x:v>0</x:v>
      </x:c>
      <x:c r="M1346" s="23" t="n">
        <x:f>IF(L1346=1,1/(J1346+0.000001),0)</x:f>
        <x:v>0</x:v>
      </x:c>
      <x:c r="N1346" s="23" t="n">
        <x:v>2.043012641685152</x:v>
      </x:c>
      <x:c r="O1346" s="23" t="n">
        <x:f>M1346</x:f>
        <x:v>0</x:v>
      </x:c>
      <x:c r="P1346" s="23" t="n">
        <x:v>-17.48051759143027</x:v>
      </x:c>
      <x:c r="Q1346" s="23" t="n">
        <x:v>-7.847728091519798</x:v>
      </x:c>
    </x:row>
    <x:row r="1347">
      <x:c r="A1347" s="23" t="str">
        <x:v>Switching</x:v>
      </x:c>
      <x:c r="B1347" s="23" t="n">
        <x:v>1009.8471602075733</x:v>
      </x:c>
      <x:c r="C1347" s="23" t="n">
        <x:v>728.9370632963255</x:v>
      </x:c>
      <x:c r="D1347" s="23" t="n">
        <x:v>453.8323068059981</x:v>
      </x:c>
      <x:c r="E1347" s="23" t="n">
        <x:v>308.0709019396454</x:v>
      </x:c>
      <x:c r="F1347" s="23" t="n">
        <x:v>10.381991170812398</x:v>
      </x:c>
      <x:c r="G1347" s="23" t="n">
        <x:v>0.8060589288035408</x:v>
      </x:c>
      <x:c r="H1347" s="23" t="n">
        <x:v>14345</x:v>
      </x:c>
      <x:c r="I1347" s="23" t="n">
        <x:v>1200</x:v>
      </x:c>
      <x:c r="J1347" s="23" t="n">
        <x:f>(IF(A1347='Hybrid Calculator'!$B$6,0,1))^2+((B1347-'Hybrid Calculator'!$B$7)/1500)^2+((C1347-'Hybrid Calculator'!$B$8)/1300)^2+((D1347-'Hybrid Calculator'!$B$9)/800)^2+((E1347-'Hybrid Calculator'!$B$10)/350)^2+((F1347-'Hybrid Calculator'!$B$11)/30)^2+(G1347-'Hybrid Calculator'!$B$12)^2+((H1347-'Hybrid Calculator'!$E$14)/IF(A1347="Lightning",100,30000))^2+((I1347-'Hybrid Calculator'!$E$17)/IF(A1347="Lightning",100,30000))^2</x:f>
        <x:v>1.5945794084815992</x:v>
      </x:c>
      <x:c r="K1347" s="23" t="n">
        <x:f>RANK(J1347,$J$2:$J$1401,1)</x:f>
        <x:v>1346</x:v>
      </x:c>
      <x:c r="L1347" s="23" t="n">
        <x:f>IF(K1347&lt;=7,1,0)</x:f>
        <x:v>0</x:v>
      </x:c>
      <x:c r="M1347" s="23" t="n">
        <x:f>IF(L1347=1,1/(J1347+0.000001),0)</x:f>
        <x:v>0</x:v>
      </x:c>
      <x:c r="N1347" s="23" t="n">
        <x:v>0.035253741458916465</x:v>
      </x:c>
      <x:c r="O1347" s="23" t="n">
        <x:f>M1347</x:f>
        <x:v>0</x:v>
      </x:c>
      <x:c r="P1347" s="23" t="n">
        <x:v>-3.829915734090264</x:v>
      </x:c>
      <x:c r="Q1347" s="23" t="n">
        <x:v>13.177390196556075</x:v>
      </x:c>
    </x:row>
    <x:row r="1348">
      <x:c r="A1348" s="23" t="str">
        <x:v>Switching</x:v>
      </x:c>
      <x:c r="B1348" s="23" t="n">
        <x:v>1002.341516665183</x:v>
      </x:c>
      <x:c r="C1348" s="23" t="n">
        <x:v>809.8950085812248</x:v>
      </x:c>
      <x:c r="D1348" s="23" t="n">
        <x:v>745.4479049891233</x:v>
      </x:c>
      <x:c r="E1348" s="23" t="n">
        <x:v>216.54950604541227</x:v>
      </x:c>
      <x:c r="F1348" s="23" t="n">
        <x:v>19.04991651047021</x:v>
      </x:c>
      <x:c r="G1348" s="23" t="n">
        <x:v>0.8201416367362254</x:v>
      </x:c>
      <x:c r="H1348" s="23" t="n">
        <x:v>12070</x:v>
      </x:c>
      <x:c r="I1348" s="23" t="n">
        <x:v>1200</x:v>
      </x:c>
      <x:c r="J1348" s="23" t="n">
        <x:f>(IF(A1348='Hybrid Calculator'!$B$6,0,1))^2+((B1348-'Hybrid Calculator'!$B$7)/1500)^2+((C1348-'Hybrid Calculator'!$B$8)/1300)^2+((D1348-'Hybrid Calculator'!$B$9)/800)^2+((E1348-'Hybrid Calculator'!$B$10)/350)^2+((F1348-'Hybrid Calculator'!$B$11)/30)^2+(G1348-'Hybrid Calculator'!$B$12)^2+((H1348-'Hybrid Calculator'!$E$14)/IF(A1348="Lightning",100,30000))^2+((I1348-'Hybrid Calculator'!$E$17)/IF(A1348="Lightning",100,30000))^2</x:f>
        <x:v>1.373037271008358</x:v>
      </x:c>
      <x:c r="K1348" s="23" t="n">
        <x:f>RANK(J1348,$J$2:$J$1401,1)</x:f>
        <x:v>898</x:v>
      </x:c>
      <x:c r="L1348" s="23" t="n">
        <x:f>IF(K1348&lt;=7,1,0)</x:f>
        <x:v>0</x:v>
      </x:c>
      <x:c r="M1348" s="23" t="n">
        <x:f>IF(L1348=1,1/(J1348+0.000001),0)</x:f>
        <x:v>0</x:v>
      </x:c>
      <x:c r="N1348" s="23" t="n">
        <x:v>-1.7569971316125077</x:v>
      </x:c>
      <x:c r="O1348" s="23" t="n">
        <x:f>M1348</x:f>
        <x:v>0</x:v>
      </x:c>
      <x:c r="P1348" s="23" t="n">
        <x:v>-2.0294361609976477</x:v>
      </x:c>
      <x:c r="Q1348" s="23" t="n">
        <x:v>-5.23935384829565</x:v>
      </x:c>
    </x:row>
    <x:row r="1349">
      <x:c r="A1349" s="23" t="str">
        <x:v>Switching</x:v>
      </x:c>
      <x:c r="B1349" s="23" t="n">
        <x:v>1085.2042301907204</x:v>
      </x:c>
      <x:c r="C1349" s="23" t="n">
        <x:v>628.8964208681136</x:v>
      </x:c>
      <x:c r="D1349" s="23" t="n">
        <x:v>515.1628795079887</x:v>
      </x:c>
      <x:c r="E1349" s="23" t="n">
        <x:v>227.77514000888914</x:v>
      </x:c>
      <x:c r="F1349" s="23" t="n">
        <x:v>27.706745467614383</x:v>
      </x:c>
      <x:c r="G1349" s="23" t="n">
        <x:v>0.7953867425583303</x:v>
      </x:c>
      <x:c r="H1349" s="23" t="n">
        <x:v>15590</x:v>
      </x:c>
      <x:c r="I1349" s="23" t="n">
        <x:v>1200</x:v>
      </x:c>
      <x:c r="J1349" s="23" t="n">
        <x:f>(IF(A1349='Hybrid Calculator'!$B$6,0,1))^2+((B1349-'Hybrid Calculator'!$B$7)/1500)^2+((C1349-'Hybrid Calculator'!$B$8)/1300)^2+((D1349-'Hybrid Calculator'!$B$9)/800)^2+((E1349-'Hybrid Calculator'!$B$10)/350)^2+((F1349-'Hybrid Calculator'!$B$11)/30)^2+(G1349-'Hybrid Calculator'!$B$12)^2+((H1349-'Hybrid Calculator'!$E$14)/IF(A1349="Lightning",100,30000))^2+((I1349-'Hybrid Calculator'!$E$17)/IF(A1349="Lightning",100,30000))^2</x:f>
        <x:v>1.4946280177356408</x:v>
      </x:c>
      <x:c r="K1349" s="23" t="n">
        <x:f>RANK(J1349,$J$2:$J$1401,1)</x:f>
        <x:v>1197</x:v>
      </x:c>
      <x:c r="L1349" s="23" t="n">
        <x:f>IF(K1349&lt;=7,1,0)</x:f>
        <x:v>0</x:v>
      </x:c>
      <x:c r="M1349" s="23" t="n">
        <x:f>IF(L1349=1,1/(J1349+0.000001),0)</x:f>
        <x:v>0</x:v>
      </x:c>
      <x:c r="N1349" s="23" t="n">
        <x:v>-4.474257609794648</x:v>
      </x:c>
      <x:c r="O1349" s="23" t="n">
        <x:f>M1349</x:f>
        <x:v>0</x:v>
      </x:c>
      <x:c r="P1349" s="23" t="n">
        <x:v>16.32733788916721</x:v>
      </x:c>
      <x:c r="Q1349" s="23" t="n">
        <x:v>-8.336622203489242</x:v>
      </x:c>
    </x:row>
    <x:row r="1350">
      <x:c r="A1350" s="23" t="str">
        <x:v>Switching</x:v>
      </x:c>
      <x:c r="B1350" s="23" t="n">
        <x:v>1039.9366016034037</x:v>
      </x:c>
      <x:c r="C1350" s="23" t="n">
        <x:v>1064.5077729481272</x:v>
      </x:c>
      <x:c r="D1350" s="23" t="n">
        <x:v>475.66810082644224</x:v>
      </x:c>
      <x:c r="E1350" s="23" t="n">
        <x:v>198.72207681881264</x:v>
      </x:c>
      <x:c r="F1350" s="23" t="n">
        <x:v>23.3061768040061</x:v>
      </x:c>
      <x:c r="G1350" s="23" t="n">
        <x:v>0.7936214934499003</x:v>
      </x:c>
      <x:c r="H1350" s="23" t="n">
        <x:v>12300</x:v>
      </x:c>
      <x:c r="I1350" s="23" t="n">
        <x:v>1200</x:v>
      </x:c>
      <x:c r="J1350" s="23" t="n">
        <x:f>(IF(A1350='Hybrid Calculator'!$B$6,0,1))^2+((B1350-'Hybrid Calculator'!$B$7)/1500)^2+((C1350-'Hybrid Calculator'!$B$8)/1300)^2+((D1350-'Hybrid Calculator'!$B$9)/800)^2+((E1350-'Hybrid Calculator'!$B$10)/350)^2+((F1350-'Hybrid Calculator'!$B$11)/30)^2+(G1350-'Hybrid Calculator'!$B$12)^2+((H1350-'Hybrid Calculator'!$E$14)/IF(A1350="Lightning",100,30000))^2+((I1350-'Hybrid Calculator'!$E$17)/IF(A1350="Lightning",100,30000))^2</x:f>
        <x:v>1.3080616984259408</x:v>
      </x:c>
      <x:c r="K1350" s="23" t="n">
        <x:f>RANK(J1350,$J$2:$J$1401,1)</x:f>
        <x:v>744</x:v>
      </x:c>
      <x:c r="L1350" s="23" t="n">
        <x:f>IF(K1350&lt;=7,1,0)</x:f>
        <x:v>0</x:v>
      </x:c>
      <x:c r="M1350" s="23" t="n">
        <x:f>IF(L1350=1,1/(J1350+0.000001),0)</x:f>
        <x:v>0</x:v>
      </x:c>
      <x:c r="N1350" s="23" t="n">
        <x:v>-0.44941124860150694</x:v>
      </x:c>
      <x:c r="O1350" s="23" t="n">
        <x:f>M1350</x:f>
        <x:v>0</x:v>
      </x:c>
      <x:c r="P1350" s="23" t="n">
        <x:v>42.46011571798226</x:v>
      </x:c>
      <x:c r="Q1350" s="23" t="n">
        <x:v>-7.833172194575354</x:v>
      </x:c>
    </x:row>
    <x:row r="1351">
      <x:c r="A1351" s="23" t="str">
        <x:v>Switching</x:v>
      </x:c>
      <x:c r="B1351" s="23" t="n">
        <x:v>1067.279860295821</x:v>
      </x:c>
      <x:c r="C1351" s="23" t="n">
        <x:v>794.4327551638708</x:v>
      </x:c>
      <x:c r="D1351" s="23" t="n">
        <x:v>402.45127649977803</x:v>
      </x:c>
      <x:c r="E1351" s="23" t="n">
        <x:v>177.15186385437846</x:v>
      </x:c>
      <x:c r="F1351" s="23" t="n">
        <x:v>9.33752982178703</x:v>
      </x:c>
      <x:c r="G1351" s="23" t="n">
        <x:v>0.793245790093206</x:v>
      </x:c>
      <x:c r="H1351" s="23" t="n">
        <x:v>15565</x:v>
      </x:c>
      <x:c r="I1351" s="23" t="n">
        <x:v>1200</x:v>
      </x:c>
      <x:c r="J1351" s="23" t="n">
        <x:f>(IF(A1351='Hybrid Calculator'!$B$6,0,1))^2+((B1351-'Hybrid Calculator'!$B$7)/1500)^2+((C1351-'Hybrid Calculator'!$B$8)/1300)^2+((D1351-'Hybrid Calculator'!$B$9)/800)^2+((E1351-'Hybrid Calculator'!$B$10)/350)^2+((F1351-'Hybrid Calculator'!$B$11)/30)^2+(G1351-'Hybrid Calculator'!$B$12)^2+((H1351-'Hybrid Calculator'!$E$14)/IF(A1351="Lightning",100,30000))^2+((I1351-'Hybrid Calculator'!$E$17)/IF(A1351="Lightning",100,30000))^2</x:f>
        <x:v>1.4425762345340791</x:v>
      </x:c>
      <x:c r="K1351" s="23" t="n">
        <x:f>RANK(J1351,$J$2:$J$1401,1)</x:f>
        <x:v>1091</x:v>
      </x:c>
      <x:c r="L1351" s="23" t="n">
        <x:f>IF(K1351&lt;=7,1,0)</x:f>
        <x:v>0</x:v>
      </x:c>
      <x:c r="M1351" s="23" t="n">
        <x:f>IF(L1351=1,1/(J1351+0.000001),0)</x:f>
        <x:v>0</x:v>
      </x:c>
      <x:c r="N1351" s="23" t="n">
        <x:v>1.195195605348033</x:v>
      </x:c>
      <x:c r="O1351" s="23" t="n">
        <x:f>M1351</x:f>
        <x:v>0</x:v>
      </x:c>
      <x:c r="P1351" s="23" t="n">
        <x:v>18.90232513791898</x:v>
      </x:c>
      <x:c r="Q1351" s="23" t="n">
        <x:v>13.174482550467474</x:v>
      </x:c>
    </x:row>
    <x:row r="1352">
      <x:c r="A1352" s="23" t="str">
        <x:v>Switching</x:v>
      </x:c>
      <x:c r="B1352" s="23" t="n">
        <x:v>1082.5098335044459</x:v>
      </x:c>
      <x:c r="C1352" s="23" t="n">
        <x:v>1102.771462511737</x:v>
      </x:c>
      <x:c r="D1352" s="23" t="n">
        <x:v>455.8963268995285</x:v>
      </x:c>
      <x:c r="E1352" s="23" t="n">
        <x:v>316.2247667624615</x:v>
      </x:c>
      <x:c r="F1352" s="23" t="n">
        <x:v>15.824280592612922</x:v>
      </x:c>
      <x:c r="G1352" s="23" t="n">
        <x:v>0.7958765459037386</x:v>
      </x:c>
      <x:c r="H1352" s="23" t="n">
        <x:v>11405</x:v>
      </x:c>
      <x:c r="I1352" s="23" t="n">
        <x:v>1195</x:v>
      </x:c>
      <x:c r="J1352" s="23" t="n">
        <x:f>(IF(A1352='Hybrid Calculator'!$B$6,0,1))^2+((B1352-'Hybrid Calculator'!$B$7)/1500)^2+((C1352-'Hybrid Calculator'!$B$8)/1300)^2+((D1352-'Hybrid Calculator'!$B$9)/800)^2+((E1352-'Hybrid Calculator'!$B$10)/350)^2+((F1352-'Hybrid Calculator'!$B$11)/30)^2+(G1352-'Hybrid Calculator'!$B$12)^2+((H1352-'Hybrid Calculator'!$E$14)/IF(A1352="Lightning",100,30000))^2+((I1352-'Hybrid Calculator'!$E$17)/IF(A1352="Lightning",100,30000))^2</x:f>
        <x:v>1.4718558195760727</x:v>
      </x:c>
      <x:c r="K1352" s="23" t="n">
        <x:f>RANK(J1352,$J$2:$J$1401,1)</x:f>
        <x:v>1162</x:v>
      </x:c>
      <x:c r="L1352" s="23" t="n">
        <x:f>IF(K1352&lt;=7,1,0)</x:f>
        <x:v>0</x:v>
      </x:c>
      <x:c r="M1352" s="23" t="n">
        <x:f>IF(L1352=1,1/(J1352+0.000001),0)</x:f>
        <x:v>0</x:v>
      </x:c>
      <x:c r="N1352" s="23" t="n">
        <x:v>0.3528523540036872</x:v>
      </x:c>
      <x:c r="O1352" s="23" t="n">
        <x:f>M1352</x:f>
        <x:v>0</x:v>
      </x:c>
      <x:c r="P1352" s="23" t="n">
        <x:v>19.406457683739063</x:v>
      </x:c>
      <x:c r="Q1352" s="23" t="n">
        <x:v>2.412301072520222</x:v>
      </x:c>
    </x:row>
    <x:row r="1353">
      <x:c r="A1353" s="23" t="str">
        <x:v>Switching</x:v>
      </x:c>
      <x:c r="B1353" s="23" t="n">
        <x:v>1028.6661644349806</x:v>
      </x:c>
      <x:c r="C1353" s="23" t="n">
        <x:v>958.6541053839028</x:v>
      </x:c>
      <x:c r="D1353" s="23" t="n">
        <x:v>521.2051219306886</x:v>
      </x:c>
      <x:c r="E1353" s="23" t="n">
        <x:v>142.50554288271815</x:v>
      </x:c>
      <x:c r="F1353" s="23" t="n">
        <x:v>16.604978767689317</x:v>
      </x:c>
      <x:c r="G1353" s="23" t="n">
        <x:v>0.8519715837482363</x:v>
      </x:c>
      <x:c r="H1353" s="23" t="n">
        <x:v>13180</x:v>
      </x:c>
      <x:c r="I1353" s="23" t="n">
        <x:v>1200</x:v>
      </x:c>
      <x:c r="J1353" s="23" t="n">
        <x:f>(IF(A1353='Hybrid Calculator'!$B$6,0,1))^2+((B1353-'Hybrid Calculator'!$B$7)/1500)^2+((C1353-'Hybrid Calculator'!$B$8)/1300)^2+((D1353-'Hybrid Calculator'!$B$9)/800)^2+((E1353-'Hybrid Calculator'!$B$10)/350)^2+((F1353-'Hybrid Calculator'!$B$11)/30)^2+(G1353-'Hybrid Calculator'!$B$12)^2+((H1353-'Hybrid Calculator'!$E$14)/IF(A1353="Lightning",100,30000))^2+((I1353-'Hybrid Calculator'!$E$17)/IF(A1353="Lightning",100,30000))^2</x:f>
        <x:v>1.276058722420277</x:v>
      </x:c>
      <x:c r="K1353" s="23" t="n">
        <x:f>RANK(J1353,$J$2:$J$1401,1)</x:f>
        <x:v>705</x:v>
      </x:c>
      <x:c r="L1353" s="23" t="n">
        <x:f>IF(K1353&lt;=7,1,0)</x:f>
        <x:v>0</x:v>
      </x:c>
      <x:c r="M1353" s="23" t="n">
        <x:f>IF(L1353=1,1/(J1353+0.000001),0)</x:f>
        <x:v>0</x:v>
      </x:c>
      <x:c r="N1353" s="23" t="n">
        <x:v>-1.7336319468466002</x:v>
      </x:c>
      <x:c r="O1353" s="23" t="n">
        <x:f>M1353</x:f>
        <x:v>0</x:v>
      </x:c>
      <x:c r="P1353" s="23" t="n">
        <x:v>36.871951502167576</x:v>
      </x:c>
      <x:c r="Q1353" s="23" t="n">
        <x:v>3.531696717647492</x:v>
      </x:c>
    </x:row>
    <x:row r="1354">
      <x:c r="A1354" s="23" t="str">
        <x:v>Switching</x:v>
      </x:c>
      <x:c r="B1354" s="23" t="n">
        <x:v>1008.0254988744855</x:v>
      </x:c>
      <x:c r="C1354" s="23" t="n">
        <x:v>942.0050785294734</x:v>
      </x:c>
      <x:c r="D1354" s="23" t="n">
        <x:v>538.7898178771138</x:v>
      </x:c>
      <x:c r="E1354" s="23" t="n">
        <x:v>246.26818251097575</x:v>
      </x:c>
      <x:c r="F1354" s="23" t="n">
        <x:v>17.284974610432982</x:v>
      </x:c>
      <x:c r="G1354" s="23" t="n">
        <x:v>0.8267720384267159</x:v>
      </x:c>
      <x:c r="H1354" s="23" t="n">
        <x:v>12385</x:v>
      </x:c>
      <x:c r="I1354" s="23" t="n">
        <x:v>1200</x:v>
      </x:c>
      <x:c r="J1354" s="23" t="n">
        <x:f>(IF(A1354='Hybrid Calculator'!$B$6,0,1))^2+((B1354-'Hybrid Calculator'!$B$7)/1500)^2+((C1354-'Hybrid Calculator'!$B$8)/1300)^2+((D1354-'Hybrid Calculator'!$B$9)/800)^2+((E1354-'Hybrid Calculator'!$B$10)/350)^2+((F1354-'Hybrid Calculator'!$B$11)/30)^2+(G1354-'Hybrid Calculator'!$B$12)^2+((H1354-'Hybrid Calculator'!$E$14)/IF(A1354="Lightning",100,30000))^2+((I1354-'Hybrid Calculator'!$E$17)/IF(A1354="Lightning",100,30000))^2</x:f>
        <x:v>1.3325662110819498</x:v>
      </x:c>
      <x:c r="K1354" s="23" t="n">
        <x:f>RANK(J1354,$J$2:$J$1401,1)</x:f>
        <x:v>781</x:v>
      </x:c>
      <x:c r="L1354" s="23" t="n">
        <x:f>IF(K1354&lt;=7,1,0)</x:f>
        <x:v>0</x:v>
      </x:c>
      <x:c r="M1354" s="23" t="n">
        <x:f>IF(L1354=1,1/(J1354+0.000001),0)</x:f>
        <x:v>0</x:v>
      </x:c>
      <x:c r="N1354" s="23" t="n">
        <x:v>3.5364773762018444</x:v>
      </x:c>
      <x:c r="O1354" s="23" t="n">
        <x:f>M1354</x:f>
        <x:v>0</x:v>
      </x:c>
      <x:c r="P1354" s="23" t="n">
        <x:v>0.29493048772246766</x:v>
      </x:c>
      <x:c r="Q1354" s="23" t="n">
        <x:v>5.08745245207308</x:v>
      </x:c>
    </x:row>
    <x:row r="1355">
      <x:c r="A1355" s="23" t="str">
        <x:v>Switching</x:v>
      </x:c>
      <x:c r="B1355" s="23" t="n">
        <x:v>1083.9688420877792</x:v>
      </x:c>
      <x:c r="C1355" s="23" t="n">
        <x:v>696.5742118889466</x:v>
      </x:c>
      <x:c r="D1355" s="23" t="n">
        <x:v>438.30069610849023</x:v>
      </x:c>
      <x:c r="E1355" s="23" t="n">
        <x:v>86.63573364727199</x:v>
      </x:c>
      <x:c r="F1355" s="23" t="n">
        <x:v>21.51382723869756</x:v>
      </x:c>
      <x:c r="G1355" s="23" t="n">
        <x:v>0.8233390541793779</x:v>
      </x:c>
      <x:c r="H1355" s="23" t="n">
        <x:v>17510</x:v>
      </x:c>
      <x:c r="I1355" s="23" t="n">
        <x:v>1200</x:v>
      </x:c>
      <x:c r="J1355" s="23" t="n">
        <x:f>(IF(A1355='Hybrid Calculator'!$B$6,0,1))^2+((B1355-'Hybrid Calculator'!$B$7)/1500)^2+((C1355-'Hybrid Calculator'!$B$8)/1300)^2+((D1355-'Hybrid Calculator'!$B$9)/800)^2+((E1355-'Hybrid Calculator'!$B$10)/350)^2+((F1355-'Hybrid Calculator'!$B$11)/30)^2+(G1355-'Hybrid Calculator'!$B$12)^2+((H1355-'Hybrid Calculator'!$E$14)/IF(A1355="Lightning",100,30000))^2+((I1355-'Hybrid Calculator'!$E$17)/IF(A1355="Lightning",100,30000))^2</x:f>
        <x:v>1.454704030754497</x:v>
      </x:c>
      <x:c r="K1355" s="23" t="n">
        <x:f>RANK(J1355,$J$2:$J$1401,1)</x:f>
        <x:v>1116</x:v>
      </x:c>
      <x:c r="L1355" s="23" t="n">
        <x:f>IF(K1355&lt;=7,1,0)</x:f>
        <x:v>0</x:v>
      </x:c>
      <x:c r="M1355" s="23" t="n">
        <x:f>IF(L1355=1,1/(J1355+0.000001),0)</x:f>
        <x:v>0</x:v>
      </x:c>
      <x:c r="N1355" s="23" t="n">
        <x:v>-4.175527982473824</x:v>
      </x:c>
      <x:c r="O1355" s="23" t="n">
        <x:f>M1355</x:f>
        <x:v>0</x:v>
      </x:c>
      <x:c r="P1355" s="23" t="n">
        <x:v>-0.4687323735743121</x:v>
      </x:c>
      <x:c r="Q1355" s="23" t="n">
        <x:v>3.5916375854333182</x:v>
      </x:c>
    </x:row>
    <x:row r="1356">
      <x:c r="A1356" s="23" t="str">
        <x:v>Switching</x:v>
      </x:c>
      <x:c r="B1356" s="23" t="n">
        <x:v>964.7177430568263</x:v>
      </x:c>
      <x:c r="C1356" s="23" t="n">
        <x:v>975.5780587554909</x:v>
      </x:c>
      <x:c r="D1356" s="23" t="n">
        <x:v>517.1964097768068</x:v>
      </x:c>
      <x:c r="E1356" s="23" t="n">
        <x:v>266.50683033047244</x:v>
      </x:c>
      <x:c r="F1356" s="23" t="n">
        <x:v>15.988008410669863</x:v>
      </x:c>
      <x:c r="G1356" s="23" t="n">
        <x:v>0.8437512998166494</x:v>
      </x:c>
      <x:c r="H1356" s="23" t="n">
        <x:v>14180</x:v>
      </x:c>
      <x:c r="I1356" s="23" t="n">
        <x:v>1200</x:v>
      </x:c>
      <x:c r="J1356" s="23" t="n">
        <x:f>(IF(A1356='Hybrid Calculator'!$B$6,0,1))^2+((B1356-'Hybrid Calculator'!$B$7)/1500)^2+((C1356-'Hybrid Calculator'!$B$8)/1300)^2+((D1356-'Hybrid Calculator'!$B$9)/800)^2+((E1356-'Hybrid Calculator'!$B$10)/350)^2+((F1356-'Hybrid Calculator'!$B$11)/30)^2+(G1356-'Hybrid Calculator'!$B$12)^2+((H1356-'Hybrid Calculator'!$E$14)/IF(A1356="Lightning",100,30000))^2+((I1356-'Hybrid Calculator'!$E$17)/IF(A1356="Lightning",100,30000))^2</x:f>
        <x:v>1.445710465810762</x:v>
      </x:c>
      <x:c r="K1356" s="23" t="n">
        <x:f>RANK(J1356,$J$2:$J$1401,1)</x:f>
        <x:v>1099</x:v>
      </x:c>
      <x:c r="L1356" s="23" t="n">
        <x:f>IF(K1356&lt;=7,1,0)</x:f>
        <x:v>0</x:v>
      </x:c>
      <x:c r="M1356" s="23" t="n">
        <x:f>IF(L1356=1,1/(J1356+0.000001),0)</x:f>
        <x:v>0</x:v>
      </x:c>
      <x:c r="N1356" s="23" t="n">
        <x:v>1.868800214482377</x:v>
      </x:c>
      <x:c r="O1356" s="23" t="n">
        <x:f>M1356</x:f>
        <x:v>0</x:v>
      </x:c>
      <x:c r="P1356" s="23" t="n">
        <x:v>30.67157523178048</x:v>
      </x:c>
      <x:c r="Q1356" s="23" t="n">
        <x:v>5.598699958523071</x:v>
      </x:c>
    </x:row>
    <x:row r="1357">
      <x:c r="A1357" s="23" t="str">
        <x:v>Switching</x:v>
      </x:c>
      <x:c r="B1357" s="23" t="n">
        <x:v>951.4060514396988</x:v>
      </x:c>
      <x:c r="C1357" s="23" t="n">
        <x:v>1220.4590623732656</x:v>
      </x:c>
      <x:c r="D1357" s="23" t="n">
        <x:v>580.3021798841655</x:v>
      </x:c>
      <x:c r="E1357" s="23" t="n">
        <x:v>223.99929984938353</x:v>
      </x:c>
      <x:c r="F1357" s="23" t="n">
        <x:v>29.436693373601884</x:v>
      </x:c>
      <x:c r="G1357" s="23" t="n">
        <x:v>0.813008332066238</x:v>
      </x:c>
      <x:c r="H1357" s="23" t="n">
        <x:v>12320</x:v>
      </x:c>
      <x:c r="I1357" s="23" t="n">
        <x:v>1200</x:v>
      </x:c>
      <x:c r="J1357" s="23" t="n">
        <x:f>(IF(A1357='Hybrid Calculator'!$B$6,0,1))^2+((B1357-'Hybrid Calculator'!$B$7)/1500)^2+((C1357-'Hybrid Calculator'!$B$8)/1300)^2+((D1357-'Hybrid Calculator'!$B$9)/800)^2+((E1357-'Hybrid Calculator'!$B$10)/350)^2+((F1357-'Hybrid Calculator'!$B$11)/30)^2+(G1357-'Hybrid Calculator'!$B$12)^2+((H1357-'Hybrid Calculator'!$E$14)/IF(A1357="Lightning",100,30000))^2+((I1357-'Hybrid Calculator'!$E$17)/IF(A1357="Lightning",100,30000))^2</x:f>
        <x:v>1.5374342376233752</x:v>
      </x:c>
      <x:c r="K1357" s="23" t="n">
        <x:f>RANK(J1357,$J$2:$J$1401,1)</x:f>
        <x:v>1278</x:v>
      </x:c>
      <x:c r="L1357" s="23" t="n">
        <x:f>IF(K1357&lt;=7,1,0)</x:f>
        <x:v>0</x:v>
      </x:c>
      <x:c r="M1357" s="23" t="n">
        <x:f>IF(L1357=1,1/(J1357+0.000001),0)</x:f>
        <x:v>0</x:v>
      </x:c>
      <x:c r="N1357" s="23" t="n">
        <x:v>1.91208251146233</x:v>
      </x:c>
      <x:c r="O1357" s="23" t="n">
        <x:f>M1357</x:f>
        <x:v>0</x:v>
      </x:c>
      <x:c r="P1357" s="23" t="n">
        <x:v>-7.356974307587279</x:v>
      </x:c>
      <x:c r="Q1357" s="23" t="n">
        <x:v>-14.760732569922766</x:v>
      </x:c>
    </x:row>
    <x:row r="1358">
      <x:c r="A1358" s="23" t="str">
        <x:v>Switching</x:v>
      </x:c>
      <x:c r="B1358" s="23" t="n">
        <x:v>962.0950372423977</x:v>
      </x:c>
      <x:c r="C1358" s="23" t="n">
        <x:v>1151.529757573735</x:v>
      </x:c>
      <x:c r="D1358" s="23" t="n">
        <x:v>702.7197560295463</x:v>
      </x:c>
      <x:c r="E1358" s="23" t="n">
        <x:v>171.45766851725057</x:v>
      </x:c>
      <x:c r="F1358" s="23" t="n">
        <x:v>19.854098934680223</x:v>
      </x:c>
      <x:c r="G1358" s="23" t="n">
        <x:v>0.7938905490958132</x:v>
      </x:c>
      <x:c r="H1358" s="23" t="n">
        <x:v>10555</x:v>
      </x:c>
      <x:c r="I1358" s="23" t="n">
        <x:v>1195</x:v>
      </x:c>
      <x:c r="J1358" s="23" t="n">
        <x:f>(IF(A1358='Hybrid Calculator'!$B$6,0,1))^2+((B1358-'Hybrid Calculator'!$B$7)/1500)^2+((C1358-'Hybrid Calculator'!$B$8)/1300)^2+((D1358-'Hybrid Calculator'!$B$9)/800)^2+((E1358-'Hybrid Calculator'!$B$10)/350)^2+((F1358-'Hybrid Calculator'!$B$11)/30)^2+(G1358-'Hybrid Calculator'!$B$12)^2+((H1358-'Hybrid Calculator'!$E$14)/IF(A1358="Lightning",100,30000))^2+((I1358-'Hybrid Calculator'!$E$17)/IF(A1358="Lightning",100,30000))^2</x:f>
        <x:v>1.3438616773863752</x:v>
      </x:c>
      <x:c r="K1358" s="23" t="n">
        <x:f>RANK(J1358,$J$2:$J$1401,1)</x:f>
        <x:v>814</x:v>
      </x:c>
      <x:c r="L1358" s="23" t="n">
        <x:f>IF(K1358&lt;=7,1,0)</x:f>
        <x:v>0</x:v>
      </x:c>
      <x:c r="M1358" s="23" t="n">
        <x:f>IF(L1358=1,1/(J1358+0.000001),0)</x:f>
        <x:v>0</x:v>
      </x:c>
      <x:c r="N1358" s="23" t="n">
        <x:v>0.763499312990831</x:v>
      </x:c>
      <x:c r="O1358" s="23" t="n">
        <x:f>M1358</x:f>
        <x:v>0</x:v>
      </x:c>
      <x:c r="P1358" s="23" t="n">
        <x:v>-2.6810075311818764</x:v>
      </x:c>
      <x:c r="Q1358" s="23" t="n">
        <x:v>-12.441601944578679</x:v>
      </x:c>
    </x:row>
    <x:row r="1359">
      <x:c r="A1359" s="23" t="str">
        <x:v>Switching</x:v>
      </x:c>
      <x:c r="B1359" s="23" t="n">
        <x:v>991.4298350107856</x:v>
      </x:c>
      <x:c r="C1359" s="23" t="n">
        <x:v>736.6366033209488</x:v>
      </x:c>
      <x:c r="D1359" s="23" t="n">
        <x:v>470.3612213023007</x:v>
      </x:c>
      <x:c r="E1359" s="23" t="n">
        <x:v>302.6971257477999</x:v>
      </x:c>
      <x:c r="F1359" s="23" t="n">
        <x:v>29.3182067819871</x:v>
      </x:c>
      <x:c r="G1359" s="23" t="n">
        <x:v>0.8324368078960106</x:v>
      </x:c>
      <x:c r="H1359" s="23" t="n">
        <x:v>16525</x:v>
      </x:c>
      <x:c r="I1359" s="23" t="n">
        <x:v>1200</x:v>
      </x:c>
      <x:c r="J1359" s="23" t="n">
        <x:f>(IF(A1359='Hybrid Calculator'!$B$6,0,1))^2+((B1359-'Hybrid Calculator'!$B$7)/1500)^2+((C1359-'Hybrid Calculator'!$B$8)/1300)^2+((D1359-'Hybrid Calculator'!$B$9)/800)^2+((E1359-'Hybrid Calculator'!$B$10)/350)^2+((F1359-'Hybrid Calculator'!$B$11)/30)^2+(G1359-'Hybrid Calculator'!$B$12)^2+((H1359-'Hybrid Calculator'!$E$14)/IF(A1359="Lightning",100,30000))^2+((I1359-'Hybrid Calculator'!$E$17)/IF(A1359="Lightning",100,30000))^2</x:f>
        <x:v>1.716173043864027</x:v>
      </x:c>
      <x:c r="K1359" s="23" t="n">
        <x:f>RANK(J1359,$J$2:$J$1401,1)</x:f>
        <x:v>1392</x:v>
      </x:c>
      <x:c r="L1359" s="23" t="n">
        <x:f>IF(K1359&lt;=7,1,0)</x:f>
        <x:v>0</x:v>
      </x:c>
      <x:c r="M1359" s="23" t="n">
        <x:f>IF(L1359=1,1/(J1359+0.000001),0)</x:f>
        <x:v>0</x:v>
      </x:c>
      <x:c r="N1359" s="23" t="n">
        <x:v>-4.605921666704916</x:v>
      </x:c>
      <x:c r="O1359" s="23" t="n">
        <x:f>M1359</x:f>
        <x:v>0</x:v>
      </x:c>
      <x:c r="P1359" s="23" t="n">
        <x:v>-46.040747750801984</x:v>
      </x:c>
      <x:c r="Q1359" s="23" t="n">
        <x:v>-7.356153577522377</x:v>
      </x:c>
    </x:row>
    <x:row r="1360">
      <x:c r="A1360" s="23" t="str">
        <x:v>Switching</x:v>
      </x:c>
      <x:c r="B1360" s="23" t="n">
        <x:v>1074.396959738806</x:v>
      </x:c>
      <x:c r="C1360" s="23" t="n">
        <x:v>967.550871137064</x:v>
      </x:c>
      <x:c r="D1360" s="23" t="n">
        <x:v>483.6760638281703</x:v>
      </x:c>
      <x:c r="E1360" s="23" t="n">
        <x:v>107.8567339410074</x:v>
      </x:c>
      <x:c r="F1360" s="23" t="n">
        <x:v>11.439053073525429</x:v>
      </x:c>
      <x:c r="G1360" s="23" t="n">
        <x:v>0.8441249714628793</x:v>
      </x:c>
      <x:c r="H1360" s="23" t="n">
        <x:v>13715</x:v>
      </x:c>
      <x:c r="I1360" s="23" t="n">
        <x:v>1200</x:v>
      </x:c>
      <x:c r="J1360" s="23" t="n">
        <x:f>(IF(A1360='Hybrid Calculator'!$B$6,0,1))^2+((B1360-'Hybrid Calculator'!$B$7)/1500)^2+((C1360-'Hybrid Calculator'!$B$8)/1300)^2+((D1360-'Hybrid Calculator'!$B$9)/800)^2+((E1360-'Hybrid Calculator'!$B$10)/350)^2+((F1360-'Hybrid Calculator'!$B$11)/30)^2+(G1360-'Hybrid Calculator'!$B$12)^2+((H1360-'Hybrid Calculator'!$E$14)/IF(A1360="Lightning",100,30000))^2+((I1360-'Hybrid Calculator'!$E$17)/IF(A1360="Lightning",100,30000))^2</x:f>
        <x:v>1.3427163675512288</x:v>
      </x:c>
      <x:c r="K1360" s="23" t="n">
        <x:f>RANK(J1360,$J$2:$J$1401,1)</x:f>
        <x:v>811</x:v>
      </x:c>
      <x:c r="L1360" s="23" t="n">
        <x:f>IF(K1360&lt;=7,1,0)</x:f>
        <x:v>0</x:v>
      </x:c>
      <x:c r="M1360" s="23" t="n">
        <x:f>IF(L1360=1,1/(J1360+0.000001),0)</x:f>
        <x:v>0</x:v>
      </x:c>
      <x:c r="N1360" s="23" t="n">
        <x:v>-1.4071145425176894</x:v>
      </x:c>
      <x:c r="O1360" s="23" t="n">
        <x:f>M1360</x:f>
        <x:v>0</x:v>
      </x:c>
      <x:c r="P1360" s="23" t="n">
        <x:v>20.791860747044666</x:v>
      </x:c>
      <x:c r="Q1360" s="23" t="n">
        <x:v>9.553655040027934</x:v>
      </x:c>
    </x:row>
    <x:row r="1361">
      <x:c r="A1361" s="23" t="str">
        <x:v>Switching</x:v>
      </x:c>
      <x:c r="B1361" s="23" t="n">
        <x:v>1022.7023829822429</x:v>
      </x:c>
      <x:c r="C1361" s="23" t="n">
        <x:v>900.9227594127879</x:v>
      </x:c>
      <x:c r="D1361" s="23" t="n">
        <x:v>571.2650788016617</x:v>
      </x:c>
      <x:c r="E1361" s="23" t="n">
        <x:v>173.57470320537686</x:v>
      </x:c>
      <x:c r="F1361" s="23" t="n">
        <x:v>29.284553235862404</x:v>
      </x:c>
      <x:c r="G1361" s="23" t="n">
        <x:v>0.8159904249524698</x:v>
      </x:c>
      <x:c r="H1361" s="23" t="n">
        <x:v>12995</x:v>
      </x:c>
      <x:c r="I1361" s="23" t="n">
        <x:v>1200</x:v>
      </x:c>
      <x:c r="J1361" s="23" t="n">
        <x:f>(IF(A1361='Hybrid Calculator'!$B$6,0,1))^2+((B1361-'Hybrid Calculator'!$B$7)/1500)^2+((C1361-'Hybrid Calculator'!$B$8)/1300)^2+((D1361-'Hybrid Calculator'!$B$9)/800)^2+((E1361-'Hybrid Calculator'!$B$10)/350)^2+((F1361-'Hybrid Calculator'!$B$11)/30)^2+(G1361-'Hybrid Calculator'!$B$12)^2+((H1361-'Hybrid Calculator'!$E$14)/IF(A1361="Lightning",100,30000))^2+((I1361-'Hybrid Calculator'!$E$17)/IF(A1361="Lightning",100,30000))^2</x:f>
        <x:v>1.402909037129178</x:v>
      </x:c>
      <x:c r="K1361" s="23" t="n">
        <x:f>RANK(J1361,$J$2:$J$1401,1)</x:f>
        <x:v>984</x:v>
      </x:c>
      <x:c r="L1361" s="23" t="n">
        <x:f>IF(K1361&lt;=7,1,0)</x:f>
        <x:v>0</x:v>
      </x:c>
      <x:c r="M1361" s="23" t="n">
        <x:f>IF(L1361=1,1/(J1361+0.000001),0)</x:f>
        <x:v>0</x:v>
      </x:c>
      <x:c r="N1361" s="23" t="n">
        <x:v>-0.06339399261113954</x:v>
      </x:c>
      <x:c r="O1361" s="23" t="n">
        <x:f>M1361</x:f>
        <x:v>0</x:v>
      </x:c>
      <x:c r="P1361" s="23" t="n">
        <x:v>-4.966821616967991</x:v>
      </x:c>
      <x:c r="Q1361" s="23" t="n">
        <x:v>-10.720299734581431</x:v>
      </x:c>
    </x:row>
    <x:row r="1362">
      <x:c r="A1362" s="23" t="str">
        <x:v>Switching</x:v>
      </x:c>
      <x:c r="B1362" s="23" t="n">
        <x:v>1084.1826227726415</x:v>
      </x:c>
      <x:c r="C1362" s="23" t="n">
        <x:v>884.1835836065002</x:v>
      </x:c>
      <x:c r="D1362" s="23" t="n">
        <x:v>647.1980258822441</x:v>
      </x:c>
      <x:c r="E1362" s="23" t="n">
        <x:v>104.03676969697699</x:v>
      </x:c>
      <x:c r="F1362" s="23" t="n">
        <x:v>17.952523137442768</x:v>
      </x:c>
      <x:c r="G1362" s="23" t="n">
        <x:v>0.8179008778533898</x:v>
      </x:c>
      <x:c r="H1362" s="23" t="n">
        <x:v>13075</x:v>
      </x:c>
      <x:c r="I1362" s="23" t="n">
        <x:v>1200</x:v>
      </x:c>
      <x:c r="J1362" s="23" t="n">
        <x:f>(IF(A1362='Hybrid Calculator'!$B$6,0,1))^2+((B1362-'Hybrid Calculator'!$B$7)/1500)^2+((C1362-'Hybrid Calculator'!$B$8)/1300)^2+((D1362-'Hybrid Calculator'!$B$9)/800)^2+((E1362-'Hybrid Calculator'!$B$10)/350)^2+((F1362-'Hybrid Calculator'!$B$11)/30)^2+(G1362-'Hybrid Calculator'!$B$12)^2+((H1362-'Hybrid Calculator'!$E$14)/IF(A1362="Lightning",100,30000))^2+((I1362-'Hybrid Calculator'!$E$17)/IF(A1362="Lightning",100,30000))^2</x:f>
        <x:v>1.2937896551125385</x:v>
      </x:c>
      <x:c r="K1362" s="23" t="n">
        <x:f>RANK(J1362,$J$2:$J$1401,1)</x:f>
        <x:v>722</x:v>
      </x:c>
      <x:c r="L1362" s="23" t="n">
        <x:f>IF(K1362&lt;=7,1,0)</x:f>
        <x:v>0</x:v>
      </x:c>
      <x:c r="M1362" s="23" t="n">
        <x:f>IF(L1362=1,1/(J1362+0.000001),0)</x:f>
        <x:v>0</x:v>
      </x:c>
      <x:c r="N1362" s="23" t="n">
        <x:v>-1.278725715759748</x:v>
      </x:c>
      <x:c r="O1362" s="23" t="n">
        <x:f>M1362</x:f>
        <x:v>0</x:v>
      </x:c>
      <x:c r="P1362" s="23" t="n">
        <x:v>9.942507723753351</x:v>
      </x:c>
      <x:c r="Q1362" s="23" t="n">
        <x:v>-3.0765714226199634</x:v>
      </x:c>
    </x:row>
    <x:row r="1363">
      <x:c r="A1363" s="23" t="str">
        <x:v>Switching</x:v>
      </x:c>
      <x:c r="B1363" s="23" t="n">
        <x:v>1060.0681091542356</x:v>
      </x:c>
      <x:c r="C1363" s="23" t="n">
        <x:v>1054.1339828632772</x:v>
      </x:c>
      <x:c r="D1363" s="23" t="n">
        <x:v>363.08903312310576</x:v>
      </x:c>
      <x:c r="E1363" s="23" t="n">
        <x:v>278.3040167251602</x:v>
      </x:c>
      <x:c r="F1363" s="23" t="n">
        <x:v>12.616166760679334</x:v>
      </x:c>
      <x:c r="G1363" s="23" t="n">
        <x:v>0.8223616846371442</x:v>
      </x:c>
      <x:c r="H1363" s="23" t="n">
        <x:v>12615</x:v>
      </x:c>
      <x:c r="I1363" s="23" t="n">
        <x:v>1200</x:v>
      </x:c>
      <x:c r="J1363" s="23" t="n">
        <x:f>(IF(A1363='Hybrid Calculator'!$B$6,0,1))^2+((B1363-'Hybrid Calculator'!$B$7)/1500)^2+((C1363-'Hybrid Calculator'!$B$8)/1300)^2+((D1363-'Hybrid Calculator'!$B$9)/800)^2+((E1363-'Hybrid Calculator'!$B$10)/350)^2+((F1363-'Hybrid Calculator'!$B$11)/30)^2+(G1363-'Hybrid Calculator'!$B$12)^2+((H1363-'Hybrid Calculator'!$E$14)/IF(A1363="Lightning",100,30000))^2+((I1363-'Hybrid Calculator'!$E$17)/IF(A1363="Lightning",100,30000))^2</x:f>
        <x:v>1.4629447785841496</x:v>
      </x:c>
      <x:c r="K1363" s="23" t="n">
        <x:f>RANK(J1363,$J$2:$J$1401,1)</x:f>
        <x:v>1143</x:v>
      </x:c>
      <x:c r="L1363" s="23" t="n">
        <x:f>IF(K1363&lt;=7,1,0)</x:f>
        <x:v>0</x:v>
      </x:c>
      <x:c r="M1363" s="23" t="n">
        <x:f>IF(L1363=1,1/(J1363+0.000001),0)</x:f>
        <x:v>0</x:v>
      </x:c>
      <x:c r="N1363" s="23" t="n">
        <x:v>1.3491831828238503</x:v>
      </x:c>
      <x:c r="O1363" s="23" t="n">
        <x:f>M1363</x:f>
        <x:v>0</x:v>
      </x:c>
      <x:c r="P1363" s="23" t="n">
        <x:v>-19.697687631731696</x:v>
      </x:c>
      <x:c r="Q1363" s="23" t="n">
        <x:v>4.769814607501075</x:v>
      </x:c>
    </x:row>
    <x:row r="1364">
      <x:c r="A1364" s="23" t="str">
        <x:v>Switching</x:v>
      </x:c>
      <x:c r="B1364" s="23" t="n">
        <x:v>989.4261568784714</x:v>
      </x:c>
      <x:c r="C1364" s="23" t="n">
        <x:v>1073.1494451290928</x:v>
      </x:c>
      <x:c r="D1364" s="23" t="n">
        <x:v>739.9062680080533</x:v>
      </x:c>
      <x:c r="E1364" s="23" t="n">
        <x:v>95.7395587884821</x:v>
      </x:c>
      <x:c r="F1364" s="23" t="n">
        <x:v>25.433626441285014</x:v>
      </x:c>
      <x:c r="G1364" s="23" t="n">
        <x:v>0.8162362397206017</x:v>
      </x:c>
      <x:c r="H1364" s="23" t="n">
        <x:v>11205</x:v>
      </x:c>
      <x:c r="I1364" s="23" t="n">
        <x:v>1195</x:v>
      </x:c>
      <x:c r="J1364" s="23" t="n">
        <x:f>(IF(A1364='Hybrid Calculator'!$B$6,0,1))^2+((B1364-'Hybrid Calculator'!$B$7)/1500)^2+((C1364-'Hybrid Calculator'!$B$8)/1300)^2+((D1364-'Hybrid Calculator'!$B$9)/800)^2+((E1364-'Hybrid Calculator'!$B$10)/350)^2+((F1364-'Hybrid Calculator'!$B$11)/30)^2+(G1364-'Hybrid Calculator'!$B$12)^2+((H1364-'Hybrid Calculator'!$E$14)/IF(A1364="Lightning",100,30000))^2+((I1364-'Hybrid Calculator'!$E$17)/IF(A1364="Lightning",100,30000))^2</x:f>
        <x:v>1.4209629477595838</x:v>
      </x:c>
      <x:c r="K1364" s="23" t="n">
        <x:f>RANK(J1364,$J$2:$J$1401,1)</x:f>
        <x:v>1040</x:v>
      </x:c>
      <x:c r="L1364" s="23" t="n">
        <x:f>IF(K1364&lt;=7,1,0)</x:f>
        <x:v>0</x:v>
      </x:c>
      <x:c r="M1364" s="23" t="n">
        <x:f>IF(L1364=1,1/(J1364+0.000001),0)</x:f>
        <x:v>0</x:v>
      </x:c>
      <x:c r="N1364" s="23" t="n">
        <x:v>2.6786279769890484</x:v>
      </x:c>
      <x:c r="O1364" s="23" t="n">
        <x:f>M1364</x:f>
        <x:v>0</x:v>
      </x:c>
      <x:c r="P1364" s="23" t="n">
        <x:v>47.58755113039388</x:v>
      </x:c>
      <x:c r="Q1364" s="23" t="n">
        <x:v>-8.905504258148767</x:v>
      </x:c>
    </x:row>
    <x:row r="1365">
      <x:c r="A1365" s="23" t="str">
        <x:v>Switching</x:v>
      </x:c>
      <x:c r="B1365" s="23" t="n">
        <x:v>1052.0561924786307</x:v>
      </x:c>
      <x:c r="C1365" s="23" t="n">
        <x:v>1116.5146509418264</x:v>
      </x:c>
      <x:c r="D1365" s="23" t="n">
        <x:v>720.9557698108256</x:v>
      </x:c>
      <x:c r="E1365" s="23" t="n">
        <x:v>109.48222099803388</x:v>
      </x:c>
      <x:c r="F1365" s="23" t="n">
        <x:v>25.857289609033614</x:v>
      </x:c>
      <x:c r="G1365" s="23" t="n">
        <x:v>0.8478453657077626</x:v>
      </x:c>
      <x:c r="H1365" s="23" t="n">
        <x:v>10985</x:v>
      </x:c>
      <x:c r="I1365" s="23" t="n">
        <x:v>1195</x:v>
      </x:c>
      <x:c r="J1365" s="23" t="n">
        <x:f>(IF(A1365='Hybrid Calculator'!$B$6,0,1))^2+((B1365-'Hybrid Calculator'!$B$7)/1500)^2+((C1365-'Hybrid Calculator'!$B$8)/1300)^2+((D1365-'Hybrid Calculator'!$B$9)/800)^2+((E1365-'Hybrid Calculator'!$B$10)/350)^2+((F1365-'Hybrid Calculator'!$B$11)/30)^2+(G1365-'Hybrid Calculator'!$B$12)^2+((H1365-'Hybrid Calculator'!$E$14)/IF(A1365="Lightning",100,30000))^2+((I1365-'Hybrid Calculator'!$E$17)/IF(A1365="Lightning",100,30000))^2</x:f>
        <x:v>1.388831912935519</x:v>
      </x:c>
      <x:c r="K1365" s="23" t="n">
        <x:f>RANK(J1365,$J$2:$J$1401,1)</x:f>
        <x:v>945</x:v>
      </x:c>
      <x:c r="L1365" s="23" t="n">
        <x:f>IF(K1365&lt;=7,1,0)</x:f>
        <x:v>0</x:v>
      </x:c>
      <x:c r="M1365" s="23" t="n">
        <x:f>IF(L1365=1,1/(J1365+0.000001),0)</x:f>
        <x:v>0</x:v>
      </x:c>
      <x:c r="N1365" s="23" t="n">
        <x:v>-2.3043914435074555</x:v>
      </x:c>
      <x:c r="O1365" s="23" t="n">
        <x:f>M1365</x:f>
        <x:v>0</x:v>
      </x:c>
      <x:c r="P1365" s="23" t="n">
        <x:v>59.57583634017328</x:v>
      </x:c>
      <x:c r="Q1365" s="23" t="n">
        <x:v>-14.397832332522057</x:v>
      </x:c>
    </x:row>
    <x:row r="1366">
      <x:c r="A1366" s="23" t="str">
        <x:v>Switching</x:v>
      </x:c>
      <x:c r="B1366" s="23" t="n">
        <x:v>979.8033387167379</x:v>
      </x:c>
      <x:c r="C1366" s="23" t="n">
        <x:v>1197.0799211994745</x:v>
      </x:c>
      <x:c r="D1366" s="23" t="n">
        <x:v>386.47922314703465</x:v>
      </x:c>
      <x:c r="E1366" s="23" t="n">
        <x:v>250.83500436274335</x:v>
      </x:c>
      <x:c r="F1366" s="23" t="n">
        <x:v>25.129542195238173</x:v>
      </x:c>
      <x:c r="G1366" s="23" t="n">
        <x:v>0.8104146225261503</x:v>
      </x:c>
      <x:c r="H1366" s="23" t="n">
        <x:v>11660</x:v>
      </x:c>
      <x:c r="I1366" s="23" t="n">
        <x:v>1195</x:v>
      </x:c>
      <x:c r="J1366" s="23" t="n">
        <x:f>(IF(A1366='Hybrid Calculator'!$B$6,0,1))^2+((B1366-'Hybrid Calculator'!$B$7)/1500)^2+((C1366-'Hybrid Calculator'!$B$8)/1300)^2+((D1366-'Hybrid Calculator'!$B$9)/800)^2+((E1366-'Hybrid Calculator'!$B$10)/350)^2+((F1366-'Hybrid Calculator'!$B$11)/30)^2+(G1366-'Hybrid Calculator'!$B$12)^2+((H1366-'Hybrid Calculator'!$E$14)/IF(A1366="Lightning",100,30000))^2+((I1366-'Hybrid Calculator'!$E$17)/IF(A1366="Lightning",100,30000))^2</x:f>
        <x:v>1.462723308724445</x:v>
      </x:c>
      <x:c r="K1366" s="23" t="n">
        <x:f>RANK(J1366,$J$2:$J$1401,1)</x:f>
        <x:v>1141</x:v>
      </x:c>
      <x:c r="L1366" s="23" t="n">
        <x:f>IF(K1366&lt;=7,1,0)</x:f>
        <x:v>0</x:v>
      </x:c>
      <x:c r="M1366" s="23" t="n">
        <x:f>IF(L1366=1,1/(J1366+0.000001),0)</x:f>
        <x:v>0</x:v>
      </x:c>
      <x:c r="N1366" s="23" t="n">
        <x:v>-2.550148875880609</x:v>
      </x:c>
      <x:c r="O1366" s="23" t="n">
        <x:f>M1366</x:f>
        <x:v>0</x:v>
      </x:c>
      <x:c r="P1366" s="23" t="n">
        <x:v>16.06349256345584</x:v>
      </x:c>
      <x:c r="Q1366" s="23" t="n">
        <x:v>-15.951220622408073</x:v>
      </x:c>
    </x:row>
    <x:row r="1367">
      <x:c r="A1367" s="23" t="str">
        <x:v>Switching</x:v>
      </x:c>
      <x:c r="B1367" s="23" t="n">
        <x:v>1095.7840793184005</x:v>
      </x:c>
      <x:c r="C1367" s="23" t="n">
        <x:v>1163.4965113829821</x:v>
      </x:c>
      <x:c r="D1367" s="23" t="n">
        <x:v>524.8024250380695</x:v>
      </x:c>
      <x:c r="E1367" s="23" t="n">
        <x:v>268.1023010937497</x:v>
      </x:c>
      <x:c r="F1367" s="23" t="n">
        <x:v>11.673565890174359</x:v>
      </x:c>
      <x:c r="G1367" s="23" t="n">
        <x:v>0.7946353932470084</x:v>
      </x:c>
      <x:c r="H1367" s="23" t="n">
        <x:v>10930</x:v>
      </x:c>
      <x:c r="I1367" s="23" t="n">
        <x:v>1195</x:v>
      </x:c>
      <x:c r="J1367" s="23" t="n">
        <x:f>(IF(A1367='Hybrid Calculator'!$B$6,0,1))^2+((B1367-'Hybrid Calculator'!$B$7)/1500)^2+((C1367-'Hybrid Calculator'!$B$8)/1300)^2+((D1367-'Hybrid Calculator'!$B$9)/800)^2+((E1367-'Hybrid Calculator'!$B$10)/350)^2+((F1367-'Hybrid Calculator'!$B$11)/30)^2+(G1367-'Hybrid Calculator'!$B$12)^2+((H1367-'Hybrid Calculator'!$E$14)/IF(A1367="Lightning",100,30000))^2+((I1367-'Hybrid Calculator'!$E$17)/IF(A1367="Lightning",100,30000))^2</x:f>
        <x:v>1.4066173028914501</x:v>
      </x:c>
      <x:c r="K1367" s="23" t="n">
        <x:f>RANK(J1367,$J$2:$J$1401,1)</x:f>
        <x:v>996</x:v>
      </x:c>
      <x:c r="L1367" s="23" t="n">
        <x:f>IF(K1367&lt;=7,1,0)</x:f>
        <x:v>0</x:v>
      </x:c>
      <x:c r="M1367" s="23" t="n">
        <x:f>IF(L1367=1,1/(J1367+0.000001),0)</x:f>
        <x:v>0</x:v>
      </x:c>
      <x:c r="N1367" s="23" t="n">
        <x:v>5.7050649528336805</x:v>
      </x:c>
      <x:c r="O1367" s="23" t="n">
        <x:f>M1367</x:f>
        <x:v>0</x:v>
      </x:c>
      <x:c r="P1367" s="23" t="n">
        <x:v>32.0924090211729</x:v>
      </x:c>
      <x:c r="Q1367" s="23" t="n">
        <x:v>-6.9845435518618615</x:v>
      </x:c>
    </x:row>
    <x:row r="1368">
      <x:c r="A1368" s="23" t="str">
        <x:v>Switching</x:v>
      </x:c>
      <x:c r="B1368" s="23" t="n">
        <x:v>976.1426582466811</x:v>
      </x:c>
      <x:c r="C1368" s="23" t="n">
        <x:v>1222.389095358085</x:v>
      </x:c>
      <x:c r="D1368" s="23" t="n">
        <x:v>357.62775298208</x:v>
      </x:c>
      <x:c r="E1368" s="23" t="n">
        <x:v>254.97480363817886</x:v>
      </x:c>
      <x:c r="F1368" s="23" t="n">
        <x:v>29.4757692925632</x:v>
      </x:c>
      <x:c r="G1368" s="23" t="n">
        <x:v>0.8475119973369875</x:v>
      </x:c>
      <x:c r="H1368" s="23" t="n">
        <x:v>13595</x:v>
      </x:c>
      <x:c r="I1368" s="23" t="n">
        <x:v>1200</x:v>
      </x:c>
      <x:c r="J1368" s="23" t="n">
        <x:f>(IF(A1368='Hybrid Calculator'!$B$6,0,1))^2+((B1368-'Hybrid Calculator'!$B$7)/1500)^2+((C1368-'Hybrid Calculator'!$B$8)/1300)^2+((D1368-'Hybrid Calculator'!$B$9)/800)^2+((E1368-'Hybrid Calculator'!$B$10)/350)^2+((F1368-'Hybrid Calculator'!$B$11)/30)^2+(G1368-'Hybrid Calculator'!$B$12)^2+((H1368-'Hybrid Calculator'!$E$14)/IF(A1368="Lightning",100,30000))^2+((I1368-'Hybrid Calculator'!$E$17)/IF(A1368="Lightning",100,30000))^2</x:f>
        <x:v>1.6332233652481654</x:v>
      </x:c>
      <x:c r="K1368" s="23" t="n">
        <x:f>RANK(J1368,$J$2:$J$1401,1)</x:f>
        <x:v>1370</x:v>
      </x:c>
      <x:c r="L1368" s="23" t="n">
        <x:f>IF(K1368&lt;=7,1,0)</x:f>
        <x:v>0</x:v>
      </x:c>
      <x:c r="M1368" s="23" t="n">
        <x:f>IF(L1368=1,1/(J1368+0.000001),0)</x:f>
        <x:v>0</x:v>
      </x:c>
      <x:c r="N1368" s="23" t="n">
        <x:v>2.236251761413797</x:v>
      </x:c>
      <x:c r="O1368" s="23" t="n">
        <x:f>M1368</x:f>
        <x:v>0</x:v>
      </x:c>
      <x:c r="P1368" s="23" t="n">
        <x:v>-5.998373157704009</x:v>
      </x:c>
      <x:c r="Q1368" s="23" t="n">
        <x:v>-11.439283943493706</x:v>
      </x:c>
    </x:row>
    <x:row r="1369">
      <x:c r="A1369" s="23" t="str">
        <x:v>Switching</x:v>
      </x:c>
      <x:c r="B1369" s="23" t="n">
        <x:v>1035.3844419238158</x:v>
      </x:c>
      <x:c r="C1369" s="23" t="n">
        <x:v>702.2815531818196</x:v>
      </x:c>
      <x:c r="D1369" s="23" t="n">
        <x:v>599.6948619373143</x:v>
      </x:c>
      <x:c r="E1369" s="23" t="n">
        <x:v>226.55837323516607</x:v>
      </x:c>
      <x:c r="F1369" s="23" t="n">
        <x:v>19.899910705629736</x:v>
      </x:c>
      <x:c r="G1369" s="23" t="n">
        <x:v>0.8029206755338237</x:v>
      </x:c>
      <x:c r="H1369" s="23" t="n">
        <x:v>13990</x:v>
      </x:c>
      <x:c r="I1369" s="23" t="n">
        <x:v>1200</x:v>
      </x:c>
      <x:c r="J1369" s="23" t="n">
        <x:f>(IF(A1369='Hybrid Calculator'!$B$6,0,1))^2+((B1369-'Hybrid Calculator'!$B$7)/1500)^2+((C1369-'Hybrid Calculator'!$B$8)/1300)^2+((D1369-'Hybrid Calculator'!$B$9)/800)^2+((E1369-'Hybrid Calculator'!$B$10)/350)^2+((F1369-'Hybrid Calculator'!$B$11)/30)^2+(G1369-'Hybrid Calculator'!$B$12)^2+((H1369-'Hybrid Calculator'!$E$14)/IF(A1369="Lightning",100,30000))^2+((I1369-'Hybrid Calculator'!$E$17)/IF(A1369="Lightning",100,30000))^2</x:f>
        <x:v>1.3636730088987756</x:v>
      </x:c>
      <x:c r="K1369" s="23" t="n">
        <x:f>RANK(J1369,$J$2:$J$1401,1)</x:f>
        <x:v>867</x:v>
      </x:c>
      <x:c r="L1369" s="23" t="n">
        <x:f>IF(K1369&lt;=7,1,0)</x:f>
        <x:v>0</x:v>
      </x:c>
      <x:c r="M1369" s="23" t="n">
        <x:f>IF(L1369=1,1/(J1369+0.000001),0)</x:f>
        <x:v>0</x:v>
      </x:c>
      <x:c r="N1369" s="23" t="n">
        <x:v>-3.3077730425144694</x:v>
      </x:c>
      <x:c r="O1369" s="23" t="n">
        <x:f>M1369</x:f>
        <x:v>0</x:v>
      </x:c>
      <x:c r="P1369" s="23" t="n">
        <x:v>5.8191747157952705</x:v>
      </x:c>
      <x:c r="Q1369" s="23" t="n">
        <x:v>-3.1909400339727654</x:v>
      </x:c>
    </x:row>
    <x:row r="1370">
      <x:c r="A1370" s="23" t="str">
        <x:v>Switching</x:v>
      </x:c>
      <x:c r="B1370" s="23" t="n">
        <x:v>1083.7031927192584</x:v>
      </x:c>
      <x:c r="C1370" s="23" t="n">
        <x:v>783.1752843339927</x:v>
      </x:c>
      <x:c r="D1370" s="23" t="n">
        <x:v>715.2924440801144</x:v>
      </x:c>
      <x:c r="E1370" s="23" t="n">
        <x:v>142.44352593785152</x:v>
      </x:c>
      <x:c r="F1370" s="23" t="n">
        <x:v>18.474525204859674</x:v>
      </x:c>
      <x:c r="G1370" s="23" t="n">
        <x:v>0.8035549096181058</x:v>
      </x:c>
      <x:c r="H1370" s="23" t="n">
        <x:v>13035</x:v>
      </x:c>
      <x:c r="I1370" s="23" t="n">
        <x:v>1200</x:v>
      </x:c>
      <x:c r="J1370" s="23" t="n">
        <x:f>(IF(A1370='Hybrid Calculator'!$B$6,0,1))^2+((B1370-'Hybrid Calculator'!$B$7)/1500)^2+((C1370-'Hybrid Calculator'!$B$8)/1300)^2+((D1370-'Hybrid Calculator'!$B$9)/800)^2+((E1370-'Hybrid Calculator'!$B$10)/350)^2+((F1370-'Hybrid Calculator'!$B$11)/30)^2+(G1370-'Hybrid Calculator'!$B$12)^2+((H1370-'Hybrid Calculator'!$E$14)/IF(A1370="Lightning",100,30000))^2+((I1370-'Hybrid Calculator'!$E$17)/IF(A1370="Lightning",100,30000))^2</x:f>
        <x:v>1.3164519732849462</x:v>
      </x:c>
      <x:c r="K1370" s="23" t="n">
        <x:f>RANK(J1370,$J$2:$J$1401,1)</x:f>
        <x:v>757</x:v>
      </x:c>
      <x:c r="L1370" s="23" t="n">
        <x:f>IF(K1370&lt;=7,1,0)</x:f>
        <x:v>0</x:v>
      </x:c>
      <x:c r="M1370" s="23" t="n">
        <x:f>IF(L1370=1,1/(J1370+0.000001),0)</x:f>
        <x:v>0</x:v>
      </x:c>
      <x:c r="N1370" s="23" t="n">
        <x:v>0.0975482589855119</x:v>
      </x:c>
      <x:c r="O1370" s="23" t="n">
        <x:f>M1370</x:f>
        <x:v>0</x:v>
      </x:c>
      <x:c r="P1370" s="23" t="n">
        <x:v>-56.68740975777973</x:v>
      </x:c>
      <x:c r="Q1370" s="23" t="n">
        <x:v>3.9060192503366125</x:v>
      </x:c>
    </x:row>
    <x:row r="1371">
      <x:c r="A1371" s="23" t="str">
        <x:v>Switching</x:v>
      </x:c>
      <x:c r="B1371" s="23" t="n">
        <x:v>961.6213245200925</x:v>
      </x:c>
      <x:c r="C1371" s="23" t="n">
        <x:v>689.2970122396946</x:v>
      </x:c>
      <x:c r="D1371" s="23" t="n">
        <x:v>634.7645907662809</x:v>
      </x:c>
      <x:c r="E1371" s="23" t="n">
        <x:v>251.79527052212507</x:v>
      </x:c>
      <x:c r="F1371" s="23" t="n">
        <x:v>15.1880893423222</x:v>
      </x:c>
      <x:c r="G1371" s="23" t="n">
        <x:v>0.8396555317472667</x:v>
      </x:c>
      <x:c r="H1371" s="23" t="n">
        <x:v>15835</x:v>
      </x:c>
      <x:c r="I1371" s="23" t="n">
        <x:v>1200</x:v>
      </x:c>
      <x:c r="J1371" s="23" t="n">
        <x:f>(IF(A1371='Hybrid Calculator'!$B$6,0,1))^2+((B1371-'Hybrid Calculator'!$B$7)/1500)^2+((C1371-'Hybrid Calculator'!$B$8)/1300)^2+((D1371-'Hybrid Calculator'!$B$9)/800)^2+((E1371-'Hybrid Calculator'!$B$10)/350)^2+((F1371-'Hybrid Calculator'!$B$11)/30)^2+(G1371-'Hybrid Calculator'!$B$12)^2+((H1371-'Hybrid Calculator'!$E$14)/IF(A1371="Lightning",100,30000))^2+((I1371-'Hybrid Calculator'!$E$17)/IF(A1371="Lightning",100,30000))^2</x:f>
        <x:v>1.5146389365977673</x:v>
      </x:c>
      <x:c r="K1371" s="23" t="n">
        <x:f>RANK(J1371,$J$2:$J$1401,1)</x:f>
        <x:v>1237</x:v>
      </x:c>
      <x:c r="L1371" s="23" t="n">
        <x:f>IF(K1371&lt;=7,1,0)</x:f>
        <x:v>0</x:v>
      </x:c>
      <x:c r="M1371" s="23" t="n">
        <x:f>IF(L1371=1,1/(J1371+0.000001),0)</x:f>
        <x:v>0</x:v>
      </x:c>
      <x:c r="N1371" s="23" t="n">
        <x:v>1.2005661241290966</x:v>
      </x:c>
      <x:c r="O1371" s="23" t="n">
        <x:f>M1371</x:f>
        <x:v>0</x:v>
      </x:c>
      <x:c r="P1371" s="23" t="n">
        <x:v>-23.30994209135406</x:v>
      </x:c>
      <x:c r="Q1371" s="23" t="n">
        <x:v>4.679815892650936</x:v>
      </x:c>
    </x:row>
    <x:row r="1372">
      <x:c r="A1372" s="23" t="str">
        <x:v>Switching</x:v>
      </x:c>
      <x:c r="B1372" s="23" t="n">
        <x:v>1074.6204189024866</x:v>
      </x:c>
      <x:c r="C1372" s="23" t="n">
        <x:v>765.4633819474839</x:v>
      </x:c>
      <x:c r="D1372" s="23" t="n">
        <x:v>404.94173411279917</x:v>
      </x:c>
      <x:c r="E1372" s="23" t="n">
        <x:v>320.2508101076819</x:v>
      </x:c>
      <x:c r="F1372" s="23" t="n">
        <x:v>11.406610453501344</x:v>
      </x:c>
      <x:c r="G1372" s="23" t="n">
        <x:v>0.8010046673123725</x:v>
      </x:c>
      <x:c r="H1372" s="23" t="n">
        <x:v>14345</x:v>
      </x:c>
      <x:c r="I1372" s="23" t="n">
        <x:v>1200</x:v>
      </x:c>
      <x:c r="J1372" s="23" t="n">
        <x:f>(IF(A1372='Hybrid Calculator'!$B$6,0,1))^2+((B1372-'Hybrid Calculator'!$B$7)/1500)^2+((C1372-'Hybrid Calculator'!$B$8)/1300)^2+((D1372-'Hybrid Calculator'!$B$9)/800)^2+((E1372-'Hybrid Calculator'!$B$10)/350)^2+((F1372-'Hybrid Calculator'!$B$11)/30)^2+(G1372-'Hybrid Calculator'!$B$12)^2+((H1372-'Hybrid Calculator'!$E$14)/IF(A1372="Lightning",100,30000))^2+((I1372-'Hybrid Calculator'!$E$17)/IF(A1372="Lightning",100,30000))^2</x:f>
        <x:v>1.5943790971822815</x:v>
      </x:c>
      <x:c r="K1372" s="23" t="n">
        <x:f>RANK(J1372,$J$2:$J$1401,1)</x:f>
        <x:v>1345</x:v>
      </x:c>
      <x:c r="L1372" s="23" t="n">
        <x:f>IF(K1372&lt;=7,1,0)</x:f>
        <x:v>0</x:v>
      </x:c>
      <x:c r="M1372" s="23" t="n">
        <x:f>IF(L1372=1,1/(J1372+0.000001),0)</x:f>
        <x:v>0</x:v>
      </x:c>
      <x:c r="N1372" s="23" t="n">
        <x:v>0.4343613518273344</x:v>
      </x:c>
      <x:c r="O1372" s="23" t="n">
        <x:f>M1372</x:f>
        <x:v>0</x:v>
      </x:c>
      <x:c r="P1372" s="23" t="n">
        <x:v>2.2672104471389503</x:v>
      </x:c>
      <x:c r="Q1372" s="23" t="n">
        <x:v>8.789295253458022</x:v>
      </x:c>
    </x:row>
    <x:row r="1373">
      <x:c r="A1373" s="23" t="str">
        <x:v>Switching</x:v>
      </x:c>
      <x:c r="B1373" s="23" t="n">
        <x:v>1070.2549161040224</x:v>
      </x:c>
      <x:c r="C1373" s="23" t="n">
        <x:v>1248.4323899494484</x:v>
      </x:c>
      <x:c r="D1373" s="23" t="n">
        <x:v>705.276792589575</x:v>
      </x:c>
      <x:c r="E1373" s="23" t="n">
        <x:v>328.5077197197825</x:v>
      </x:c>
      <x:c r="F1373" s="23" t="n">
        <x:v>18.664153643418103</x:v>
      </x:c>
      <x:c r="G1373" s="23" t="n">
        <x:v>0.8267080188402907</x:v>
      </x:c>
      <x:c r="H1373" s="23" t="n">
        <x:v>9370</x:v>
      </x:c>
      <x:c r="I1373" s="23" t="n">
        <x:v>1195</x:v>
      </x:c>
      <x:c r="J1373" s="23" t="n">
        <x:f>(IF(A1373='Hybrid Calculator'!$B$6,0,1))^2+((B1373-'Hybrid Calculator'!$B$7)/1500)^2+((C1373-'Hybrid Calculator'!$B$8)/1300)^2+((D1373-'Hybrid Calculator'!$B$9)/800)^2+((E1373-'Hybrid Calculator'!$B$10)/350)^2+((F1373-'Hybrid Calculator'!$B$11)/30)^2+(G1373-'Hybrid Calculator'!$B$12)^2+((H1373-'Hybrid Calculator'!$E$14)/IF(A1373="Lightning",100,30000))^2+((I1373-'Hybrid Calculator'!$E$17)/IF(A1373="Lightning",100,30000))^2</x:f>
        <x:v>1.5739383623441803</x:v>
      </x:c>
      <x:c r="K1373" s="23" t="n">
        <x:f>RANK(J1373,$J$2:$J$1401,1)</x:f>
        <x:v>1329</x:v>
      </x:c>
      <x:c r="L1373" s="23" t="n">
        <x:f>IF(K1373&lt;=7,1,0)</x:f>
        <x:v>0</x:v>
      </x:c>
      <x:c r="M1373" s="23" t="n">
        <x:f>IF(L1373=1,1/(J1373+0.000001),0)</x:f>
        <x:v>0</x:v>
      </x:c>
      <x:c r="N1373" s="23" t="n">
        <x:v>3.463486555787995</x:v>
      </x:c>
      <x:c r="O1373" s="23" t="n">
        <x:f>M1373</x:f>
        <x:v>0</x:v>
      </x:c>
      <x:c r="P1373" s="23" t="n">
        <x:v>27.018458214976363</x:v>
      </x:c>
      <x:c r="Q1373" s="23" t="n">
        <x:v>-4.537822247563781</x:v>
      </x:c>
    </x:row>
    <x:row r="1374">
      <x:c r="A1374" s="23" t="str">
        <x:v>Switching</x:v>
      </x:c>
      <x:c r="B1374" s="23" t="n">
        <x:v>968.0151803418994</x:v>
      </x:c>
      <x:c r="C1374" s="23" t="n">
        <x:v>1048.3647827408276</x:v>
      </x:c>
      <x:c r="D1374" s="23" t="n">
        <x:v>438.2682206109166</x:v>
      </x:c>
      <x:c r="E1374" s="23" t="n">
        <x:v>301.46223444724455</x:v>
      </x:c>
      <x:c r="F1374" s="23" t="n">
        <x:v>28.66330577991903</x:v>
      </x:c>
      <x:c r="G1374" s="23" t="n">
        <x:v>0.8353307753917761</x:v>
      </x:c>
      <x:c r="H1374" s="23" t="n">
        <x:v>13955</x:v>
      </x:c>
      <x:c r="I1374" s="23" t="n">
        <x:v>1200</x:v>
      </x:c>
      <x:c r="J1374" s="23" t="n">
        <x:f>(IF(A1374='Hybrid Calculator'!$B$6,0,1))^2+((B1374-'Hybrid Calculator'!$B$7)/1500)^2+((C1374-'Hybrid Calculator'!$B$8)/1300)^2+((D1374-'Hybrid Calculator'!$B$9)/800)^2+((E1374-'Hybrid Calculator'!$B$10)/350)^2+((F1374-'Hybrid Calculator'!$B$11)/30)^2+(G1374-'Hybrid Calculator'!$B$12)^2+((H1374-'Hybrid Calculator'!$E$14)/IF(A1374="Lightning",100,30000))^2+((I1374-'Hybrid Calculator'!$E$17)/IF(A1374="Lightning",100,30000))^2</x:f>
        <x:v>1.640696170243606</x:v>
      </x:c>
      <x:c r="K1374" s="23" t="n">
        <x:f>RANK(J1374,$J$2:$J$1401,1)</x:f>
        <x:v>1375</x:v>
      </x:c>
      <x:c r="L1374" s="23" t="n">
        <x:f>IF(K1374&lt;=7,1,0)</x:f>
        <x:v>0</x:v>
      </x:c>
      <x:c r="M1374" s="23" t="n">
        <x:f>IF(L1374=1,1/(J1374+0.000001),0)</x:f>
        <x:v>0</x:v>
      </x:c>
      <x:c r="N1374" s="23" t="n">
        <x:v>-0.4624675062679273</x:v>
      </x:c>
      <x:c r="O1374" s="23" t="n">
        <x:f>M1374</x:f>
        <x:v>0</x:v>
      </x:c>
      <x:c r="P1374" s="23" t="n">
        <x:v>56.09406751054894</x:v>
      </x:c>
      <x:c r="Q1374" s="23" t="n">
        <x:v>-15.74366266295658</x:v>
      </x:c>
    </x:row>
    <x:row r="1375">
      <x:c r="A1375" s="23" t="str">
        <x:v>Switching</x:v>
      </x:c>
      <x:c r="B1375" s="23" t="n">
        <x:v>978.7777644232847</x:v>
      </x:c>
      <x:c r="C1375" s="23" t="n">
        <x:v>789.5264100516215</x:v>
      </x:c>
      <x:c r="D1375" s="23" t="n">
        <x:v>719.9294508434832</x:v>
      </x:c>
      <x:c r="E1375" s="23" t="n">
        <x:v>150.99527376703918</x:v>
      </x:c>
      <x:c r="F1375" s="23" t="n">
        <x:v>27.10339852096513</x:v>
      </x:c>
      <x:c r="G1375" s="23" t="n">
        <x:v>0.8396891973586753</x:v>
      </x:c>
      <x:c r="H1375" s="23" t="n">
        <x:v>15025</x:v>
      </x:c>
      <x:c r="I1375" s="23" t="n">
        <x:v>1200</x:v>
      </x:c>
      <x:c r="J1375" s="23" t="n">
        <x:f>(IF(A1375='Hybrid Calculator'!$B$6,0,1))^2+((B1375-'Hybrid Calculator'!$B$7)/1500)^2+((C1375-'Hybrid Calculator'!$B$8)/1300)^2+((D1375-'Hybrid Calculator'!$B$9)/800)^2+((E1375-'Hybrid Calculator'!$B$10)/350)^2+((F1375-'Hybrid Calculator'!$B$11)/30)^2+(G1375-'Hybrid Calculator'!$B$12)^2+((H1375-'Hybrid Calculator'!$E$14)/IF(A1375="Lightning",100,30000))^2+((I1375-'Hybrid Calculator'!$E$17)/IF(A1375="Lightning",100,30000))^2</x:f>
        <x:v>1.4995755600600194</x:v>
      </x:c>
      <x:c r="K1375" s="23" t="n">
        <x:f>RANK(J1375,$J$2:$J$1401,1)</x:f>
        <x:v>1210</x:v>
      </x:c>
      <x:c r="L1375" s="23" t="n">
        <x:f>IF(K1375&lt;=7,1,0)</x:f>
        <x:v>0</x:v>
      </x:c>
      <x:c r="M1375" s="23" t="n">
        <x:f>IF(L1375=1,1/(J1375+0.000001),0)</x:f>
        <x:v>0</x:v>
      </x:c>
      <x:c r="N1375" s="23" t="n">
        <x:v>-3.479187062896955</x:v>
      </x:c>
      <x:c r="O1375" s="23" t="n">
        <x:f>M1375</x:f>
        <x:v>0</x:v>
      </x:c>
      <x:c r="P1375" s="23" t="n">
        <x:v>-48.97950751620783</x:v>
      </x:c>
      <x:c r="Q1375" s="23" t="n">
        <x:v>-5.760585623080715</x:v>
      </x:c>
    </x:row>
    <x:row r="1376">
      <x:c r="A1376" s="23" t="str">
        <x:v>Switching</x:v>
      </x:c>
      <x:c r="B1376" s="23" t="n">
        <x:v>980.9585063485429</x:v>
      </x:c>
      <x:c r="C1376" s="23" t="n">
        <x:v>1003.8233517319895</x:v>
      </x:c>
      <x:c r="D1376" s="23" t="n">
        <x:v>422.6066906005144</x:v>
      </x:c>
      <x:c r="E1376" s="23" t="n">
        <x:v>171.31188149331138</x:v>
      </x:c>
      <x:c r="F1376" s="23" t="n">
        <x:v>27.233248964883387</x:v>
      </x:c>
      <x:c r="G1376" s="23" t="n">
        <x:v>0.8056760797533207</x:v>
      </x:c>
      <x:c r="H1376" s="23" t="n">
        <x:v>13385</x:v>
      </x:c>
      <x:c r="I1376" s="23" t="n">
        <x:v>1200</x:v>
      </x:c>
      <x:c r="J1376" s="23" t="n">
        <x:f>(IF(A1376='Hybrid Calculator'!$B$6,0,1))^2+((B1376-'Hybrid Calculator'!$B$7)/1500)^2+((C1376-'Hybrid Calculator'!$B$8)/1300)^2+((D1376-'Hybrid Calculator'!$B$9)/800)^2+((E1376-'Hybrid Calculator'!$B$10)/350)^2+((F1376-'Hybrid Calculator'!$B$11)/30)^2+(G1376-'Hybrid Calculator'!$B$12)^2+((H1376-'Hybrid Calculator'!$E$14)/IF(A1376="Lightning",100,30000))^2+((I1376-'Hybrid Calculator'!$E$17)/IF(A1376="Lightning",100,30000))^2</x:f>
        <x:v>1.3987635008361194</x:v>
      </x:c>
      <x:c r="K1376" s="23" t="n">
        <x:f>RANK(J1376,$J$2:$J$1401,1)</x:f>
        <x:v>973</x:v>
      </x:c>
      <x:c r="L1376" s="23" t="n">
        <x:f>IF(K1376&lt;=7,1,0)</x:f>
        <x:v>0</x:v>
      </x:c>
      <x:c r="M1376" s="23" t="n">
        <x:f>IF(L1376=1,1/(J1376+0.000001),0)</x:f>
        <x:v>0</x:v>
      </x:c>
      <x:c r="N1376" s="23" t="n">
        <x:v>-0.7889210948623884</x:v>
      </x:c>
      <x:c r="O1376" s="23" t="n">
        <x:f>M1376</x:f>
        <x:v>0</x:v>
      </x:c>
      <x:c r="P1376" s="23" t="n">
        <x:v>49.261437040127475</x:v>
      </x:c>
      <x:c r="Q1376" s="23" t="n">
        <x:v>-9.084338380803047</x:v>
      </x:c>
    </x:row>
    <x:row r="1377">
      <x:c r="A1377" s="23" t="str">
        <x:v>Switching</x:v>
      </x:c>
      <x:c r="B1377" s="23" t="n">
        <x:v>971.4608757174574</x:v>
      </x:c>
      <x:c r="C1377" s="23" t="n">
        <x:v>1248.1097856070846</x:v>
      </x:c>
      <x:c r="D1377" s="23" t="n">
        <x:v>654.2041937820613</x:v>
      </x:c>
      <x:c r="E1377" s="23" t="n">
        <x:v>317.551421741955</x:v>
      </x:c>
      <x:c r="F1377" s="23" t="n">
        <x:v>15.857697832863778</x:v>
      </x:c>
      <x:c r="G1377" s="23" t="n">
        <x:v>0.8207960003986955</x:v>
      </x:c>
      <x:c r="H1377" s="23" t="n">
        <x:v>11240</x:v>
      </x:c>
      <x:c r="I1377" s="23" t="n">
        <x:v>1195</x:v>
      </x:c>
      <x:c r="J1377" s="23" t="n">
        <x:f>(IF(A1377='Hybrid Calculator'!$B$6,0,1))^2+((B1377-'Hybrid Calculator'!$B$7)/1500)^2+((C1377-'Hybrid Calculator'!$B$8)/1300)^2+((D1377-'Hybrid Calculator'!$B$9)/800)^2+((E1377-'Hybrid Calculator'!$B$10)/350)^2+((F1377-'Hybrid Calculator'!$B$11)/30)^2+(G1377-'Hybrid Calculator'!$B$12)^2+((H1377-'Hybrid Calculator'!$E$14)/IF(A1377="Lightning",100,30000))^2+((I1377-'Hybrid Calculator'!$E$17)/IF(A1377="Lightning",100,30000))^2</x:f>
        <x:v>1.5999370963869675</x:v>
      </x:c>
      <x:c r="K1377" s="23" t="n">
        <x:f>RANK(J1377,$J$2:$J$1401,1)</x:f>
        <x:v>1354</x:v>
      </x:c>
      <x:c r="L1377" s="23" t="n">
        <x:f>IF(K1377&lt;=7,1,0)</x:f>
        <x:v>0</x:v>
      </x:c>
      <x:c r="M1377" s="23" t="n">
        <x:f>IF(L1377=1,1/(J1377+0.000001),0)</x:f>
        <x:v>0</x:v>
      </x:c>
      <x:c r="N1377" s="23" t="n">
        <x:v>1.1912214338451577</x:v>
      </x:c>
      <x:c r="O1377" s="23" t="n">
        <x:f>M1377</x:f>
        <x:v>0</x:v>
      </x:c>
      <x:c r="P1377" s="23" t="n">
        <x:v>39.53569713449997</x:v>
      </x:c>
      <x:c r="Q1377" s="23" t="n">
        <x:v>-10.56589214997257</x:v>
      </x:c>
    </x:row>
    <x:row r="1378">
      <x:c r="A1378" s="23" t="str">
        <x:v>Switching</x:v>
      </x:c>
      <x:c r="B1378" s="23" t="n">
        <x:v>1011.3133904989809</x:v>
      </x:c>
      <x:c r="C1378" s="23" t="n">
        <x:v>1062.498885660898</x:v>
      </x:c>
      <x:c r="D1378" s="23" t="n">
        <x:v>726.0608544573188</x:v>
      </x:c>
      <x:c r="E1378" s="23" t="n">
        <x:v>322.6204735529609</x:v>
      </x:c>
      <x:c r="F1378" s="23" t="n">
        <x:v>21.442680720239878</x:v>
      </x:c>
      <x:c r="G1378" s="23" t="n">
        <x:v>0.8260161221795715</x:v>
      </x:c>
      <x:c r="H1378" s="23" t="n">
        <x:v>10130</x:v>
      </x:c>
      <x:c r="I1378" s="23" t="n">
        <x:v>1195</x:v>
      </x:c>
      <x:c r="J1378" s="23" t="n">
        <x:f>(IF(A1378='Hybrid Calculator'!$B$6,0,1))^2+((B1378-'Hybrid Calculator'!$B$7)/1500)^2+((C1378-'Hybrid Calculator'!$B$8)/1300)^2+((D1378-'Hybrid Calculator'!$B$9)/800)^2+((E1378-'Hybrid Calculator'!$B$10)/350)^2+((F1378-'Hybrid Calculator'!$B$11)/30)^2+(G1378-'Hybrid Calculator'!$B$12)^2+((H1378-'Hybrid Calculator'!$E$14)/IF(A1378="Lightning",100,30000))^2+((I1378-'Hybrid Calculator'!$E$17)/IF(A1378="Lightning",100,30000))^2</x:f>
        <x:v>1.5499516348765308</x:v>
      </x:c>
      <x:c r="K1378" s="23" t="n">
        <x:f>RANK(J1378,$J$2:$J$1401,1)</x:f>
        <x:v>1300</x:v>
      </x:c>
      <x:c r="L1378" s="23" t="n">
        <x:f>IF(K1378&lt;=7,1,0)</x:f>
        <x:v>0</x:v>
      </x:c>
      <x:c r="M1378" s="23" t="n">
        <x:f>IF(L1378=1,1/(J1378+0.000001),0)</x:f>
        <x:v>0</x:v>
      </x:c>
      <x:c r="N1378" s="23" t="n">
        <x:v>-1.0632653627848754</x:v>
      </x:c>
      <x:c r="O1378" s="23" t="n">
        <x:f>M1378</x:f>
        <x:v>0</x:v>
      </x:c>
      <x:c r="P1378" s="23" t="n">
        <x:v>39.43588700910459</x:v>
      </x:c>
      <x:c r="Q1378" s="23" t="n">
        <x:v>-12.084895705264671</x:v>
      </x:c>
    </x:row>
    <x:row r="1379">
      <x:c r="A1379" s="23" t="str">
        <x:v>Switching</x:v>
      </x:c>
      <x:c r="B1379" s="23" t="n">
        <x:v>955.6862449389882</x:v>
      </x:c>
      <x:c r="C1379" s="23" t="n">
        <x:v>956.4914830727503</x:v>
      </x:c>
      <x:c r="D1379" s="23" t="n">
        <x:v>497.26513968780637</x:v>
      </x:c>
      <x:c r="E1379" s="23" t="n">
        <x:v>205.6662718951702</x:v>
      </x:c>
      <x:c r="F1379" s="23" t="n">
        <x:v>26.501410523895174</x:v>
      </x:c>
      <x:c r="G1379" s="23" t="n">
        <x:v>0.801282033692114</x:v>
      </x:c>
      <x:c r="H1379" s="23" t="n">
        <x:v>15035</x:v>
      </x:c>
      <x:c r="I1379" s="23" t="n">
        <x:v>1200</x:v>
      </x:c>
      <x:c r="J1379" s="23" t="n">
        <x:f>(IF(A1379='Hybrid Calculator'!$B$6,0,1))^2+((B1379-'Hybrid Calculator'!$B$7)/1500)^2+((C1379-'Hybrid Calculator'!$B$8)/1300)^2+((D1379-'Hybrid Calculator'!$B$9)/800)^2+((E1379-'Hybrid Calculator'!$B$10)/350)^2+((F1379-'Hybrid Calculator'!$B$11)/30)^2+(G1379-'Hybrid Calculator'!$B$12)^2+((H1379-'Hybrid Calculator'!$E$14)/IF(A1379="Lightning",100,30000))^2+((I1379-'Hybrid Calculator'!$E$17)/IF(A1379="Lightning",100,30000))^2</x:f>
        <x:v>1.4524299086763324</x:v>
      </x:c>
      <x:c r="K1379" s="23" t="n">
        <x:f>RANK(J1379,$J$2:$J$1401,1)</x:f>
        <x:v>1113</x:v>
      </x:c>
      <x:c r="L1379" s="23" t="n">
        <x:f>IF(K1379&lt;=7,1,0)</x:f>
        <x:v>0</x:v>
      </x:c>
      <x:c r="M1379" s="23" t="n">
        <x:f>IF(L1379=1,1/(J1379+0.000001),0)</x:f>
        <x:v>0</x:v>
      </x:c>
      <x:c r="N1379" s="23" t="n">
        <x:v>1.3430574460208504</x:v>
      </x:c>
      <x:c r="O1379" s="23" t="n">
        <x:f>M1379</x:f>
        <x:v>0</x:v>
      </x:c>
      <x:c r="P1379" s="23" t="n">
        <x:v>21.277692308397036</x:v>
      </x:c>
      <x:c r="Q1379" s="23" t="n">
        <x:v>-3.2642097997447763</x:v>
      </x:c>
    </x:row>
    <x:row r="1380">
      <x:c r="A1380" s="23" t="str">
        <x:v>Switching</x:v>
      </x:c>
      <x:c r="B1380" s="23" t="n">
        <x:v>1046.6481561074033</x:v>
      </x:c>
      <x:c r="C1380" s="23" t="n">
        <x:v>1065.6377763603814</x:v>
      </x:c>
      <x:c r="D1380" s="23" t="n">
        <x:v>364.2402745783329</x:v>
      </x:c>
      <x:c r="E1380" s="23" t="n">
        <x:v>197.1685554436408</x:v>
      </x:c>
      <x:c r="F1380" s="23" t="n">
        <x:v>12.29148010816425</x:v>
      </x:c>
      <x:c r="G1380" s="23" t="n">
        <x:v>0.8317471647798084</x:v>
      </x:c>
      <x:c r="H1380" s="23" t="n">
        <x:v>13145</x:v>
      </x:c>
      <x:c r="I1380" s="23" t="n">
        <x:v>1200</x:v>
      </x:c>
      <x:c r="J1380" s="23" t="n">
        <x:f>(IF(A1380='Hybrid Calculator'!$B$6,0,1))^2+((B1380-'Hybrid Calculator'!$B$7)/1500)^2+((C1380-'Hybrid Calculator'!$B$8)/1300)^2+((D1380-'Hybrid Calculator'!$B$9)/800)^2+((E1380-'Hybrid Calculator'!$B$10)/350)^2+((F1380-'Hybrid Calculator'!$B$11)/30)^2+(G1380-'Hybrid Calculator'!$B$12)^2+((H1380-'Hybrid Calculator'!$E$14)/IF(A1380="Lightning",100,30000))^2+((I1380-'Hybrid Calculator'!$E$17)/IF(A1380="Lightning",100,30000))^2</x:f>
        <x:v>1.3731299103184182</x:v>
      </x:c>
      <x:c r="K1380" s="23" t="n">
        <x:f>RANK(J1380,$J$2:$J$1401,1)</x:f>
        <x:v>899</x:v>
      </x:c>
      <x:c r="L1380" s="23" t="n">
        <x:f>IF(K1380&lt;=7,1,0)</x:f>
        <x:v>0</x:v>
      </x:c>
      <x:c r="M1380" s="23" t="n">
        <x:f>IF(L1380=1,1/(J1380+0.000001),0)</x:f>
        <x:v>0</x:v>
      </x:c>
      <x:c r="N1380" s="23" t="n">
        <x:v>-1.0086641349307968</x:v>
      </x:c>
      <x:c r="O1380" s="23" t="n">
        <x:f>M1380</x:f>
        <x:v>0</x:v>
      </x:c>
      <x:c r="P1380" s="23" t="n">
        <x:v>-17.960603694964448</x:v>
      </x:c>
      <x:c r="Q1380" s="23" t="n">
        <x:v>5.730877699897292</x:v>
      </x:c>
    </x:row>
    <x:row r="1381">
      <x:c r="A1381" s="23" t="str">
        <x:v>Switching</x:v>
      </x:c>
      <x:c r="B1381" s="23" t="n">
        <x:v>1043.4801805648021</x:v>
      </x:c>
      <x:c r="C1381" s="23" t="n">
        <x:v>742.8475672379136</x:v>
      </x:c>
      <x:c r="D1381" s="23" t="n">
        <x:v>504.03130492195487</x:v>
      </x:c>
      <x:c r="E1381" s="23" t="n">
        <x:v>237.6577537925914</x:v>
      </x:c>
      <x:c r="F1381" s="23" t="n">
        <x:v>15.185077363159508</x:v>
      </x:c>
      <x:c r="G1381" s="23" t="n">
        <x:v>0.8475635724421591</x:v>
      </x:c>
      <x:c r="H1381" s="23" t="n">
        <x:v>14405</x:v>
      </x:c>
      <x:c r="I1381" s="23" t="n">
        <x:v>1200</x:v>
      </x:c>
      <x:c r="J1381" s="23" t="n">
        <x:f>(IF(A1381='Hybrid Calculator'!$B$6,0,1))^2+((B1381-'Hybrid Calculator'!$B$7)/1500)^2+((C1381-'Hybrid Calculator'!$B$8)/1300)^2+((D1381-'Hybrid Calculator'!$B$9)/800)^2+((E1381-'Hybrid Calculator'!$B$10)/350)^2+((F1381-'Hybrid Calculator'!$B$11)/30)^2+(G1381-'Hybrid Calculator'!$B$12)^2+((H1381-'Hybrid Calculator'!$E$14)/IF(A1381="Lightning",100,30000))^2+((I1381-'Hybrid Calculator'!$E$17)/IF(A1381="Lightning",100,30000))^2</x:f>
        <x:v>1.3777027046667816</x:v>
      </x:c>
      <x:c r="K1381" s="23" t="n">
        <x:f>RANK(J1381,$J$2:$J$1401,1)</x:f>
        <x:v>912</x:v>
      </x:c>
      <x:c r="L1381" s="23" t="n">
        <x:f>IF(K1381&lt;=7,1,0)</x:f>
        <x:v>0</x:v>
      </x:c>
      <x:c r="M1381" s="23" t="n">
        <x:f>IF(L1381=1,1/(J1381+0.000001),0)</x:f>
        <x:v>0</x:v>
      </x:c>
      <x:c r="N1381" s="23" t="n">
        <x:v>-0.8800411278797071</x:v>
      </x:c>
      <x:c r="O1381" s="23" t="n">
        <x:f>M1381</x:f>
        <x:v>0</x:v>
      </x:c>
      <x:c r="P1381" s="23" t="n">
        <x:v>-55.90494977503522</x:v>
      </x:c>
      <x:c r="Q1381" s="23" t="n">
        <x:v>4.521495220960787</x:v>
      </x:c>
    </x:row>
    <x:row r="1382">
      <x:c r="A1382" s="23" t="str">
        <x:v>Switching</x:v>
      </x:c>
      <x:c r="B1382" s="23" t="n">
        <x:v>951.1662845499814</x:v>
      </x:c>
      <x:c r="C1382" s="23" t="n">
        <x:v>795.8699324517511</x:v>
      </x:c>
      <x:c r="D1382" s="23" t="n">
        <x:v>536.3128820434213</x:v>
      </x:c>
      <x:c r="E1382" s="23" t="n">
        <x:v>170.25657182792202</x:v>
      </x:c>
      <x:c r="F1382" s="23" t="n">
        <x:v>19.373020129278302</x:v>
      </x:c>
      <x:c r="G1382" s="23" t="n">
        <x:v>0.8266678529907949</x:v>
      </x:c>
      <x:c r="H1382" s="23" t="n">
        <x:v>16605</x:v>
      </x:c>
      <x:c r="I1382" s="23" t="n">
        <x:v>1200</x:v>
      </x:c>
      <x:c r="J1382" s="23" t="n">
        <x:f>(IF(A1382='Hybrid Calculator'!$B$6,0,1))^2+((B1382-'Hybrid Calculator'!$B$7)/1500)^2+((C1382-'Hybrid Calculator'!$B$8)/1300)^2+((D1382-'Hybrid Calculator'!$B$9)/800)^2+((E1382-'Hybrid Calculator'!$B$10)/350)^2+((F1382-'Hybrid Calculator'!$B$11)/30)^2+(G1382-'Hybrid Calculator'!$B$12)^2+((H1382-'Hybrid Calculator'!$E$14)/IF(A1382="Lightning",100,30000))^2+((I1382-'Hybrid Calculator'!$E$17)/IF(A1382="Lightning",100,30000))^2</x:f>
        <x:v>1.413875055992128</x:v>
      </x:c>
      <x:c r="K1382" s="23" t="n">
        <x:f>RANK(J1382,$J$2:$J$1401,1)</x:f>
        <x:v>1019</x:v>
      </x:c>
      <x:c r="L1382" s="23" t="n">
        <x:f>IF(K1382&lt;=7,1,0)</x:f>
        <x:v>0</x:v>
      </x:c>
      <x:c r="M1382" s="23" t="n">
        <x:f>IF(L1382=1,1/(J1382+0.000001),0)</x:f>
        <x:v>0</x:v>
      </x:c>
      <x:c r="N1382" s="23" t="n">
        <x:v>-0.6976897311014909</x:v>
      </x:c>
      <x:c r="O1382" s="23" t="n">
        <x:f>M1382</x:f>
        <x:v>0</x:v>
      </x:c>
      <x:c r="P1382" s="23" t="n">
        <x:v>-40.72534832927522</x:v>
      </x:c>
      <x:c r="Q1382" s="23" t="n">
        <x:v>2.28220603703312</x:v>
      </x:c>
    </x:row>
    <x:row r="1383">
      <x:c r="A1383" s="23" t="str">
        <x:v>Switching</x:v>
      </x:c>
      <x:c r="B1383" s="23" t="n">
        <x:v>1071.5756766148843</x:v>
      </x:c>
      <x:c r="C1383" s="23" t="n">
        <x:v>766.9528735103086</x:v>
      </x:c>
      <x:c r="D1383" s="23" t="n">
        <x:v>525.5224176682532</x:v>
      </x:c>
      <x:c r="E1383" s="23" t="n">
        <x:v>296.6852739173919</x:v>
      </x:c>
      <x:c r="F1383" s="23" t="n">
        <x:v>18.08342191623524</x:v>
      </x:c>
      <x:c r="G1383" s="23" t="n">
        <x:v>0.8060955991083757</x:v>
      </x:c>
      <x:c r="H1383" s="23" t="n">
        <x:v>13455</x:v>
      </x:c>
      <x:c r="I1383" s="23" t="n">
        <x:v>1200</x:v>
      </x:c>
      <x:c r="J1383" s="23" t="n">
        <x:f>(IF(A1383='Hybrid Calculator'!$B$6,0,1))^2+((B1383-'Hybrid Calculator'!$B$7)/1500)^2+((C1383-'Hybrid Calculator'!$B$8)/1300)^2+((D1383-'Hybrid Calculator'!$B$9)/800)^2+((E1383-'Hybrid Calculator'!$B$10)/350)^2+((F1383-'Hybrid Calculator'!$B$11)/30)^2+(G1383-'Hybrid Calculator'!$B$12)^2+((H1383-'Hybrid Calculator'!$E$14)/IF(A1383="Lightning",100,30000))^2+((I1383-'Hybrid Calculator'!$E$17)/IF(A1383="Lightning",100,30000))^2</x:f>
        <x:v>1.4378394386701638</x:v>
      </x:c>
      <x:c r="K1383" s="23" t="n">
        <x:f>RANK(J1383,$J$2:$J$1401,1)</x:f>
        <x:v>1078</x:v>
      </x:c>
      <x:c r="L1383" s="23" t="n">
        <x:f>IF(K1383&lt;=7,1,0)</x:f>
        <x:v>0</x:v>
      </x:c>
      <x:c r="M1383" s="23" t="n">
        <x:f>IF(L1383=1,1/(J1383+0.000001),0)</x:f>
        <x:v>0</x:v>
      </x:c>
      <x:c r="N1383" s="23" t="n">
        <x:v>-0.84234217908093</x:v>
      </x:c>
      <x:c r="O1383" s="23" t="n">
        <x:f>M1383</x:f>
        <x:v>0</x:v>
      </x:c>
      <x:c r="P1383" s="23" t="n">
        <x:v>-38.79491796303546</x:v>
      </x:c>
      <x:c r="Q1383" s="23" t="n">
        <x:v>3.7917417345606736</x:v>
      </x:c>
    </x:row>
    <x:row r="1384">
      <x:c r="A1384" s="23" t="str">
        <x:v>Switching</x:v>
      </x:c>
      <x:c r="B1384" s="23" t="n">
        <x:v>1098.157568066381</x:v>
      </x:c>
      <x:c r="C1384" s="23" t="n">
        <x:v>649.3821840384044</x:v>
      </x:c>
      <x:c r="D1384" s="23" t="n">
        <x:v>555.1265891641378</x:v>
      </x:c>
      <x:c r="E1384" s="23" t="n">
        <x:v>98.90976604772732</x:v>
      </x:c>
      <x:c r="F1384" s="23" t="n">
        <x:v>15.686587614007294</x:v>
      </x:c>
      <x:c r="G1384" s="23" t="n">
        <x:v>0.8041326846624725</x:v>
      </x:c>
      <x:c r="H1384" s="23" t="n">
        <x:v>16405</x:v>
      </x:c>
      <x:c r="I1384" s="23" t="n">
        <x:v>1200</x:v>
      </x:c>
      <x:c r="J1384" s="23" t="n">
        <x:f>(IF(A1384='Hybrid Calculator'!$B$6,0,1))^2+((B1384-'Hybrid Calculator'!$B$7)/1500)^2+((C1384-'Hybrid Calculator'!$B$8)/1300)^2+((D1384-'Hybrid Calculator'!$B$9)/800)^2+((E1384-'Hybrid Calculator'!$B$10)/350)^2+((F1384-'Hybrid Calculator'!$B$11)/30)^2+(G1384-'Hybrid Calculator'!$B$12)^2+((H1384-'Hybrid Calculator'!$E$14)/IF(A1384="Lightning",100,30000))^2+((I1384-'Hybrid Calculator'!$E$17)/IF(A1384="Lightning",100,30000))^2</x:f>
        <x:v>1.4051367627005498</x:v>
      </x:c>
      <x:c r="K1384" s="23" t="n">
        <x:f>RANK(J1384,$J$2:$J$1401,1)</x:f>
        <x:v>993</x:v>
      </x:c>
      <x:c r="L1384" s="23" t="n">
        <x:f>IF(K1384&lt;=7,1,0)</x:f>
        <x:v>0</x:v>
      </x:c>
      <x:c r="M1384" s="23" t="n">
        <x:f>IF(L1384=1,1/(J1384+0.000001),0)</x:f>
        <x:v>0</x:v>
      </x:c>
      <x:c r="N1384" s="23" t="n">
        <x:v>-1.754424301423171</x:v>
      </x:c>
      <x:c r="O1384" s="23" t="n">
        <x:f>M1384</x:f>
        <x:v>0</x:v>
      </x:c>
      <x:c r="P1384" s="23" t="n">
        <x:v>-0.6335844720988462</x:v>
      </x:c>
      <x:c r="Q1384" s="23" t="n">
        <x:v>14.960714791964165</x:v>
      </x:c>
    </x:row>
    <x:row r="1385">
      <x:c r="A1385" s="23" t="str">
        <x:v>Switching</x:v>
      </x:c>
      <x:c r="B1385" s="23" t="n">
        <x:v>1014.0214176266454</x:v>
      </x:c>
      <x:c r="C1385" s="23" t="n">
        <x:v>754.202480847016</x:v>
      </x:c>
      <x:c r="D1385" s="23" t="n">
        <x:v>404.07757638022304</x:v>
      </x:c>
      <x:c r="E1385" s="23" t="n">
        <x:v>312.65717492904514</x:v>
      </x:c>
      <x:c r="F1385" s="23" t="n">
        <x:v>29.394187062513083</x:v>
      </x:c>
      <x:c r="G1385" s="23" t="n">
        <x:v>0.8104073067940772</x:v>
      </x:c>
      <x:c r="H1385" s="23" t="n">
        <x:v>14540</x:v>
      </x:c>
      <x:c r="I1385" s="23" t="n">
        <x:v>1200</x:v>
      </x:c>
      <x:c r="J1385" s="23" t="n">
        <x:f>(IF(A1385='Hybrid Calculator'!$B$6,0,1))^2+((B1385-'Hybrid Calculator'!$B$7)/1500)^2+((C1385-'Hybrid Calculator'!$B$8)/1300)^2+((D1385-'Hybrid Calculator'!$B$9)/800)^2+((E1385-'Hybrid Calculator'!$B$10)/350)^2+((F1385-'Hybrid Calculator'!$B$11)/30)^2+(G1385-'Hybrid Calculator'!$B$12)^2+((H1385-'Hybrid Calculator'!$E$14)/IF(A1385="Lightning",100,30000))^2+((I1385-'Hybrid Calculator'!$E$17)/IF(A1385="Lightning",100,30000))^2</x:f>
        <x:v>1.6776390018737262</x:v>
      </x:c>
      <x:c r="K1385" s="23" t="n">
        <x:f>RANK(J1385,$J$2:$J$1401,1)</x:f>
        <x:v>1390</x:v>
      </x:c>
      <x:c r="L1385" s="23" t="n">
        <x:f>IF(K1385&lt;=7,1,0)</x:f>
        <x:v>0</x:v>
      </x:c>
      <x:c r="M1385" s="23" t="n">
        <x:f>IF(L1385=1,1/(J1385+0.000001),0)</x:f>
        <x:v>0</x:v>
      </x:c>
      <x:c r="N1385" s="23" t="n">
        <x:v>-4.406785742677755</x:v>
      </x:c>
      <x:c r="O1385" s="23" t="n">
        <x:f>M1385</x:f>
        <x:v>0</x:v>
      </x:c>
      <x:c r="P1385" s="23" t="n">
        <x:v>-38.59592804686463</x:v>
      </x:c>
      <x:c r="Q1385" s="23" t="n">
        <x:v>-3.8772601722715763</x:v>
      </x:c>
    </x:row>
    <x:row r="1386">
      <x:c r="A1386" s="23" t="str">
        <x:v>Switching</x:v>
      </x:c>
      <x:c r="B1386" s="23" t="n">
        <x:v>1020.9116343874484</x:v>
      </x:c>
      <x:c r="C1386" s="23" t="n">
        <x:v>1135.768841940444</x:v>
      </x:c>
      <x:c r="D1386" s="23" t="n">
        <x:v>433.12313836067915</x:v>
      </x:c>
      <x:c r="E1386" s="23" t="n">
        <x:v>227.6918741245754</x:v>
      </x:c>
      <x:c r="F1386" s="23" t="n">
        <x:v>19.069889783859253</x:v>
      </x:c>
      <x:c r="G1386" s="23" t="n">
        <x:v>0.8329099163995125</x:v>
      </x:c>
      <x:c r="H1386" s="23" t="n">
        <x:v>11905</x:v>
      </x:c>
      <x:c r="I1386" s="23" t="n">
        <x:v>1195</x:v>
      </x:c>
      <x:c r="J1386" s="23" t="n">
        <x:f>(IF(A1386='Hybrid Calculator'!$B$6,0,1))^2+((B1386-'Hybrid Calculator'!$B$7)/1500)^2+((C1386-'Hybrid Calculator'!$B$8)/1300)^2+((D1386-'Hybrid Calculator'!$B$9)/800)^2+((E1386-'Hybrid Calculator'!$B$10)/350)^2+((F1386-'Hybrid Calculator'!$B$11)/30)^2+(G1386-'Hybrid Calculator'!$B$12)^2+((H1386-'Hybrid Calculator'!$E$14)/IF(A1386="Lightning",100,30000))^2+((I1386-'Hybrid Calculator'!$E$17)/IF(A1386="Lightning",100,30000))^2</x:f>
        <x:v>1.3353611916694066</x:v>
      </x:c>
      <x:c r="K1386" s="23" t="n">
        <x:f>RANK(J1386,$J$2:$J$1401,1)</x:f>
        <x:v>787</x:v>
      </x:c>
      <x:c r="L1386" s="23" t="n">
        <x:f>IF(K1386&lt;=7,1,0)</x:f>
        <x:v>0</x:v>
      </x:c>
      <x:c r="M1386" s="23" t="n">
        <x:f>IF(L1386=1,1/(J1386+0.000001),0)</x:f>
        <x:v>0</x:v>
      </x:c>
      <x:c r="N1386" s="23" t="n">
        <x:v>-1.576271304190044</x:v>
      </x:c>
      <x:c r="O1386" s="23" t="n">
        <x:f>M1386</x:f>
        <x:v>0</x:v>
      </x:c>
      <x:c r="P1386" s="23" t="n">
        <x:v>-4.331941680500222</x:v>
      </x:c>
      <x:c r="Q1386" s="23" t="n">
        <x:v>-7.799924145707223</x:v>
      </x:c>
    </x:row>
    <x:row r="1387">
      <x:c r="A1387" s="23" t="str">
        <x:v>Switching</x:v>
      </x:c>
      <x:c r="B1387" s="23" t="n">
        <x:v>1017.1014220570214</x:v>
      </x:c>
      <x:c r="C1387" s="23" t="n">
        <x:v>946.4918577810749</x:v>
      </x:c>
      <x:c r="D1387" s="23" t="n">
        <x:v>450.3182929940522</x:v>
      </x:c>
      <x:c r="E1387" s="23" t="n">
        <x:v>80.67069614306092</x:v>
      </x:c>
      <x:c r="F1387" s="23" t="n">
        <x:v>25.557277909014374</x:v>
      </x:c>
      <x:c r="G1387" s="23" t="n">
        <x:v>0.8511068103974686</x:v>
      </x:c>
      <x:c r="H1387" s="23" t="n">
        <x:v>16885</x:v>
      </x:c>
      <x:c r="I1387" s="23" t="n">
        <x:v>1200</x:v>
      </x:c>
      <x:c r="J1387" s="23" t="n">
        <x:f>(IF(A1387='Hybrid Calculator'!$B$6,0,1))^2+((B1387-'Hybrid Calculator'!$B$7)/1500)^2+((C1387-'Hybrid Calculator'!$B$8)/1300)^2+((D1387-'Hybrid Calculator'!$B$9)/800)^2+((E1387-'Hybrid Calculator'!$B$10)/350)^2+((F1387-'Hybrid Calculator'!$B$11)/30)^2+(G1387-'Hybrid Calculator'!$B$12)^2+((H1387-'Hybrid Calculator'!$E$14)/IF(A1387="Lightning",100,30000))^2+((I1387-'Hybrid Calculator'!$E$17)/IF(A1387="Lightning",100,30000))^2</x:f>
        <x:v>1.4952991053458387</x:v>
      </x:c>
      <x:c r="K1387" s="23" t="n">
        <x:f>RANK(J1387,$J$2:$J$1401,1)</x:f>
        <x:v>1199</x:v>
      </x:c>
      <x:c r="L1387" s="23" t="n">
        <x:f>IF(K1387&lt;=7,1,0)</x:f>
        <x:v>0</x:v>
      </x:c>
      <x:c r="M1387" s="23" t="n">
        <x:f>IF(L1387=1,1/(J1387+0.000001),0)</x:f>
        <x:v>0</x:v>
      </x:c>
      <x:c r="N1387" s="23" t="n">
        <x:v>-0.7127817301731625</x:v>
      </x:c>
      <x:c r="O1387" s="23" t="n">
        <x:f>M1387</x:f>
        <x:v>0</x:v>
      </x:c>
      <x:c r="P1387" s="23" t="n">
        <x:v>23.78395986162468</x:v>
      </x:c>
      <x:c r="Q1387" s="23" t="n">
        <x:v>-7.381305027019721</x:v>
      </x:c>
    </x:row>
    <x:row r="1388">
      <x:c r="A1388" s="23" t="str">
        <x:v>Switching</x:v>
      </x:c>
      <x:c r="B1388" s="23" t="n">
        <x:v>1039.292262075469</x:v>
      </x:c>
      <x:c r="C1388" s="23" t="n">
        <x:v>981.0792517731898</x:v>
      </x:c>
      <x:c r="D1388" s="23" t="n">
        <x:v>716.1550467833877</x:v>
      </x:c>
      <x:c r="E1388" s="23" t="n">
        <x:v>282.29644217761233</x:v>
      </x:c>
      <x:c r="F1388" s="23" t="n">
        <x:v>11.910076137632132</x:v>
      </x:c>
      <x:c r="G1388" s="23" t="n">
        <x:v>0.8239706421294251</x:v>
      </x:c>
      <x:c r="H1388" s="23" t="n">
        <x:v>10805</x:v>
      </x:c>
      <x:c r="I1388" s="23" t="n">
        <x:v>1195</x:v>
      </x:c>
      <x:c r="J1388" s="23" t="n">
        <x:f>(IF(A1388='Hybrid Calculator'!$B$6,0,1))^2+((B1388-'Hybrid Calculator'!$B$7)/1500)^2+((C1388-'Hybrid Calculator'!$B$8)/1300)^2+((D1388-'Hybrid Calculator'!$B$9)/800)^2+((E1388-'Hybrid Calculator'!$B$10)/350)^2+((F1388-'Hybrid Calculator'!$B$11)/30)^2+(G1388-'Hybrid Calculator'!$B$12)^2+((H1388-'Hybrid Calculator'!$E$14)/IF(A1388="Lightning",100,30000))^2+((I1388-'Hybrid Calculator'!$E$17)/IF(A1388="Lightning",100,30000))^2</x:f>
        <x:v>1.470479286801998</x:v>
      </x:c>
      <x:c r="K1388" s="23" t="n">
        <x:f>RANK(J1388,$J$2:$J$1401,1)</x:f>
        <x:v>1160</x:v>
      </x:c>
      <x:c r="L1388" s="23" t="n">
        <x:f>IF(K1388&lt;=7,1,0)</x:f>
        <x:v>0</x:v>
      </x:c>
      <x:c r="M1388" s="23" t="n">
        <x:f>IF(L1388=1,1/(J1388+0.000001),0)</x:f>
        <x:v>0</x:v>
      </x:c>
      <x:c r="N1388" s="23" t="n">
        <x:v>4.505520428653199</x:v>
      </x:c>
      <x:c r="O1388" s="23" t="n">
        <x:f>M1388</x:f>
        <x:v>0</x:v>
      </x:c>
      <x:c r="P1388" s="23" t="n">
        <x:v>5.6532192651106925</x:v>
      </x:c>
      <x:c r="Q1388" s="23" t="n">
        <x:v>-7.988924178827574</x:v>
      </x:c>
    </x:row>
    <x:row r="1389">
      <x:c r="A1389" s="23" t="str">
        <x:v>Switching</x:v>
      </x:c>
      <x:c r="B1389" s="23" t="n">
        <x:v>1007.1654137340374</x:v>
      </x:c>
      <x:c r="C1389" s="23" t="n">
        <x:v>798.0586598394439</x:v>
      </x:c>
      <x:c r="D1389" s="23" t="n">
        <x:v>500.285189319402</x:v>
      </x:c>
      <x:c r="E1389" s="23" t="n">
        <x:v>298.2369166985154</x:v>
      </x:c>
      <x:c r="F1389" s="23" t="n">
        <x:v>17.92504388326779</x:v>
      </x:c>
      <x:c r="G1389" s="23" t="n">
        <x:v>0.8118377463845536</x:v>
      </x:c>
      <x:c r="H1389" s="23" t="n">
        <x:v>13395</x:v>
      </x:c>
      <x:c r="I1389" s="23" t="n">
        <x:v>1200</x:v>
      </x:c>
      <x:c r="J1389" s="23" t="n">
        <x:f>(IF(A1389='Hybrid Calculator'!$B$6,0,1))^2+((B1389-'Hybrid Calculator'!$B$7)/1500)^2+((C1389-'Hybrid Calculator'!$B$8)/1300)^2+((D1389-'Hybrid Calculator'!$B$9)/800)^2+((E1389-'Hybrid Calculator'!$B$10)/350)^2+((F1389-'Hybrid Calculator'!$B$11)/30)^2+(G1389-'Hybrid Calculator'!$B$12)^2+((H1389-'Hybrid Calculator'!$E$14)/IF(A1389="Lightning",100,30000))^2+((I1389-'Hybrid Calculator'!$E$17)/IF(A1389="Lightning",100,30000))^2</x:f>
        <x:v>1.4584159213787053</x:v>
      </x:c>
      <x:c r="K1389" s="23" t="n">
        <x:f>RANK(J1389,$J$2:$J$1401,1)</x:f>
        <x:v>1128</x:v>
      </x:c>
      <x:c r="L1389" s="23" t="n">
        <x:f>IF(K1389&lt;=7,1,0)</x:f>
        <x:v>0</x:v>
      </x:c>
      <x:c r="M1389" s="23" t="n">
        <x:f>IF(L1389=1,1/(J1389+0.000001),0)</x:f>
        <x:v>0</x:v>
      </x:c>
      <x:c r="N1389" s="23" t="n">
        <x:v>-0.10330342506645707</x:v>
      </x:c>
      <x:c r="O1389" s="23" t="n">
        <x:f>M1389</x:f>
        <x:v>0</x:v>
      </x:c>
      <x:c r="P1389" s="23" t="n">
        <x:v>-34.98136202995829</x:v>
      </x:c>
      <x:c r="Q1389" s="23" t="n">
        <x:v>7.934305906197096</x:v>
      </x:c>
    </x:row>
    <x:row r="1390">
      <x:c r="A1390" s="23" t="str">
        <x:v>Switching</x:v>
      </x:c>
      <x:c r="B1390" s="23" t="n">
        <x:v>1028.8785957032815</x:v>
      </x:c>
      <x:c r="C1390" s="23" t="n">
        <x:v>1163.000535510946</x:v>
      </x:c>
      <x:c r="D1390" s="23" t="n">
        <x:v>485.27110144495964</x:v>
      </x:c>
      <x:c r="E1390" s="23" t="n">
        <x:v>220.34991286462173</x:v>
      </x:c>
      <x:c r="F1390" s="23" t="n">
        <x:v>29.800062037073076</x:v>
      </x:c>
      <x:c r="G1390" s="23" t="n">
        <x:v>0.8519046732946299</x:v>
      </x:c>
      <x:c r="H1390" s="23" t="n">
        <x:v>11445</x:v>
      </x:c>
      <x:c r="I1390" s="23" t="n">
        <x:v>1195</x:v>
      </x:c>
      <x:c r="J1390" s="23" t="n">
        <x:f>(IF(A1390='Hybrid Calculator'!$B$6,0,1))^2+((B1390-'Hybrid Calculator'!$B$7)/1500)^2+((C1390-'Hybrid Calculator'!$B$8)/1300)^2+((D1390-'Hybrid Calculator'!$B$9)/800)^2+((E1390-'Hybrid Calculator'!$B$10)/350)^2+((F1390-'Hybrid Calculator'!$B$11)/30)^2+(G1390-'Hybrid Calculator'!$B$12)^2+((H1390-'Hybrid Calculator'!$E$14)/IF(A1390="Lightning",100,30000))^2+((I1390-'Hybrid Calculator'!$E$17)/IF(A1390="Lightning",100,30000))^2</x:f>
        <x:v>1.4571402359765</x:v>
      </x:c>
      <x:c r="K1390" s="23" t="n">
        <x:f>RANK(J1390,$J$2:$J$1401,1)</x:f>
        <x:v>1123</x:v>
      </x:c>
      <x:c r="L1390" s="23" t="n">
        <x:f>IF(K1390&lt;=7,1,0)</x:f>
        <x:v>0</x:v>
      </x:c>
      <x:c r="M1390" s="23" t="n">
        <x:f>IF(L1390=1,1/(J1390+0.000001),0)</x:f>
        <x:v>0</x:v>
      </x:c>
      <x:c r="N1390" s="23" t="n">
        <x:v>-2.817661764216581</x:v>
      </x:c>
      <x:c r="O1390" s="23" t="n">
        <x:f>M1390</x:f>
        <x:v>0</x:v>
      </x:c>
      <x:c r="P1390" s="23" t="n">
        <x:v>11.111837262420067</x:v>
      </x:c>
      <x:c r="Q1390" s="23" t="n">
        <x:v>-19.634657762836014</x:v>
      </x:c>
    </x:row>
    <x:row r="1391">
      <x:c r="A1391" s="23" t="str">
        <x:v>Switching</x:v>
      </x:c>
      <x:c r="B1391" s="23" t="n">
        <x:v>993.07712855516</x:v>
      </x:c>
      <x:c r="C1391" s="23" t="n">
        <x:v>1218.8800524920225</x:v>
      </x:c>
      <x:c r="D1391" s="23" t="n">
        <x:v>364.042132999748</x:v>
      </x:c>
      <x:c r="E1391" s="23" t="n">
        <x:v>314.91162166465074</x:v>
      </x:c>
      <x:c r="F1391" s="23" t="n">
        <x:v>14.694014446344227</x:v>
      </x:c>
      <x:c r="G1391" s="23" t="n">
        <x:v>0.8523311707656831</x:v>
      </x:c>
      <x:c r="H1391" s="23" t="n">
        <x:v>13145</x:v>
      </x:c>
      <x:c r="I1391" s="23" t="n">
        <x:v>1200</x:v>
      </x:c>
      <x:c r="J1391" s="23" t="n">
        <x:f>(IF(A1391='Hybrid Calculator'!$B$6,0,1))^2+((B1391-'Hybrid Calculator'!$B$7)/1500)^2+((C1391-'Hybrid Calculator'!$B$8)/1300)^2+((D1391-'Hybrid Calculator'!$B$9)/800)^2+((E1391-'Hybrid Calculator'!$B$10)/350)^2+((F1391-'Hybrid Calculator'!$B$11)/30)^2+(G1391-'Hybrid Calculator'!$B$12)^2+((H1391-'Hybrid Calculator'!$E$14)/IF(A1391="Lightning",100,30000))^2+((I1391-'Hybrid Calculator'!$E$17)/IF(A1391="Lightning",100,30000))^2</x:f>
        <x:v>1.6235262422646601</x:v>
      </x:c>
      <x:c r="K1391" s="23" t="n">
        <x:f>RANK(J1391,$J$2:$J$1401,1)</x:f>
        <x:v>1365</x:v>
      </x:c>
      <x:c r="L1391" s="23" t="n">
        <x:f>IF(K1391&lt;=7,1,0)</x:f>
        <x:v>0</x:v>
      </x:c>
      <x:c r="M1391" s="23" t="n">
        <x:f>IF(L1391=1,1/(J1391+0.000001),0)</x:f>
        <x:v>0</x:v>
      </x:c>
      <x:c r="N1391" s="23" t="n">
        <x:v>3.644501649620878</x:v>
      </x:c>
      <x:c r="O1391" s="23" t="n">
        <x:f>M1391</x:f>
        <x:v>0</x:v>
      </x:c>
      <x:c r="P1391" s="23" t="n">
        <x:v>59.260216154035334</x:v>
      </x:c>
      <x:c r="Q1391" s="23" t="n">
        <x:v>4.405502267035104</x:v>
      </x:c>
    </x:row>
    <x:row r="1392">
      <x:c r="A1392" s="23" t="str">
        <x:v>Switching</x:v>
      </x:c>
      <x:c r="B1392" s="23" t="n">
        <x:v>1075.543292146176</x:v>
      </x:c>
      <x:c r="C1392" s="23" t="n">
        <x:v>746.3358420296572</x:v>
      </x:c>
      <x:c r="D1392" s="23" t="n">
        <x:v>424.3991369381547</x:v>
      </x:c>
      <x:c r="E1392" s="23" t="n">
        <x:v>153.64948192844167</x:v>
      </x:c>
      <x:c r="F1392" s="23" t="n">
        <x:v>26.737306067720056</x:v>
      </x:c>
      <x:c r="G1392" s="23" t="n">
        <x:v>0.7950141226802953</x:v>
      </x:c>
      <x:c r="H1392" s="23" t="n">
        <x:v>16150</x:v>
      </x:c>
      <x:c r="I1392" s="23" t="n">
        <x:v>1200</x:v>
      </x:c>
      <x:c r="J1392" s="23" t="n">
        <x:f>(IF(A1392='Hybrid Calculator'!$B$6,0,1))^2+((B1392-'Hybrid Calculator'!$B$7)/1500)^2+((C1392-'Hybrid Calculator'!$B$8)/1300)^2+((D1392-'Hybrid Calculator'!$B$9)/800)^2+((E1392-'Hybrid Calculator'!$B$10)/350)^2+((F1392-'Hybrid Calculator'!$B$11)/30)^2+(G1392-'Hybrid Calculator'!$B$12)^2+((H1392-'Hybrid Calculator'!$E$14)/IF(A1392="Lightning",100,30000))^2+((I1392-'Hybrid Calculator'!$E$17)/IF(A1392="Lightning",100,30000))^2</x:f>
        <x:v>1.4352353517755077</x:v>
      </x:c>
      <x:c r="K1392" s="23" t="n">
        <x:f>RANK(J1392,$J$2:$J$1401,1)</x:f>
        <x:v>1071</x:v>
      </x:c>
      <x:c r="L1392" s="23" t="n">
        <x:f>IF(K1392&lt;=7,1,0)</x:f>
        <x:v>0</x:v>
      </x:c>
      <x:c r="M1392" s="23" t="n">
        <x:f>IF(L1392=1,1/(J1392+0.000001),0)</x:f>
        <x:v>0</x:v>
      </x:c>
      <x:c r="N1392" s="23" t="n">
        <x:v>-1.667656578431263</x:v>
      </x:c>
      <x:c r="O1392" s="23" t="n">
        <x:f>M1392</x:f>
        <x:v>0</x:v>
      </x:c>
      <x:c r="P1392" s="23" t="n">
        <x:v>-19.09524665194067</x:v>
      </x:c>
      <x:c r="Q1392" s="23" t="n">
        <x:v>0.7130969441900561</x:v>
      </x:c>
    </x:row>
    <x:row r="1393">
      <x:c r="A1393" s="23" t="str">
        <x:v>Switching</x:v>
      </x:c>
      <x:c r="B1393" s="23" t="n">
        <x:v>1085.2114600711502</x:v>
      </x:c>
      <x:c r="C1393" s="23" t="n">
        <x:v>777.6022180216387</x:v>
      </x:c>
      <x:c r="D1393" s="23" t="n">
        <x:v>494.8594772256911</x:v>
      </x:c>
      <x:c r="E1393" s="23" t="n">
        <x:v>277.3476766142994</x:v>
      </x:c>
      <x:c r="F1393" s="23" t="n">
        <x:v>25.638140075374395</x:v>
      </x:c>
      <x:c r="G1393" s="23" t="n">
        <x:v>0.8545987298944966</x:v>
      </x:c>
      <x:c r="H1393" s="23" t="n">
        <x:v>13800</x:v>
      </x:c>
      <x:c r="I1393" s="23" t="n">
        <x:v>1200</x:v>
      </x:c>
      <x:c r="J1393" s="23" t="n">
        <x:f>(IF(A1393='Hybrid Calculator'!$B$6,0,1))^2+((B1393-'Hybrid Calculator'!$B$7)/1500)^2+((C1393-'Hybrid Calculator'!$B$8)/1300)^2+((D1393-'Hybrid Calculator'!$B$9)/800)^2+((E1393-'Hybrid Calculator'!$B$10)/350)^2+((F1393-'Hybrid Calculator'!$B$11)/30)^2+(G1393-'Hybrid Calculator'!$B$12)^2+((H1393-'Hybrid Calculator'!$E$14)/IF(A1393="Lightning",100,30000))^2+((I1393-'Hybrid Calculator'!$E$17)/IF(A1393="Lightning",100,30000))^2</x:f>
        <x:v>1.456258848917786</x:v>
      </x:c>
      <x:c r="K1393" s="23" t="n">
        <x:f>RANK(J1393,$J$2:$J$1401,1)</x:f>
        <x:v>1119</x:v>
      </x:c>
      <x:c r="L1393" s="23" t="n">
        <x:f>IF(K1393&lt;=7,1,0)</x:f>
        <x:v>0</x:v>
      </x:c>
      <x:c r="M1393" s="23" t="n">
        <x:f>IF(L1393=1,1/(J1393+0.000001),0)</x:f>
        <x:v>0</x:v>
      </x:c>
      <x:c r="N1393" s="23" t="n">
        <x:v>0.29067529739475617</x:v>
      </x:c>
      <x:c r="O1393" s="23" t="n">
        <x:f>M1393</x:f>
        <x:v>0</x:v>
      </x:c>
      <x:c r="P1393" s="23" t="n">
        <x:v>3.3503592525125896</x:v>
      </x:c>
      <x:c r="Q1393" s="23" t="n">
        <x:v>-4.277625019819425</x:v>
      </x:c>
    </x:row>
    <x:row r="1394">
      <x:c r="A1394" s="23" t="str">
        <x:v>Switching</x:v>
      </x:c>
      <x:c r="B1394" s="23" t="n">
        <x:v>1063.130934140645</x:v>
      </x:c>
      <x:c r="C1394" s="23" t="n">
        <x:v>832.0961629622616</x:v>
      </x:c>
      <x:c r="D1394" s="23" t="n">
        <x:v>700.2147328108549</x:v>
      </x:c>
      <x:c r="E1394" s="23" t="n">
        <x:v>125.34948588116094</x:v>
      </x:c>
      <x:c r="F1394" s="23" t="n">
        <x:v>22.256293271668255</x:v>
      </x:c>
      <x:c r="G1394" s="23" t="n">
        <x:v>0.8337548331986182</x:v>
      </x:c>
      <x:c r="H1394" s="23" t="n">
        <x:v>12900</x:v>
      </x:c>
      <x:c r="I1394" s="23" t="n">
        <x:v>1200</x:v>
      </x:c>
      <x:c r="J1394" s="23" t="n">
        <x:f>(IF(A1394='Hybrid Calculator'!$B$6,0,1))^2+((B1394-'Hybrid Calculator'!$B$7)/1500)^2+((C1394-'Hybrid Calculator'!$B$8)/1300)^2+((D1394-'Hybrid Calculator'!$B$9)/800)^2+((E1394-'Hybrid Calculator'!$B$10)/350)^2+((F1394-'Hybrid Calculator'!$B$11)/30)^2+(G1394-'Hybrid Calculator'!$B$12)^2+((H1394-'Hybrid Calculator'!$E$14)/IF(A1394="Lightning",100,30000))^2+((I1394-'Hybrid Calculator'!$E$17)/IF(A1394="Lightning",100,30000))^2</x:f>
        <x:v>1.3268541529378624</x:v>
      </x:c>
      <x:c r="K1394" s="23" t="n">
        <x:f>RANK(J1394,$J$2:$J$1401,1)</x:f>
        <x:v>771</x:v>
      </x:c>
      <x:c r="L1394" s="23" t="n">
        <x:f>IF(K1394&lt;=7,1,0)</x:f>
        <x:v>0</x:v>
      </x:c>
      <x:c r="M1394" s="23" t="n">
        <x:f>IF(L1394=1,1/(J1394+0.000001),0)</x:f>
        <x:v>0</x:v>
      </x:c>
      <x:c r="N1394" s="23" t="n">
        <x:v>-1.758231057596845</x:v>
      </x:c>
      <x:c r="O1394" s="23" t="n">
        <x:f>M1394</x:f>
        <x:v>0</x:v>
      </x:c>
      <x:c r="P1394" s="23" t="n">
        <x:v>-51.12583094579986</x:v>
      </x:c>
      <x:c r="Q1394" s="23" t="n">
        <x:v>-4.070974893573975</x:v>
      </x:c>
    </x:row>
    <x:row r="1395">
      <x:c r="A1395" s="23" t="str">
        <x:v>Switching</x:v>
      </x:c>
      <x:c r="B1395" s="23" t="n">
        <x:v>1018.8741690828465</x:v>
      </x:c>
      <x:c r="C1395" s="23" t="n">
        <x:v>867.3788909334689</x:v>
      </x:c>
      <x:c r="D1395" s="23" t="n">
        <x:v>412.6924398355186</x:v>
      </x:c>
      <x:c r="E1395" s="23" t="n">
        <x:v>97.40275358315557</x:v>
      </x:c>
      <x:c r="F1395" s="23" t="n">
        <x:v>19.213399581145495</x:v>
      </x:c>
      <x:c r="G1395" s="23" t="n">
        <x:v>0.8317814142070711</x:v>
      </x:c>
      <x:c r="H1395" s="23" t="n">
        <x:v>15525</x:v>
      </x:c>
      <x:c r="I1395" s="23" t="n">
        <x:v>1200</x:v>
      </x:c>
      <x:c r="J1395" s="23" t="n">
        <x:f>(IF(A1395='Hybrid Calculator'!$B$6,0,1))^2+((B1395-'Hybrid Calculator'!$B$7)/1500)^2+((C1395-'Hybrid Calculator'!$B$8)/1300)^2+((D1395-'Hybrid Calculator'!$B$9)/800)^2+((E1395-'Hybrid Calculator'!$B$10)/350)^2+((F1395-'Hybrid Calculator'!$B$11)/30)^2+(G1395-'Hybrid Calculator'!$B$12)^2+((H1395-'Hybrid Calculator'!$E$14)/IF(A1395="Lightning",100,30000))^2+((I1395-'Hybrid Calculator'!$E$17)/IF(A1395="Lightning",100,30000))^2</x:f>
        <x:v>1.3763006804865685</x:v>
      </x:c>
      <x:c r="K1395" s="23" t="n">
        <x:f>RANK(J1395,$J$2:$J$1401,1)</x:f>
        <x:v>908</x:v>
      </x:c>
      <x:c r="L1395" s="23" t="n">
        <x:f>IF(K1395&lt;=7,1,0)</x:f>
        <x:v>0</x:v>
      </x:c>
      <x:c r="M1395" s="23" t="n">
        <x:f>IF(L1395=1,1/(J1395+0.000001),0)</x:f>
        <x:v>0</x:v>
      </x:c>
      <x:c r="N1395" s="23" t="n">
        <x:v>-1.2591240415547702</x:v>
      </x:c>
      <x:c r="O1395" s="23" t="n">
        <x:f>M1395</x:f>
        <x:v>0</x:v>
      </x:c>
      <x:c r="P1395" s="23" t="n">
        <x:v>24.22826190913338</x:v>
      </x:c>
      <x:c r="Q1395" s="23" t="n">
        <x:v>8.709048231185989</x:v>
      </x:c>
    </x:row>
    <x:row r="1396">
      <x:c r="A1396" s="23" t="str">
        <x:v>Switching</x:v>
      </x:c>
      <x:c r="B1396" s="23" t="n">
        <x:v>1094.3047570530325</x:v>
      </x:c>
      <x:c r="C1396" s="23" t="n">
        <x:v>648.2902111369185</x:v>
      </x:c>
      <x:c r="D1396" s="23" t="n">
        <x:v>422.08422254770994</x:v>
      </x:c>
      <x:c r="E1396" s="23" t="n">
        <x:v>133.1021350179799</x:v>
      </x:c>
      <x:c r="F1396" s="23" t="n">
        <x:v>20.347086064517498</x:v>
      </x:c>
      <x:c r="G1396" s="23" t="n">
        <x:v>0.8301705703348853</x:v>
      </x:c>
      <x:c r="H1396" s="23" t="n">
        <x:v>17770</x:v>
      </x:c>
      <x:c r="I1396" s="23" t="n">
        <x:v>1200</x:v>
      </x:c>
      <x:c r="J1396" s="23" t="n">
        <x:f>(IF(A1396='Hybrid Calculator'!$B$6,0,1))^2+((B1396-'Hybrid Calculator'!$B$7)/1500)^2+((C1396-'Hybrid Calculator'!$B$8)/1300)^2+((D1396-'Hybrid Calculator'!$B$9)/800)^2+((E1396-'Hybrid Calculator'!$B$10)/350)^2+((F1396-'Hybrid Calculator'!$B$11)/30)^2+(G1396-'Hybrid Calculator'!$B$12)^2+((H1396-'Hybrid Calculator'!$E$14)/IF(A1396="Lightning",100,30000))^2+((I1396-'Hybrid Calculator'!$E$17)/IF(A1396="Lightning",100,30000))^2</x:f>
        <x:v>1.4388112454539133</x:v>
      </x:c>
      <x:c r="K1396" s="23" t="n">
        <x:f>RANK(J1396,$J$2:$J$1401,1)</x:f>
        <x:v>1083</x:v>
      </x:c>
      <x:c r="L1396" s="23" t="n">
        <x:f>IF(K1396&lt;=7,1,0)</x:f>
        <x:v>0</x:v>
      </x:c>
      <x:c r="M1396" s="23" t="n">
        <x:f>IF(L1396=1,1/(J1396+0.000001),0)</x:f>
        <x:v>0</x:v>
      </x:c>
      <x:c r="N1396" s="23" t="n">
        <x:v>-3.166572850659236</x:v>
      </x:c>
      <x:c r="O1396" s="23" t="n">
        <x:f>M1396</x:f>
        <x:v>0</x:v>
      </x:c>
      <x:c r="P1396" s="23" t="n">
        <x:v>-51.86637898933577</x:v>
      </x:c>
      <x:c r="Q1396" s="23" t="n">
        <x:v>13.013484746599033</x:v>
      </x:c>
    </x:row>
    <x:row r="1397">
      <x:c r="A1397" s="23" t="str">
        <x:v>Switching</x:v>
      </x:c>
      <x:c r="B1397" s="23" t="n">
        <x:v>1024.3320278008468</x:v>
      </x:c>
      <x:c r="C1397" s="23" t="n">
        <x:v>833.9367355918512</x:v>
      </x:c>
      <x:c r="D1397" s="23" t="n">
        <x:v>441.2339744158089</x:v>
      </x:c>
      <x:c r="E1397" s="23" t="n">
        <x:v>158.55728967115283</x:v>
      </x:c>
      <x:c r="F1397" s="23" t="n">
        <x:v>19.58140446105972</x:v>
      </x:c>
      <x:c r="G1397" s="23" t="n">
        <x:v>0.8550810390105471</x:v>
      </x:c>
      <x:c r="H1397" s="23" t="n">
        <x:v>17400</x:v>
      </x:c>
      <x:c r="I1397" s="23" t="n">
        <x:v>1200</x:v>
      </x:c>
      <x:c r="J1397" s="23" t="n">
        <x:f>(IF(A1397='Hybrid Calculator'!$B$6,0,1))^2+((B1397-'Hybrid Calculator'!$B$7)/1500)^2+((C1397-'Hybrid Calculator'!$B$8)/1300)^2+((D1397-'Hybrid Calculator'!$B$9)/800)^2+((E1397-'Hybrid Calculator'!$B$10)/350)^2+((F1397-'Hybrid Calculator'!$B$11)/30)^2+(G1397-'Hybrid Calculator'!$B$12)^2+((H1397-'Hybrid Calculator'!$E$14)/IF(A1397="Lightning",100,30000))^2+((I1397-'Hybrid Calculator'!$E$17)/IF(A1397="Lightning",100,30000))^2</x:f>
        <x:v>1.4160287967444647</x:v>
      </x:c>
      <x:c r="K1397" s="23" t="n">
        <x:f>RANK(J1397,$J$2:$J$1401,1)</x:f>
        <x:v>1028</x:v>
      </x:c>
      <x:c r="L1397" s="23" t="n">
        <x:f>IF(K1397&lt;=7,1,0)</x:f>
        <x:v>0</x:v>
      </x:c>
      <x:c r="M1397" s="23" t="n">
        <x:f>IF(L1397=1,1/(J1397+0.000001),0)</x:f>
        <x:v>0</x:v>
      </x:c>
      <x:c r="N1397" s="23" t="n">
        <x:v>-0.38420239211339435</x:v>
      </x:c>
      <x:c r="O1397" s="23" t="n">
        <x:f>M1397</x:f>
        <x:v>0</x:v>
      </x:c>
      <x:c r="P1397" s="23" t="n">
        <x:v>9.40190491249814</x:v>
      </x:c>
      <x:c r="Q1397" s="23" t="n">
        <x:v>-0.9491152944225405</x:v>
      </x:c>
    </x:row>
    <x:row r="1398">
      <x:c r="A1398" s="23" t="str">
        <x:v>Switching</x:v>
      </x:c>
      <x:c r="B1398" s="23" t="n">
        <x:v>1066.502135177143</x:v>
      </x:c>
      <x:c r="C1398" s="23" t="n">
        <x:v>608.519028883893</x:v>
      </x:c>
      <x:c r="D1398" s="23" t="n">
        <x:v>682.3059350252151</x:v>
      </x:c>
      <x:c r="E1398" s="23" t="n">
        <x:v>99.3281471147202</x:v>
      </x:c>
      <x:c r="F1398" s="23" t="n">
        <x:v>29.392194810323417</x:v>
      </x:c>
      <x:c r="G1398" s="23" t="n">
        <x:v>0.8290095649636351</x:v>
      </x:c>
      <x:c r="H1398" s="23" t="n">
        <x:v>15385</x:v>
      </x:c>
      <x:c r="I1398" s="23" t="n">
        <x:v>1200</x:v>
      </x:c>
      <x:c r="J1398" s="23" t="n">
        <x:f>(IF(A1398='Hybrid Calculator'!$B$6,0,1))^2+((B1398-'Hybrid Calculator'!$B$7)/1500)^2+((C1398-'Hybrid Calculator'!$B$8)/1300)^2+((D1398-'Hybrid Calculator'!$B$9)/800)^2+((E1398-'Hybrid Calculator'!$B$10)/350)^2+((F1398-'Hybrid Calculator'!$B$11)/30)^2+(G1398-'Hybrid Calculator'!$B$12)^2+((H1398-'Hybrid Calculator'!$E$14)/IF(A1398="Lightning",100,30000))^2+((I1398-'Hybrid Calculator'!$E$17)/IF(A1398="Lightning",100,30000))^2</x:f>
        <x:v>1.559244465562645</x:v>
      </x:c>
      <x:c r="K1398" s="23" t="n">
        <x:f>RANK(J1398,$J$2:$J$1401,1)</x:f>
        <x:v>1316</x:v>
      </x:c>
      <x:c r="L1398" s="23" t="n">
        <x:f>IF(K1398&lt;=7,1,0)</x:f>
        <x:v>0</x:v>
      </x:c>
      <x:c r="M1398" s="23" t="n">
        <x:f>IF(L1398=1,1/(J1398+0.000001),0)</x:f>
        <x:v>0</x:v>
      </x:c>
      <x:c r="N1398" s="23" t="n">
        <x:v>-0.21062433290919103</x:v>
      </x:c>
      <x:c r="O1398" s="23" t="n">
        <x:f>M1398</x:f>
        <x:v>0</x:v>
      </x:c>
      <x:c r="P1398" s="23" t="n">
        <x:v>-29.42882547572708</x:v>
      </x:c>
      <x:c r="Q1398" s="23" t="n">
        <x:v>-3.5408968849101257</x:v>
      </x:c>
    </x:row>
    <x:row r="1399">
      <x:c r="A1399" s="23" t="str">
        <x:v>Switching</x:v>
      </x:c>
      <x:c r="B1399" s="23" t="n">
        <x:v>1062.9371446440928</x:v>
      </x:c>
      <x:c r="C1399" s="23" t="n">
        <x:v>1189.7619192488492</x:v>
      </x:c>
      <x:c r="D1399" s="23" t="n">
        <x:v>388.20422952994704</x:v>
      </x:c>
      <x:c r="E1399" s="23" t="n">
        <x:v>323.49095264915377</x:v>
      </x:c>
      <x:c r="F1399" s="23" t="n">
        <x:v>15.653828678186983</x:v>
      </x:c>
      <x:c r="G1399" s="23" t="n">
        <x:v>0.8357356282416731</x:v>
      </x:c>
      <x:c r="H1399" s="23" t="n">
        <x:v>11245</x:v>
      </x:c>
      <x:c r="I1399" s="23" t="n">
        <x:v>1195</x:v>
      </x:c>
      <x:c r="J1399" s="23" t="n">
        <x:f>(IF(A1399='Hybrid Calculator'!$B$6,0,1))^2+((B1399-'Hybrid Calculator'!$B$7)/1500)^2+((C1399-'Hybrid Calculator'!$B$8)/1300)^2+((D1399-'Hybrid Calculator'!$B$9)/800)^2+((E1399-'Hybrid Calculator'!$B$10)/350)^2+((F1399-'Hybrid Calculator'!$B$11)/30)^2+(G1399-'Hybrid Calculator'!$B$12)^2+((H1399-'Hybrid Calculator'!$E$14)/IF(A1399="Lightning",100,30000))^2+((I1399-'Hybrid Calculator'!$E$17)/IF(A1399="Lightning",100,30000))^2</x:f>
        <x:v>1.5418269592479459</x:v>
      </x:c>
      <x:c r="K1399" s="23" t="n">
        <x:f>RANK(J1399,$J$2:$J$1401,1)</x:f>
        <x:v>1285</x:v>
      </x:c>
      <x:c r="L1399" s="23" t="n">
        <x:f>IF(K1399&lt;=7,1,0)</x:f>
        <x:v>0</x:v>
      </x:c>
      <x:c r="M1399" s="23" t="n">
        <x:f>IF(L1399=1,1/(J1399+0.000001),0)</x:f>
        <x:v>0</x:v>
      </x:c>
      <x:c r="N1399" s="23" t="n">
        <x:v>2.1431607443468863</x:v>
      </x:c>
      <x:c r="O1399" s="23" t="n">
        <x:f>M1399</x:f>
        <x:v>0</x:v>
      </x:c>
      <x:c r="P1399" s="23" t="n">
        <x:v>-14.217938068782132</x:v>
      </x:c>
      <x:c r="Q1399" s="23" t="n">
        <x:v>0.27030405473578867</x:v>
      </x:c>
    </x:row>
    <x:row r="1400">
      <x:c r="A1400" s="23" t="str">
        <x:v>Switching</x:v>
      </x:c>
      <x:c r="B1400" s="23" t="n">
        <x:v>1017.9515609517694</x:v>
      </x:c>
      <x:c r="C1400" s="23" t="n">
        <x:v>848.7482391647063</x:v>
      </x:c>
      <x:c r="D1400" s="23" t="n">
        <x:v>606.1475785449147</x:v>
      </x:c>
      <x:c r="E1400" s="23" t="n">
        <x:v>169.12791457260028</x:v>
      </x:c>
      <x:c r="F1400" s="23" t="n">
        <x:v>25.689843660220504</x:v>
      </x:c>
      <x:c r="G1400" s="23" t="n">
        <x:v>0.8479473488894291</x:v>
      </x:c>
      <x:c r="H1400" s="23" t="n">
        <x:v>13170</x:v>
      </x:c>
      <x:c r="I1400" s="23" t="n">
        <x:v>1200</x:v>
      </x:c>
      <x:c r="J1400" s="23" t="n">
        <x:f>(IF(A1400='Hybrid Calculator'!$B$6,0,1))^2+((B1400-'Hybrid Calculator'!$B$7)/1500)^2+((C1400-'Hybrid Calculator'!$B$8)/1300)^2+((D1400-'Hybrid Calculator'!$B$9)/800)^2+((E1400-'Hybrid Calculator'!$B$10)/350)^2+((F1400-'Hybrid Calculator'!$B$11)/30)^2+(G1400-'Hybrid Calculator'!$B$12)^2+((H1400-'Hybrid Calculator'!$E$14)/IF(A1400="Lightning",100,30000))^2+((I1400-'Hybrid Calculator'!$E$17)/IF(A1400="Lightning",100,30000))^2</x:f>
        <x:v>1.3452452912527018</x:v>
      </x:c>
      <x:c r="K1400" s="23" t="n">
        <x:f>RANK(J1400,$J$2:$J$1401,1)</x:f>
        <x:v>817</x:v>
      </x:c>
      <x:c r="L1400" s="23" t="n">
        <x:f>IF(K1400&lt;=7,1,0)</x:f>
        <x:v>0</x:v>
      </x:c>
      <x:c r="M1400" s="23" t="n">
        <x:f>IF(L1400=1,1/(J1400+0.000001),0)</x:f>
        <x:v>0</x:v>
      </x:c>
      <x:c r="N1400" s="23" t="n">
        <x:v>-3.5953367614861236</x:v>
      </x:c>
      <x:c r="O1400" s="23" t="n">
        <x:f>M1400</x:f>
        <x:v>0</x:v>
      </x:c>
      <x:c r="P1400" s="23" t="n">
        <x:v>-48.19231997922361</x:v>
      </x:c>
      <x:c r="Q1400" s="23" t="n">
        <x:v>-11.894775487509719</x:v>
      </x:c>
    </x:row>
    <x:row r="1401">
      <x:c r="A1401" s="23" t="str">
        <x:v>Switching</x:v>
      </x:c>
      <x:c r="B1401" s="23" t="n">
        <x:v>1027.8348766849376</x:v>
      </x:c>
      <x:c r="C1401" s="23" t="n">
        <x:v>1178.60483082477</x:v>
      </x:c>
      <x:c r="D1401" s="23" t="n">
        <x:v>725.0601739622653</x:v>
      </x:c>
      <x:c r="E1401" s="23" t="n">
        <x:v>286.5573304425925</x:v>
      </x:c>
      <x:c r="F1401" s="23" t="n">
        <x:v>21.153531555552036</x:v>
      </x:c>
      <x:c r="G1401" s="23" t="n">
        <x:v>0.8196100020827726</x:v>
      </x:c>
      <x:c r="H1401" s="23" t="n">
        <x:v>9765</x:v>
      </x:c>
      <x:c r="I1401" s="23" t="n">
        <x:v>1195</x:v>
      </x:c>
      <x:c r="J1401" s="23" t="n">
        <x:f>(IF(A1401='Hybrid Calculator'!$B$6,0,1))^2+((B1401-'Hybrid Calculator'!$B$7)/1500)^2+((C1401-'Hybrid Calculator'!$B$8)/1300)^2+((D1401-'Hybrid Calculator'!$B$9)/800)^2+((E1401-'Hybrid Calculator'!$B$10)/350)^2+((F1401-'Hybrid Calculator'!$B$11)/30)^2+(G1401-'Hybrid Calculator'!$B$12)^2+((H1401-'Hybrid Calculator'!$E$14)/IF(A1401="Lightning",100,30000))^2+((I1401-'Hybrid Calculator'!$E$17)/IF(A1401="Lightning",100,30000))^2</x:f>
        <x:v>1.47958532761567</x:v>
      </x:c>
      <x:c r="K1401" s="23" t="n">
        <x:f>RANK(J1401,$J$2:$J$1401,1)</x:f>
        <x:v>1177</x:v>
      </x:c>
      <x:c r="L1401" s="23" t="n">
        <x:f>IF(K1401&lt;=7,1,0)</x:f>
        <x:v>0</x:v>
      </x:c>
      <x:c r="M1401" s="23" t="n">
        <x:f>IF(L1401=1,1/(J1401+0.000001),0)</x:f>
        <x:v>0</x:v>
      </x:c>
      <x:c r="N1401" s="23" t="n">
        <x:v>1.2140723358005232</x:v>
      </x:c>
      <x:c r="O1401" s="23" t="n">
        <x:f>M1401</x:f>
        <x:v>0</x:v>
      </x:c>
      <x:c r="P1401" s="23" t="n">
        <x:v>-9.54484796075576</x:v>
      </x:c>
      <x:c r="Q1401" s="23" t="n">
        <x:v>-8.586612232740663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21" t="str">
        <x:v>MODEL VALIDATION — kNN RESIDUAL REGRESSION (k=7)</x:v>
      </x:c>
      <x:c r="B1" s="21"/>
      <x:c r="C1" s="21"/>
      <x:c r="D1" s="21"/>
      <x:c r="E1" s="21"/>
      <x:c r="F1" s="21"/>
    </x:row>
    <x:row r="2">
      <x:c r="A2" s="23"/>
      <x:c r="B2" s="23"/>
      <x:c r="C2" s="23"/>
      <x:c r="D2" s="23"/>
      <x:c r="E2" s="23"/>
      <x:c r="F2" s="23"/>
    </x:row>
    <x:row r="3">
      <x:c r="A3" s="30" t="str">
        <x:v>Output</x:v>
      </x:c>
      <x:c r="B3" s="30" t="str">
        <x:v>MAE</x:v>
      </x:c>
      <x:c r="C3" s="30" t="str">
        <x:v>RMSE</x:v>
      </x:c>
      <x:c r="D3" s="30" t="str">
        <x:v>MAPE</x:v>
      </x:c>
      <x:c r="E3" s="30" t="str">
        <x:v>R²</x:v>
      </x:c>
      <x:c r="F3" s="23"/>
    </x:row>
    <x:row r="4">
      <x:c r="A4" s="23" t="str">
        <x:v>Front_or_Peak_Time</x:v>
      </x:c>
      <x:c r="B4" s="32" t="n">
        <x:v>0.8029226967468847</x:v>
      </x:c>
      <x:c r="C4" s="32" t="n">
        <x:v>1.3268845868283912</x:v>
      </x:c>
      <x:c r="D4" s="32" t="n">
        <x:v>0.6087737376034419</x:v>
      </x:c>
      <x:c r="E4" s="32" t="n">
        <x:v>0.9998867803665854</x:v>
      </x:c>
      <x:c r="F4" s="23"/>
    </x:row>
    <x:row r="5">
      <x:c r="A5" s="23" t="str">
        <x:v>Tail_Time</x:v>
      </x:c>
      <x:c r="B5" s="32" t="n">
        <x:v>12.3111195841096</x:v>
      </x:c>
      <x:c r="C5" s="32" t="n">
        <x:v>20.36728343332161</x:v>
      </x:c>
      <x:c r="D5" s="32" t="n">
        <x:v>1.0555353274270178</x:v>
      </x:c>
      <x:c r="E5" s="32" t="n">
        <x:v>0.999723971693066</x:v>
      </x:c>
      <x:c r="F5" s="23"/>
    </x:row>
    <x:row r="6">
      <x:c r="A6" s="23" t="str">
        <x:v>Crest_Voltage</x:v>
      </x:c>
      <x:c r="B6" s="32" t="n">
        <x:v>4.095831849727654</x:v>
      </x:c>
      <x:c r="C6" s="32" t="n">
        <x:v>4.9528733296199166</x:v>
      </x:c>
      <x:c r="D6" s="32" t="n">
        <x:v>0.3325965710497729</x:v>
      </x:c>
      <x:c r="E6" s="32" t="n">
        <x:v>0.9994242228438336</x:v>
      </x:c>
      <x:c r="F6" s="23"/>
    </x:row>
    <x:row r="7">
      <x:c r="A7" s="23"/>
      <x:c r="B7" s="23"/>
      <x:c r="C7" s="23"/>
      <x:c r="D7" s="23"/>
      <x:c r="E7" s="23"/>
      <x:c r="F7" s="23"/>
    </x:row>
    <x:row r="8">
      <x:c r="A8" s="30" t="str">
        <x:v>Split</x:v>
      </x:c>
      <x:c r="B8" s="30" t="str">
        <x:v>Records</x:v>
      </x:c>
      <x:c r="C8" s="23"/>
      <x:c r="D8" s="23"/>
      <x:c r="E8" s="23"/>
      <x:c r="F8" s="23"/>
    </x:row>
    <x:row r="9">
      <x:c r="A9" s="23" t="str">
        <x:v>Train</x:v>
      </x:c>
      <x:c r="B9" s="23" t="n">
        <x:v>1400</x:v>
      </x:c>
      <x:c r="C9" s="23"/>
      <x:c r="D9" s="23"/>
      <x:c r="E9" s="23"/>
      <x:c r="F9" s="23"/>
    </x:row>
    <x:row r="10">
      <x:c r="A10" s="23" t="str">
        <x:v>Validation</x:v>
      </x:c>
      <x:c r="B10" s="23" t="n">
        <x:v>300</x:v>
      </x:c>
      <x:c r="C10" s="23"/>
      <x:c r="D10" s="23"/>
      <x:c r="E10" s="23"/>
      <x:c r="F10" s="23"/>
    </x:row>
    <x:row r="11">
      <x:c r="A11" s="23" t="str">
        <x:v>Hidden Test</x:v>
      </x:c>
      <x:c r="B11" s="23" t="n">
        <x:v>300</x:v>
      </x:c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30" t="str">
        <x:v>Verification gate</x:v>
      </x:c>
      <x:c r="B13" s="30" t="str">
        <x:v>Method</x:v>
      </x:c>
      <x:c r="C13" s="30" t="str">
        <x:v>Status</x:v>
      </x:c>
      <x:c r="D13" s="23"/>
      <x:c r="E13" s="23"/>
      <x:c r="F13" s="23"/>
    </x:row>
    <x:row r="14">
      <x:c r="A14" s="23" t="str">
        <x:v>Physics constraints</x:v>
      </x:c>
      <x:c r="B14" s="23" t="str">
        <x:v>Stages ≤15; charge ≤200 kV/stage</x:v>
      </x:c>
      <x:c r="C14" s="23" t="str">
        <x:v>IMPLEMENTED</x:v>
      </x:c>
      <x:c r="D14" s="23"/>
      <x:c r="E14" s="23"/>
      <x:c r="F14" s="23"/>
    </x:row>
    <x:row r="15">
      <x:c r="A15" s="23" t="str">
        <x:v>Synthetic hidden test</x:v>
      </x:c>
      <x:c r="B15" s="23" t="str">
        <x:v>300 reserved records</x:v>
      </x:c>
      <x:c r="C15" s="23" t="str">
        <x:v>IMPLEMENTED</x:v>
      </x:c>
      <x:c r="D15" s="23"/>
      <x:c r="E15" s="23"/>
      <x:c r="F15" s="23"/>
    </x:row>
    <x:row r="16">
      <x:c r="A16" s="23" t="str">
        <x:v>Laboratory trial shots</x:v>
      </x:c>
      <x:c r="B16" s="23" t="str">
        <x:v>Measured CPRI waveforms</x:v>
      </x:c>
      <x:c r="C16" s="23" t="str">
        <x:v>PENDING ACTUAL DATA</x:v>
      </x:c>
      <x:c r="D16" s="23"/>
      <x:c r="E16" s="23"/>
      <x:c r="F16" s="23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21" t="str">
        <x:v>MODEL CARD &amp; TECHNICAL LIMITATIONS</x:v>
      </x:c>
      <x:c r="B1" s="21"/>
      <x:c r="C1" s="21"/>
      <x:c r="D1" s="21"/>
      <x:c r="E1" s="21"/>
      <x:c r="F1" s="21"/>
    </x:row>
    <x:row r="2">
      <x:c r="A2" s="23"/>
      <x:c r="B2" s="23"/>
      <x:c r="C2" s="23"/>
      <x:c r="D2" s="23"/>
      <x:c r="E2" s="23"/>
      <x:c r="F2" s="23"/>
    </x:row>
    <x:row r="3">
      <x:c r="A3" s="33" t="str">
        <x:v>Item</x:v>
      </x:c>
      <x:c r="B3" s="33" t="str">
        <x:v>Description</x:v>
      </x:c>
      <x:c r="C3" s="23"/>
      <x:c r="D3" s="23"/>
      <x:c r="E3" s="23"/>
      <x:c r="F3" s="23"/>
    </x:row>
    <x:row r="4">
      <x:c r="A4" s="34" t="str">
        <x:v>Architecture</x:v>
      </x:c>
      <x:c r="B4" s="34" t="str">
        <x:v>Physics baseline + kNN residual regression + feasibility/compliance ranking</x:v>
      </x:c>
      <x:c r="C4" s="23"/>
      <x:c r="D4" s="23"/>
      <x:c r="E4" s="23"/>
      <x:c r="F4" s="23"/>
    </x:row>
    <x:row r="5">
      <x:c r="A5" s="34" t="str">
        <x:v>Algorithm</x:v>
      </x:c>
      <x:c r="B5" s="34" t="str">
        <x:v>k-Nearest Neighbours residual regression (k=7)</x:v>
      </x:c>
      <x:c r="C5" s="23"/>
      <x:c r="D5" s="23"/>
      <x:c r="E5" s="23"/>
      <x:c r="F5" s="23"/>
    </x:row>
    <x:row r="6">
      <x:c r="A6" s="34" t="str">
        <x:v>Training data</x:v>
      </x:c>
      <x:c r="B6" s="34" t="str">
        <x:v>1,400 representative synthetic cases constrained by original generator ratings</x:v>
      </x:c>
      <x:c r="C6" s="23"/>
      <x:c r="D6" s="23"/>
      <x:c r="E6" s="23"/>
      <x:c r="F6" s="23"/>
    </x:row>
    <x:row r="7">
      <x:c r="A7" s="34" t="str">
        <x:v>Validation</x:v>
      </x:c>
      <x:c r="B7" s="34" t="str">
        <x:v>300 synthetic validation cases</x:v>
      </x:c>
      <x:c r="C7" s="23"/>
      <x:c r="D7" s="23"/>
      <x:c r="E7" s="23"/>
      <x:c r="F7" s="23"/>
    </x:row>
    <x:row r="8">
      <x:c r="A8" s="34" t="str">
        <x:v>Hidden test</x:v>
      </x:c>
      <x:c r="B8" s="34" t="str">
        <x:v>300 synthetic hidden-test cases</x:v>
      </x:c>
      <x:c r="C8" s="23"/>
      <x:c r="D8" s="23"/>
      <x:c r="E8" s="23"/>
      <x:c r="F8" s="23"/>
    </x:row>
    <x:row r="9">
      <x:c r="A9" s="34" t="str">
        <x:v>Targets</x:v>
      </x:c>
      <x:c r="B9" s="34" t="str">
        <x:v>Crest voltage, front/peak time and tail time</x:v>
      </x:c>
      <x:c r="C9" s="23"/>
      <x:c r="D9" s="23"/>
      <x:c r="E9" s="23"/>
      <x:c r="F9" s="23"/>
    </x:row>
    <x:row r="10">
      <x:c r="A10" s="34" t="str">
        <x:v>Purpose</x:v>
      </x:c>
      <x:c r="B10" s="34" t="str">
        <x:v>Correct physics baseline and rank feasible resistor configurations</x:v>
      </x:c>
      <x:c r="C10" s="23"/>
      <x:c r="D10" s="23"/>
      <x:c r="E10" s="23"/>
      <x:c r="F10" s="23"/>
    </x:row>
    <x:row r="11">
      <x:c r="A11" s="34" t="str">
        <x:v>Not claimed</x:v>
      </x:c>
      <x:c r="B11" s="34" t="str">
        <x:v>No laboratory validation has been completed</x:v>
      </x:c>
      <x:c r="C11" s="23"/>
      <x:c r="D11" s="23"/>
      <x:c r="E11" s="23"/>
      <x:c r="F11" s="23"/>
    </x:row>
    <x:row r="12">
      <x:c r="A12" s="34" t="str">
        <x:v>Required next step</x:v>
      </x:c>
      <x:c r="B12" s="34" t="str">
        <x:v>Replace/refine synthetic residual patterns using actual reduced-voltage trial-shot data</x:v>
      </x:c>
      <x:c r="C12" s="23"/>
      <x:c r="D12" s="23"/>
      <x:c r="E12" s="23"/>
      <x:c r="F12" s="23"/>
    </x:row>
  </x:sheetData>
  <x:mergeCells>
    <x:mergeCell ref="A1:F1"/>
  </x:mergeCells>
  <x:pageMargins left="0.7" right="0.7" top="0.75" bottom="0.75" header="0.3" footer="0.3"/>
</x:worksheet>
</file>